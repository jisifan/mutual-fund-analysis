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6960" activeTab="2"/>
  </bookViews>
  <sheets>
    <sheet name="data" sheetId="1" r:id="rId1"/>
    <sheet name="Sheet1" sheetId="5" r:id="rId2"/>
    <sheet name="figure" sheetId="4" r:id="rId3"/>
    <sheet name="熊市组合" sheetId="6" r:id="rId4"/>
    <sheet name="震荡市组合" sheetId="7" r:id="rId5"/>
    <sheet name="牛市组合" sheetId="8" r:id="rId6"/>
    <sheet name="强势组合" sheetId="9" r:id="rId7"/>
    <sheet name="Sheet2" sheetId="2" state="hidden" r:id="rId8"/>
    <sheet name="说明" sheetId="3" state="hidden" r:id="rId9"/>
  </sheets>
  <externalReferences>
    <externalReference r:id="rId10"/>
  </externalReferences>
  <definedNames>
    <definedName name="cash">OFFSET(figure!#REF!,0,0,figure!#REF!,1)</definedName>
    <definedName name="hs">OFFSET(figure!#REF!,0,0,figure!#REF!,1)</definedName>
    <definedName name="time">OFFSET(figure!#REF!,0,0,figure!#REF!,1)</definedName>
    <definedName name="zzwubai">OFFSET(figure!#REF!,0,0,figure!#REF!,1)</definedName>
    <definedName name="zzyiqian">OFFSET(figure!#REF!,0,0,figure!#REF!,1)</definedName>
  </definedNames>
  <calcPr calcId="162913"/>
</workbook>
</file>

<file path=xl/calcChain.xml><?xml version="1.0" encoding="utf-8"?>
<calcChain xmlns="http://schemas.openxmlformats.org/spreadsheetml/2006/main">
  <c r="AG31" i="1" l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0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6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373" i="1"/>
  <c r="BM374" i="1"/>
  <c r="BM375" i="1"/>
  <c r="BM376" i="1"/>
  <c r="BM377" i="1"/>
  <c r="BM378" i="1"/>
  <c r="BM379" i="1"/>
  <c r="BM380" i="1"/>
  <c r="BM381" i="1"/>
  <c r="BM382" i="1"/>
  <c r="BM383" i="1"/>
  <c r="BM384" i="1"/>
  <c r="BM385" i="1"/>
  <c r="BM386" i="1"/>
  <c r="BM387" i="1"/>
  <c r="BM388" i="1"/>
  <c r="BM389" i="1"/>
  <c r="BM390" i="1"/>
  <c r="BM391" i="1"/>
  <c r="BM392" i="1"/>
  <c r="BM393" i="1"/>
  <c r="BM394" i="1"/>
  <c r="BM395" i="1"/>
  <c r="BM396" i="1"/>
  <c r="BM397" i="1"/>
  <c r="BM398" i="1"/>
  <c r="BM399" i="1"/>
  <c r="BM400" i="1"/>
  <c r="BM401" i="1"/>
  <c r="BM402" i="1"/>
  <c r="BM403" i="1"/>
  <c r="BM404" i="1"/>
  <c r="BM405" i="1"/>
  <c r="BM406" i="1"/>
  <c r="BM407" i="1"/>
  <c r="BM408" i="1"/>
  <c r="BM409" i="1"/>
  <c r="BM410" i="1"/>
  <c r="BM411" i="1"/>
  <c r="BM412" i="1"/>
  <c r="BM413" i="1"/>
  <c r="BM414" i="1"/>
  <c r="BM415" i="1"/>
  <c r="BM416" i="1"/>
  <c r="BM417" i="1"/>
  <c r="BM418" i="1"/>
  <c r="BM419" i="1"/>
  <c r="BM420" i="1"/>
  <c r="BM421" i="1"/>
  <c r="BM422" i="1"/>
  <c r="BM423" i="1"/>
  <c r="BM424" i="1"/>
  <c r="BM425" i="1"/>
  <c r="BM426" i="1"/>
  <c r="BM427" i="1"/>
  <c r="BM428" i="1"/>
  <c r="BM429" i="1"/>
  <c r="BM430" i="1"/>
  <c r="BM431" i="1"/>
  <c r="BM432" i="1"/>
  <c r="BM433" i="1"/>
  <c r="BM434" i="1"/>
  <c r="BM435" i="1"/>
  <c r="BM436" i="1"/>
  <c r="BM437" i="1"/>
  <c r="BM438" i="1"/>
  <c r="BM439" i="1"/>
  <c r="BM440" i="1"/>
  <c r="BM441" i="1"/>
  <c r="BM442" i="1"/>
  <c r="BM443" i="1"/>
  <c r="BM444" i="1"/>
  <c r="BM445" i="1"/>
  <c r="BM446" i="1"/>
  <c r="BM447" i="1"/>
  <c r="BM448" i="1"/>
  <c r="BM449" i="1"/>
  <c r="BM450" i="1"/>
  <c r="BM451" i="1"/>
  <c r="BM452" i="1"/>
  <c r="BM453" i="1"/>
  <c r="BM454" i="1"/>
  <c r="BM455" i="1"/>
  <c r="BM456" i="1"/>
  <c r="BM457" i="1"/>
  <c r="BM458" i="1"/>
  <c r="BM459" i="1"/>
  <c r="BM460" i="1"/>
  <c r="BM461" i="1"/>
  <c r="BM462" i="1"/>
  <c r="BM463" i="1"/>
  <c r="BM464" i="1"/>
  <c r="BM465" i="1"/>
  <c r="BM466" i="1"/>
  <c r="BM467" i="1"/>
  <c r="BM468" i="1"/>
  <c r="BM469" i="1"/>
  <c r="BM470" i="1"/>
  <c r="BM471" i="1"/>
  <c r="BM472" i="1"/>
  <c r="BM473" i="1"/>
  <c r="BM474" i="1"/>
  <c r="BM475" i="1"/>
  <c r="BM476" i="1"/>
  <c r="BM477" i="1"/>
  <c r="BM478" i="1"/>
  <c r="BM479" i="1"/>
  <c r="BM480" i="1"/>
  <c r="BM481" i="1"/>
  <c r="BM482" i="1"/>
  <c r="BM483" i="1"/>
  <c r="BM484" i="1"/>
  <c r="BM485" i="1"/>
  <c r="BM486" i="1"/>
  <c r="BM487" i="1"/>
  <c r="BM488" i="1"/>
  <c r="BM489" i="1"/>
  <c r="BM490" i="1"/>
  <c r="BM491" i="1"/>
  <c r="BM492" i="1"/>
  <c r="BM493" i="1"/>
  <c r="BM494" i="1"/>
  <c r="BM495" i="1"/>
  <c r="BM496" i="1"/>
  <c r="BM497" i="1"/>
  <c r="BM498" i="1"/>
  <c r="BM499" i="1"/>
  <c r="BM500" i="1"/>
  <c r="BM501" i="1"/>
  <c r="BM502" i="1"/>
  <c r="BM503" i="1"/>
  <c r="BM504" i="1"/>
  <c r="BM505" i="1"/>
  <c r="BM506" i="1"/>
  <c r="BM507" i="1"/>
  <c r="BM508" i="1"/>
  <c r="BM509" i="1"/>
  <c r="BM510" i="1"/>
  <c r="BM4" i="1"/>
  <c r="AG27" i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2" i="4"/>
  <c r="A1" i="4"/>
  <c r="B2" i="4" l="1"/>
  <c r="C2" i="4"/>
  <c r="D2" i="4"/>
  <c r="E2" i="4"/>
  <c r="F2" i="4"/>
  <c r="G2" i="4"/>
  <c r="H2" i="4"/>
  <c r="I2" i="4"/>
  <c r="J2" i="4"/>
  <c r="K2" i="4"/>
  <c r="L2" i="4"/>
  <c r="M2" i="4"/>
  <c r="B3" i="4"/>
  <c r="C3" i="4"/>
  <c r="D3" i="4"/>
  <c r="E3" i="4"/>
  <c r="F3" i="4"/>
  <c r="G3" i="4"/>
  <c r="H3" i="4"/>
  <c r="I3" i="4"/>
  <c r="J3" i="4"/>
  <c r="K3" i="4"/>
  <c r="L3" i="4"/>
  <c r="M3" i="4"/>
  <c r="B4" i="4"/>
  <c r="C4" i="4"/>
  <c r="D4" i="4"/>
  <c r="E4" i="4"/>
  <c r="F4" i="4"/>
  <c r="G4" i="4"/>
  <c r="H4" i="4"/>
  <c r="I4" i="4"/>
  <c r="J4" i="4"/>
  <c r="K4" i="4"/>
  <c r="L4" i="4"/>
  <c r="M4" i="4"/>
  <c r="B5" i="4"/>
  <c r="C5" i="4"/>
  <c r="D5" i="4"/>
  <c r="E5" i="4"/>
  <c r="F5" i="4"/>
  <c r="G5" i="4"/>
  <c r="H5" i="4"/>
  <c r="I5" i="4"/>
  <c r="J5" i="4"/>
  <c r="K5" i="4"/>
  <c r="L5" i="4"/>
  <c r="M5" i="4"/>
  <c r="B6" i="4"/>
  <c r="C6" i="4"/>
  <c r="D6" i="4"/>
  <c r="E6" i="4"/>
  <c r="F6" i="4"/>
  <c r="G6" i="4"/>
  <c r="H6" i="4"/>
  <c r="I6" i="4"/>
  <c r="J6" i="4"/>
  <c r="K6" i="4"/>
  <c r="L6" i="4"/>
  <c r="M6" i="4"/>
  <c r="B7" i="4"/>
  <c r="C7" i="4"/>
  <c r="D7" i="4"/>
  <c r="E7" i="4"/>
  <c r="F7" i="4"/>
  <c r="G7" i="4"/>
  <c r="H7" i="4"/>
  <c r="I7" i="4"/>
  <c r="J7" i="4"/>
  <c r="K7" i="4"/>
  <c r="L7" i="4"/>
  <c r="M7" i="4"/>
  <c r="B8" i="4"/>
  <c r="C8" i="4"/>
  <c r="D8" i="4"/>
  <c r="E8" i="4"/>
  <c r="F8" i="4"/>
  <c r="G8" i="4"/>
  <c r="H8" i="4"/>
  <c r="I8" i="4"/>
  <c r="J8" i="4"/>
  <c r="K8" i="4"/>
  <c r="L8" i="4"/>
  <c r="M8" i="4"/>
  <c r="B9" i="4"/>
  <c r="C9" i="4"/>
  <c r="D9" i="4"/>
  <c r="E9" i="4"/>
  <c r="F9" i="4"/>
  <c r="G9" i="4"/>
  <c r="H9" i="4"/>
  <c r="I9" i="4"/>
  <c r="J9" i="4"/>
  <c r="K9" i="4"/>
  <c r="L9" i="4"/>
  <c r="M9" i="4"/>
  <c r="B10" i="4"/>
  <c r="C10" i="4"/>
  <c r="D10" i="4"/>
  <c r="E10" i="4"/>
  <c r="F10" i="4"/>
  <c r="G10" i="4"/>
  <c r="H10" i="4"/>
  <c r="I10" i="4"/>
  <c r="J10" i="4"/>
  <c r="K10" i="4"/>
  <c r="L10" i="4"/>
  <c r="M10" i="4"/>
  <c r="B11" i="4"/>
  <c r="C11" i="4"/>
  <c r="D11" i="4"/>
  <c r="E11" i="4"/>
  <c r="F11" i="4"/>
  <c r="G11" i="4"/>
  <c r="H11" i="4"/>
  <c r="I11" i="4"/>
  <c r="J11" i="4"/>
  <c r="K11" i="4"/>
  <c r="L11" i="4"/>
  <c r="M11" i="4"/>
  <c r="B12" i="4"/>
  <c r="C12" i="4"/>
  <c r="D12" i="4"/>
  <c r="E12" i="4"/>
  <c r="F12" i="4"/>
  <c r="G12" i="4"/>
  <c r="H12" i="4"/>
  <c r="I12" i="4"/>
  <c r="J12" i="4"/>
  <c r="K12" i="4"/>
  <c r="L12" i="4"/>
  <c r="M12" i="4"/>
  <c r="B13" i="4"/>
  <c r="C13" i="4"/>
  <c r="D13" i="4"/>
  <c r="E13" i="4"/>
  <c r="F13" i="4"/>
  <c r="G13" i="4"/>
  <c r="H13" i="4"/>
  <c r="I13" i="4"/>
  <c r="J13" i="4"/>
  <c r="K13" i="4"/>
  <c r="L13" i="4"/>
  <c r="M13" i="4"/>
  <c r="B14" i="4"/>
  <c r="C14" i="4"/>
  <c r="D14" i="4"/>
  <c r="E14" i="4"/>
  <c r="F14" i="4"/>
  <c r="G14" i="4"/>
  <c r="H14" i="4"/>
  <c r="I14" i="4"/>
  <c r="J14" i="4"/>
  <c r="K14" i="4"/>
  <c r="L14" i="4"/>
  <c r="M14" i="4"/>
  <c r="B15" i="4"/>
  <c r="C15" i="4"/>
  <c r="D15" i="4"/>
  <c r="E15" i="4"/>
  <c r="F15" i="4"/>
  <c r="G15" i="4"/>
  <c r="H15" i="4"/>
  <c r="I15" i="4"/>
  <c r="J15" i="4"/>
  <c r="K15" i="4"/>
  <c r="L15" i="4"/>
  <c r="M15" i="4"/>
  <c r="B16" i="4"/>
  <c r="C16" i="4"/>
  <c r="D16" i="4"/>
  <c r="E16" i="4"/>
  <c r="F16" i="4"/>
  <c r="G16" i="4"/>
  <c r="H16" i="4"/>
  <c r="I16" i="4"/>
  <c r="J16" i="4"/>
  <c r="K16" i="4"/>
  <c r="L16" i="4"/>
  <c r="M16" i="4"/>
  <c r="B17" i="4"/>
  <c r="C17" i="4"/>
  <c r="D17" i="4"/>
  <c r="E17" i="4"/>
  <c r="F17" i="4"/>
  <c r="G17" i="4"/>
  <c r="H17" i="4"/>
  <c r="I17" i="4"/>
  <c r="J17" i="4"/>
  <c r="K17" i="4"/>
  <c r="L17" i="4"/>
  <c r="M17" i="4"/>
  <c r="B18" i="4"/>
  <c r="C18" i="4"/>
  <c r="D18" i="4"/>
  <c r="E18" i="4"/>
  <c r="F18" i="4"/>
  <c r="G18" i="4"/>
  <c r="H18" i="4"/>
  <c r="I18" i="4"/>
  <c r="J18" i="4"/>
  <c r="K18" i="4"/>
  <c r="L18" i="4"/>
  <c r="M18" i="4"/>
  <c r="B19" i="4"/>
  <c r="C19" i="4"/>
  <c r="D19" i="4"/>
  <c r="E19" i="4"/>
  <c r="F19" i="4"/>
  <c r="G19" i="4"/>
  <c r="H19" i="4"/>
  <c r="I19" i="4"/>
  <c r="J19" i="4"/>
  <c r="K19" i="4"/>
  <c r="L19" i="4"/>
  <c r="M19" i="4"/>
  <c r="B20" i="4"/>
  <c r="C20" i="4"/>
  <c r="D20" i="4"/>
  <c r="E20" i="4"/>
  <c r="F20" i="4"/>
  <c r="G20" i="4"/>
  <c r="H20" i="4"/>
  <c r="I20" i="4"/>
  <c r="J20" i="4"/>
  <c r="K20" i="4"/>
  <c r="L20" i="4"/>
  <c r="M20" i="4"/>
  <c r="B21" i="4"/>
  <c r="C21" i="4"/>
  <c r="D21" i="4"/>
  <c r="E21" i="4"/>
  <c r="F21" i="4"/>
  <c r="G21" i="4"/>
  <c r="H21" i="4"/>
  <c r="I21" i="4"/>
  <c r="J21" i="4"/>
  <c r="K21" i="4"/>
  <c r="L21" i="4"/>
  <c r="M21" i="4"/>
  <c r="B22" i="4"/>
  <c r="C22" i="4"/>
  <c r="D22" i="4"/>
  <c r="E22" i="4"/>
  <c r="F22" i="4"/>
  <c r="G22" i="4"/>
  <c r="H22" i="4"/>
  <c r="I22" i="4"/>
  <c r="J22" i="4"/>
  <c r="K22" i="4"/>
  <c r="L22" i="4"/>
  <c r="M22" i="4"/>
  <c r="B23" i="4"/>
  <c r="C23" i="4"/>
  <c r="D23" i="4"/>
  <c r="E23" i="4"/>
  <c r="F23" i="4"/>
  <c r="G23" i="4"/>
  <c r="H23" i="4"/>
  <c r="I23" i="4"/>
  <c r="J23" i="4"/>
  <c r="K23" i="4"/>
  <c r="L23" i="4"/>
  <c r="M23" i="4"/>
  <c r="B24" i="4"/>
  <c r="C24" i="4"/>
  <c r="D24" i="4"/>
  <c r="E24" i="4"/>
  <c r="F24" i="4"/>
  <c r="G24" i="4"/>
  <c r="H24" i="4"/>
  <c r="I24" i="4"/>
  <c r="J24" i="4"/>
  <c r="K24" i="4"/>
  <c r="L24" i="4"/>
  <c r="M24" i="4"/>
  <c r="B25" i="4"/>
  <c r="C25" i="4"/>
  <c r="D25" i="4"/>
  <c r="E25" i="4"/>
  <c r="F25" i="4"/>
  <c r="G25" i="4"/>
  <c r="H25" i="4"/>
  <c r="I25" i="4"/>
  <c r="J25" i="4"/>
  <c r="K25" i="4"/>
  <c r="L25" i="4"/>
  <c r="M25" i="4"/>
  <c r="B26" i="4"/>
  <c r="C26" i="4"/>
  <c r="D26" i="4"/>
  <c r="E26" i="4"/>
  <c r="F26" i="4"/>
  <c r="G26" i="4"/>
  <c r="H26" i="4"/>
  <c r="I26" i="4"/>
  <c r="J26" i="4"/>
  <c r="K26" i="4"/>
  <c r="L26" i="4"/>
  <c r="M26" i="4"/>
  <c r="B27" i="4"/>
  <c r="C27" i="4"/>
  <c r="D27" i="4"/>
  <c r="E27" i="4"/>
  <c r="F27" i="4"/>
  <c r="G27" i="4"/>
  <c r="H27" i="4"/>
  <c r="I27" i="4"/>
  <c r="J27" i="4"/>
  <c r="K27" i="4"/>
  <c r="L27" i="4"/>
  <c r="M27" i="4"/>
  <c r="B28" i="4"/>
  <c r="C28" i="4"/>
  <c r="D28" i="4"/>
  <c r="E28" i="4"/>
  <c r="F28" i="4"/>
  <c r="G28" i="4"/>
  <c r="H28" i="4"/>
  <c r="I28" i="4"/>
  <c r="J28" i="4"/>
  <c r="K28" i="4"/>
  <c r="L28" i="4"/>
  <c r="M28" i="4"/>
  <c r="B29" i="4"/>
  <c r="C29" i="4"/>
  <c r="D29" i="4"/>
  <c r="E29" i="4"/>
  <c r="F29" i="4"/>
  <c r="G29" i="4"/>
  <c r="H29" i="4"/>
  <c r="I29" i="4"/>
  <c r="J29" i="4"/>
  <c r="K29" i="4"/>
  <c r="L29" i="4"/>
  <c r="M29" i="4"/>
  <c r="B30" i="4"/>
  <c r="C30" i="4"/>
  <c r="D30" i="4"/>
  <c r="E30" i="4"/>
  <c r="F30" i="4"/>
  <c r="G30" i="4"/>
  <c r="H30" i="4"/>
  <c r="I30" i="4"/>
  <c r="J30" i="4"/>
  <c r="K30" i="4"/>
  <c r="L30" i="4"/>
  <c r="M30" i="4"/>
  <c r="B31" i="4"/>
  <c r="C31" i="4"/>
  <c r="D31" i="4"/>
  <c r="E31" i="4"/>
  <c r="F31" i="4"/>
  <c r="G31" i="4"/>
  <c r="H31" i="4"/>
  <c r="I31" i="4"/>
  <c r="J31" i="4"/>
  <c r="K31" i="4"/>
  <c r="L31" i="4"/>
  <c r="M31" i="4"/>
  <c r="B32" i="4"/>
  <c r="C32" i="4"/>
  <c r="D32" i="4"/>
  <c r="E32" i="4"/>
  <c r="F32" i="4"/>
  <c r="G32" i="4"/>
  <c r="H32" i="4"/>
  <c r="I32" i="4"/>
  <c r="J32" i="4"/>
  <c r="K32" i="4"/>
  <c r="L32" i="4"/>
  <c r="M32" i="4"/>
  <c r="B33" i="4"/>
  <c r="C33" i="4"/>
  <c r="D33" i="4"/>
  <c r="E33" i="4"/>
  <c r="F33" i="4"/>
  <c r="G33" i="4"/>
  <c r="H33" i="4"/>
  <c r="I33" i="4"/>
  <c r="J33" i="4"/>
  <c r="K33" i="4"/>
  <c r="L33" i="4"/>
  <c r="M33" i="4"/>
  <c r="B34" i="4"/>
  <c r="C34" i="4"/>
  <c r="D34" i="4"/>
  <c r="E34" i="4"/>
  <c r="F34" i="4"/>
  <c r="G34" i="4"/>
  <c r="H34" i="4"/>
  <c r="I34" i="4"/>
  <c r="J34" i="4"/>
  <c r="K34" i="4"/>
  <c r="L34" i="4"/>
  <c r="M34" i="4"/>
  <c r="B35" i="4"/>
  <c r="C35" i="4"/>
  <c r="D35" i="4"/>
  <c r="E35" i="4"/>
  <c r="F35" i="4"/>
  <c r="G35" i="4"/>
  <c r="H35" i="4"/>
  <c r="I35" i="4"/>
  <c r="J35" i="4"/>
  <c r="K35" i="4"/>
  <c r="L35" i="4"/>
  <c r="M35" i="4"/>
  <c r="B36" i="4"/>
  <c r="C36" i="4"/>
  <c r="D36" i="4"/>
  <c r="E36" i="4"/>
  <c r="F36" i="4"/>
  <c r="G36" i="4"/>
  <c r="H36" i="4"/>
  <c r="I36" i="4"/>
  <c r="J36" i="4"/>
  <c r="K36" i="4"/>
  <c r="L36" i="4"/>
  <c r="M36" i="4"/>
  <c r="B37" i="4"/>
  <c r="C37" i="4"/>
  <c r="D37" i="4"/>
  <c r="E37" i="4"/>
  <c r="F37" i="4"/>
  <c r="G37" i="4"/>
  <c r="H37" i="4"/>
  <c r="I37" i="4"/>
  <c r="J37" i="4"/>
  <c r="K37" i="4"/>
  <c r="L37" i="4"/>
  <c r="M37" i="4"/>
  <c r="B38" i="4"/>
  <c r="C38" i="4"/>
  <c r="D38" i="4"/>
  <c r="E38" i="4"/>
  <c r="F38" i="4"/>
  <c r="G38" i="4"/>
  <c r="H38" i="4"/>
  <c r="I38" i="4"/>
  <c r="J38" i="4"/>
  <c r="K38" i="4"/>
  <c r="L38" i="4"/>
  <c r="M38" i="4"/>
  <c r="B39" i="4"/>
  <c r="C39" i="4"/>
  <c r="D39" i="4"/>
  <c r="E39" i="4"/>
  <c r="F39" i="4"/>
  <c r="G39" i="4"/>
  <c r="H39" i="4"/>
  <c r="I39" i="4"/>
  <c r="J39" i="4"/>
  <c r="K39" i="4"/>
  <c r="L39" i="4"/>
  <c r="M39" i="4"/>
  <c r="B40" i="4"/>
  <c r="C40" i="4"/>
  <c r="D40" i="4"/>
  <c r="E40" i="4"/>
  <c r="F40" i="4"/>
  <c r="G40" i="4"/>
  <c r="H40" i="4"/>
  <c r="I40" i="4"/>
  <c r="J40" i="4"/>
  <c r="K40" i="4"/>
  <c r="L40" i="4"/>
  <c r="M40" i="4"/>
  <c r="B41" i="4"/>
  <c r="C41" i="4"/>
  <c r="D41" i="4"/>
  <c r="E41" i="4"/>
  <c r="F41" i="4"/>
  <c r="G41" i="4"/>
  <c r="H41" i="4"/>
  <c r="I41" i="4"/>
  <c r="J41" i="4"/>
  <c r="K41" i="4"/>
  <c r="L41" i="4"/>
  <c r="M41" i="4"/>
  <c r="B42" i="4"/>
  <c r="C42" i="4"/>
  <c r="D42" i="4"/>
  <c r="E42" i="4"/>
  <c r="F42" i="4"/>
  <c r="G42" i="4"/>
  <c r="H42" i="4"/>
  <c r="I42" i="4"/>
  <c r="J42" i="4"/>
  <c r="K42" i="4"/>
  <c r="L42" i="4"/>
  <c r="M42" i="4"/>
  <c r="B43" i="4"/>
  <c r="C43" i="4"/>
  <c r="D43" i="4"/>
  <c r="E43" i="4"/>
  <c r="F43" i="4"/>
  <c r="G43" i="4"/>
  <c r="H43" i="4"/>
  <c r="I43" i="4"/>
  <c r="J43" i="4"/>
  <c r="K43" i="4"/>
  <c r="L43" i="4"/>
  <c r="M43" i="4"/>
  <c r="B44" i="4"/>
  <c r="C44" i="4"/>
  <c r="D44" i="4"/>
  <c r="E44" i="4"/>
  <c r="F44" i="4"/>
  <c r="G44" i="4"/>
  <c r="H44" i="4"/>
  <c r="I44" i="4"/>
  <c r="J44" i="4"/>
  <c r="K44" i="4"/>
  <c r="L44" i="4"/>
  <c r="M44" i="4"/>
  <c r="B45" i="4"/>
  <c r="C45" i="4"/>
  <c r="D45" i="4"/>
  <c r="E45" i="4"/>
  <c r="F45" i="4"/>
  <c r="G45" i="4"/>
  <c r="H45" i="4"/>
  <c r="I45" i="4"/>
  <c r="J45" i="4"/>
  <c r="K45" i="4"/>
  <c r="L45" i="4"/>
  <c r="M45" i="4"/>
  <c r="B46" i="4"/>
  <c r="C46" i="4"/>
  <c r="D46" i="4"/>
  <c r="E46" i="4"/>
  <c r="F46" i="4"/>
  <c r="G46" i="4"/>
  <c r="H46" i="4"/>
  <c r="I46" i="4"/>
  <c r="J46" i="4"/>
  <c r="K46" i="4"/>
  <c r="L46" i="4"/>
  <c r="M46" i="4"/>
  <c r="B47" i="4"/>
  <c r="C47" i="4"/>
  <c r="D47" i="4"/>
  <c r="E47" i="4"/>
  <c r="F47" i="4"/>
  <c r="G47" i="4"/>
  <c r="H47" i="4"/>
  <c r="I47" i="4"/>
  <c r="J47" i="4"/>
  <c r="K47" i="4"/>
  <c r="L47" i="4"/>
  <c r="M47" i="4"/>
  <c r="B48" i="4"/>
  <c r="C48" i="4"/>
  <c r="D48" i="4"/>
  <c r="E48" i="4"/>
  <c r="F48" i="4"/>
  <c r="G48" i="4"/>
  <c r="H48" i="4"/>
  <c r="I48" i="4"/>
  <c r="J48" i="4"/>
  <c r="K48" i="4"/>
  <c r="L48" i="4"/>
  <c r="M48" i="4"/>
  <c r="B49" i="4"/>
  <c r="C49" i="4"/>
  <c r="D49" i="4"/>
  <c r="E49" i="4"/>
  <c r="F49" i="4"/>
  <c r="G49" i="4"/>
  <c r="H49" i="4"/>
  <c r="I49" i="4"/>
  <c r="J49" i="4"/>
  <c r="K49" i="4"/>
  <c r="L49" i="4"/>
  <c r="M49" i="4"/>
  <c r="B50" i="4"/>
  <c r="C50" i="4"/>
  <c r="D50" i="4"/>
  <c r="E50" i="4"/>
  <c r="F50" i="4"/>
  <c r="G50" i="4"/>
  <c r="H50" i="4"/>
  <c r="I50" i="4"/>
  <c r="J50" i="4"/>
  <c r="K50" i="4"/>
  <c r="L50" i="4"/>
  <c r="M50" i="4"/>
  <c r="B51" i="4"/>
  <c r="C51" i="4"/>
  <c r="D51" i="4"/>
  <c r="E51" i="4"/>
  <c r="F51" i="4"/>
  <c r="G51" i="4"/>
  <c r="H51" i="4"/>
  <c r="I51" i="4"/>
  <c r="J51" i="4"/>
  <c r="K51" i="4"/>
  <c r="L51" i="4"/>
  <c r="M51" i="4"/>
  <c r="B52" i="4"/>
  <c r="C52" i="4"/>
  <c r="D52" i="4"/>
  <c r="E52" i="4"/>
  <c r="F52" i="4"/>
  <c r="G52" i="4"/>
  <c r="H52" i="4"/>
  <c r="I52" i="4"/>
  <c r="J52" i="4"/>
  <c r="K52" i="4"/>
  <c r="L52" i="4"/>
  <c r="M52" i="4"/>
  <c r="B53" i="4"/>
  <c r="C53" i="4"/>
  <c r="D53" i="4"/>
  <c r="E53" i="4"/>
  <c r="F53" i="4"/>
  <c r="G53" i="4"/>
  <c r="H53" i="4"/>
  <c r="I53" i="4"/>
  <c r="J53" i="4"/>
  <c r="K53" i="4"/>
  <c r="L53" i="4"/>
  <c r="M53" i="4"/>
  <c r="B54" i="4"/>
  <c r="C54" i="4"/>
  <c r="D54" i="4"/>
  <c r="E54" i="4"/>
  <c r="F54" i="4"/>
  <c r="G54" i="4"/>
  <c r="H54" i="4"/>
  <c r="I54" i="4"/>
  <c r="J54" i="4"/>
  <c r="K54" i="4"/>
  <c r="L54" i="4"/>
  <c r="M54" i="4"/>
  <c r="B55" i="4"/>
  <c r="C55" i="4"/>
  <c r="D55" i="4"/>
  <c r="E55" i="4"/>
  <c r="F55" i="4"/>
  <c r="G55" i="4"/>
  <c r="H55" i="4"/>
  <c r="I55" i="4"/>
  <c r="J55" i="4"/>
  <c r="K55" i="4"/>
  <c r="L55" i="4"/>
  <c r="M55" i="4"/>
  <c r="B56" i="4"/>
  <c r="C56" i="4"/>
  <c r="D56" i="4"/>
  <c r="E56" i="4"/>
  <c r="F56" i="4"/>
  <c r="G56" i="4"/>
  <c r="H56" i="4"/>
  <c r="I56" i="4"/>
  <c r="J56" i="4"/>
  <c r="K56" i="4"/>
  <c r="L56" i="4"/>
  <c r="M56" i="4"/>
  <c r="B57" i="4"/>
  <c r="C57" i="4"/>
  <c r="D57" i="4"/>
  <c r="E57" i="4"/>
  <c r="F57" i="4"/>
  <c r="G57" i="4"/>
  <c r="H57" i="4"/>
  <c r="I57" i="4"/>
  <c r="J57" i="4"/>
  <c r="K57" i="4"/>
  <c r="L57" i="4"/>
  <c r="M57" i="4"/>
  <c r="B58" i="4"/>
  <c r="C58" i="4"/>
  <c r="D58" i="4"/>
  <c r="E58" i="4"/>
  <c r="F58" i="4"/>
  <c r="G58" i="4"/>
  <c r="H58" i="4"/>
  <c r="I58" i="4"/>
  <c r="J58" i="4"/>
  <c r="K58" i="4"/>
  <c r="L58" i="4"/>
  <c r="M58" i="4"/>
  <c r="B59" i="4"/>
  <c r="C59" i="4"/>
  <c r="D59" i="4"/>
  <c r="E59" i="4"/>
  <c r="F59" i="4"/>
  <c r="G59" i="4"/>
  <c r="H59" i="4"/>
  <c r="I59" i="4"/>
  <c r="J59" i="4"/>
  <c r="K59" i="4"/>
  <c r="L59" i="4"/>
  <c r="M59" i="4"/>
  <c r="B60" i="4"/>
  <c r="C60" i="4"/>
  <c r="D60" i="4"/>
  <c r="E60" i="4"/>
  <c r="F60" i="4"/>
  <c r="G60" i="4"/>
  <c r="H60" i="4"/>
  <c r="I60" i="4"/>
  <c r="J60" i="4"/>
  <c r="K60" i="4"/>
  <c r="L60" i="4"/>
  <c r="M60" i="4"/>
  <c r="B61" i="4"/>
  <c r="C61" i="4"/>
  <c r="D61" i="4"/>
  <c r="E61" i="4"/>
  <c r="F61" i="4"/>
  <c r="G61" i="4"/>
  <c r="H61" i="4"/>
  <c r="I61" i="4"/>
  <c r="J61" i="4"/>
  <c r="K61" i="4"/>
  <c r="L61" i="4"/>
  <c r="M61" i="4"/>
  <c r="B62" i="4"/>
  <c r="C62" i="4"/>
  <c r="D62" i="4"/>
  <c r="E62" i="4"/>
  <c r="F62" i="4"/>
  <c r="G62" i="4"/>
  <c r="H62" i="4"/>
  <c r="I62" i="4"/>
  <c r="J62" i="4"/>
  <c r="K62" i="4"/>
  <c r="L62" i="4"/>
  <c r="M62" i="4"/>
  <c r="B63" i="4"/>
  <c r="C63" i="4"/>
  <c r="D63" i="4"/>
  <c r="E63" i="4"/>
  <c r="F63" i="4"/>
  <c r="G63" i="4"/>
  <c r="H63" i="4"/>
  <c r="I63" i="4"/>
  <c r="J63" i="4"/>
  <c r="K63" i="4"/>
  <c r="L63" i="4"/>
  <c r="M63" i="4"/>
  <c r="B64" i="4"/>
  <c r="C64" i="4"/>
  <c r="D64" i="4"/>
  <c r="E64" i="4"/>
  <c r="F64" i="4"/>
  <c r="G64" i="4"/>
  <c r="H64" i="4"/>
  <c r="I64" i="4"/>
  <c r="J64" i="4"/>
  <c r="K64" i="4"/>
  <c r="L64" i="4"/>
  <c r="M64" i="4"/>
  <c r="B65" i="4"/>
  <c r="C65" i="4"/>
  <c r="D65" i="4"/>
  <c r="E65" i="4"/>
  <c r="F65" i="4"/>
  <c r="G65" i="4"/>
  <c r="H65" i="4"/>
  <c r="I65" i="4"/>
  <c r="J65" i="4"/>
  <c r="K65" i="4"/>
  <c r="L65" i="4"/>
  <c r="M65" i="4"/>
  <c r="B66" i="4"/>
  <c r="C66" i="4"/>
  <c r="D66" i="4"/>
  <c r="E66" i="4"/>
  <c r="F66" i="4"/>
  <c r="G66" i="4"/>
  <c r="H66" i="4"/>
  <c r="I66" i="4"/>
  <c r="J66" i="4"/>
  <c r="K66" i="4"/>
  <c r="L66" i="4"/>
  <c r="M66" i="4"/>
  <c r="B67" i="4"/>
  <c r="C67" i="4"/>
  <c r="D67" i="4"/>
  <c r="E67" i="4"/>
  <c r="F67" i="4"/>
  <c r="G67" i="4"/>
  <c r="H67" i="4"/>
  <c r="I67" i="4"/>
  <c r="J67" i="4"/>
  <c r="K67" i="4"/>
  <c r="L67" i="4"/>
  <c r="M67" i="4"/>
  <c r="B68" i="4"/>
  <c r="C68" i="4"/>
  <c r="D68" i="4"/>
  <c r="E68" i="4"/>
  <c r="F68" i="4"/>
  <c r="G68" i="4"/>
  <c r="H68" i="4"/>
  <c r="I68" i="4"/>
  <c r="J68" i="4"/>
  <c r="K68" i="4"/>
  <c r="L68" i="4"/>
  <c r="M68" i="4"/>
  <c r="B69" i="4"/>
  <c r="C69" i="4"/>
  <c r="D69" i="4"/>
  <c r="E69" i="4"/>
  <c r="F69" i="4"/>
  <c r="G69" i="4"/>
  <c r="H69" i="4"/>
  <c r="I69" i="4"/>
  <c r="J69" i="4"/>
  <c r="K69" i="4"/>
  <c r="L69" i="4"/>
  <c r="M69" i="4"/>
  <c r="B70" i="4"/>
  <c r="C70" i="4"/>
  <c r="D70" i="4"/>
  <c r="E70" i="4"/>
  <c r="F70" i="4"/>
  <c r="G70" i="4"/>
  <c r="H70" i="4"/>
  <c r="I70" i="4"/>
  <c r="J70" i="4"/>
  <c r="K70" i="4"/>
  <c r="L70" i="4"/>
  <c r="M70" i="4"/>
  <c r="B71" i="4"/>
  <c r="C71" i="4"/>
  <c r="D71" i="4"/>
  <c r="E71" i="4"/>
  <c r="F71" i="4"/>
  <c r="G71" i="4"/>
  <c r="H71" i="4"/>
  <c r="I71" i="4"/>
  <c r="J71" i="4"/>
  <c r="K71" i="4"/>
  <c r="L71" i="4"/>
  <c r="M71" i="4"/>
  <c r="B72" i="4"/>
  <c r="C72" i="4"/>
  <c r="D72" i="4"/>
  <c r="E72" i="4"/>
  <c r="F72" i="4"/>
  <c r="G72" i="4"/>
  <c r="H72" i="4"/>
  <c r="I72" i="4"/>
  <c r="J72" i="4"/>
  <c r="K72" i="4"/>
  <c r="L72" i="4"/>
  <c r="M72" i="4"/>
  <c r="B73" i="4"/>
  <c r="C73" i="4"/>
  <c r="D73" i="4"/>
  <c r="E73" i="4"/>
  <c r="F73" i="4"/>
  <c r="G73" i="4"/>
  <c r="H73" i="4"/>
  <c r="I73" i="4"/>
  <c r="J73" i="4"/>
  <c r="K73" i="4"/>
  <c r="L73" i="4"/>
  <c r="M73" i="4"/>
  <c r="B74" i="4"/>
  <c r="C74" i="4"/>
  <c r="D74" i="4"/>
  <c r="E74" i="4"/>
  <c r="F74" i="4"/>
  <c r="G74" i="4"/>
  <c r="H74" i="4"/>
  <c r="I74" i="4"/>
  <c r="J74" i="4"/>
  <c r="K74" i="4"/>
  <c r="L74" i="4"/>
  <c r="M74" i="4"/>
  <c r="B75" i="4"/>
  <c r="C75" i="4"/>
  <c r="D75" i="4"/>
  <c r="E75" i="4"/>
  <c r="F75" i="4"/>
  <c r="G75" i="4"/>
  <c r="H75" i="4"/>
  <c r="I75" i="4"/>
  <c r="J75" i="4"/>
  <c r="K75" i="4"/>
  <c r="L75" i="4"/>
  <c r="M75" i="4"/>
  <c r="B76" i="4"/>
  <c r="C76" i="4"/>
  <c r="D76" i="4"/>
  <c r="E76" i="4"/>
  <c r="F76" i="4"/>
  <c r="G76" i="4"/>
  <c r="H76" i="4"/>
  <c r="I76" i="4"/>
  <c r="J76" i="4"/>
  <c r="K76" i="4"/>
  <c r="L76" i="4"/>
  <c r="M76" i="4"/>
  <c r="B77" i="4"/>
  <c r="C77" i="4"/>
  <c r="D77" i="4"/>
  <c r="E77" i="4"/>
  <c r="F77" i="4"/>
  <c r="G77" i="4"/>
  <c r="H77" i="4"/>
  <c r="I77" i="4"/>
  <c r="J77" i="4"/>
  <c r="K77" i="4"/>
  <c r="L77" i="4"/>
  <c r="M77" i="4"/>
  <c r="B78" i="4"/>
  <c r="C78" i="4"/>
  <c r="D78" i="4"/>
  <c r="E78" i="4"/>
  <c r="F78" i="4"/>
  <c r="G78" i="4"/>
  <c r="H78" i="4"/>
  <c r="I78" i="4"/>
  <c r="J78" i="4"/>
  <c r="K78" i="4"/>
  <c r="L78" i="4"/>
  <c r="M78" i="4"/>
  <c r="B79" i="4"/>
  <c r="C79" i="4"/>
  <c r="D79" i="4"/>
  <c r="E79" i="4"/>
  <c r="F79" i="4"/>
  <c r="G79" i="4"/>
  <c r="H79" i="4"/>
  <c r="I79" i="4"/>
  <c r="J79" i="4"/>
  <c r="K79" i="4"/>
  <c r="L79" i="4"/>
  <c r="M79" i="4"/>
  <c r="B80" i="4"/>
  <c r="C80" i="4"/>
  <c r="D80" i="4"/>
  <c r="E80" i="4"/>
  <c r="F80" i="4"/>
  <c r="G80" i="4"/>
  <c r="H80" i="4"/>
  <c r="I80" i="4"/>
  <c r="J80" i="4"/>
  <c r="K80" i="4"/>
  <c r="L80" i="4"/>
  <c r="M80" i="4"/>
  <c r="B81" i="4"/>
  <c r="C81" i="4"/>
  <c r="D81" i="4"/>
  <c r="E81" i="4"/>
  <c r="F81" i="4"/>
  <c r="G81" i="4"/>
  <c r="H81" i="4"/>
  <c r="I81" i="4"/>
  <c r="J81" i="4"/>
  <c r="K81" i="4"/>
  <c r="L81" i="4"/>
  <c r="M81" i="4"/>
  <c r="B82" i="4"/>
  <c r="C82" i="4"/>
  <c r="D82" i="4"/>
  <c r="E82" i="4"/>
  <c r="F82" i="4"/>
  <c r="G82" i="4"/>
  <c r="H82" i="4"/>
  <c r="I82" i="4"/>
  <c r="J82" i="4"/>
  <c r="K82" i="4"/>
  <c r="L82" i="4"/>
  <c r="M82" i="4"/>
  <c r="B83" i="4"/>
  <c r="C83" i="4"/>
  <c r="D83" i="4"/>
  <c r="E83" i="4"/>
  <c r="F83" i="4"/>
  <c r="G83" i="4"/>
  <c r="H83" i="4"/>
  <c r="I83" i="4"/>
  <c r="J83" i="4"/>
  <c r="K83" i="4"/>
  <c r="L83" i="4"/>
  <c r="M83" i="4"/>
  <c r="B84" i="4"/>
  <c r="C84" i="4"/>
  <c r="D84" i="4"/>
  <c r="E84" i="4"/>
  <c r="F84" i="4"/>
  <c r="G84" i="4"/>
  <c r="H84" i="4"/>
  <c r="I84" i="4"/>
  <c r="J84" i="4"/>
  <c r="K84" i="4"/>
  <c r="L84" i="4"/>
  <c r="M84" i="4"/>
  <c r="B85" i="4"/>
  <c r="C85" i="4"/>
  <c r="D85" i="4"/>
  <c r="E85" i="4"/>
  <c r="F85" i="4"/>
  <c r="G85" i="4"/>
  <c r="H85" i="4"/>
  <c r="I85" i="4"/>
  <c r="J85" i="4"/>
  <c r="K85" i="4"/>
  <c r="L85" i="4"/>
  <c r="M85" i="4"/>
  <c r="B86" i="4"/>
  <c r="C86" i="4"/>
  <c r="D86" i="4"/>
  <c r="E86" i="4"/>
  <c r="F86" i="4"/>
  <c r="G86" i="4"/>
  <c r="H86" i="4"/>
  <c r="I86" i="4"/>
  <c r="J86" i="4"/>
  <c r="K86" i="4"/>
  <c r="L86" i="4"/>
  <c r="M86" i="4"/>
  <c r="B87" i="4"/>
  <c r="C87" i="4"/>
  <c r="D87" i="4"/>
  <c r="E87" i="4"/>
  <c r="F87" i="4"/>
  <c r="G87" i="4"/>
  <c r="H87" i="4"/>
  <c r="I87" i="4"/>
  <c r="J87" i="4"/>
  <c r="K87" i="4"/>
  <c r="L87" i="4"/>
  <c r="M87" i="4"/>
  <c r="B88" i="4"/>
  <c r="C88" i="4"/>
  <c r="D88" i="4"/>
  <c r="E88" i="4"/>
  <c r="F88" i="4"/>
  <c r="G88" i="4"/>
  <c r="H88" i="4"/>
  <c r="I88" i="4"/>
  <c r="J88" i="4"/>
  <c r="K88" i="4"/>
  <c r="L88" i="4"/>
  <c r="M88" i="4"/>
  <c r="B89" i="4"/>
  <c r="C89" i="4"/>
  <c r="D89" i="4"/>
  <c r="E89" i="4"/>
  <c r="F89" i="4"/>
  <c r="G89" i="4"/>
  <c r="H89" i="4"/>
  <c r="I89" i="4"/>
  <c r="J89" i="4"/>
  <c r="K89" i="4"/>
  <c r="L89" i="4"/>
  <c r="M89" i="4"/>
  <c r="B90" i="4"/>
  <c r="C90" i="4"/>
  <c r="D90" i="4"/>
  <c r="E90" i="4"/>
  <c r="F90" i="4"/>
  <c r="G90" i="4"/>
  <c r="H90" i="4"/>
  <c r="I90" i="4"/>
  <c r="J90" i="4"/>
  <c r="K90" i="4"/>
  <c r="L90" i="4"/>
  <c r="M90" i="4"/>
  <c r="B91" i="4"/>
  <c r="C91" i="4"/>
  <c r="D91" i="4"/>
  <c r="E91" i="4"/>
  <c r="F91" i="4"/>
  <c r="G91" i="4"/>
  <c r="H91" i="4"/>
  <c r="I91" i="4"/>
  <c r="J91" i="4"/>
  <c r="K91" i="4"/>
  <c r="L91" i="4"/>
  <c r="M91" i="4"/>
  <c r="B92" i="4"/>
  <c r="C92" i="4"/>
  <c r="D92" i="4"/>
  <c r="E92" i="4"/>
  <c r="F92" i="4"/>
  <c r="G92" i="4"/>
  <c r="H92" i="4"/>
  <c r="I92" i="4"/>
  <c r="J92" i="4"/>
  <c r="K92" i="4"/>
  <c r="L92" i="4"/>
  <c r="M92" i="4"/>
  <c r="B93" i="4"/>
  <c r="C93" i="4"/>
  <c r="D93" i="4"/>
  <c r="E93" i="4"/>
  <c r="F93" i="4"/>
  <c r="G93" i="4"/>
  <c r="H93" i="4"/>
  <c r="I93" i="4"/>
  <c r="J93" i="4"/>
  <c r="K93" i="4"/>
  <c r="L93" i="4"/>
  <c r="M93" i="4"/>
  <c r="B94" i="4"/>
  <c r="C94" i="4"/>
  <c r="D94" i="4"/>
  <c r="E94" i="4"/>
  <c r="F94" i="4"/>
  <c r="G94" i="4"/>
  <c r="H94" i="4"/>
  <c r="I94" i="4"/>
  <c r="J94" i="4"/>
  <c r="K94" i="4"/>
  <c r="L94" i="4"/>
  <c r="M94" i="4"/>
  <c r="B95" i="4"/>
  <c r="C95" i="4"/>
  <c r="D95" i="4"/>
  <c r="E95" i="4"/>
  <c r="F95" i="4"/>
  <c r="G95" i="4"/>
  <c r="H95" i="4"/>
  <c r="I95" i="4"/>
  <c r="J95" i="4"/>
  <c r="K95" i="4"/>
  <c r="L95" i="4"/>
  <c r="M95" i="4"/>
  <c r="B96" i="4"/>
  <c r="C96" i="4"/>
  <c r="D96" i="4"/>
  <c r="E96" i="4"/>
  <c r="F96" i="4"/>
  <c r="G96" i="4"/>
  <c r="H96" i="4"/>
  <c r="I96" i="4"/>
  <c r="J96" i="4"/>
  <c r="K96" i="4"/>
  <c r="L96" i="4"/>
  <c r="M96" i="4"/>
  <c r="B97" i="4"/>
  <c r="C97" i="4"/>
  <c r="D97" i="4"/>
  <c r="E97" i="4"/>
  <c r="F97" i="4"/>
  <c r="G97" i="4"/>
  <c r="H97" i="4"/>
  <c r="I97" i="4"/>
  <c r="J97" i="4"/>
  <c r="K97" i="4"/>
  <c r="L97" i="4"/>
  <c r="M97" i="4"/>
  <c r="B98" i="4"/>
  <c r="C98" i="4"/>
  <c r="D98" i="4"/>
  <c r="E98" i="4"/>
  <c r="F98" i="4"/>
  <c r="G98" i="4"/>
  <c r="H98" i="4"/>
  <c r="I98" i="4"/>
  <c r="J98" i="4"/>
  <c r="K98" i="4"/>
  <c r="L98" i="4"/>
  <c r="M98" i="4"/>
  <c r="B99" i="4"/>
  <c r="C99" i="4"/>
  <c r="D99" i="4"/>
  <c r="E99" i="4"/>
  <c r="F99" i="4"/>
  <c r="G99" i="4"/>
  <c r="H99" i="4"/>
  <c r="I99" i="4"/>
  <c r="J99" i="4"/>
  <c r="K99" i="4"/>
  <c r="L99" i="4"/>
  <c r="M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B1" i="4"/>
  <c r="C1" i="4"/>
  <c r="D1" i="4"/>
  <c r="E1" i="4"/>
  <c r="F1" i="4"/>
  <c r="G1" i="4"/>
  <c r="H1" i="4"/>
  <c r="I1" i="4"/>
  <c r="J1" i="4"/>
  <c r="K1" i="4"/>
  <c r="L1" i="4"/>
  <c r="M1" i="4"/>
  <c r="BO9" i="1"/>
  <c r="AK29" i="1" l="1"/>
  <c r="AL29" i="1"/>
  <c r="AM29" i="1"/>
  <c r="AN29" i="1"/>
  <c r="AO29" i="1"/>
  <c r="AP29" i="1"/>
  <c r="AQ29" i="1"/>
  <c r="AR29" i="1"/>
  <c r="AS29" i="1"/>
  <c r="AT29" i="1"/>
  <c r="AJ29" i="1"/>
  <c r="E643" i="4" l="1"/>
  <c r="D643" i="4"/>
  <c r="C643" i="4"/>
  <c r="B643" i="4"/>
  <c r="A643" i="4"/>
  <c r="E642" i="4"/>
  <c r="D642" i="4"/>
  <c r="C642" i="4"/>
  <c r="B642" i="4"/>
  <c r="A642" i="4"/>
  <c r="E641" i="4"/>
  <c r="D641" i="4"/>
  <c r="C641" i="4"/>
  <c r="B641" i="4"/>
  <c r="A641" i="4"/>
  <c r="E640" i="4"/>
  <c r="D640" i="4"/>
  <c r="C640" i="4"/>
  <c r="B640" i="4"/>
  <c r="A640" i="4"/>
  <c r="E639" i="4"/>
  <c r="D639" i="4"/>
  <c r="C639" i="4"/>
  <c r="B639" i="4"/>
  <c r="A639" i="4"/>
  <c r="E638" i="4"/>
  <c r="D638" i="4"/>
  <c r="C638" i="4"/>
  <c r="B638" i="4"/>
  <c r="A638" i="4"/>
  <c r="E637" i="4"/>
  <c r="D637" i="4"/>
  <c r="C637" i="4"/>
  <c r="B637" i="4"/>
  <c r="A637" i="4"/>
  <c r="E636" i="4"/>
  <c r="D636" i="4"/>
  <c r="C636" i="4"/>
  <c r="B636" i="4"/>
  <c r="A636" i="4"/>
  <c r="E635" i="4"/>
  <c r="D635" i="4"/>
  <c r="C635" i="4"/>
  <c r="B635" i="4"/>
  <c r="A635" i="4"/>
  <c r="E634" i="4"/>
  <c r="D634" i="4"/>
  <c r="C634" i="4"/>
  <c r="B634" i="4"/>
  <c r="A634" i="4"/>
  <c r="E633" i="4"/>
  <c r="D633" i="4"/>
  <c r="C633" i="4"/>
  <c r="B633" i="4"/>
  <c r="A633" i="4"/>
  <c r="E632" i="4"/>
  <c r="D632" i="4"/>
  <c r="C632" i="4"/>
  <c r="B632" i="4"/>
  <c r="A632" i="4"/>
  <c r="E631" i="4"/>
  <c r="D631" i="4"/>
  <c r="C631" i="4"/>
  <c r="B631" i="4"/>
  <c r="A631" i="4"/>
  <c r="E630" i="4"/>
  <c r="D630" i="4"/>
  <c r="C630" i="4"/>
  <c r="B630" i="4"/>
  <c r="A630" i="4"/>
  <c r="E629" i="4"/>
  <c r="D629" i="4"/>
  <c r="C629" i="4"/>
  <c r="B629" i="4"/>
  <c r="A629" i="4"/>
  <c r="E628" i="4"/>
  <c r="D628" i="4"/>
  <c r="C628" i="4"/>
  <c r="B628" i="4"/>
  <c r="A628" i="4"/>
  <c r="E627" i="4"/>
  <c r="D627" i="4"/>
  <c r="C627" i="4"/>
  <c r="B627" i="4"/>
  <c r="A627" i="4"/>
  <c r="E626" i="4"/>
  <c r="D626" i="4"/>
  <c r="C626" i="4"/>
  <c r="B626" i="4"/>
  <c r="A626" i="4"/>
  <c r="E625" i="4"/>
  <c r="D625" i="4"/>
  <c r="C625" i="4"/>
  <c r="B625" i="4"/>
  <c r="A625" i="4"/>
  <c r="E624" i="4"/>
  <c r="D624" i="4"/>
  <c r="C624" i="4"/>
  <c r="B624" i="4"/>
  <c r="A624" i="4"/>
  <c r="E623" i="4"/>
  <c r="D623" i="4"/>
  <c r="C623" i="4"/>
  <c r="B623" i="4"/>
  <c r="A623" i="4"/>
  <c r="E622" i="4"/>
  <c r="D622" i="4"/>
  <c r="C622" i="4"/>
  <c r="B622" i="4"/>
  <c r="A622" i="4"/>
  <c r="E621" i="4"/>
  <c r="D621" i="4"/>
  <c r="C621" i="4"/>
  <c r="B621" i="4"/>
  <c r="A621" i="4"/>
  <c r="E620" i="4"/>
  <c r="D620" i="4"/>
  <c r="C620" i="4"/>
  <c r="B620" i="4"/>
  <c r="A620" i="4"/>
  <c r="E619" i="4"/>
  <c r="D619" i="4"/>
  <c r="C619" i="4"/>
  <c r="B619" i="4"/>
  <c r="A619" i="4"/>
  <c r="E618" i="4"/>
  <c r="D618" i="4"/>
  <c r="C618" i="4"/>
  <c r="B618" i="4"/>
  <c r="A618" i="4"/>
  <c r="E617" i="4"/>
  <c r="D617" i="4"/>
  <c r="C617" i="4"/>
  <c r="B617" i="4"/>
  <c r="A617" i="4"/>
  <c r="E616" i="4"/>
  <c r="D616" i="4"/>
  <c r="C616" i="4"/>
  <c r="B616" i="4"/>
  <c r="A616" i="4"/>
  <c r="E615" i="4"/>
  <c r="D615" i="4"/>
  <c r="C615" i="4"/>
  <c r="B615" i="4"/>
  <c r="A615" i="4"/>
  <c r="E614" i="4"/>
  <c r="D614" i="4"/>
  <c r="C614" i="4"/>
  <c r="B614" i="4"/>
  <c r="A614" i="4"/>
  <c r="E613" i="4"/>
  <c r="D613" i="4"/>
  <c r="C613" i="4"/>
  <c r="B613" i="4"/>
  <c r="A613" i="4"/>
  <c r="E612" i="4"/>
  <c r="D612" i="4"/>
  <c r="C612" i="4"/>
  <c r="B612" i="4"/>
  <c r="A612" i="4"/>
  <c r="E611" i="4"/>
  <c r="D611" i="4"/>
  <c r="C611" i="4"/>
  <c r="B611" i="4"/>
  <c r="A611" i="4"/>
  <c r="E610" i="4"/>
  <c r="D610" i="4"/>
  <c r="C610" i="4"/>
  <c r="B610" i="4"/>
  <c r="A610" i="4"/>
  <c r="E609" i="4"/>
  <c r="D609" i="4"/>
  <c r="C609" i="4"/>
  <c r="B609" i="4"/>
  <c r="A609" i="4"/>
  <c r="E608" i="4"/>
  <c r="D608" i="4"/>
  <c r="C608" i="4"/>
  <c r="B608" i="4"/>
  <c r="A608" i="4"/>
  <c r="E607" i="4"/>
  <c r="D607" i="4"/>
  <c r="C607" i="4"/>
  <c r="B607" i="4"/>
  <c r="A607" i="4"/>
  <c r="E606" i="4"/>
  <c r="D606" i="4"/>
  <c r="C606" i="4"/>
  <c r="B606" i="4"/>
  <c r="A606" i="4"/>
  <c r="E605" i="4"/>
  <c r="D605" i="4"/>
  <c r="C605" i="4"/>
  <c r="B605" i="4"/>
  <c r="A605" i="4"/>
  <c r="E604" i="4"/>
  <c r="D604" i="4"/>
  <c r="C604" i="4"/>
  <c r="B604" i="4"/>
  <c r="A604" i="4"/>
  <c r="E603" i="4"/>
  <c r="D603" i="4"/>
  <c r="C603" i="4"/>
  <c r="B603" i="4"/>
  <c r="A603" i="4"/>
  <c r="E602" i="4"/>
  <c r="D602" i="4"/>
  <c r="C602" i="4"/>
  <c r="B602" i="4"/>
  <c r="A602" i="4"/>
  <c r="E601" i="4"/>
  <c r="D601" i="4"/>
  <c r="C601" i="4"/>
  <c r="B601" i="4"/>
  <c r="A601" i="4"/>
  <c r="E600" i="4"/>
  <c r="D600" i="4"/>
  <c r="C600" i="4"/>
  <c r="B600" i="4"/>
  <c r="A600" i="4"/>
  <c r="E599" i="4"/>
  <c r="D599" i="4"/>
  <c r="C599" i="4"/>
  <c r="B599" i="4"/>
  <c r="A599" i="4"/>
  <c r="E598" i="4"/>
  <c r="D598" i="4"/>
  <c r="C598" i="4"/>
  <c r="B598" i="4"/>
  <c r="A598" i="4"/>
  <c r="E597" i="4"/>
  <c r="D597" i="4"/>
  <c r="C597" i="4"/>
  <c r="B597" i="4"/>
  <c r="A597" i="4"/>
  <c r="E596" i="4"/>
  <c r="D596" i="4"/>
  <c r="C596" i="4"/>
  <c r="B596" i="4"/>
  <c r="A596" i="4"/>
  <c r="E595" i="4"/>
  <c r="D595" i="4"/>
  <c r="C595" i="4"/>
  <c r="B595" i="4"/>
  <c r="A595" i="4"/>
  <c r="E594" i="4"/>
  <c r="D594" i="4"/>
  <c r="C594" i="4"/>
  <c r="B594" i="4"/>
  <c r="A594" i="4"/>
  <c r="E593" i="4"/>
  <c r="D593" i="4"/>
  <c r="C593" i="4"/>
  <c r="B593" i="4"/>
  <c r="A593" i="4"/>
  <c r="E592" i="4"/>
  <c r="D592" i="4"/>
  <c r="C592" i="4"/>
  <c r="B592" i="4"/>
  <c r="A592" i="4"/>
  <c r="E591" i="4"/>
  <c r="D591" i="4"/>
  <c r="C591" i="4"/>
  <c r="B591" i="4"/>
  <c r="A591" i="4"/>
  <c r="E590" i="4"/>
  <c r="D590" i="4"/>
  <c r="C590" i="4"/>
  <c r="B590" i="4"/>
  <c r="A590" i="4"/>
  <c r="E589" i="4"/>
  <c r="D589" i="4"/>
  <c r="C589" i="4"/>
  <c r="B589" i="4"/>
  <c r="A589" i="4"/>
  <c r="E588" i="4"/>
  <c r="D588" i="4"/>
  <c r="C588" i="4"/>
  <c r="B588" i="4"/>
  <c r="A588" i="4"/>
  <c r="E587" i="4"/>
  <c r="D587" i="4"/>
  <c r="C587" i="4"/>
  <c r="B587" i="4"/>
  <c r="A587" i="4"/>
  <c r="E586" i="4"/>
  <c r="D586" i="4"/>
  <c r="C586" i="4"/>
  <c r="B586" i="4"/>
  <c r="A586" i="4"/>
  <c r="E585" i="4"/>
  <c r="D585" i="4"/>
  <c r="C585" i="4"/>
  <c r="B585" i="4"/>
  <c r="A585" i="4"/>
  <c r="E584" i="4"/>
  <c r="D584" i="4"/>
  <c r="C584" i="4"/>
  <c r="B584" i="4"/>
  <c r="A584" i="4"/>
  <c r="E583" i="4"/>
  <c r="D583" i="4"/>
  <c r="C583" i="4"/>
  <c r="B583" i="4"/>
  <c r="A583" i="4"/>
  <c r="E582" i="4"/>
  <c r="D582" i="4"/>
  <c r="C582" i="4"/>
  <c r="B582" i="4"/>
  <c r="A582" i="4"/>
  <c r="E581" i="4"/>
  <c r="D581" i="4"/>
  <c r="C581" i="4"/>
  <c r="B581" i="4"/>
  <c r="A581" i="4"/>
  <c r="E580" i="4"/>
  <c r="D580" i="4"/>
  <c r="C580" i="4"/>
  <c r="B580" i="4"/>
  <c r="A580" i="4"/>
  <c r="E579" i="4"/>
  <c r="D579" i="4"/>
  <c r="C579" i="4"/>
  <c r="B579" i="4"/>
  <c r="A579" i="4"/>
  <c r="E578" i="4"/>
  <c r="D578" i="4"/>
  <c r="C578" i="4"/>
  <c r="B578" i="4"/>
  <c r="A578" i="4"/>
  <c r="E577" i="4"/>
  <c r="D577" i="4"/>
  <c r="C577" i="4"/>
  <c r="B577" i="4"/>
  <c r="A577" i="4"/>
  <c r="E576" i="4"/>
  <c r="D576" i="4"/>
  <c r="C576" i="4"/>
  <c r="B576" i="4"/>
  <c r="A576" i="4"/>
  <c r="E575" i="4"/>
  <c r="D575" i="4"/>
  <c r="C575" i="4"/>
  <c r="B575" i="4"/>
  <c r="A575" i="4"/>
  <c r="E574" i="4"/>
  <c r="D574" i="4"/>
  <c r="C574" i="4"/>
  <c r="B574" i="4"/>
  <c r="A574" i="4"/>
  <c r="E573" i="4"/>
  <c r="D573" i="4"/>
  <c r="C573" i="4"/>
  <c r="B573" i="4"/>
  <c r="A573" i="4"/>
  <c r="E572" i="4"/>
  <c r="D572" i="4"/>
  <c r="C572" i="4"/>
  <c r="B572" i="4"/>
  <c r="A572" i="4"/>
  <c r="E571" i="4"/>
  <c r="D571" i="4"/>
  <c r="C571" i="4"/>
  <c r="B571" i="4"/>
  <c r="A571" i="4"/>
  <c r="E570" i="4"/>
  <c r="D570" i="4"/>
  <c r="C570" i="4"/>
  <c r="B570" i="4"/>
  <c r="A570" i="4"/>
  <c r="E569" i="4"/>
  <c r="D569" i="4"/>
  <c r="C569" i="4"/>
  <c r="B569" i="4"/>
  <c r="A569" i="4"/>
  <c r="E568" i="4"/>
  <c r="D568" i="4"/>
  <c r="C568" i="4"/>
  <c r="B568" i="4"/>
  <c r="A568" i="4"/>
  <c r="E567" i="4"/>
  <c r="D567" i="4"/>
  <c r="C567" i="4"/>
  <c r="B567" i="4"/>
  <c r="A567" i="4"/>
  <c r="E566" i="4"/>
  <c r="D566" i="4"/>
  <c r="C566" i="4"/>
  <c r="B566" i="4"/>
  <c r="A566" i="4"/>
  <c r="E565" i="4"/>
  <c r="D565" i="4"/>
  <c r="C565" i="4"/>
  <c r="B565" i="4"/>
  <c r="A565" i="4"/>
  <c r="E564" i="4"/>
  <c r="D564" i="4"/>
  <c r="C564" i="4"/>
  <c r="B564" i="4"/>
  <c r="A564" i="4"/>
  <c r="E563" i="4"/>
  <c r="D563" i="4"/>
  <c r="C563" i="4"/>
  <c r="B563" i="4"/>
  <c r="A563" i="4"/>
  <c r="E562" i="4"/>
  <c r="D562" i="4"/>
  <c r="C562" i="4"/>
  <c r="B562" i="4"/>
  <c r="A562" i="4"/>
  <c r="E561" i="4"/>
  <c r="D561" i="4"/>
  <c r="C561" i="4"/>
  <c r="B561" i="4"/>
  <c r="A561" i="4"/>
  <c r="E560" i="4"/>
  <c r="D560" i="4"/>
  <c r="C560" i="4"/>
  <c r="B560" i="4"/>
  <c r="A560" i="4"/>
  <c r="E559" i="4"/>
  <c r="D559" i="4"/>
  <c r="C559" i="4"/>
  <c r="B559" i="4"/>
  <c r="A559" i="4"/>
  <c r="E558" i="4"/>
  <c r="D558" i="4"/>
  <c r="C558" i="4"/>
  <c r="B558" i="4"/>
  <c r="A558" i="4"/>
  <c r="E557" i="4"/>
  <c r="D557" i="4"/>
  <c r="C557" i="4"/>
  <c r="B557" i="4"/>
  <c r="A557" i="4"/>
  <c r="E556" i="4"/>
  <c r="D556" i="4"/>
  <c r="C556" i="4"/>
  <c r="B556" i="4"/>
  <c r="A556" i="4"/>
  <c r="E555" i="4"/>
  <c r="D555" i="4"/>
  <c r="C555" i="4"/>
  <c r="B555" i="4"/>
  <c r="A555" i="4"/>
  <c r="E554" i="4"/>
  <c r="D554" i="4"/>
  <c r="C554" i="4"/>
  <c r="B554" i="4"/>
  <c r="A554" i="4"/>
  <c r="E553" i="4"/>
  <c r="D553" i="4"/>
  <c r="C553" i="4"/>
  <c r="B553" i="4"/>
  <c r="A553" i="4"/>
  <c r="E552" i="4"/>
  <c r="D552" i="4"/>
  <c r="C552" i="4"/>
  <c r="B552" i="4"/>
  <c r="A552" i="4"/>
  <c r="E551" i="4"/>
  <c r="D551" i="4"/>
  <c r="C551" i="4"/>
  <c r="B551" i="4"/>
  <c r="A551" i="4"/>
  <c r="E550" i="4"/>
  <c r="D550" i="4"/>
  <c r="C550" i="4"/>
  <c r="B550" i="4"/>
  <c r="A550" i="4"/>
  <c r="E549" i="4"/>
  <c r="D549" i="4"/>
  <c r="C549" i="4"/>
  <c r="B549" i="4"/>
  <c r="A549" i="4"/>
  <c r="E548" i="4"/>
  <c r="D548" i="4"/>
  <c r="C548" i="4"/>
  <c r="B548" i="4"/>
  <c r="A548" i="4"/>
  <c r="E547" i="4"/>
  <c r="D547" i="4"/>
  <c r="C547" i="4"/>
  <c r="B547" i="4"/>
  <c r="A547" i="4"/>
  <c r="E546" i="4"/>
  <c r="D546" i="4"/>
  <c r="C546" i="4"/>
  <c r="B546" i="4"/>
  <c r="A546" i="4"/>
  <c r="E545" i="4"/>
  <c r="D545" i="4"/>
  <c r="C545" i="4"/>
  <c r="B545" i="4"/>
  <c r="A545" i="4"/>
  <c r="E544" i="4"/>
  <c r="D544" i="4"/>
  <c r="C544" i="4"/>
  <c r="B544" i="4"/>
  <c r="A544" i="4"/>
  <c r="E543" i="4"/>
  <c r="D543" i="4"/>
  <c r="C543" i="4"/>
  <c r="B543" i="4"/>
  <c r="A543" i="4"/>
  <c r="E542" i="4"/>
  <c r="D542" i="4"/>
  <c r="C542" i="4"/>
  <c r="B542" i="4"/>
  <c r="A542" i="4"/>
  <c r="E541" i="4"/>
  <c r="D541" i="4"/>
  <c r="C541" i="4"/>
  <c r="B541" i="4"/>
  <c r="A541" i="4"/>
  <c r="E540" i="4"/>
  <c r="D540" i="4"/>
  <c r="C540" i="4"/>
  <c r="B540" i="4"/>
  <c r="A540" i="4"/>
  <c r="E539" i="4"/>
  <c r="D539" i="4"/>
  <c r="C539" i="4"/>
  <c r="B539" i="4"/>
  <c r="A539" i="4"/>
  <c r="E538" i="4"/>
  <c r="D538" i="4"/>
  <c r="C538" i="4"/>
  <c r="B538" i="4"/>
  <c r="A538" i="4"/>
  <c r="E537" i="4"/>
  <c r="D537" i="4"/>
  <c r="C537" i="4"/>
  <c r="B537" i="4"/>
  <c r="A537" i="4"/>
  <c r="E536" i="4"/>
  <c r="D536" i="4"/>
  <c r="C536" i="4"/>
  <c r="B536" i="4"/>
  <c r="A536" i="4"/>
  <c r="E535" i="4"/>
  <c r="D535" i="4"/>
  <c r="C535" i="4"/>
  <c r="B535" i="4"/>
  <c r="A535" i="4"/>
  <c r="E534" i="4"/>
  <c r="D534" i="4"/>
  <c r="C534" i="4"/>
  <c r="B534" i="4"/>
  <c r="A534" i="4"/>
  <c r="E533" i="4"/>
  <c r="D533" i="4"/>
  <c r="C533" i="4"/>
  <c r="B533" i="4"/>
  <c r="A533" i="4"/>
  <c r="E532" i="4"/>
  <c r="D532" i="4"/>
  <c r="C532" i="4"/>
  <c r="B532" i="4"/>
  <c r="A532" i="4"/>
  <c r="E531" i="4"/>
  <c r="D531" i="4"/>
  <c r="C531" i="4"/>
  <c r="B531" i="4"/>
  <c r="A531" i="4"/>
  <c r="E530" i="4"/>
  <c r="D530" i="4"/>
  <c r="C530" i="4"/>
  <c r="B530" i="4"/>
  <c r="A530" i="4"/>
  <c r="E529" i="4"/>
  <c r="D529" i="4"/>
  <c r="C529" i="4"/>
  <c r="B529" i="4"/>
  <c r="A529" i="4"/>
  <c r="E528" i="4"/>
  <c r="D528" i="4"/>
  <c r="C528" i="4"/>
  <c r="B528" i="4"/>
  <c r="A528" i="4"/>
  <c r="E527" i="4"/>
  <c r="D527" i="4"/>
  <c r="C527" i="4"/>
  <c r="B527" i="4"/>
  <c r="A527" i="4"/>
  <c r="E526" i="4"/>
  <c r="D526" i="4"/>
  <c r="C526" i="4"/>
  <c r="B526" i="4"/>
  <c r="A526" i="4"/>
  <c r="E525" i="4"/>
  <c r="D525" i="4"/>
  <c r="C525" i="4"/>
  <c r="B525" i="4"/>
  <c r="A525" i="4"/>
  <c r="E524" i="4"/>
  <c r="D524" i="4"/>
  <c r="C524" i="4"/>
  <c r="B524" i="4"/>
  <c r="A524" i="4"/>
  <c r="E523" i="4"/>
  <c r="D523" i="4"/>
  <c r="C523" i="4"/>
  <c r="B523" i="4"/>
  <c r="A523" i="4"/>
  <c r="E522" i="4"/>
  <c r="D522" i="4"/>
  <c r="C522" i="4"/>
  <c r="B522" i="4"/>
  <c r="A522" i="4"/>
  <c r="E521" i="4"/>
  <c r="D521" i="4"/>
  <c r="C521" i="4"/>
  <c r="B521" i="4"/>
  <c r="A521" i="4"/>
  <c r="E520" i="4"/>
  <c r="D520" i="4"/>
  <c r="C520" i="4"/>
  <c r="B520" i="4"/>
  <c r="A520" i="4"/>
  <c r="E519" i="4"/>
  <c r="D519" i="4"/>
  <c r="C519" i="4"/>
  <c r="B519" i="4"/>
  <c r="A519" i="4"/>
  <c r="E518" i="4"/>
  <c r="D518" i="4"/>
  <c r="C518" i="4"/>
  <c r="B518" i="4"/>
  <c r="A518" i="4"/>
  <c r="E517" i="4"/>
  <c r="D517" i="4"/>
  <c r="C517" i="4"/>
  <c r="B517" i="4"/>
  <c r="A517" i="4"/>
  <c r="E516" i="4"/>
  <c r="D516" i="4"/>
  <c r="C516" i="4"/>
  <c r="B516" i="4"/>
  <c r="A516" i="4"/>
  <c r="E515" i="4"/>
  <c r="D515" i="4"/>
  <c r="C515" i="4"/>
  <c r="B515" i="4"/>
  <c r="A515" i="4"/>
  <c r="E514" i="4"/>
  <c r="D514" i="4"/>
  <c r="C514" i="4"/>
  <c r="B514" i="4"/>
  <c r="A514" i="4"/>
  <c r="E513" i="4"/>
  <c r="D513" i="4"/>
  <c r="C513" i="4"/>
  <c r="B513" i="4"/>
  <c r="A513" i="4"/>
  <c r="E512" i="4"/>
  <c r="D512" i="4"/>
  <c r="C512" i="4"/>
  <c r="B512" i="4"/>
  <c r="A512" i="4"/>
  <c r="E511" i="4"/>
  <c r="D511" i="4"/>
  <c r="C511" i="4"/>
  <c r="B511" i="4"/>
  <c r="A511" i="4"/>
  <c r="E510" i="4"/>
  <c r="D510" i="4"/>
  <c r="C510" i="4"/>
  <c r="B510" i="4"/>
  <c r="A510" i="4"/>
  <c r="E509" i="4"/>
  <c r="D509" i="4"/>
  <c r="C509" i="4"/>
  <c r="B509" i="4"/>
  <c r="A509" i="4"/>
  <c r="E508" i="4"/>
  <c r="D508" i="4"/>
  <c r="C508" i="4"/>
  <c r="B508" i="4"/>
  <c r="A508" i="4"/>
  <c r="E507" i="4"/>
  <c r="D507" i="4"/>
  <c r="C507" i="4"/>
  <c r="B507" i="4"/>
  <c r="A507" i="4"/>
  <c r="E506" i="4"/>
  <c r="D506" i="4"/>
  <c r="C506" i="4"/>
  <c r="B506" i="4"/>
  <c r="A506" i="4"/>
  <c r="E505" i="4"/>
  <c r="D505" i="4"/>
  <c r="C505" i="4"/>
  <c r="B505" i="4"/>
  <c r="A505" i="4"/>
  <c r="E504" i="4"/>
  <c r="D504" i="4"/>
  <c r="C504" i="4"/>
  <c r="B504" i="4"/>
  <c r="A504" i="4"/>
  <c r="E503" i="4"/>
  <c r="D503" i="4"/>
  <c r="C503" i="4"/>
  <c r="B503" i="4"/>
  <c r="A503" i="4"/>
  <c r="E502" i="4"/>
  <c r="D502" i="4"/>
  <c r="C502" i="4"/>
  <c r="B502" i="4"/>
  <c r="A502" i="4"/>
  <c r="E501" i="4"/>
  <c r="D501" i="4"/>
  <c r="C501" i="4"/>
  <c r="B501" i="4"/>
  <c r="A501" i="4"/>
  <c r="E500" i="4"/>
  <c r="D500" i="4"/>
  <c r="C500" i="4"/>
  <c r="B500" i="4"/>
  <c r="A500" i="4"/>
  <c r="E499" i="4"/>
  <c r="D499" i="4"/>
  <c r="C499" i="4"/>
  <c r="B499" i="4"/>
  <c r="A499" i="4"/>
  <c r="E498" i="4"/>
  <c r="D498" i="4"/>
  <c r="C498" i="4"/>
  <c r="B498" i="4"/>
  <c r="A498" i="4"/>
  <c r="E497" i="4"/>
  <c r="D497" i="4"/>
  <c r="C497" i="4"/>
  <c r="B497" i="4"/>
  <c r="A497" i="4"/>
  <c r="E496" i="4"/>
  <c r="D496" i="4"/>
  <c r="C496" i="4"/>
  <c r="B496" i="4"/>
  <c r="A496" i="4"/>
  <c r="E495" i="4"/>
  <c r="D495" i="4"/>
  <c r="C495" i="4"/>
  <c r="B495" i="4"/>
  <c r="A495" i="4"/>
  <c r="E494" i="4"/>
  <c r="D494" i="4"/>
  <c r="C494" i="4"/>
  <c r="B494" i="4"/>
  <c r="A494" i="4"/>
  <c r="E493" i="4"/>
  <c r="D493" i="4"/>
  <c r="C493" i="4"/>
  <c r="B493" i="4"/>
  <c r="A493" i="4"/>
  <c r="E492" i="4"/>
  <c r="D492" i="4"/>
  <c r="C492" i="4"/>
  <c r="B492" i="4"/>
  <c r="A492" i="4"/>
  <c r="E491" i="4"/>
  <c r="D491" i="4"/>
  <c r="C491" i="4"/>
  <c r="B491" i="4"/>
  <c r="A491" i="4"/>
  <c r="E490" i="4"/>
  <c r="D490" i="4"/>
  <c r="C490" i="4"/>
  <c r="B490" i="4"/>
  <c r="A490" i="4"/>
  <c r="E489" i="4"/>
  <c r="D489" i="4"/>
  <c r="C489" i="4"/>
  <c r="B489" i="4"/>
  <c r="A489" i="4"/>
  <c r="E488" i="4"/>
  <c r="D488" i="4"/>
  <c r="C488" i="4"/>
  <c r="B488" i="4"/>
  <c r="A488" i="4"/>
  <c r="E487" i="4"/>
  <c r="D487" i="4"/>
  <c r="C487" i="4"/>
  <c r="B487" i="4"/>
  <c r="A487" i="4"/>
  <c r="E486" i="4"/>
  <c r="D486" i="4"/>
  <c r="C486" i="4"/>
  <c r="B486" i="4"/>
  <c r="A486" i="4"/>
  <c r="E485" i="4"/>
  <c r="D485" i="4"/>
  <c r="C485" i="4"/>
  <c r="B485" i="4"/>
  <c r="A485" i="4"/>
  <c r="E484" i="4"/>
  <c r="D484" i="4"/>
  <c r="C484" i="4"/>
  <c r="B484" i="4"/>
  <c r="A484" i="4"/>
  <c r="E483" i="4"/>
  <c r="D483" i="4"/>
  <c r="C483" i="4"/>
  <c r="B483" i="4"/>
  <c r="A483" i="4"/>
  <c r="E482" i="4"/>
  <c r="D482" i="4"/>
  <c r="C482" i="4"/>
  <c r="B482" i="4"/>
  <c r="A482" i="4"/>
  <c r="E481" i="4"/>
  <c r="D481" i="4"/>
  <c r="C481" i="4"/>
  <c r="B481" i="4"/>
  <c r="A481" i="4"/>
  <c r="E480" i="4"/>
  <c r="D480" i="4"/>
  <c r="C480" i="4"/>
  <c r="B480" i="4"/>
  <c r="A480" i="4"/>
  <c r="E479" i="4"/>
  <c r="D479" i="4"/>
  <c r="C479" i="4"/>
  <c r="B479" i="4"/>
  <c r="A479" i="4"/>
  <c r="E478" i="4"/>
  <c r="D478" i="4"/>
  <c r="C478" i="4"/>
  <c r="B478" i="4"/>
  <c r="A478" i="4"/>
  <c r="E477" i="4"/>
  <c r="D477" i="4"/>
  <c r="C477" i="4"/>
  <c r="B477" i="4"/>
  <c r="A477" i="4"/>
  <c r="E476" i="4"/>
  <c r="D476" i="4"/>
  <c r="C476" i="4"/>
  <c r="B476" i="4"/>
  <c r="A476" i="4"/>
  <c r="E475" i="4"/>
  <c r="D475" i="4"/>
  <c r="C475" i="4"/>
  <c r="B475" i="4"/>
  <c r="A475" i="4"/>
  <c r="E474" i="4"/>
  <c r="D474" i="4"/>
  <c r="C474" i="4"/>
  <c r="B474" i="4"/>
  <c r="A474" i="4"/>
  <c r="E473" i="4"/>
  <c r="D473" i="4"/>
  <c r="C473" i="4"/>
  <c r="B473" i="4"/>
  <c r="A473" i="4"/>
  <c r="E472" i="4"/>
  <c r="D472" i="4"/>
  <c r="C472" i="4"/>
  <c r="B472" i="4"/>
  <c r="A472" i="4"/>
  <c r="E471" i="4"/>
  <c r="D471" i="4"/>
  <c r="C471" i="4"/>
  <c r="B471" i="4"/>
  <c r="A471" i="4"/>
  <c r="E470" i="4"/>
  <c r="D470" i="4"/>
  <c r="C470" i="4"/>
  <c r="B470" i="4"/>
  <c r="A470" i="4"/>
  <c r="E469" i="4"/>
  <c r="D469" i="4"/>
  <c r="C469" i="4"/>
  <c r="B469" i="4"/>
  <c r="A469" i="4"/>
  <c r="E468" i="4"/>
  <c r="D468" i="4"/>
  <c r="C468" i="4"/>
  <c r="B468" i="4"/>
  <c r="A468" i="4"/>
  <c r="E467" i="4"/>
  <c r="D467" i="4"/>
  <c r="C467" i="4"/>
  <c r="B467" i="4"/>
  <c r="A467" i="4"/>
  <c r="E466" i="4"/>
  <c r="D466" i="4"/>
  <c r="C466" i="4"/>
  <c r="B466" i="4"/>
  <c r="A466" i="4"/>
  <c r="E465" i="4"/>
  <c r="D465" i="4"/>
  <c r="C465" i="4"/>
  <c r="B465" i="4"/>
  <c r="A465" i="4"/>
  <c r="E464" i="4"/>
  <c r="D464" i="4"/>
  <c r="C464" i="4"/>
  <c r="B464" i="4"/>
  <c r="A464" i="4"/>
  <c r="E463" i="4"/>
  <c r="D463" i="4"/>
  <c r="C463" i="4"/>
  <c r="B463" i="4"/>
  <c r="A463" i="4"/>
  <c r="E462" i="4"/>
  <c r="D462" i="4"/>
  <c r="C462" i="4"/>
  <c r="B462" i="4"/>
  <c r="A462" i="4"/>
  <c r="E461" i="4"/>
  <c r="D461" i="4"/>
  <c r="C461" i="4"/>
  <c r="B461" i="4"/>
  <c r="A461" i="4"/>
  <c r="E460" i="4"/>
  <c r="D460" i="4"/>
  <c r="C460" i="4"/>
  <c r="B460" i="4"/>
  <c r="A460" i="4"/>
  <c r="E459" i="4"/>
  <c r="D459" i="4"/>
  <c r="C459" i="4"/>
  <c r="B459" i="4"/>
  <c r="A459" i="4"/>
  <c r="E458" i="4"/>
  <c r="D458" i="4"/>
  <c r="C458" i="4"/>
  <c r="B458" i="4"/>
  <c r="A458" i="4"/>
  <c r="E457" i="4"/>
  <c r="D457" i="4"/>
  <c r="C457" i="4"/>
  <c r="B457" i="4"/>
  <c r="A457" i="4"/>
  <c r="E456" i="4"/>
  <c r="D456" i="4"/>
  <c r="C456" i="4"/>
  <c r="B456" i="4"/>
  <c r="A456" i="4"/>
  <c r="E455" i="4"/>
  <c r="D455" i="4"/>
  <c r="C455" i="4"/>
  <c r="B455" i="4"/>
  <c r="A455" i="4"/>
  <c r="E454" i="4"/>
  <c r="D454" i="4"/>
  <c r="C454" i="4"/>
  <c r="B454" i="4"/>
  <c r="A454" i="4"/>
  <c r="E453" i="4"/>
  <c r="D453" i="4"/>
  <c r="C453" i="4"/>
  <c r="B453" i="4"/>
  <c r="A453" i="4"/>
  <c r="E452" i="4"/>
  <c r="D452" i="4"/>
  <c r="C452" i="4"/>
  <c r="B452" i="4"/>
  <c r="A452" i="4"/>
  <c r="E451" i="4"/>
  <c r="D451" i="4"/>
  <c r="C451" i="4"/>
  <c r="B451" i="4"/>
  <c r="A451" i="4"/>
  <c r="E450" i="4"/>
  <c r="D450" i="4"/>
  <c r="C450" i="4"/>
  <c r="B450" i="4"/>
  <c r="A450" i="4"/>
  <c r="E449" i="4"/>
  <c r="D449" i="4"/>
  <c r="C449" i="4"/>
  <c r="B449" i="4"/>
  <c r="A449" i="4"/>
  <c r="E448" i="4"/>
  <c r="D448" i="4"/>
  <c r="C448" i="4"/>
  <c r="B448" i="4"/>
  <c r="A448" i="4"/>
  <c r="E447" i="4"/>
  <c r="D447" i="4"/>
  <c r="C447" i="4"/>
  <c r="B447" i="4"/>
  <c r="A447" i="4"/>
  <c r="E446" i="4"/>
  <c r="D446" i="4"/>
  <c r="C446" i="4"/>
  <c r="B446" i="4"/>
  <c r="A446" i="4"/>
  <c r="E445" i="4"/>
  <c r="D445" i="4"/>
  <c r="C445" i="4"/>
  <c r="B445" i="4"/>
  <c r="A445" i="4"/>
  <c r="E444" i="4"/>
  <c r="D444" i="4"/>
  <c r="C444" i="4"/>
  <c r="B444" i="4"/>
  <c r="A444" i="4"/>
  <c r="E443" i="4"/>
  <c r="D443" i="4"/>
  <c r="C443" i="4"/>
  <c r="B443" i="4"/>
  <c r="A443" i="4"/>
  <c r="E442" i="4"/>
  <c r="D442" i="4"/>
  <c r="C442" i="4"/>
  <c r="B442" i="4"/>
  <c r="A442" i="4"/>
  <c r="E441" i="4"/>
  <c r="D441" i="4"/>
  <c r="C441" i="4"/>
  <c r="B441" i="4"/>
  <c r="A441" i="4"/>
  <c r="E440" i="4"/>
  <c r="D440" i="4"/>
  <c r="C440" i="4"/>
  <c r="B440" i="4"/>
  <c r="A440" i="4"/>
  <c r="E439" i="4"/>
  <c r="D439" i="4"/>
  <c r="C439" i="4"/>
  <c r="B439" i="4"/>
  <c r="A439" i="4"/>
  <c r="E438" i="4"/>
  <c r="D438" i="4"/>
  <c r="C438" i="4"/>
  <c r="B438" i="4"/>
  <c r="A438" i="4"/>
  <c r="E437" i="4"/>
  <c r="D437" i="4"/>
  <c r="C437" i="4"/>
  <c r="B437" i="4"/>
  <c r="A437" i="4"/>
  <c r="E436" i="4"/>
  <c r="D436" i="4"/>
  <c r="C436" i="4"/>
  <c r="B436" i="4"/>
  <c r="A436" i="4"/>
  <c r="E435" i="4"/>
  <c r="D435" i="4"/>
  <c r="C435" i="4"/>
  <c r="B435" i="4"/>
  <c r="A435" i="4"/>
  <c r="E434" i="4"/>
  <c r="D434" i="4"/>
  <c r="C434" i="4"/>
  <c r="B434" i="4"/>
  <c r="A434" i="4"/>
  <c r="E433" i="4"/>
  <c r="D433" i="4"/>
  <c r="C433" i="4"/>
  <c r="B433" i="4"/>
  <c r="A433" i="4"/>
  <c r="E432" i="4"/>
  <c r="D432" i="4"/>
  <c r="C432" i="4"/>
  <c r="B432" i="4"/>
  <c r="A432" i="4"/>
  <c r="E431" i="4"/>
  <c r="D431" i="4"/>
  <c r="C431" i="4"/>
  <c r="B431" i="4"/>
  <c r="A431" i="4"/>
  <c r="E430" i="4"/>
  <c r="D430" i="4"/>
  <c r="C430" i="4"/>
  <c r="B430" i="4"/>
  <c r="A430" i="4"/>
  <c r="E429" i="4"/>
  <c r="D429" i="4"/>
  <c r="C429" i="4"/>
  <c r="B429" i="4"/>
  <c r="A429" i="4"/>
  <c r="E428" i="4"/>
  <c r="D428" i="4"/>
  <c r="C428" i="4"/>
  <c r="B428" i="4"/>
  <c r="A428" i="4"/>
  <c r="E427" i="4"/>
  <c r="D427" i="4"/>
  <c r="C427" i="4"/>
  <c r="B427" i="4"/>
  <c r="A427" i="4"/>
  <c r="E426" i="4"/>
  <c r="D426" i="4"/>
  <c r="C426" i="4"/>
  <c r="B426" i="4"/>
  <c r="A426" i="4"/>
  <c r="E425" i="4"/>
  <c r="D425" i="4"/>
  <c r="C425" i="4"/>
  <c r="B425" i="4"/>
  <c r="A425" i="4"/>
  <c r="E424" i="4"/>
  <c r="D424" i="4"/>
  <c r="C424" i="4"/>
  <c r="B424" i="4"/>
  <c r="A424" i="4"/>
  <c r="E423" i="4"/>
  <c r="D423" i="4"/>
  <c r="C423" i="4"/>
  <c r="B423" i="4"/>
  <c r="A423" i="4"/>
  <c r="E422" i="4"/>
  <c r="D422" i="4"/>
  <c r="C422" i="4"/>
  <c r="B422" i="4"/>
  <c r="A422" i="4"/>
  <c r="E421" i="4"/>
  <c r="D421" i="4"/>
  <c r="C421" i="4"/>
  <c r="B421" i="4"/>
  <c r="A421" i="4"/>
  <c r="E420" i="4"/>
  <c r="D420" i="4"/>
  <c r="C420" i="4"/>
  <c r="B420" i="4"/>
  <c r="A420" i="4"/>
  <c r="E419" i="4"/>
  <c r="D419" i="4"/>
  <c r="C419" i="4"/>
  <c r="B419" i="4"/>
  <c r="A419" i="4"/>
  <c r="E418" i="4"/>
  <c r="D418" i="4"/>
  <c r="C418" i="4"/>
  <c r="B418" i="4"/>
  <c r="A418" i="4"/>
  <c r="E417" i="4"/>
  <c r="D417" i="4"/>
  <c r="C417" i="4"/>
  <c r="B417" i="4"/>
  <c r="A417" i="4"/>
  <c r="E416" i="4"/>
  <c r="D416" i="4"/>
  <c r="C416" i="4"/>
  <c r="B416" i="4"/>
  <c r="A416" i="4"/>
  <c r="E415" i="4"/>
  <c r="D415" i="4"/>
  <c r="C415" i="4"/>
  <c r="B415" i="4"/>
  <c r="A415" i="4"/>
  <c r="E414" i="4"/>
  <c r="D414" i="4"/>
  <c r="C414" i="4"/>
  <c r="B414" i="4"/>
  <c r="A414" i="4"/>
  <c r="E413" i="4"/>
  <c r="D413" i="4"/>
  <c r="C413" i="4"/>
  <c r="B413" i="4"/>
  <c r="A413" i="4"/>
  <c r="E412" i="4"/>
  <c r="D412" i="4"/>
  <c r="C412" i="4"/>
  <c r="B412" i="4"/>
  <c r="A412" i="4"/>
  <c r="E411" i="4"/>
  <c r="D411" i="4"/>
  <c r="C411" i="4"/>
  <c r="B411" i="4"/>
  <c r="A411" i="4"/>
  <c r="E410" i="4"/>
  <c r="D410" i="4"/>
  <c r="C410" i="4"/>
  <c r="B410" i="4"/>
  <c r="A410" i="4"/>
  <c r="E409" i="4"/>
  <c r="D409" i="4"/>
  <c r="C409" i="4"/>
  <c r="B409" i="4"/>
  <c r="A409" i="4"/>
  <c r="E408" i="4"/>
  <c r="D408" i="4"/>
  <c r="C408" i="4"/>
  <c r="B408" i="4"/>
  <c r="A408" i="4"/>
  <c r="E407" i="4"/>
  <c r="D407" i="4"/>
  <c r="C407" i="4"/>
  <c r="B407" i="4"/>
  <c r="A407" i="4"/>
  <c r="E406" i="4"/>
  <c r="D406" i="4"/>
  <c r="C406" i="4"/>
  <c r="B406" i="4"/>
  <c r="A406" i="4"/>
  <c r="E405" i="4"/>
  <c r="D405" i="4"/>
  <c r="C405" i="4"/>
  <c r="B405" i="4"/>
  <c r="A405" i="4"/>
  <c r="E404" i="4"/>
  <c r="D404" i="4"/>
  <c r="C404" i="4"/>
  <c r="B404" i="4"/>
  <c r="A404" i="4"/>
  <c r="E403" i="4"/>
  <c r="D403" i="4"/>
  <c r="C403" i="4"/>
  <c r="B403" i="4"/>
  <c r="A403" i="4"/>
  <c r="E402" i="4"/>
  <c r="D402" i="4"/>
  <c r="C402" i="4"/>
  <c r="B402" i="4"/>
  <c r="A402" i="4"/>
  <c r="E401" i="4"/>
  <c r="D401" i="4"/>
  <c r="C401" i="4"/>
  <c r="B401" i="4"/>
  <c r="A401" i="4"/>
  <c r="E400" i="4"/>
  <c r="D400" i="4"/>
  <c r="C400" i="4"/>
  <c r="B400" i="4"/>
  <c r="A400" i="4"/>
  <c r="E399" i="4"/>
  <c r="D399" i="4"/>
  <c r="C399" i="4"/>
  <c r="B399" i="4"/>
  <c r="A399" i="4"/>
  <c r="E398" i="4"/>
  <c r="D398" i="4"/>
  <c r="C398" i="4"/>
  <c r="B398" i="4"/>
  <c r="A398" i="4"/>
  <c r="E397" i="4"/>
  <c r="D397" i="4"/>
  <c r="C397" i="4"/>
  <c r="B397" i="4"/>
  <c r="A397" i="4"/>
  <c r="E396" i="4"/>
  <c r="D396" i="4"/>
  <c r="C396" i="4"/>
  <c r="B396" i="4"/>
  <c r="A396" i="4"/>
  <c r="E395" i="4"/>
  <c r="D395" i="4"/>
  <c r="C395" i="4"/>
  <c r="B395" i="4"/>
  <c r="A395" i="4"/>
  <c r="E394" i="4"/>
  <c r="D394" i="4"/>
  <c r="C394" i="4"/>
  <c r="B394" i="4"/>
  <c r="A394" i="4"/>
  <c r="E393" i="4"/>
  <c r="D393" i="4"/>
  <c r="C393" i="4"/>
  <c r="B393" i="4"/>
  <c r="A393" i="4"/>
  <c r="E392" i="4"/>
  <c r="D392" i="4"/>
  <c r="C392" i="4"/>
  <c r="B392" i="4"/>
  <c r="A392" i="4"/>
  <c r="E391" i="4"/>
  <c r="D391" i="4"/>
  <c r="C391" i="4"/>
  <c r="B391" i="4"/>
  <c r="A391" i="4"/>
  <c r="E390" i="4"/>
  <c r="D390" i="4"/>
  <c r="C390" i="4"/>
  <c r="B390" i="4"/>
  <c r="A390" i="4"/>
  <c r="E389" i="4"/>
  <c r="D389" i="4"/>
  <c r="C389" i="4"/>
  <c r="B389" i="4"/>
  <c r="A389" i="4"/>
  <c r="E388" i="4"/>
  <c r="D388" i="4"/>
  <c r="C388" i="4"/>
  <c r="B388" i="4"/>
  <c r="A388" i="4"/>
  <c r="E387" i="4"/>
  <c r="D387" i="4"/>
  <c r="C387" i="4"/>
  <c r="B387" i="4"/>
  <c r="A387" i="4"/>
  <c r="E386" i="4"/>
  <c r="D386" i="4"/>
  <c r="C386" i="4"/>
  <c r="B386" i="4"/>
  <c r="A386" i="4"/>
  <c r="E385" i="4"/>
  <c r="D385" i="4"/>
  <c r="C385" i="4"/>
  <c r="B385" i="4"/>
  <c r="A385" i="4"/>
  <c r="E384" i="4"/>
  <c r="D384" i="4"/>
  <c r="C384" i="4"/>
  <c r="B384" i="4"/>
  <c r="A384" i="4"/>
  <c r="E383" i="4"/>
  <c r="D383" i="4"/>
  <c r="C383" i="4"/>
  <c r="B383" i="4"/>
  <c r="A383" i="4"/>
  <c r="E382" i="4"/>
  <c r="D382" i="4"/>
  <c r="C382" i="4"/>
  <c r="B382" i="4"/>
  <c r="A382" i="4"/>
  <c r="E381" i="4"/>
  <c r="D381" i="4"/>
  <c r="C381" i="4"/>
  <c r="B381" i="4"/>
  <c r="A381" i="4"/>
  <c r="E380" i="4"/>
  <c r="D380" i="4"/>
  <c r="C380" i="4"/>
  <c r="B380" i="4"/>
  <c r="A380" i="4"/>
  <c r="E379" i="4"/>
  <c r="D379" i="4"/>
  <c r="C379" i="4"/>
  <c r="B379" i="4"/>
  <c r="A379" i="4"/>
  <c r="E378" i="4"/>
  <c r="D378" i="4"/>
  <c r="C378" i="4"/>
  <c r="B378" i="4"/>
  <c r="A378" i="4"/>
  <c r="E377" i="4"/>
  <c r="D377" i="4"/>
  <c r="C377" i="4"/>
  <c r="B377" i="4"/>
  <c r="A377" i="4"/>
  <c r="E376" i="4"/>
  <c r="D376" i="4"/>
  <c r="C376" i="4"/>
  <c r="B376" i="4"/>
  <c r="A376" i="4"/>
  <c r="E375" i="4"/>
  <c r="D375" i="4"/>
  <c r="C375" i="4"/>
  <c r="B375" i="4"/>
  <c r="A375" i="4"/>
  <c r="E374" i="4"/>
  <c r="D374" i="4"/>
  <c r="C374" i="4"/>
  <c r="B374" i="4"/>
  <c r="A374" i="4"/>
  <c r="E373" i="4"/>
  <c r="D373" i="4"/>
  <c r="C373" i="4"/>
  <c r="B373" i="4"/>
  <c r="A373" i="4"/>
  <c r="E372" i="4"/>
  <c r="D372" i="4"/>
  <c r="C372" i="4"/>
  <c r="B372" i="4"/>
  <c r="A372" i="4"/>
  <c r="E371" i="4"/>
  <c r="D371" i="4"/>
  <c r="C371" i="4"/>
  <c r="B371" i="4"/>
  <c r="A371" i="4"/>
  <c r="E370" i="4"/>
  <c r="D370" i="4"/>
  <c r="C370" i="4"/>
  <c r="B370" i="4"/>
  <c r="A370" i="4"/>
  <c r="E369" i="4"/>
  <c r="D369" i="4"/>
  <c r="C369" i="4"/>
  <c r="B369" i="4"/>
  <c r="A369" i="4"/>
  <c r="E368" i="4"/>
  <c r="D368" i="4"/>
  <c r="C368" i="4"/>
  <c r="B368" i="4"/>
  <c r="A368" i="4"/>
  <c r="E367" i="4"/>
  <c r="D367" i="4"/>
  <c r="C367" i="4"/>
  <c r="B367" i="4"/>
  <c r="A367" i="4"/>
  <c r="E366" i="4"/>
  <c r="D366" i="4"/>
  <c r="C366" i="4"/>
  <c r="B366" i="4"/>
  <c r="A366" i="4"/>
  <c r="E365" i="4"/>
  <c r="D365" i="4"/>
  <c r="C365" i="4"/>
  <c r="B365" i="4"/>
  <c r="A365" i="4"/>
  <c r="E364" i="4"/>
  <c r="D364" i="4"/>
  <c r="C364" i="4"/>
  <c r="B364" i="4"/>
  <c r="A364" i="4"/>
  <c r="E363" i="4"/>
  <c r="D363" i="4"/>
  <c r="C363" i="4"/>
  <c r="B363" i="4"/>
  <c r="A363" i="4"/>
  <c r="E362" i="4"/>
  <c r="D362" i="4"/>
  <c r="C362" i="4"/>
  <c r="B362" i="4"/>
  <c r="A362" i="4"/>
  <c r="E361" i="4"/>
  <c r="D361" i="4"/>
  <c r="C361" i="4"/>
  <c r="B361" i="4"/>
  <c r="A361" i="4"/>
  <c r="E360" i="4"/>
  <c r="D360" i="4"/>
  <c r="C360" i="4"/>
  <c r="B360" i="4"/>
  <c r="A360" i="4"/>
  <c r="E359" i="4"/>
  <c r="D359" i="4"/>
  <c r="C359" i="4"/>
  <c r="B359" i="4"/>
  <c r="A359" i="4"/>
  <c r="E358" i="4"/>
  <c r="D358" i="4"/>
  <c r="C358" i="4"/>
  <c r="B358" i="4"/>
  <c r="A358" i="4"/>
  <c r="E357" i="4"/>
  <c r="D357" i="4"/>
  <c r="C357" i="4"/>
  <c r="B357" i="4"/>
  <c r="A357" i="4"/>
  <c r="E356" i="4"/>
  <c r="D356" i="4"/>
  <c r="C356" i="4"/>
  <c r="B356" i="4"/>
  <c r="A356" i="4"/>
  <c r="E355" i="4"/>
  <c r="D355" i="4"/>
  <c r="C355" i="4"/>
  <c r="B355" i="4"/>
  <c r="A355" i="4"/>
  <c r="E354" i="4"/>
  <c r="D354" i="4"/>
  <c r="C354" i="4"/>
  <c r="B354" i="4"/>
  <c r="A354" i="4"/>
  <c r="E353" i="4"/>
  <c r="D353" i="4"/>
  <c r="C353" i="4"/>
  <c r="B353" i="4"/>
  <c r="A353" i="4"/>
  <c r="E352" i="4"/>
  <c r="D352" i="4"/>
  <c r="C352" i="4"/>
  <c r="B352" i="4"/>
  <c r="A352" i="4"/>
  <c r="E351" i="4"/>
  <c r="D351" i="4"/>
  <c r="C351" i="4"/>
  <c r="B351" i="4"/>
  <c r="A351" i="4"/>
  <c r="E350" i="4"/>
  <c r="D350" i="4"/>
  <c r="C350" i="4"/>
  <c r="B350" i="4"/>
  <c r="A350" i="4"/>
  <c r="E349" i="4"/>
  <c r="D349" i="4"/>
  <c r="C349" i="4"/>
  <c r="B349" i="4"/>
  <c r="A349" i="4"/>
  <c r="E348" i="4"/>
  <c r="D348" i="4"/>
  <c r="C348" i="4"/>
  <c r="B348" i="4"/>
  <c r="A348" i="4"/>
  <c r="E347" i="4"/>
  <c r="D347" i="4"/>
  <c r="C347" i="4"/>
  <c r="B347" i="4"/>
  <c r="A347" i="4"/>
  <c r="E346" i="4"/>
  <c r="D346" i="4"/>
  <c r="C346" i="4"/>
  <c r="B346" i="4"/>
  <c r="A346" i="4"/>
  <c r="E345" i="4"/>
  <c r="D345" i="4"/>
  <c r="C345" i="4"/>
  <c r="B345" i="4"/>
  <c r="A345" i="4"/>
  <c r="E344" i="4"/>
  <c r="D344" i="4"/>
  <c r="C344" i="4"/>
  <c r="B344" i="4"/>
  <c r="A344" i="4"/>
  <c r="E343" i="4"/>
  <c r="D343" i="4"/>
  <c r="C343" i="4"/>
  <c r="B343" i="4"/>
  <c r="A343" i="4"/>
  <c r="E342" i="4"/>
  <c r="D342" i="4"/>
  <c r="C342" i="4"/>
  <c r="B342" i="4"/>
  <c r="A342" i="4"/>
  <c r="E341" i="4"/>
  <c r="D341" i="4"/>
  <c r="C341" i="4"/>
  <c r="B341" i="4"/>
  <c r="A341" i="4"/>
  <c r="E340" i="4"/>
  <c r="D340" i="4"/>
  <c r="C340" i="4"/>
  <c r="B340" i="4"/>
  <c r="A340" i="4"/>
  <c r="E339" i="4"/>
  <c r="D339" i="4"/>
  <c r="C339" i="4"/>
  <c r="B339" i="4"/>
  <c r="A339" i="4"/>
  <c r="E338" i="4"/>
  <c r="D338" i="4"/>
  <c r="C338" i="4"/>
  <c r="B338" i="4"/>
  <c r="A338" i="4"/>
  <c r="E337" i="4"/>
  <c r="D337" i="4"/>
  <c r="C337" i="4"/>
  <c r="B337" i="4"/>
  <c r="A337" i="4"/>
  <c r="E336" i="4"/>
  <c r="D336" i="4"/>
  <c r="C336" i="4"/>
  <c r="B336" i="4"/>
  <c r="A336" i="4"/>
  <c r="E335" i="4"/>
  <c r="D335" i="4"/>
  <c r="C335" i="4"/>
  <c r="B335" i="4"/>
  <c r="A335" i="4"/>
  <c r="E334" i="4"/>
  <c r="D334" i="4"/>
  <c r="C334" i="4"/>
  <c r="B334" i="4"/>
  <c r="A334" i="4"/>
  <c r="E333" i="4"/>
  <c r="D333" i="4"/>
  <c r="C333" i="4"/>
  <c r="B333" i="4"/>
  <c r="A333" i="4"/>
  <c r="E332" i="4"/>
  <c r="D332" i="4"/>
  <c r="C332" i="4"/>
  <c r="B332" i="4"/>
  <c r="A332" i="4"/>
  <c r="E331" i="4"/>
  <c r="D331" i="4"/>
  <c r="C331" i="4"/>
  <c r="B331" i="4"/>
  <c r="A331" i="4"/>
  <c r="E330" i="4"/>
  <c r="D330" i="4"/>
  <c r="C330" i="4"/>
  <c r="B330" i="4"/>
  <c r="A330" i="4"/>
  <c r="E329" i="4"/>
  <c r="D329" i="4"/>
  <c r="C329" i="4"/>
  <c r="B329" i="4"/>
  <c r="A329" i="4"/>
  <c r="E328" i="4"/>
  <c r="D328" i="4"/>
  <c r="C328" i="4"/>
  <c r="B328" i="4"/>
  <c r="A328" i="4"/>
  <c r="E327" i="4"/>
  <c r="D327" i="4"/>
  <c r="C327" i="4"/>
  <c r="B327" i="4"/>
  <c r="A327" i="4"/>
  <c r="E326" i="4"/>
  <c r="D326" i="4"/>
  <c r="C326" i="4"/>
  <c r="B326" i="4"/>
  <c r="A326" i="4"/>
  <c r="E325" i="4"/>
  <c r="D325" i="4"/>
  <c r="C325" i="4"/>
  <c r="B325" i="4"/>
  <c r="A325" i="4"/>
  <c r="E324" i="4"/>
  <c r="D324" i="4"/>
  <c r="C324" i="4"/>
  <c r="B324" i="4"/>
  <c r="A324" i="4"/>
  <c r="E323" i="4"/>
  <c r="D323" i="4"/>
  <c r="C323" i="4"/>
  <c r="B323" i="4"/>
  <c r="A323" i="4"/>
  <c r="E322" i="4"/>
  <c r="D322" i="4"/>
  <c r="C322" i="4"/>
  <c r="B322" i="4"/>
  <c r="A322" i="4"/>
  <c r="E321" i="4"/>
  <c r="D321" i="4"/>
  <c r="C321" i="4"/>
  <c r="B321" i="4"/>
  <c r="A321" i="4"/>
  <c r="E320" i="4"/>
  <c r="D320" i="4"/>
  <c r="C320" i="4"/>
  <c r="B320" i="4"/>
  <c r="A320" i="4"/>
  <c r="E319" i="4"/>
  <c r="D319" i="4"/>
  <c r="C319" i="4"/>
  <c r="B319" i="4"/>
  <c r="A319" i="4"/>
  <c r="E318" i="4"/>
  <c r="D318" i="4"/>
  <c r="C318" i="4"/>
  <c r="B318" i="4"/>
  <c r="A318" i="4"/>
  <c r="E317" i="4"/>
  <c r="D317" i="4"/>
  <c r="C317" i="4"/>
  <c r="B317" i="4"/>
  <c r="A317" i="4"/>
  <c r="E316" i="4"/>
  <c r="D316" i="4"/>
  <c r="C316" i="4"/>
  <c r="B316" i="4"/>
  <c r="A316" i="4"/>
  <c r="E315" i="4"/>
  <c r="D315" i="4"/>
  <c r="C315" i="4"/>
  <c r="B315" i="4"/>
  <c r="A315" i="4"/>
  <c r="E314" i="4"/>
  <c r="D314" i="4"/>
  <c r="C314" i="4"/>
  <c r="B314" i="4"/>
  <c r="A314" i="4"/>
  <c r="E313" i="4"/>
  <c r="D313" i="4"/>
  <c r="C313" i="4"/>
  <c r="B313" i="4"/>
  <c r="A313" i="4"/>
  <c r="E312" i="4"/>
  <c r="D312" i="4"/>
  <c r="C312" i="4"/>
  <c r="B312" i="4"/>
  <c r="A312" i="4"/>
  <c r="E311" i="4"/>
  <c r="D311" i="4"/>
  <c r="C311" i="4"/>
  <c r="B311" i="4"/>
  <c r="A311" i="4"/>
  <c r="E310" i="4"/>
  <c r="D310" i="4"/>
  <c r="C310" i="4"/>
  <c r="B310" i="4"/>
  <c r="A310" i="4"/>
  <c r="E309" i="4"/>
  <c r="D309" i="4"/>
  <c r="C309" i="4"/>
  <c r="B309" i="4"/>
  <c r="A309" i="4"/>
  <c r="E308" i="4"/>
  <c r="D308" i="4"/>
  <c r="C308" i="4"/>
  <c r="B308" i="4"/>
  <c r="A308" i="4"/>
  <c r="E307" i="4"/>
  <c r="D307" i="4"/>
  <c r="C307" i="4"/>
  <c r="B307" i="4"/>
  <c r="A307" i="4"/>
  <c r="E306" i="4"/>
  <c r="D306" i="4"/>
  <c r="C306" i="4"/>
  <c r="B306" i="4"/>
  <c r="A306" i="4"/>
  <c r="E305" i="4"/>
  <c r="D305" i="4"/>
  <c r="C305" i="4"/>
  <c r="B305" i="4"/>
  <c r="A305" i="4"/>
  <c r="E304" i="4"/>
  <c r="D304" i="4"/>
  <c r="C304" i="4"/>
  <c r="B304" i="4"/>
  <c r="A304" i="4"/>
  <c r="E303" i="4"/>
  <c r="D303" i="4"/>
  <c r="C303" i="4"/>
  <c r="B303" i="4"/>
  <c r="A303" i="4"/>
  <c r="E302" i="4"/>
  <c r="D302" i="4"/>
  <c r="C302" i="4"/>
  <c r="B302" i="4"/>
  <c r="A302" i="4"/>
  <c r="E301" i="4"/>
  <c r="D301" i="4"/>
  <c r="C301" i="4"/>
  <c r="B301" i="4"/>
  <c r="A301" i="4"/>
  <c r="E300" i="4"/>
  <c r="D300" i="4"/>
  <c r="C300" i="4"/>
  <c r="B300" i="4"/>
  <c r="A300" i="4"/>
  <c r="E299" i="4"/>
  <c r="D299" i="4"/>
  <c r="C299" i="4"/>
  <c r="B299" i="4"/>
  <c r="A299" i="4"/>
  <c r="E298" i="4"/>
  <c r="D298" i="4"/>
  <c r="C298" i="4"/>
  <c r="B298" i="4"/>
  <c r="A298" i="4"/>
  <c r="E297" i="4"/>
  <c r="D297" i="4"/>
  <c r="C297" i="4"/>
  <c r="B297" i="4"/>
  <c r="A297" i="4"/>
  <c r="E296" i="4"/>
  <c r="D296" i="4"/>
  <c r="C296" i="4"/>
  <c r="B296" i="4"/>
  <c r="A296" i="4"/>
  <c r="E295" i="4"/>
  <c r="D295" i="4"/>
  <c r="C295" i="4"/>
  <c r="B295" i="4"/>
  <c r="A295" i="4"/>
  <c r="E294" i="4"/>
  <c r="D294" i="4"/>
  <c r="C294" i="4"/>
  <c r="B294" i="4"/>
  <c r="A294" i="4"/>
  <c r="E293" i="4"/>
  <c r="D293" i="4"/>
  <c r="C293" i="4"/>
  <c r="B293" i="4"/>
  <c r="A293" i="4"/>
  <c r="E292" i="4"/>
  <c r="D292" i="4"/>
  <c r="C292" i="4"/>
  <c r="B292" i="4"/>
  <c r="A292" i="4"/>
  <c r="E291" i="4"/>
  <c r="D291" i="4"/>
  <c r="C291" i="4"/>
  <c r="B291" i="4"/>
  <c r="A291" i="4"/>
  <c r="E290" i="4"/>
  <c r="D290" i="4"/>
  <c r="C290" i="4"/>
  <c r="B290" i="4"/>
  <c r="A290" i="4"/>
  <c r="E289" i="4"/>
  <c r="D289" i="4"/>
  <c r="C289" i="4"/>
  <c r="B289" i="4"/>
  <c r="A289" i="4"/>
  <c r="E288" i="4"/>
  <c r="D288" i="4"/>
  <c r="C288" i="4"/>
  <c r="B288" i="4"/>
  <c r="A288" i="4"/>
  <c r="E287" i="4"/>
  <c r="D287" i="4"/>
  <c r="C287" i="4"/>
  <c r="B287" i="4"/>
  <c r="A287" i="4"/>
  <c r="E286" i="4"/>
  <c r="D286" i="4"/>
  <c r="C286" i="4"/>
  <c r="B286" i="4"/>
  <c r="A286" i="4"/>
  <c r="E285" i="4"/>
  <c r="D285" i="4"/>
  <c r="C285" i="4"/>
  <c r="B285" i="4"/>
  <c r="A285" i="4"/>
  <c r="E284" i="4"/>
  <c r="D284" i="4"/>
  <c r="C284" i="4"/>
  <c r="B284" i="4"/>
  <c r="A284" i="4"/>
  <c r="E283" i="4"/>
  <c r="D283" i="4"/>
  <c r="C283" i="4"/>
  <c r="B283" i="4"/>
  <c r="A283" i="4"/>
  <c r="E282" i="4"/>
  <c r="D282" i="4"/>
  <c r="C282" i="4"/>
  <c r="B282" i="4"/>
  <c r="A282" i="4"/>
  <c r="E281" i="4"/>
  <c r="D281" i="4"/>
  <c r="C281" i="4"/>
  <c r="B281" i="4"/>
  <c r="A281" i="4"/>
  <c r="E280" i="4"/>
  <c r="D280" i="4"/>
  <c r="C280" i="4"/>
  <c r="B280" i="4"/>
  <c r="A280" i="4"/>
  <c r="E279" i="4"/>
  <c r="D279" i="4"/>
  <c r="C279" i="4"/>
  <c r="B279" i="4"/>
  <c r="A279" i="4"/>
  <c r="E278" i="4"/>
  <c r="D278" i="4"/>
  <c r="C278" i="4"/>
  <c r="B278" i="4"/>
  <c r="A278" i="4"/>
  <c r="E277" i="4"/>
  <c r="D277" i="4"/>
  <c r="C277" i="4"/>
  <c r="B277" i="4"/>
  <c r="A277" i="4"/>
  <c r="E276" i="4"/>
  <c r="D276" i="4"/>
  <c r="C276" i="4"/>
  <c r="B276" i="4"/>
  <c r="A276" i="4"/>
  <c r="E275" i="4"/>
  <c r="D275" i="4"/>
  <c r="C275" i="4"/>
  <c r="B275" i="4"/>
  <c r="A275" i="4"/>
  <c r="E274" i="4"/>
  <c r="D274" i="4"/>
  <c r="C274" i="4"/>
  <c r="B274" i="4"/>
  <c r="A274" i="4"/>
  <c r="E273" i="4"/>
  <c r="D273" i="4"/>
  <c r="C273" i="4"/>
  <c r="B273" i="4"/>
  <c r="A273" i="4"/>
  <c r="E272" i="4"/>
  <c r="D272" i="4"/>
  <c r="C272" i="4"/>
  <c r="B272" i="4"/>
  <c r="A272" i="4"/>
  <c r="E271" i="4"/>
  <c r="D271" i="4"/>
  <c r="C271" i="4"/>
  <c r="B271" i="4"/>
  <c r="A271" i="4"/>
  <c r="E270" i="4"/>
  <c r="D270" i="4"/>
  <c r="C270" i="4"/>
  <c r="B270" i="4"/>
  <c r="A270" i="4"/>
  <c r="E269" i="4"/>
  <c r="D269" i="4"/>
  <c r="C269" i="4"/>
  <c r="B269" i="4"/>
  <c r="A269" i="4"/>
  <c r="E268" i="4"/>
  <c r="D268" i="4"/>
  <c r="C268" i="4"/>
  <c r="B268" i="4"/>
  <c r="A268" i="4"/>
  <c r="E267" i="4"/>
  <c r="D267" i="4"/>
  <c r="C267" i="4"/>
  <c r="B267" i="4"/>
  <c r="A267" i="4"/>
  <c r="E266" i="4"/>
  <c r="D266" i="4"/>
  <c r="C266" i="4"/>
  <c r="B266" i="4"/>
  <c r="A266" i="4"/>
  <c r="E265" i="4"/>
  <c r="D265" i="4"/>
  <c r="C265" i="4"/>
  <c r="B265" i="4"/>
  <c r="A265" i="4"/>
  <c r="E264" i="4"/>
  <c r="D264" i="4"/>
  <c r="C264" i="4"/>
  <c r="B264" i="4"/>
  <c r="A264" i="4"/>
  <c r="E263" i="4"/>
  <c r="D263" i="4"/>
  <c r="C263" i="4"/>
  <c r="B263" i="4"/>
  <c r="A263" i="4"/>
  <c r="E262" i="4"/>
  <c r="D262" i="4"/>
  <c r="C262" i="4"/>
  <c r="B262" i="4"/>
  <c r="A262" i="4"/>
  <c r="E261" i="4"/>
  <c r="D261" i="4"/>
  <c r="C261" i="4"/>
  <c r="B261" i="4"/>
  <c r="A261" i="4"/>
  <c r="E260" i="4"/>
  <c r="D260" i="4"/>
  <c r="C260" i="4"/>
  <c r="B260" i="4"/>
  <c r="A260" i="4"/>
  <c r="E259" i="4"/>
  <c r="D259" i="4"/>
  <c r="C259" i="4"/>
  <c r="B259" i="4"/>
  <c r="A259" i="4"/>
  <c r="E258" i="4"/>
  <c r="D258" i="4"/>
  <c r="C258" i="4"/>
  <c r="B258" i="4"/>
  <c r="A258" i="4"/>
  <c r="E257" i="4"/>
  <c r="D257" i="4"/>
  <c r="C257" i="4"/>
  <c r="B257" i="4"/>
  <c r="A257" i="4"/>
  <c r="E256" i="4"/>
  <c r="D256" i="4"/>
  <c r="C256" i="4"/>
  <c r="B256" i="4"/>
  <c r="A256" i="4"/>
  <c r="E255" i="4"/>
  <c r="D255" i="4"/>
  <c r="C255" i="4"/>
  <c r="B255" i="4"/>
  <c r="A255" i="4"/>
  <c r="E254" i="4"/>
  <c r="D254" i="4"/>
  <c r="C254" i="4"/>
  <c r="B254" i="4"/>
  <c r="A254" i="4"/>
  <c r="E253" i="4"/>
  <c r="D253" i="4"/>
  <c r="C253" i="4"/>
  <c r="B253" i="4"/>
  <c r="A253" i="4"/>
  <c r="E252" i="4"/>
  <c r="D252" i="4"/>
  <c r="C252" i="4"/>
  <c r="B252" i="4"/>
  <c r="A252" i="4"/>
  <c r="E251" i="4"/>
  <c r="D251" i="4"/>
  <c r="C251" i="4"/>
  <c r="B251" i="4"/>
  <c r="A251" i="4"/>
  <c r="E250" i="4"/>
  <c r="D250" i="4"/>
  <c r="C250" i="4"/>
  <c r="B250" i="4"/>
  <c r="A250" i="4"/>
  <c r="E249" i="4"/>
  <c r="D249" i="4"/>
  <c r="C249" i="4"/>
  <c r="B249" i="4"/>
  <c r="A249" i="4"/>
  <c r="E248" i="4"/>
  <c r="D248" i="4"/>
  <c r="C248" i="4"/>
  <c r="B248" i="4"/>
  <c r="A248" i="4"/>
  <c r="E247" i="4"/>
  <c r="D247" i="4"/>
  <c r="C247" i="4"/>
  <c r="B247" i="4"/>
  <c r="A247" i="4"/>
  <c r="E246" i="4"/>
  <c r="D246" i="4"/>
  <c r="C246" i="4"/>
  <c r="B246" i="4"/>
  <c r="A246" i="4"/>
  <c r="E245" i="4"/>
  <c r="D245" i="4"/>
  <c r="C245" i="4"/>
  <c r="B245" i="4"/>
  <c r="A245" i="4"/>
  <c r="E244" i="4"/>
  <c r="D244" i="4"/>
  <c r="C244" i="4"/>
  <c r="B244" i="4"/>
  <c r="A244" i="4"/>
  <c r="E243" i="4"/>
  <c r="D243" i="4"/>
  <c r="C243" i="4"/>
  <c r="B243" i="4"/>
  <c r="A243" i="4"/>
  <c r="E242" i="4"/>
  <c r="D242" i="4"/>
  <c r="C242" i="4"/>
  <c r="B242" i="4"/>
  <c r="A242" i="4"/>
  <c r="E241" i="4"/>
  <c r="D241" i="4"/>
  <c r="C241" i="4"/>
  <c r="B241" i="4"/>
  <c r="A241" i="4"/>
  <c r="E240" i="4"/>
  <c r="D240" i="4"/>
  <c r="C240" i="4"/>
  <c r="B240" i="4"/>
  <c r="A240" i="4"/>
  <c r="E239" i="4"/>
  <c r="D239" i="4"/>
  <c r="C239" i="4"/>
  <c r="B239" i="4"/>
  <c r="A239" i="4"/>
  <c r="E238" i="4"/>
  <c r="D238" i="4"/>
  <c r="C238" i="4"/>
  <c r="B238" i="4"/>
  <c r="A238" i="4"/>
  <c r="E237" i="4"/>
  <c r="D237" i="4"/>
  <c r="C237" i="4"/>
  <c r="B237" i="4"/>
  <c r="A237" i="4"/>
  <c r="E236" i="4"/>
  <c r="D236" i="4"/>
  <c r="C236" i="4"/>
  <c r="B236" i="4"/>
  <c r="A236" i="4"/>
  <c r="E235" i="4"/>
  <c r="D235" i="4"/>
  <c r="C235" i="4"/>
  <c r="B235" i="4"/>
  <c r="A235" i="4"/>
  <c r="E234" i="4"/>
  <c r="D234" i="4"/>
  <c r="C234" i="4"/>
  <c r="B234" i="4"/>
  <c r="A234" i="4"/>
  <c r="E233" i="4"/>
  <c r="D233" i="4"/>
  <c r="C233" i="4"/>
  <c r="B233" i="4"/>
  <c r="A233" i="4"/>
  <c r="E232" i="4"/>
  <c r="D232" i="4"/>
  <c r="C232" i="4"/>
  <c r="B232" i="4"/>
  <c r="A232" i="4"/>
  <c r="E231" i="4"/>
  <c r="D231" i="4"/>
  <c r="C231" i="4"/>
  <c r="B231" i="4"/>
  <c r="A231" i="4"/>
  <c r="E230" i="4"/>
  <c r="D230" i="4"/>
  <c r="C230" i="4"/>
  <c r="B230" i="4"/>
  <c r="A230" i="4"/>
  <c r="E229" i="4"/>
  <c r="D229" i="4"/>
  <c r="C229" i="4"/>
  <c r="B229" i="4"/>
  <c r="A229" i="4"/>
  <c r="E228" i="4"/>
  <c r="D228" i="4"/>
  <c r="C228" i="4"/>
  <c r="B228" i="4"/>
  <c r="A228" i="4"/>
  <c r="E227" i="4"/>
  <c r="D227" i="4"/>
  <c r="C227" i="4"/>
  <c r="B227" i="4"/>
  <c r="A227" i="4"/>
  <c r="E226" i="4"/>
  <c r="D226" i="4"/>
  <c r="C226" i="4"/>
  <c r="B226" i="4"/>
  <c r="A226" i="4"/>
  <c r="E225" i="4"/>
  <c r="D225" i="4"/>
  <c r="C225" i="4"/>
  <c r="B225" i="4"/>
  <c r="A225" i="4"/>
  <c r="E224" i="4"/>
  <c r="D224" i="4"/>
  <c r="C224" i="4"/>
  <c r="B224" i="4"/>
  <c r="A224" i="4"/>
  <c r="E223" i="4"/>
  <c r="D223" i="4"/>
  <c r="C223" i="4"/>
  <c r="B223" i="4"/>
  <c r="A223" i="4"/>
  <c r="AH3" i="1"/>
  <c r="AY2125" i="1"/>
  <c r="AY2124" i="1"/>
  <c r="AY2123" i="1"/>
  <c r="AY2122" i="1"/>
  <c r="AY2121" i="1"/>
  <c r="AY2120" i="1"/>
  <c r="AY2119" i="1"/>
  <c r="AY2118" i="1"/>
  <c r="AY2117" i="1"/>
  <c r="AY2116" i="1"/>
  <c r="AY2115" i="1"/>
  <c r="AY2114" i="1"/>
  <c r="AY2113" i="1"/>
  <c r="AY2112" i="1"/>
  <c r="AY2111" i="1"/>
  <c r="AY2110" i="1"/>
  <c r="AY2109" i="1"/>
  <c r="AY2108" i="1"/>
  <c r="AY2107" i="1"/>
  <c r="AY2106" i="1"/>
  <c r="AY2105" i="1"/>
  <c r="AY2104" i="1"/>
  <c r="AY2103" i="1"/>
  <c r="AY2102" i="1"/>
  <c r="AY2101" i="1"/>
  <c r="AY2100" i="1"/>
  <c r="AY2099" i="1"/>
  <c r="AY2098" i="1"/>
  <c r="AY2097" i="1"/>
  <c r="AY2096" i="1"/>
  <c r="AY2095" i="1"/>
  <c r="AY2094" i="1"/>
  <c r="AY2093" i="1"/>
  <c r="AY2092" i="1"/>
  <c r="AY2091" i="1"/>
  <c r="AY2090" i="1"/>
  <c r="AY2089" i="1"/>
  <c r="AY2088" i="1"/>
  <c r="AY2087" i="1"/>
  <c r="AY2086" i="1"/>
  <c r="AY2085" i="1"/>
  <c r="AY2084" i="1"/>
  <c r="AY2083" i="1"/>
  <c r="AY2082" i="1"/>
  <c r="AY2081" i="1"/>
  <c r="AY2080" i="1"/>
  <c r="AY2079" i="1"/>
  <c r="AY2078" i="1"/>
  <c r="AY2077" i="1"/>
  <c r="AY2076" i="1"/>
  <c r="AY2075" i="1"/>
  <c r="AY2074" i="1"/>
  <c r="AY2073" i="1"/>
  <c r="AY2072" i="1"/>
  <c r="AY2071" i="1"/>
  <c r="AY2070" i="1"/>
  <c r="AY2069" i="1"/>
  <c r="AY2068" i="1"/>
  <c r="AY2067" i="1"/>
  <c r="AY2066" i="1"/>
  <c r="AY2065" i="1"/>
  <c r="AY2064" i="1"/>
  <c r="AY2063" i="1"/>
  <c r="AY2062" i="1"/>
  <c r="AY2061" i="1"/>
  <c r="AY2060" i="1"/>
  <c r="AY2059" i="1"/>
  <c r="AY2058" i="1"/>
  <c r="AY2057" i="1"/>
  <c r="AY2056" i="1"/>
  <c r="AY2055" i="1"/>
  <c r="AY2054" i="1"/>
  <c r="AY2053" i="1"/>
  <c r="AY2052" i="1"/>
  <c r="AY2051" i="1"/>
  <c r="AY2050" i="1"/>
  <c r="AY2049" i="1"/>
  <c r="AY2048" i="1"/>
  <c r="AY2047" i="1"/>
  <c r="AY2046" i="1"/>
  <c r="AY2045" i="1"/>
  <c r="AY2044" i="1"/>
  <c r="AY2043" i="1"/>
  <c r="AY2042" i="1"/>
  <c r="AY2041" i="1"/>
  <c r="AY2040" i="1"/>
  <c r="AY2039" i="1"/>
  <c r="AY2038" i="1"/>
  <c r="AY2037" i="1"/>
  <c r="AY2036" i="1"/>
  <c r="AY2035" i="1"/>
  <c r="AY2034" i="1"/>
  <c r="AY2033" i="1"/>
  <c r="AY2032" i="1"/>
  <c r="AY2031" i="1"/>
  <c r="AY2030" i="1"/>
  <c r="AY2029" i="1"/>
  <c r="AY2028" i="1"/>
  <c r="AY2027" i="1"/>
  <c r="AY2026" i="1"/>
  <c r="AY2025" i="1"/>
  <c r="AY2024" i="1"/>
  <c r="AY2023" i="1"/>
  <c r="AY2022" i="1"/>
  <c r="AY2021" i="1"/>
  <c r="AY2020" i="1"/>
  <c r="AY2019" i="1"/>
  <c r="AY2018" i="1"/>
  <c r="AY2017" i="1"/>
  <c r="AY2016" i="1"/>
  <c r="AY2015" i="1"/>
  <c r="AY2014" i="1"/>
  <c r="AY2013" i="1"/>
  <c r="AY2012" i="1"/>
  <c r="AY2011" i="1"/>
  <c r="AY2010" i="1"/>
  <c r="AY2009" i="1"/>
  <c r="AY2008" i="1"/>
  <c r="AY2007" i="1"/>
  <c r="AY2006" i="1"/>
  <c r="AY2005" i="1"/>
  <c r="AY2004" i="1"/>
  <c r="AY2003" i="1"/>
  <c r="AY2002" i="1"/>
  <c r="AY2001" i="1"/>
  <c r="AY2000" i="1"/>
  <c r="AY1999" i="1"/>
  <c r="AY1998" i="1"/>
  <c r="AY1997" i="1"/>
  <c r="AY1996" i="1"/>
  <c r="AY1995" i="1"/>
  <c r="AY1994" i="1"/>
  <c r="AY1993" i="1"/>
  <c r="AY1992" i="1"/>
  <c r="AY1991" i="1"/>
  <c r="AY1990" i="1"/>
  <c r="AY1989" i="1"/>
  <c r="AY1988" i="1"/>
  <c r="AY1987" i="1"/>
  <c r="AY1986" i="1"/>
  <c r="AY1985" i="1"/>
  <c r="AY1984" i="1"/>
  <c r="AY1983" i="1"/>
  <c r="AY1982" i="1"/>
  <c r="AY1981" i="1"/>
  <c r="AY1980" i="1"/>
  <c r="AY1979" i="1"/>
  <c r="AY1978" i="1"/>
  <c r="AY1977" i="1"/>
  <c r="AY1976" i="1"/>
  <c r="AY1975" i="1"/>
  <c r="AY1974" i="1"/>
  <c r="AY1973" i="1"/>
  <c r="AY1972" i="1"/>
  <c r="AY1971" i="1"/>
  <c r="AY1970" i="1"/>
  <c r="AY1969" i="1"/>
  <c r="AY1968" i="1"/>
  <c r="AY1967" i="1"/>
  <c r="AY1966" i="1"/>
  <c r="AY1965" i="1"/>
  <c r="AY1964" i="1"/>
  <c r="AY1963" i="1"/>
  <c r="AY1962" i="1"/>
  <c r="AY1961" i="1"/>
  <c r="AY1960" i="1"/>
  <c r="AY1959" i="1"/>
  <c r="AY1958" i="1"/>
  <c r="AY1957" i="1"/>
  <c r="AY1956" i="1"/>
  <c r="AY1955" i="1"/>
  <c r="AY1954" i="1"/>
  <c r="AY1953" i="1"/>
  <c r="AY1952" i="1"/>
  <c r="AY1951" i="1"/>
  <c r="AY1950" i="1"/>
  <c r="AY1949" i="1"/>
  <c r="AY1948" i="1"/>
  <c r="AY1947" i="1"/>
  <c r="AY1946" i="1"/>
  <c r="AY1945" i="1"/>
  <c r="AY1944" i="1"/>
  <c r="AY1943" i="1"/>
  <c r="AY1942" i="1"/>
  <c r="AY1941" i="1"/>
  <c r="AY1940" i="1"/>
  <c r="AY1939" i="1"/>
  <c r="AY1938" i="1"/>
  <c r="AY1937" i="1"/>
  <c r="AY1936" i="1"/>
  <c r="AY1935" i="1"/>
  <c r="AY1934" i="1"/>
  <c r="AY1933" i="1"/>
  <c r="AY1932" i="1"/>
  <c r="AY1931" i="1"/>
  <c r="AY1930" i="1"/>
  <c r="AY1929" i="1"/>
  <c r="AY1928" i="1"/>
  <c r="AY1927" i="1"/>
  <c r="AY1926" i="1"/>
  <c r="AY1925" i="1"/>
  <c r="AY1924" i="1"/>
  <c r="AY1923" i="1"/>
  <c r="AY1922" i="1"/>
  <c r="AY1921" i="1"/>
  <c r="AY1920" i="1"/>
  <c r="AY1919" i="1"/>
  <c r="AY1918" i="1"/>
  <c r="AY1917" i="1"/>
  <c r="AY1916" i="1"/>
  <c r="AY1915" i="1"/>
  <c r="AY1914" i="1"/>
  <c r="AY1913" i="1"/>
  <c r="AY1912" i="1"/>
  <c r="AY1911" i="1"/>
  <c r="AY1910" i="1"/>
  <c r="AY1909" i="1"/>
  <c r="AY1908" i="1"/>
  <c r="AY1907" i="1"/>
  <c r="AY1906" i="1"/>
  <c r="AY1905" i="1"/>
  <c r="AY1904" i="1"/>
  <c r="AY1903" i="1"/>
  <c r="AY1902" i="1"/>
  <c r="AY1901" i="1"/>
  <c r="AY1900" i="1"/>
  <c r="AY1899" i="1"/>
  <c r="AY1898" i="1"/>
  <c r="AY1897" i="1"/>
  <c r="AY1896" i="1"/>
  <c r="AY1895" i="1"/>
  <c r="AY1894" i="1"/>
  <c r="AY1893" i="1"/>
  <c r="AY1892" i="1"/>
  <c r="AY1891" i="1"/>
  <c r="AY1890" i="1"/>
  <c r="AY1889" i="1"/>
  <c r="AY1888" i="1"/>
  <c r="AY1887" i="1"/>
  <c r="AY1886" i="1"/>
  <c r="AY1885" i="1"/>
  <c r="AY1884" i="1"/>
  <c r="AY1883" i="1"/>
  <c r="AY1882" i="1"/>
  <c r="AY1881" i="1"/>
  <c r="AY1880" i="1"/>
  <c r="AY1879" i="1"/>
  <c r="AY1878" i="1"/>
  <c r="AY1877" i="1"/>
  <c r="AY1876" i="1"/>
  <c r="AY1875" i="1"/>
  <c r="AY1874" i="1"/>
  <c r="AY1873" i="1"/>
  <c r="AY1872" i="1"/>
  <c r="AY1871" i="1"/>
  <c r="AY1870" i="1"/>
  <c r="AY1869" i="1"/>
  <c r="AY1868" i="1"/>
  <c r="AY1867" i="1"/>
  <c r="AY1866" i="1"/>
  <c r="AY1865" i="1"/>
  <c r="AY1864" i="1"/>
  <c r="AY1863" i="1"/>
  <c r="AY1862" i="1"/>
  <c r="AY1861" i="1"/>
  <c r="AY1860" i="1"/>
  <c r="AY1859" i="1"/>
  <c r="AY1858" i="1"/>
  <c r="AY1857" i="1"/>
  <c r="AY1856" i="1"/>
  <c r="AY1855" i="1"/>
  <c r="AY1854" i="1"/>
  <c r="AY1853" i="1"/>
  <c r="AY1852" i="1"/>
  <c r="AY1851" i="1"/>
  <c r="AY1850" i="1"/>
  <c r="AY1849" i="1"/>
  <c r="AY1848" i="1"/>
  <c r="AY1847" i="1"/>
  <c r="AY1846" i="1"/>
  <c r="AY1845" i="1"/>
  <c r="AY1844" i="1"/>
  <c r="AY1843" i="1"/>
  <c r="AY1842" i="1"/>
  <c r="AY1841" i="1"/>
  <c r="AY1840" i="1"/>
  <c r="AY1839" i="1"/>
  <c r="AY1838" i="1"/>
  <c r="AY1837" i="1"/>
  <c r="AY1836" i="1"/>
  <c r="AY1835" i="1"/>
  <c r="AY1834" i="1"/>
  <c r="AY1833" i="1"/>
  <c r="AY1832" i="1"/>
  <c r="AY1831" i="1"/>
  <c r="AY1830" i="1"/>
  <c r="AY1829" i="1"/>
  <c r="AY1828" i="1"/>
  <c r="AY1827" i="1"/>
  <c r="AY1826" i="1"/>
  <c r="AY1825" i="1"/>
  <c r="AY1824" i="1"/>
  <c r="AY1823" i="1"/>
  <c r="AY1822" i="1"/>
  <c r="AY1821" i="1"/>
  <c r="AY1820" i="1"/>
  <c r="AY1819" i="1"/>
  <c r="AY1818" i="1"/>
  <c r="AY1817" i="1"/>
  <c r="AY1816" i="1"/>
  <c r="AY1815" i="1"/>
  <c r="AY1814" i="1"/>
  <c r="AY1813" i="1"/>
  <c r="AY1812" i="1"/>
  <c r="AY1811" i="1"/>
  <c r="AY1810" i="1"/>
  <c r="AY1809" i="1"/>
  <c r="AY1808" i="1"/>
  <c r="AY1807" i="1"/>
  <c r="AY1806" i="1"/>
  <c r="AY1805" i="1"/>
  <c r="AY1804" i="1"/>
  <c r="AY1803" i="1"/>
  <c r="AY1802" i="1"/>
  <c r="AY1801" i="1"/>
  <c r="AY1800" i="1"/>
  <c r="AY1799" i="1"/>
  <c r="AY1798" i="1"/>
  <c r="AY1797" i="1"/>
  <c r="AY1796" i="1"/>
  <c r="AY1795" i="1"/>
  <c r="AY1794" i="1"/>
  <c r="AY1793" i="1"/>
  <c r="AY1792" i="1"/>
  <c r="AY1791" i="1"/>
  <c r="AY1790" i="1"/>
  <c r="AY1789" i="1"/>
  <c r="AY1788" i="1"/>
  <c r="AY1787" i="1"/>
  <c r="AY1786" i="1"/>
  <c r="AY1785" i="1"/>
  <c r="AY1784" i="1"/>
  <c r="AY1783" i="1"/>
  <c r="AY1782" i="1"/>
  <c r="AY1781" i="1"/>
  <c r="AY1780" i="1"/>
  <c r="AY1779" i="1"/>
  <c r="AY1778" i="1"/>
  <c r="AY1777" i="1"/>
  <c r="AY1776" i="1"/>
  <c r="AY1775" i="1"/>
  <c r="AY1774" i="1"/>
  <c r="AY1773" i="1"/>
  <c r="AY1772" i="1"/>
  <c r="AY1771" i="1"/>
  <c r="AY1770" i="1"/>
  <c r="AY1769" i="1"/>
  <c r="AY1768" i="1"/>
  <c r="AY1767" i="1"/>
  <c r="AY1766" i="1"/>
  <c r="AY1765" i="1"/>
  <c r="AY1764" i="1"/>
  <c r="AY1763" i="1"/>
  <c r="AY1762" i="1"/>
  <c r="AY1761" i="1"/>
  <c r="AY1760" i="1"/>
  <c r="AY1759" i="1"/>
  <c r="AY1758" i="1"/>
  <c r="AY1757" i="1"/>
  <c r="AY1756" i="1"/>
  <c r="AY1755" i="1"/>
  <c r="AY1754" i="1"/>
  <c r="AY1753" i="1"/>
  <c r="AY1752" i="1"/>
  <c r="AY1751" i="1"/>
  <c r="AY1750" i="1"/>
  <c r="AY1749" i="1"/>
  <c r="AY1748" i="1"/>
  <c r="AY1747" i="1"/>
  <c r="AY1746" i="1"/>
  <c r="AY1745" i="1"/>
  <c r="AY1744" i="1"/>
  <c r="AY1743" i="1"/>
  <c r="AY1742" i="1"/>
  <c r="AY1741" i="1"/>
  <c r="AY1740" i="1"/>
  <c r="AY1739" i="1"/>
  <c r="AY1738" i="1"/>
  <c r="AY1737" i="1"/>
  <c r="AY1736" i="1"/>
  <c r="AY1735" i="1"/>
  <c r="AY1734" i="1"/>
  <c r="AY1733" i="1"/>
  <c r="AY1732" i="1"/>
  <c r="AY1731" i="1"/>
  <c r="AY1730" i="1"/>
  <c r="AY1729" i="1"/>
  <c r="AY1728" i="1"/>
  <c r="AY1727" i="1"/>
  <c r="AY1726" i="1"/>
  <c r="AY1725" i="1"/>
  <c r="AY1724" i="1"/>
  <c r="AY1723" i="1"/>
  <c r="AY1722" i="1"/>
  <c r="AY1721" i="1"/>
  <c r="AY1720" i="1"/>
  <c r="AY1719" i="1"/>
  <c r="AY1718" i="1"/>
  <c r="AY1717" i="1"/>
  <c r="AY1716" i="1"/>
  <c r="AY1715" i="1"/>
  <c r="AY1714" i="1"/>
  <c r="AY1713" i="1"/>
  <c r="AY1712" i="1"/>
  <c r="AY1711" i="1"/>
  <c r="AY1710" i="1"/>
  <c r="AY1709" i="1"/>
  <c r="AY1708" i="1"/>
  <c r="AY1707" i="1"/>
  <c r="AY1706" i="1"/>
  <c r="AY1705" i="1"/>
  <c r="AY1704" i="1"/>
  <c r="AY1703" i="1"/>
  <c r="AY1702" i="1"/>
  <c r="AY1701" i="1"/>
  <c r="AY1700" i="1"/>
  <c r="AY1699" i="1"/>
  <c r="AY1698" i="1"/>
  <c r="AY1697" i="1"/>
  <c r="AY1696" i="1"/>
  <c r="AY1695" i="1"/>
  <c r="AY1694" i="1"/>
  <c r="AY1693" i="1"/>
  <c r="AY1692" i="1"/>
  <c r="AY1691" i="1"/>
  <c r="AY1690" i="1"/>
  <c r="AY1689" i="1"/>
  <c r="AY1688" i="1"/>
  <c r="AY1687" i="1"/>
  <c r="AY1686" i="1"/>
  <c r="AY1685" i="1"/>
  <c r="AY1684" i="1"/>
  <c r="AY1683" i="1"/>
  <c r="AY1682" i="1"/>
  <c r="AY1681" i="1"/>
  <c r="AY1680" i="1"/>
  <c r="AY1679" i="1"/>
  <c r="AY1678" i="1"/>
  <c r="AY1677" i="1"/>
  <c r="AY1676" i="1"/>
  <c r="AY1675" i="1"/>
  <c r="AY1674" i="1"/>
  <c r="AY1673" i="1"/>
  <c r="AY1672" i="1"/>
  <c r="AY1671" i="1"/>
  <c r="AY1670" i="1"/>
  <c r="AY1669" i="1"/>
  <c r="AY1668" i="1"/>
  <c r="AY1667" i="1"/>
  <c r="AY1666" i="1"/>
  <c r="AY1665" i="1"/>
  <c r="AY1664" i="1"/>
  <c r="AY1663" i="1"/>
  <c r="AY1662" i="1"/>
  <c r="AY1661" i="1"/>
  <c r="AY1660" i="1"/>
  <c r="AY1659" i="1"/>
  <c r="AY1658" i="1"/>
  <c r="AY1657" i="1"/>
  <c r="AY1656" i="1"/>
  <c r="AY1655" i="1"/>
  <c r="AY1654" i="1"/>
  <c r="AY1653" i="1"/>
  <c r="AY1652" i="1"/>
  <c r="AY1651" i="1"/>
  <c r="AY1650" i="1"/>
  <c r="AY1649" i="1"/>
  <c r="AY1648" i="1"/>
  <c r="AY1647" i="1"/>
  <c r="AY1646" i="1"/>
  <c r="AY1645" i="1"/>
  <c r="AY1644" i="1"/>
  <c r="AY1643" i="1"/>
  <c r="AY1642" i="1"/>
  <c r="AY1641" i="1"/>
  <c r="AY1640" i="1"/>
  <c r="AY1639" i="1"/>
  <c r="AY1638" i="1"/>
  <c r="AY1637" i="1"/>
  <c r="AY1636" i="1"/>
  <c r="AY1635" i="1"/>
  <c r="AY1634" i="1"/>
  <c r="AY1633" i="1"/>
  <c r="AY1632" i="1"/>
  <c r="AY1631" i="1"/>
  <c r="AY1630" i="1"/>
  <c r="AY1629" i="1"/>
  <c r="AY1628" i="1"/>
  <c r="AY1627" i="1"/>
  <c r="AY1626" i="1"/>
  <c r="AY1625" i="1"/>
  <c r="AY1624" i="1"/>
  <c r="AY1623" i="1"/>
  <c r="AY1622" i="1"/>
  <c r="AY1621" i="1"/>
  <c r="AY1620" i="1"/>
  <c r="AY1619" i="1"/>
  <c r="AY1618" i="1"/>
  <c r="AY1617" i="1"/>
  <c r="AY1616" i="1"/>
  <c r="AY1615" i="1"/>
  <c r="AY1614" i="1"/>
  <c r="AY1613" i="1"/>
  <c r="AY1612" i="1"/>
  <c r="AY1611" i="1"/>
  <c r="AY1610" i="1"/>
  <c r="AY1609" i="1"/>
  <c r="AY1608" i="1"/>
  <c r="AY1607" i="1"/>
  <c r="AY1606" i="1"/>
  <c r="AY1605" i="1"/>
  <c r="AY1604" i="1"/>
  <c r="AY1603" i="1"/>
  <c r="AY1602" i="1"/>
  <c r="AY1601" i="1"/>
  <c r="AY1600" i="1"/>
  <c r="AY1599" i="1"/>
  <c r="AY1598" i="1"/>
  <c r="AY1597" i="1"/>
  <c r="AY1596" i="1"/>
  <c r="AY1595" i="1"/>
  <c r="AY1594" i="1"/>
  <c r="AY1593" i="1"/>
  <c r="AY1592" i="1"/>
  <c r="AY1591" i="1"/>
  <c r="AY1590" i="1"/>
  <c r="AY1589" i="1"/>
  <c r="AY1588" i="1"/>
  <c r="AY1587" i="1"/>
  <c r="AY1586" i="1"/>
  <c r="AY1585" i="1"/>
  <c r="AY1584" i="1"/>
  <c r="AY1583" i="1"/>
  <c r="AY1582" i="1"/>
  <c r="AY1581" i="1"/>
  <c r="AY1580" i="1"/>
  <c r="AY1579" i="1"/>
  <c r="AY1578" i="1"/>
  <c r="AY1577" i="1"/>
  <c r="AY1576" i="1"/>
  <c r="AY1575" i="1"/>
  <c r="AY1574" i="1"/>
  <c r="AY1573" i="1"/>
  <c r="AY1572" i="1"/>
  <c r="AY1571" i="1"/>
  <c r="AY1570" i="1"/>
  <c r="AY1569" i="1"/>
  <c r="AY1568" i="1"/>
  <c r="AY1567" i="1"/>
  <c r="AY1566" i="1"/>
  <c r="AY1565" i="1"/>
  <c r="AY1564" i="1"/>
  <c r="AY1563" i="1"/>
  <c r="AY1562" i="1"/>
  <c r="AY1561" i="1"/>
  <c r="AY1560" i="1"/>
  <c r="AY1559" i="1"/>
  <c r="AY1558" i="1"/>
  <c r="AY1557" i="1"/>
  <c r="AY1556" i="1"/>
  <c r="AY1555" i="1"/>
  <c r="AY1554" i="1"/>
  <c r="AY1553" i="1"/>
  <c r="AY1552" i="1"/>
  <c r="AY1551" i="1"/>
  <c r="AY1550" i="1"/>
  <c r="AY1549" i="1"/>
  <c r="AY1548" i="1"/>
  <c r="AY1547" i="1"/>
  <c r="AY1546" i="1"/>
  <c r="AY1545" i="1"/>
  <c r="AY1544" i="1"/>
  <c r="AY1543" i="1"/>
  <c r="AY1542" i="1"/>
  <c r="AY1541" i="1"/>
  <c r="AY1540" i="1"/>
  <c r="AY1539" i="1"/>
  <c r="AY1538" i="1"/>
  <c r="AY1537" i="1"/>
  <c r="AY1536" i="1"/>
  <c r="AY1535" i="1"/>
  <c r="AY1534" i="1"/>
  <c r="AY1533" i="1"/>
  <c r="AY1532" i="1"/>
  <c r="AY1531" i="1"/>
  <c r="AY1530" i="1"/>
  <c r="AY1529" i="1"/>
  <c r="AY1528" i="1"/>
  <c r="AY1527" i="1"/>
  <c r="AY1526" i="1"/>
  <c r="AY1525" i="1"/>
  <c r="AY1524" i="1"/>
  <c r="AY1523" i="1"/>
  <c r="AY1522" i="1"/>
  <c r="AY1521" i="1"/>
  <c r="AY1520" i="1"/>
  <c r="AY1519" i="1"/>
  <c r="AY1518" i="1"/>
  <c r="AY1517" i="1"/>
  <c r="AY1516" i="1"/>
  <c r="AY1515" i="1"/>
  <c r="AY1514" i="1"/>
  <c r="AY1513" i="1"/>
  <c r="AY1512" i="1"/>
  <c r="AY1511" i="1"/>
  <c r="AY1510" i="1"/>
  <c r="AY1509" i="1"/>
  <c r="AY1508" i="1"/>
  <c r="AY1507" i="1"/>
  <c r="AY1506" i="1"/>
  <c r="AY1505" i="1"/>
  <c r="AY1504" i="1"/>
  <c r="AY1503" i="1"/>
  <c r="AY1502" i="1"/>
  <c r="AY1501" i="1"/>
  <c r="AY1500" i="1"/>
  <c r="AY1499" i="1"/>
  <c r="AY1498" i="1"/>
  <c r="AY1497" i="1"/>
  <c r="AY1496" i="1"/>
  <c r="AY1495" i="1"/>
  <c r="AY1494" i="1"/>
  <c r="AY1493" i="1"/>
  <c r="AY1492" i="1"/>
  <c r="AY1491" i="1"/>
  <c r="AY1490" i="1"/>
  <c r="AY1489" i="1"/>
  <c r="AY1488" i="1"/>
  <c r="AY1487" i="1"/>
  <c r="AY1486" i="1"/>
  <c r="AY1485" i="1"/>
  <c r="AY1484" i="1"/>
  <c r="AY1483" i="1"/>
  <c r="AY1482" i="1"/>
  <c r="AY1481" i="1"/>
  <c r="AY1480" i="1"/>
  <c r="AY1479" i="1"/>
  <c r="AY1478" i="1"/>
  <c r="AY1477" i="1"/>
  <c r="AY1476" i="1"/>
  <c r="AY1475" i="1"/>
  <c r="AY1474" i="1"/>
  <c r="AY1473" i="1"/>
  <c r="AY1472" i="1"/>
  <c r="AY1471" i="1"/>
  <c r="AY1470" i="1"/>
  <c r="AY1469" i="1"/>
  <c r="AY1468" i="1"/>
  <c r="AY1467" i="1"/>
  <c r="AY1466" i="1"/>
  <c r="AY1465" i="1"/>
  <c r="AY1464" i="1"/>
  <c r="AY1463" i="1"/>
  <c r="AY1462" i="1"/>
  <c r="AY1461" i="1"/>
  <c r="AY1460" i="1"/>
  <c r="AY1459" i="1"/>
  <c r="AY1458" i="1"/>
  <c r="AY1457" i="1"/>
  <c r="AY1456" i="1"/>
  <c r="AY1455" i="1"/>
  <c r="AY1454" i="1"/>
  <c r="AY1453" i="1"/>
  <c r="AY1452" i="1"/>
  <c r="AY1451" i="1"/>
  <c r="AY1450" i="1"/>
  <c r="AY1449" i="1"/>
  <c r="AY1448" i="1"/>
  <c r="AY1447" i="1"/>
  <c r="AY1446" i="1"/>
  <c r="AY1445" i="1"/>
  <c r="AY1444" i="1"/>
  <c r="AY1443" i="1"/>
  <c r="AY1442" i="1"/>
  <c r="AY1441" i="1"/>
  <c r="AY1440" i="1"/>
  <c r="AY1439" i="1"/>
  <c r="AY1438" i="1"/>
  <c r="AY1437" i="1"/>
  <c r="AY1436" i="1"/>
  <c r="AY1435" i="1"/>
  <c r="AY1434" i="1"/>
  <c r="AY1433" i="1"/>
  <c r="AY1432" i="1"/>
  <c r="AY1431" i="1"/>
  <c r="AY1430" i="1"/>
  <c r="AY1429" i="1"/>
  <c r="AY1428" i="1"/>
  <c r="AY1427" i="1"/>
  <c r="AY1426" i="1"/>
  <c r="AY1425" i="1"/>
  <c r="AY1424" i="1"/>
  <c r="AY1423" i="1"/>
  <c r="AY1422" i="1"/>
  <c r="AY1421" i="1"/>
  <c r="AY1420" i="1"/>
  <c r="AY1419" i="1"/>
  <c r="AY1418" i="1"/>
  <c r="AY1417" i="1"/>
  <c r="AY1416" i="1"/>
  <c r="AY1415" i="1"/>
  <c r="AY1414" i="1"/>
  <c r="AY1413" i="1"/>
  <c r="AY1412" i="1"/>
  <c r="AY1411" i="1"/>
  <c r="AY1410" i="1"/>
  <c r="AY1409" i="1"/>
  <c r="AY1408" i="1"/>
  <c r="AY1407" i="1"/>
  <c r="AY1406" i="1"/>
  <c r="AY1405" i="1"/>
  <c r="AY1404" i="1"/>
  <c r="AY1403" i="1"/>
  <c r="AY1402" i="1"/>
  <c r="AY1401" i="1"/>
  <c r="AY1400" i="1"/>
  <c r="AY1399" i="1"/>
  <c r="AY1398" i="1"/>
  <c r="AY1397" i="1"/>
  <c r="AY1396" i="1"/>
  <c r="AY1395" i="1"/>
  <c r="AY1394" i="1"/>
  <c r="AY1393" i="1"/>
  <c r="AY1392" i="1"/>
  <c r="AY1391" i="1"/>
  <c r="AY1390" i="1"/>
  <c r="AY1389" i="1"/>
  <c r="AY1388" i="1"/>
  <c r="AY1387" i="1"/>
  <c r="AY1386" i="1"/>
  <c r="AY1385" i="1"/>
  <c r="AY1384" i="1"/>
  <c r="AY1383" i="1"/>
  <c r="AY1382" i="1"/>
  <c r="AY1381" i="1"/>
  <c r="AY1380" i="1"/>
  <c r="AY1379" i="1"/>
  <c r="AY1378" i="1"/>
  <c r="AY1377" i="1"/>
  <c r="AY1376" i="1"/>
  <c r="AY1375" i="1"/>
  <c r="AY1374" i="1"/>
  <c r="AY1373" i="1"/>
  <c r="AY1372" i="1"/>
  <c r="AY1371" i="1"/>
  <c r="AY1370" i="1"/>
  <c r="AY1369" i="1"/>
  <c r="AY1368" i="1"/>
  <c r="AY1367" i="1"/>
  <c r="AY1366" i="1"/>
  <c r="AY1365" i="1"/>
  <c r="AY1364" i="1"/>
  <c r="AY1363" i="1"/>
  <c r="AY1362" i="1"/>
  <c r="AY1361" i="1"/>
  <c r="AY1360" i="1"/>
  <c r="AY1359" i="1"/>
  <c r="AY1358" i="1"/>
  <c r="AY1357" i="1"/>
  <c r="AY1356" i="1"/>
  <c r="AY1355" i="1"/>
  <c r="AY1354" i="1"/>
  <c r="AY1353" i="1"/>
  <c r="AY1352" i="1"/>
  <c r="AY1351" i="1"/>
  <c r="AY1350" i="1"/>
  <c r="AY1349" i="1"/>
  <c r="AY1348" i="1"/>
  <c r="AY1347" i="1"/>
  <c r="AY1346" i="1"/>
  <c r="AY1345" i="1"/>
  <c r="AY1344" i="1"/>
  <c r="AY1343" i="1"/>
  <c r="AY1342" i="1"/>
  <c r="AY1341" i="1"/>
  <c r="AY1340" i="1"/>
  <c r="AY1339" i="1"/>
  <c r="AY1338" i="1"/>
  <c r="AY1337" i="1"/>
  <c r="AY1336" i="1"/>
  <c r="AY1335" i="1"/>
  <c r="AY1334" i="1"/>
  <c r="AY1333" i="1"/>
  <c r="AY1332" i="1"/>
  <c r="AY1331" i="1"/>
  <c r="AY1330" i="1"/>
  <c r="AY1329" i="1"/>
  <c r="AY1328" i="1"/>
  <c r="AY1327" i="1"/>
  <c r="AY1326" i="1"/>
  <c r="AY1325" i="1"/>
  <c r="AY1324" i="1"/>
  <c r="AY1323" i="1"/>
  <c r="AY1322" i="1"/>
  <c r="AY1321" i="1"/>
  <c r="AY1320" i="1"/>
  <c r="AY1319" i="1"/>
  <c r="AY1318" i="1"/>
  <c r="AY1317" i="1"/>
  <c r="AY1316" i="1"/>
  <c r="AY1315" i="1"/>
  <c r="AY1314" i="1"/>
  <c r="AY1313" i="1"/>
  <c r="AY1312" i="1"/>
  <c r="AY1311" i="1"/>
  <c r="AY1310" i="1"/>
  <c r="AY1309" i="1"/>
  <c r="AY1308" i="1"/>
  <c r="AY1307" i="1"/>
  <c r="AY1306" i="1"/>
  <c r="AY1305" i="1"/>
  <c r="AY1304" i="1"/>
  <c r="AY1303" i="1"/>
  <c r="AY1302" i="1"/>
  <c r="AY1301" i="1"/>
  <c r="AY1300" i="1"/>
  <c r="AY1299" i="1"/>
  <c r="AY1298" i="1"/>
  <c r="AY1297" i="1"/>
  <c r="AY1296" i="1"/>
  <c r="AY1295" i="1"/>
  <c r="AY1294" i="1"/>
  <c r="AY1293" i="1"/>
  <c r="AY1292" i="1"/>
  <c r="AY1291" i="1"/>
  <c r="AY1290" i="1"/>
  <c r="AY1289" i="1"/>
  <c r="AY1288" i="1"/>
  <c r="AY1287" i="1"/>
  <c r="AY1286" i="1"/>
  <c r="AY1285" i="1"/>
  <c r="AY1284" i="1"/>
  <c r="AY1283" i="1"/>
  <c r="AY1282" i="1"/>
  <c r="AY1281" i="1"/>
  <c r="AY1280" i="1"/>
  <c r="AY1279" i="1"/>
  <c r="AY1278" i="1"/>
  <c r="AY1277" i="1"/>
  <c r="AY1276" i="1"/>
  <c r="AY1275" i="1"/>
  <c r="AY1274" i="1"/>
  <c r="AY1273" i="1"/>
  <c r="AY1272" i="1"/>
  <c r="AY1271" i="1"/>
  <c r="AY1270" i="1"/>
  <c r="AY1269" i="1"/>
  <c r="AY1268" i="1"/>
  <c r="AY1267" i="1"/>
  <c r="AY1266" i="1"/>
  <c r="AY1265" i="1"/>
  <c r="AY1264" i="1"/>
  <c r="AY1263" i="1"/>
  <c r="AY1262" i="1"/>
  <c r="AY1261" i="1"/>
  <c r="AY1260" i="1"/>
  <c r="AY1259" i="1"/>
  <c r="AY1258" i="1"/>
  <c r="AY1257" i="1"/>
  <c r="AY1256" i="1"/>
  <c r="AY1255" i="1"/>
  <c r="AY1254" i="1"/>
  <c r="AY1253" i="1"/>
  <c r="AY1252" i="1"/>
  <c r="AY1251" i="1"/>
  <c r="AY1250" i="1"/>
  <c r="AY1249" i="1"/>
  <c r="AY1248" i="1"/>
  <c r="AY1247" i="1"/>
  <c r="AY1246" i="1"/>
  <c r="AY1245" i="1"/>
  <c r="AY1244" i="1"/>
  <c r="AY1243" i="1"/>
  <c r="AY1242" i="1"/>
  <c r="AY1241" i="1"/>
  <c r="AY1240" i="1"/>
  <c r="AY1239" i="1"/>
  <c r="AY1238" i="1"/>
  <c r="AY1237" i="1"/>
  <c r="AY1236" i="1"/>
  <c r="AY1235" i="1"/>
  <c r="AY1234" i="1"/>
  <c r="AY1233" i="1"/>
  <c r="AY1232" i="1"/>
  <c r="AY1231" i="1"/>
  <c r="AY1230" i="1"/>
  <c r="AY1229" i="1"/>
  <c r="AY1228" i="1"/>
  <c r="AY1227" i="1"/>
  <c r="AY1226" i="1"/>
  <c r="AY1225" i="1"/>
  <c r="AY1224" i="1"/>
  <c r="AY1223" i="1"/>
  <c r="AY1222" i="1"/>
  <c r="AY1221" i="1"/>
  <c r="AY1220" i="1"/>
  <c r="AY1219" i="1"/>
  <c r="AY1218" i="1"/>
  <c r="AY1217" i="1"/>
  <c r="AY1216" i="1"/>
  <c r="AY1215" i="1"/>
  <c r="AY1214" i="1"/>
  <c r="AY1213" i="1"/>
  <c r="AY1212" i="1"/>
  <c r="AY1211" i="1"/>
  <c r="AY1210" i="1"/>
  <c r="AY1209" i="1"/>
  <c r="AY1208" i="1"/>
  <c r="AY1207" i="1"/>
  <c r="AY1206" i="1"/>
  <c r="AY1205" i="1"/>
  <c r="AY1204" i="1"/>
  <c r="AY1203" i="1"/>
  <c r="AY1202" i="1"/>
  <c r="AY1201" i="1"/>
  <c r="AY1200" i="1"/>
  <c r="AY1199" i="1"/>
  <c r="AY1198" i="1"/>
  <c r="AY1197" i="1"/>
  <c r="AY1196" i="1"/>
  <c r="AY1195" i="1"/>
  <c r="AY1194" i="1"/>
  <c r="AY1193" i="1"/>
  <c r="AY1192" i="1"/>
  <c r="AY1191" i="1"/>
  <c r="AY1190" i="1"/>
  <c r="AY1189" i="1"/>
  <c r="AY1188" i="1"/>
  <c r="AY1187" i="1"/>
  <c r="AY1186" i="1"/>
  <c r="AY1185" i="1"/>
  <c r="AY1184" i="1"/>
  <c r="AY1183" i="1"/>
  <c r="AY1182" i="1"/>
  <c r="AY1181" i="1"/>
  <c r="AY1180" i="1"/>
  <c r="AY1179" i="1"/>
  <c r="AY1178" i="1"/>
  <c r="AY1177" i="1"/>
  <c r="AY1176" i="1"/>
  <c r="AY1175" i="1"/>
  <c r="AY1174" i="1"/>
  <c r="AY1173" i="1"/>
  <c r="AY1172" i="1"/>
  <c r="AY1171" i="1"/>
  <c r="AY1170" i="1"/>
  <c r="AY1169" i="1"/>
  <c r="AY1168" i="1"/>
  <c r="AY1167" i="1"/>
  <c r="AY1166" i="1"/>
  <c r="AY1165" i="1"/>
  <c r="AY1164" i="1"/>
  <c r="AY1163" i="1"/>
  <c r="AY1162" i="1"/>
  <c r="AY1161" i="1"/>
  <c r="AY1160" i="1"/>
  <c r="AY1159" i="1"/>
  <c r="AY1158" i="1"/>
  <c r="AY1157" i="1"/>
  <c r="AY1156" i="1"/>
  <c r="AY1155" i="1"/>
  <c r="AY1154" i="1"/>
  <c r="AY1153" i="1"/>
  <c r="AY1152" i="1"/>
  <c r="AY1151" i="1"/>
  <c r="AY1150" i="1"/>
  <c r="AY1149" i="1"/>
  <c r="AY1148" i="1"/>
  <c r="AY1147" i="1"/>
  <c r="AY1146" i="1"/>
  <c r="AY1145" i="1"/>
  <c r="AY1144" i="1"/>
  <c r="AY1143" i="1"/>
  <c r="AY1142" i="1"/>
  <c r="AY1141" i="1"/>
  <c r="AY1140" i="1"/>
  <c r="AY1139" i="1"/>
  <c r="AY1138" i="1"/>
  <c r="AY1137" i="1"/>
  <c r="AY1136" i="1"/>
  <c r="AY1135" i="1"/>
  <c r="AY1134" i="1"/>
  <c r="AY1133" i="1"/>
  <c r="AY1132" i="1"/>
  <c r="AY1131" i="1"/>
  <c r="AY1130" i="1"/>
  <c r="AY1129" i="1"/>
  <c r="AY1128" i="1"/>
  <c r="AY1127" i="1"/>
  <c r="AY1126" i="1"/>
  <c r="AY1125" i="1"/>
  <c r="AY1124" i="1"/>
  <c r="AY1123" i="1"/>
  <c r="AY1122" i="1"/>
  <c r="AY1121" i="1"/>
  <c r="AY1120" i="1"/>
  <c r="AY1119" i="1"/>
  <c r="AY1118" i="1"/>
  <c r="AY1117" i="1"/>
  <c r="AY1116" i="1"/>
  <c r="AY1115" i="1"/>
  <c r="AY1114" i="1"/>
  <c r="AY1113" i="1"/>
  <c r="AY1112" i="1"/>
  <c r="AY1111" i="1"/>
  <c r="AY1110" i="1"/>
  <c r="AY1109" i="1"/>
  <c r="AY1108" i="1"/>
  <c r="AY1107" i="1"/>
  <c r="AY1106" i="1"/>
  <c r="AY1105" i="1"/>
  <c r="AY1104" i="1"/>
  <c r="AY1103" i="1"/>
  <c r="AY1102" i="1"/>
  <c r="AY1101" i="1"/>
  <c r="AY1100" i="1"/>
  <c r="AY1099" i="1"/>
  <c r="AY1098" i="1"/>
  <c r="AY1097" i="1"/>
  <c r="AY1096" i="1"/>
  <c r="AY1095" i="1"/>
  <c r="AY1094" i="1"/>
  <c r="AY1093" i="1"/>
  <c r="AY1092" i="1"/>
  <c r="AY1091" i="1"/>
  <c r="AY1090" i="1"/>
  <c r="AY1089" i="1"/>
  <c r="AY1088" i="1"/>
  <c r="AY1087" i="1"/>
  <c r="AY1086" i="1"/>
  <c r="AY1085" i="1"/>
  <c r="AY1084" i="1"/>
  <c r="AY1083" i="1"/>
  <c r="AY1082" i="1"/>
  <c r="AY1081" i="1"/>
  <c r="AY1080" i="1"/>
  <c r="AY1079" i="1"/>
  <c r="AY1078" i="1"/>
  <c r="AY1077" i="1"/>
  <c r="AY1076" i="1"/>
  <c r="AY1075" i="1"/>
  <c r="AY1074" i="1"/>
  <c r="AY1073" i="1"/>
  <c r="AY1072" i="1"/>
  <c r="AY1071" i="1"/>
  <c r="AY1070" i="1"/>
  <c r="AY1069" i="1"/>
  <c r="AY1068" i="1"/>
  <c r="AY1067" i="1"/>
  <c r="AY1066" i="1"/>
  <c r="AY1065" i="1"/>
  <c r="AY1064" i="1"/>
  <c r="AY1063" i="1"/>
  <c r="AY1062" i="1"/>
  <c r="AY1061" i="1"/>
  <c r="AY1060" i="1"/>
  <c r="AY1059" i="1"/>
  <c r="AY1058" i="1"/>
  <c r="AY1057" i="1"/>
  <c r="AY1056" i="1"/>
  <c r="AY1055" i="1"/>
  <c r="AY1054" i="1"/>
  <c r="AY1053" i="1"/>
  <c r="AY1052" i="1"/>
  <c r="AY1051" i="1"/>
  <c r="AY1050" i="1"/>
  <c r="AY1049" i="1"/>
  <c r="AY1048" i="1"/>
  <c r="AY1047" i="1"/>
  <c r="AY1046" i="1"/>
  <c r="AY1045" i="1"/>
  <c r="AY1044" i="1"/>
  <c r="AY1043" i="1"/>
  <c r="AY1042" i="1"/>
  <c r="AY1041" i="1"/>
  <c r="AY1040" i="1"/>
  <c r="AY1039" i="1"/>
  <c r="AY1038" i="1"/>
  <c r="AY1037" i="1"/>
  <c r="AY1036" i="1"/>
  <c r="AY1035" i="1"/>
  <c r="AY1034" i="1"/>
  <c r="AY1033" i="1"/>
  <c r="AY1032" i="1"/>
  <c r="AY1031" i="1"/>
  <c r="AY1030" i="1"/>
  <c r="AY1029" i="1"/>
  <c r="AY1028" i="1"/>
  <c r="AY1027" i="1"/>
  <c r="AY1026" i="1"/>
  <c r="AY1025" i="1"/>
  <c r="AY1024" i="1"/>
  <c r="AY1023" i="1"/>
  <c r="AY1022" i="1"/>
  <c r="AY1021" i="1"/>
  <c r="AY1020" i="1"/>
  <c r="AY1019" i="1"/>
  <c r="AY1018" i="1"/>
  <c r="AY1017" i="1"/>
  <c r="AY1016" i="1"/>
  <c r="AY1015" i="1"/>
  <c r="AY1014" i="1"/>
  <c r="AY1013" i="1"/>
  <c r="AY1012" i="1"/>
  <c r="AY1011" i="1"/>
  <c r="AY1010" i="1"/>
  <c r="AY1009" i="1"/>
  <c r="AY1008" i="1"/>
  <c r="AY1007" i="1"/>
  <c r="AY1006" i="1"/>
  <c r="AY1005" i="1"/>
  <c r="AY1004" i="1"/>
  <c r="AY1003" i="1"/>
  <c r="AY1002" i="1"/>
  <c r="AY1001" i="1"/>
  <c r="AY1000" i="1"/>
  <c r="AY999" i="1"/>
  <c r="AY998" i="1"/>
  <c r="AY997" i="1"/>
  <c r="AY996" i="1"/>
  <c r="AY995" i="1"/>
  <c r="AY994" i="1"/>
  <c r="AY993" i="1"/>
  <c r="AY992" i="1"/>
  <c r="AY991" i="1"/>
  <c r="AY990" i="1"/>
  <c r="AY989" i="1"/>
  <c r="AY988" i="1"/>
  <c r="AY987" i="1"/>
  <c r="AY986" i="1"/>
  <c r="AY985" i="1"/>
  <c r="AY984" i="1"/>
  <c r="AY983" i="1"/>
  <c r="AY982" i="1"/>
  <c r="AY981" i="1"/>
  <c r="AY980" i="1"/>
  <c r="AY979" i="1"/>
  <c r="AY978" i="1"/>
  <c r="AY977" i="1"/>
  <c r="AY976" i="1"/>
  <c r="AY975" i="1"/>
  <c r="AY974" i="1"/>
  <c r="AY973" i="1"/>
  <c r="AY972" i="1"/>
  <c r="AY971" i="1"/>
  <c r="AY970" i="1"/>
  <c r="AY969" i="1"/>
  <c r="AY968" i="1"/>
  <c r="AY967" i="1"/>
  <c r="AY966" i="1"/>
  <c r="AY965" i="1"/>
  <c r="AY964" i="1"/>
  <c r="AY963" i="1"/>
  <c r="AY962" i="1"/>
  <c r="AY961" i="1"/>
  <c r="AY960" i="1"/>
  <c r="AY959" i="1"/>
  <c r="AY958" i="1"/>
  <c r="AY957" i="1"/>
  <c r="AY956" i="1"/>
  <c r="AY955" i="1"/>
  <c r="AY954" i="1"/>
  <c r="AY953" i="1"/>
  <c r="AY952" i="1"/>
  <c r="AY951" i="1"/>
  <c r="AY950" i="1"/>
  <c r="AY949" i="1"/>
  <c r="AY948" i="1"/>
  <c r="AY947" i="1"/>
  <c r="AY946" i="1"/>
  <c r="AY945" i="1"/>
  <c r="AY944" i="1"/>
  <c r="AY943" i="1"/>
  <c r="AY942" i="1"/>
  <c r="AY941" i="1"/>
  <c r="AY940" i="1"/>
  <c r="AY939" i="1"/>
  <c r="AY938" i="1"/>
  <c r="AY937" i="1"/>
  <c r="AY936" i="1"/>
  <c r="AY935" i="1"/>
  <c r="AY934" i="1"/>
  <c r="AY933" i="1"/>
  <c r="AY932" i="1"/>
  <c r="AY931" i="1"/>
  <c r="AY930" i="1"/>
  <c r="AY929" i="1"/>
  <c r="AY928" i="1"/>
  <c r="AY927" i="1"/>
  <c r="AY926" i="1"/>
  <c r="AY925" i="1"/>
  <c r="AY924" i="1"/>
  <c r="AY923" i="1"/>
  <c r="AY922" i="1"/>
  <c r="AY921" i="1"/>
  <c r="AY920" i="1"/>
  <c r="AY919" i="1"/>
  <c r="AY918" i="1"/>
  <c r="AY917" i="1"/>
  <c r="AY916" i="1"/>
  <c r="AY915" i="1"/>
  <c r="AY914" i="1"/>
  <c r="AY913" i="1"/>
  <c r="AY912" i="1"/>
  <c r="AY911" i="1"/>
  <c r="AY910" i="1"/>
  <c r="AY909" i="1"/>
  <c r="AY908" i="1"/>
  <c r="AY907" i="1"/>
  <c r="AY906" i="1"/>
  <c r="AY905" i="1"/>
  <c r="AY904" i="1"/>
  <c r="AY903" i="1"/>
  <c r="AY902" i="1"/>
  <c r="AY901" i="1"/>
  <c r="AY900" i="1"/>
  <c r="AY899" i="1"/>
  <c r="AY898" i="1"/>
  <c r="AY897" i="1"/>
  <c r="AY896" i="1"/>
  <c r="AY895" i="1"/>
  <c r="AY894" i="1"/>
  <c r="AY893" i="1"/>
  <c r="AY892" i="1"/>
  <c r="AY891" i="1"/>
  <c r="AY890" i="1"/>
  <c r="AY889" i="1"/>
  <c r="AY888" i="1"/>
  <c r="AY887" i="1"/>
  <c r="AY886" i="1"/>
  <c r="AY885" i="1"/>
  <c r="AY884" i="1"/>
  <c r="AY883" i="1"/>
  <c r="AY882" i="1"/>
  <c r="AY881" i="1"/>
  <c r="AY880" i="1"/>
  <c r="AY879" i="1"/>
  <c r="AY878" i="1"/>
  <c r="AY877" i="1"/>
  <c r="AY876" i="1"/>
  <c r="AY875" i="1"/>
  <c r="AY874" i="1"/>
  <c r="AY873" i="1"/>
  <c r="AY872" i="1"/>
  <c r="AY871" i="1"/>
  <c r="AY870" i="1"/>
  <c r="AY869" i="1"/>
  <c r="AY868" i="1"/>
  <c r="AY867" i="1"/>
  <c r="AY866" i="1"/>
  <c r="AY865" i="1"/>
  <c r="AY864" i="1"/>
  <c r="AY863" i="1"/>
  <c r="AY862" i="1"/>
  <c r="AY861" i="1"/>
  <c r="AY860" i="1"/>
  <c r="AY859" i="1"/>
  <c r="AY858" i="1"/>
  <c r="AY857" i="1"/>
  <c r="AY856" i="1"/>
  <c r="AY855" i="1"/>
  <c r="AY854" i="1"/>
  <c r="AY853" i="1"/>
  <c r="AY852" i="1"/>
  <c r="AY851" i="1"/>
  <c r="AY850" i="1"/>
  <c r="AY849" i="1"/>
  <c r="AY848" i="1"/>
  <c r="AY847" i="1"/>
  <c r="AY846" i="1"/>
  <c r="AY845" i="1"/>
  <c r="AY844" i="1"/>
  <c r="AY843" i="1"/>
  <c r="AY842" i="1"/>
  <c r="AY841" i="1"/>
  <c r="AY840" i="1"/>
  <c r="AY839" i="1"/>
  <c r="AY838" i="1"/>
  <c r="AY837" i="1"/>
  <c r="AY836" i="1"/>
  <c r="AY835" i="1"/>
  <c r="AY834" i="1"/>
  <c r="AY833" i="1"/>
  <c r="AY832" i="1"/>
  <c r="AY831" i="1"/>
  <c r="AY830" i="1"/>
  <c r="AY829" i="1"/>
  <c r="AY828" i="1"/>
  <c r="AY827" i="1"/>
  <c r="AY826" i="1"/>
  <c r="AY825" i="1"/>
  <c r="AY824" i="1"/>
  <c r="AY823" i="1"/>
  <c r="AY822" i="1"/>
  <c r="AY821" i="1"/>
  <c r="AY820" i="1"/>
  <c r="AY819" i="1"/>
  <c r="AY818" i="1"/>
  <c r="AY817" i="1"/>
  <c r="AY816" i="1"/>
  <c r="AY815" i="1"/>
  <c r="AY814" i="1"/>
  <c r="AY813" i="1"/>
  <c r="AY812" i="1"/>
  <c r="AY811" i="1"/>
  <c r="AY810" i="1"/>
  <c r="AY809" i="1"/>
  <c r="AY808" i="1"/>
  <c r="AY807" i="1"/>
  <c r="AY806" i="1"/>
  <c r="AY805" i="1"/>
  <c r="AY804" i="1"/>
  <c r="AY803" i="1"/>
  <c r="AY802" i="1"/>
  <c r="AY801" i="1"/>
  <c r="AY800" i="1"/>
  <c r="AY799" i="1"/>
  <c r="AY798" i="1"/>
  <c r="AY797" i="1"/>
  <c r="AY796" i="1"/>
  <c r="AY795" i="1"/>
  <c r="AY794" i="1"/>
  <c r="AY793" i="1"/>
  <c r="AY792" i="1"/>
  <c r="AY791" i="1"/>
  <c r="AY790" i="1"/>
  <c r="AY789" i="1"/>
  <c r="AY788" i="1"/>
  <c r="AY787" i="1"/>
  <c r="AY786" i="1"/>
  <c r="AY785" i="1"/>
  <c r="AY784" i="1"/>
  <c r="AY783" i="1"/>
  <c r="AY782" i="1"/>
  <c r="AY781" i="1"/>
  <c r="AY780" i="1"/>
  <c r="AY779" i="1"/>
  <c r="AY778" i="1"/>
  <c r="AY777" i="1"/>
  <c r="AY776" i="1"/>
  <c r="AY775" i="1"/>
  <c r="AY774" i="1"/>
  <c r="AY773" i="1"/>
  <c r="AY772" i="1"/>
  <c r="AY771" i="1"/>
  <c r="AY770" i="1"/>
  <c r="AY769" i="1"/>
  <c r="AY768" i="1"/>
  <c r="AY767" i="1"/>
  <c r="AY766" i="1"/>
  <c r="AY765" i="1"/>
  <c r="AY764" i="1"/>
  <c r="AY763" i="1"/>
  <c r="AY762" i="1"/>
  <c r="AY761" i="1"/>
  <c r="AY760" i="1"/>
  <c r="AY759" i="1"/>
  <c r="AY758" i="1"/>
  <c r="AY757" i="1"/>
  <c r="AY756" i="1"/>
  <c r="AY755" i="1"/>
  <c r="AY754" i="1"/>
  <c r="AY753" i="1"/>
  <c r="AY752" i="1"/>
  <c r="AY751" i="1"/>
  <c r="AY750" i="1"/>
  <c r="AY749" i="1"/>
  <c r="AY748" i="1"/>
  <c r="AY747" i="1"/>
  <c r="AY746" i="1"/>
  <c r="AY745" i="1"/>
  <c r="AY744" i="1"/>
  <c r="AY743" i="1"/>
  <c r="AY742" i="1"/>
  <c r="AY741" i="1"/>
  <c r="AY740" i="1"/>
  <c r="AY739" i="1"/>
  <c r="AY738" i="1"/>
  <c r="AY737" i="1"/>
  <c r="AY736" i="1"/>
  <c r="AY735" i="1"/>
  <c r="AY734" i="1"/>
  <c r="AY733" i="1"/>
  <c r="AY732" i="1"/>
  <c r="AY731" i="1"/>
  <c r="AY730" i="1"/>
  <c r="AY729" i="1"/>
  <c r="AY728" i="1"/>
  <c r="AY727" i="1"/>
  <c r="AY726" i="1"/>
  <c r="AY725" i="1"/>
  <c r="AY724" i="1"/>
  <c r="AY723" i="1"/>
  <c r="AY722" i="1"/>
  <c r="AY721" i="1"/>
  <c r="AY720" i="1"/>
  <c r="AY719" i="1"/>
  <c r="AY718" i="1"/>
  <c r="AY717" i="1"/>
  <c r="AY716" i="1"/>
  <c r="AY715" i="1"/>
  <c r="AY714" i="1"/>
  <c r="AY713" i="1"/>
  <c r="AY712" i="1"/>
  <c r="AY711" i="1"/>
  <c r="AY710" i="1"/>
  <c r="AY709" i="1"/>
  <c r="AY708" i="1"/>
  <c r="AY707" i="1"/>
  <c r="AY706" i="1"/>
  <c r="AY705" i="1"/>
  <c r="AY704" i="1"/>
  <c r="AY703" i="1"/>
  <c r="AY702" i="1"/>
  <c r="AY701" i="1"/>
  <c r="AY700" i="1"/>
  <c r="AY699" i="1"/>
  <c r="AY698" i="1"/>
  <c r="AY697" i="1"/>
  <c r="AY696" i="1"/>
  <c r="AY695" i="1"/>
  <c r="AY694" i="1"/>
  <c r="AY693" i="1"/>
  <c r="AY692" i="1"/>
  <c r="AY691" i="1"/>
  <c r="AY690" i="1"/>
  <c r="AY689" i="1"/>
  <c r="AY688" i="1"/>
  <c r="AY687" i="1"/>
  <c r="AY686" i="1"/>
  <c r="AY685" i="1"/>
  <c r="AY684" i="1"/>
  <c r="AY683" i="1"/>
  <c r="AY682" i="1"/>
  <c r="AY681" i="1"/>
  <c r="AY680" i="1"/>
  <c r="AY679" i="1"/>
  <c r="AY678" i="1"/>
  <c r="AY677" i="1"/>
  <c r="AY676" i="1"/>
  <c r="AY675" i="1"/>
  <c r="AY674" i="1"/>
  <c r="AY673" i="1"/>
  <c r="AY672" i="1"/>
  <c r="AY671" i="1"/>
  <c r="AY670" i="1"/>
  <c r="AY669" i="1"/>
  <c r="AY668" i="1"/>
  <c r="AY667" i="1"/>
  <c r="AY666" i="1"/>
  <c r="AY665" i="1"/>
  <c r="AY664" i="1"/>
  <c r="AY663" i="1"/>
  <c r="AY662" i="1"/>
  <c r="AY661" i="1"/>
  <c r="AY660" i="1"/>
  <c r="AY659" i="1"/>
  <c r="AY658" i="1"/>
  <c r="AY657" i="1"/>
  <c r="AY656" i="1"/>
  <c r="AY655" i="1"/>
  <c r="AY654" i="1"/>
  <c r="AY653" i="1"/>
  <c r="AY652" i="1"/>
  <c r="AY651" i="1"/>
  <c r="AY650" i="1"/>
  <c r="AY649" i="1"/>
  <c r="AY648" i="1"/>
  <c r="AY647" i="1"/>
  <c r="AY646" i="1"/>
  <c r="AY645" i="1"/>
  <c r="AY644" i="1"/>
  <c r="AY643" i="1"/>
  <c r="AY642" i="1"/>
  <c r="AY641" i="1"/>
  <c r="AY640" i="1"/>
  <c r="AY639" i="1"/>
  <c r="AY638" i="1"/>
  <c r="AY637" i="1"/>
  <c r="AY636" i="1"/>
  <c r="AY635" i="1"/>
  <c r="AY634" i="1"/>
  <c r="AY633" i="1"/>
  <c r="AY632" i="1"/>
  <c r="AY631" i="1"/>
  <c r="AY630" i="1"/>
  <c r="AY629" i="1"/>
  <c r="AY628" i="1"/>
  <c r="AY627" i="1"/>
  <c r="AY626" i="1"/>
  <c r="AY625" i="1"/>
  <c r="AY624" i="1"/>
  <c r="AY623" i="1"/>
  <c r="AY622" i="1"/>
  <c r="AY621" i="1"/>
  <c r="AY620" i="1"/>
  <c r="AY619" i="1"/>
  <c r="AY618" i="1"/>
  <c r="AY617" i="1"/>
  <c r="AY616" i="1"/>
  <c r="AY615" i="1"/>
  <c r="AY614" i="1"/>
  <c r="AY613" i="1"/>
  <c r="AY612" i="1"/>
  <c r="AY611" i="1"/>
  <c r="AY610" i="1"/>
  <c r="AY609" i="1"/>
  <c r="AY608" i="1"/>
  <c r="AY607" i="1"/>
  <c r="AY606" i="1"/>
  <c r="AY605" i="1"/>
  <c r="AY604" i="1"/>
  <c r="AY603" i="1"/>
  <c r="AY602" i="1"/>
  <c r="AY601" i="1"/>
  <c r="AY600" i="1"/>
  <c r="AY599" i="1"/>
  <c r="AY598" i="1"/>
  <c r="AY597" i="1"/>
  <c r="AY596" i="1"/>
  <c r="AY595" i="1"/>
  <c r="AY594" i="1"/>
  <c r="AY593" i="1"/>
  <c r="AY592" i="1"/>
  <c r="AY591" i="1"/>
  <c r="AY590" i="1"/>
  <c r="AY589" i="1"/>
  <c r="AY588" i="1"/>
  <c r="AY587" i="1"/>
  <c r="AY586" i="1"/>
  <c r="AY585" i="1"/>
  <c r="AY584" i="1"/>
  <c r="AY583" i="1"/>
  <c r="AY582" i="1"/>
  <c r="AY581" i="1"/>
  <c r="AY580" i="1"/>
  <c r="AY579" i="1"/>
  <c r="AY578" i="1"/>
  <c r="AY577" i="1"/>
  <c r="AY576" i="1"/>
  <c r="AY575" i="1"/>
  <c r="AY574" i="1"/>
  <c r="AY573" i="1"/>
  <c r="AY572" i="1"/>
  <c r="AY571" i="1"/>
  <c r="AY570" i="1"/>
  <c r="AY569" i="1"/>
  <c r="AY568" i="1"/>
  <c r="AY567" i="1"/>
  <c r="AY566" i="1"/>
  <c r="AY565" i="1"/>
  <c r="AY564" i="1"/>
  <c r="AY563" i="1"/>
  <c r="AY562" i="1"/>
  <c r="AY561" i="1"/>
  <c r="AY560" i="1"/>
  <c r="AY559" i="1"/>
  <c r="AY558" i="1"/>
  <c r="AY557" i="1"/>
  <c r="AY556" i="1"/>
  <c r="AY555" i="1"/>
  <c r="AY554" i="1"/>
  <c r="AY553" i="1"/>
  <c r="AY552" i="1"/>
  <c r="AY551" i="1"/>
  <c r="AY550" i="1"/>
  <c r="AY549" i="1"/>
  <c r="AY548" i="1"/>
  <c r="AY547" i="1"/>
  <c r="AY546" i="1"/>
  <c r="AY545" i="1"/>
  <c r="AY544" i="1"/>
  <c r="AY543" i="1"/>
  <c r="AY542" i="1"/>
  <c r="AY541" i="1"/>
  <c r="AY540" i="1"/>
  <c r="AY539" i="1"/>
  <c r="AY538" i="1"/>
  <c r="AY537" i="1"/>
  <c r="AY536" i="1"/>
  <c r="AY535" i="1"/>
  <c r="AY534" i="1"/>
  <c r="AY533" i="1"/>
  <c r="AY532" i="1"/>
  <c r="AY531" i="1"/>
  <c r="AY530" i="1"/>
  <c r="AY529" i="1"/>
  <c r="AY528" i="1"/>
  <c r="AY527" i="1"/>
  <c r="AY526" i="1"/>
  <c r="AY525" i="1"/>
  <c r="AY524" i="1"/>
  <c r="AY523" i="1"/>
  <c r="AY522" i="1"/>
  <c r="AY521" i="1"/>
  <c r="AY520" i="1"/>
  <c r="AY519" i="1"/>
  <c r="AY518" i="1"/>
  <c r="AY517" i="1"/>
  <c r="AY516" i="1"/>
  <c r="AY515" i="1"/>
  <c r="AY514" i="1"/>
  <c r="AY513" i="1"/>
  <c r="AY512" i="1"/>
  <c r="AY511" i="1"/>
  <c r="AY510" i="1"/>
  <c r="AY509" i="1"/>
  <c r="AY508" i="1"/>
  <c r="AY507" i="1"/>
  <c r="AY506" i="1"/>
  <c r="AY505" i="1"/>
  <c r="AY504" i="1"/>
  <c r="AY503" i="1"/>
  <c r="AY502" i="1"/>
  <c r="AY501" i="1"/>
  <c r="AY500" i="1"/>
  <c r="AY499" i="1"/>
  <c r="AY498" i="1"/>
  <c r="AY497" i="1"/>
  <c r="AY496" i="1"/>
  <c r="AY495" i="1"/>
  <c r="AY494" i="1"/>
  <c r="AY493" i="1"/>
  <c r="AY492" i="1"/>
  <c r="AY491" i="1"/>
  <c r="AY490" i="1"/>
  <c r="AY489" i="1"/>
  <c r="AY488" i="1"/>
  <c r="AY487" i="1"/>
  <c r="AY486" i="1"/>
  <c r="AY485" i="1"/>
  <c r="AY484" i="1"/>
  <c r="AY483" i="1"/>
  <c r="AY482" i="1"/>
  <c r="AY481" i="1"/>
  <c r="AY480" i="1"/>
  <c r="AY479" i="1"/>
  <c r="AY478" i="1"/>
  <c r="AY477" i="1"/>
  <c r="AY476" i="1"/>
  <c r="AY475" i="1"/>
  <c r="AY474" i="1"/>
  <c r="AY473" i="1"/>
  <c r="AY472" i="1"/>
  <c r="AY471" i="1"/>
  <c r="AY470" i="1"/>
  <c r="AY469" i="1"/>
  <c r="AY468" i="1"/>
  <c r="AY467" i="1"/>
  <c r="AY466" i="1"/>
  <c r="AY465" i="1"/>
  <c r="AY464" i="1"/>
  <c r="AY463" i="1"/>
  <c r="AY462" i="1"/>
  <c r="AY461" i="1"/>
  <c r="AY460" i="1"/>
  <c r="AY459" i="1"/>
  <c r="AY458" i="1"/>
  <c r="AY457" i="1"/>
  <c r="AY456" i="1"/>
  <c r="AY455" i="1"/>
  <c r="AY454" i="1"/>
  <c r="AY453" i="1"/>
  <c r="AY452" i="1"/>
  <c r="AY451" i="1"/>
  <c r="AY450" i="1"/>
  <c r="AY449" i="1"/>
  <c r="AY448" i="1"/>
  <c r="AY447" i="1"/>
  <c r="AY446" i="1"/>
  <c r="AY445" i="1"/>
  <c r="AY444" i="1"/>
  <c r="AY443" i="1"/>
  <c r="AY442" i="1"/>
  <c r="AY441" i="1"/>
  <c r="AY440" i="1"/>
  <c r="AY439" i="1"/>
  <c r="AY438" i="1"/>
  <c r="AY437" i="1"/>
  <c r="AY436" i="1"/>
  <c r="AY435" i="1"/>
  <c r="AY434" i="1"/>
  <c r="AY433" i="1"/>
  <c r="AY432" i="1"/>
  <c r="AY431" i="1"/>
  <c r="AY430" i="1"/>
  <c r="AY429" i="1"/>
  <c r="AY428" i="1"/>
  <c r="AY427" i="1"/>
  <c r="AY426" i="1"/>
  <c r="AY425" i="1"/>
  <c r="AY424" i="1"/>
  <c r="AY423" i="1"/>
  <c r="AY422" i="1"/>
  <c r="AY421" i="1"/>
  <c r="AY420" i="1"/>
  <c r="AY419" i="1"/>
  <c r="AY418" i="1"/>
  <c r="AY417" i="1"/>
  <c r="AY416" i="1"/>
  <c r="AY415" i="1"/>
  <c r="AY414" i="1"/>
  <c r="AY413" i="1"/>
  <c r="AY412" i="1"/>
  <c r="AY411" i="1"/>
  <c r="AY410" i="1"/>
  <c r="AY409" i="1"/>
  <c r="AY408" i="1"/>
  <c r="AY407" i="1"/>
  <c r="AY406" i="1"/>
  <c r="AY405" i="1"/>
  <c r="AY404" i="1"/>
  <c r="AY403" i="1"/>
  <c r="AY402" i="1"/>
  <c r="AY401" i="1"/>
  <c r="AY400" i="1"/>
  <c r="AY399" i="1"/>
  <c r="AY398" i="1"/>
  <c r="AY397" i="1"/>
  <c r="AY396" i="1"/>
  <c r="AY395" i="1"/>
  <c r="AY394" i="1"/>
  <c r="AY393" i="1"/>
  <c r="AY392" i="1"/>
  <c r="AY391" i="1"/>
  <c r="AY390" i="1"/>
  <c r="AY389" i="1"/>
  <c r="AY388" i="1"/>
  <c r="AY387" i="1"/>
  <c r="AY386" i="1"/>
  <c r="AY385" i="1"/>
  <c r="AY384" i="1"/>
  <c r="AY383" i="1"/>
  <c r="AY382" i="1"/>
  <c r="AY381" i="1"/>
  <c r="AY380" i="1"/>
  <c r="AY379" i="1"/>
  <c r="AY378" i="1"/>
  <c r="AY377" i="1"/>
  <c r="AY376" i="1"/>
  <c r="AY375" i="1"/>
  <c r="AY374" i="1"/>
  <c r="AY373" i="1"/>
  <c r="AY372" i="1"/>
  <c r="AY371" i="1"/>
  <c r="AY370" i="1"/>
  <c r="AY369" i="1"/>
  <c r="AY368" i="1"/>
  <c r="AY367" i="1"/>
  <c r="AY366" i="1"/>
  <c r="AY365" i="1"/>
  <c r="AY364" i="1"/>
  <c r="AY363" i="1"/>
  <c r="AY362" i="1"/>
  <c r="AY361" i="1"/>
  <c r="AY360" i="1"/>
  <c r="AY359" i="1"/>
  <c r="AY358" i="1"/>
  <c r="AY357" i="1"/>
  <c r="AY356" i="1"/>
  <c r="AY355" i="1"/>
  <c r="AY354" i="1"/>
  <c r="AY353" i="1"/>
  <c r="AY352" i="1"/>
  <c r="AY351" i="1"/>
  <c r="AY350" i="1"/>
  <c r="AY349" i="1"/>
  <c r="AY348" i="1"/>
  <c r="AY347" i="1"/>
  <c r="AY346" i="1"/>
  <c r="AY345" i="1"/>
  <c r="AY344" i="1"/>
  <c r="AY343" i="1"/>
  <c r="AY342" i="1"/>
  <c r="AY341" i="1"/>
  <c r="AY340" i="1"/>
  <c r="AY339" i="1"/>
  <c r="AY338" i="1"/>
  <c r="AY337" i="1"/>
  <c r="AY336" i="1"/>
  <c r="AY335" i="1"/>
  <c r="AY334" i="1"/>
  <c r="AY333" i="1"/>
  <c r="AY332" i="1"/>
  <c r="AY331" i="1"/>
  <c r="AY330" i="1"/>
  <c r="AY329" i="1"/>
  <c r="AY328" i="1"/>
  <c r="AY327" i="1"/>
  <c r="AY326" i="1"/>
  <c r="AY325" i="1"/>
  <c r="AY324" i="1"/>
  <c r="AY323" i="1"/>
  <c r="AY322" i="1"/>
  <c r="AY321" i="1"/>
  <c r="AY320" i="1"/>
  <c r="AY319" i="1"/>
  <c r="AY318" i="1"/>
  <c r="AY317" i="1"/>
  <c r="AY316" i="1"/>
  <c r="AY315" i="1"/>
  <c r="AY314" i="1"/>
  <c r="AY313" i="1"/>
  <c r="AY312" i="1"/>
  <c r="AY311" i="1"/>
  <c r="AY310" i="1"/>
  <c r="AY309" i="1"/>
  <c r="AY308" i="1"/>
  <c r="AY307" i="1"/>
  <c r="AY306" i="1"/>
  <c r="AY305" i="1"/>
  <c r="AY304" i="1"/>
  <c r="AY303" i="1"/>
  <c r="AY302" i="1"/>
  <c r="AY301" i="1"/>
  <c r="AY300" i="1"/>
  <c r="AY299" i="1"/>
  <c r="AY298" i="1"/>
  <c r="AY297" i="1"/>
  <c r="AY296" i="1"/>
  <c r="AY295" i="1"/>
  <c r="AY294" i="1"/>
  <c r="AY293" i="1"/>
  <c r="AY292" i="1"/>
  <c r="AY291" i="1"/>
  <c r="AY290" i="1"/>
  <c r="AY289" i="1"/>
  <c r="AY288" i="1"/>
  <c r="AY287" i="1"/>
  <c r="AY286" i="1"/>
  <c r="AY285" i="1"/>
  <c r="AY284" i="1"/>
  <c r="AY283" i="1"/>
  <c r="AY282" i="1"/>
  <c r="AY281" i="1"/>
  <c r="AY280" i="1"/>
  <c r="AY279" i="1"/>
  <c r="AY278" i="1"/>
  <c r="AY277" i="1"/>
  <c r="AY276" i="1"/>
  <c r="AY275" i="1"/>
  <c r="AY274" i="1"/>
  <c r="AY273" i="1"/>
  <c r="AY272" i="1"/>
  <c r="AY271" i="1"/>
  <c r="AY270" i="1"/>
  <c r="AY269" i="1"/>
  <c r="AY268" i="1"/>
  <c r="AY267" i="1"/>
  <c r="AY266" i="1"/>
  <c r="AY265" i="1"/>
  <c r="AY264" i="1"/>
  <c r="AY263" i="1"/>
  <c r="AY262" i="1"/>
  <c r="AY261" i="1"/>
  <c r="AY260" i="1"/>
  <c r="AY259" i="1"/>
  <c r="AY258" i="1"/>
  <c r="AY257" i="1"/>
  <c r="AY256" i="1"/>
  <c r="AY255" i="1"/>
  <c r="AY254" i="1"/>
  <c r="AY253" i="1"/>
  <c r="AY252" i="1"/>
  <c r="AY251" i="1"/>
  <c r="AY250" i="1"/>
  <c r="AY249" i="1"/>
  <c r="AY248" i="1"/>
  <c r="AY247" i="1"/>
  <c r="AY246" i="1"/>
  <c r="AY245" i="1"/>
  <c r="AY244" i="1"/>
  <c r="AY243" i="1"/>
  <c r="AY242" i="1"/>
  <c r="AY241" i="1"/>
  <c r="AY240" i="1"/>
  <c r="AY239" i="1"/>
  <c r="AY238" i="1"/>
  <c r="AY237" i="1"/>
  <c r="AY236" i="1"/>
  <c r="AY235" i="1"/>
  <c r="AY234" i="1"/>
  <c r="AY233" i="1"/>
  <c r="AY232" i="1"/>
  <c r="AY231" i="1"/>
  <c r="AY230" i="1"/>
  <c r="AY229" i="1"/>
  <c r="AY228" i="1"/>
  <c r="AY227" i="1"/>
  <c r="AY226" i="1"/>
  <c r="AY225" i="1"/>
  <c r="AY224" i="1"/>
  <c r="AY223" i="1"/>
  <c r="AY222" i="1"/>
  <c r="AY221" i="1"/>
  <c r="AY220" i="1"/>
  <c r="AY219" i="1"/>
  <c r="AY218" i="1"/>
  <c r="AY217" i="1"/>
  <c r="AY216" i="1"/>
  <c r="AY215" i="1"/>
  <c r="AY214" i="1"/>
  <c r="AY213" i="1"/>
  <c r="AY212" i="1"/>
  <c r="AY211" i="1"/>
  <c r="AY210" i="1"/>
  <c r="AY209" i="1"/>
  <c r="AY208" i="1"/>
  <c r="AY207" i="1"/>
  <c r="AY206" i="1"/>
  <c r="AY205" i="1"/>
  <c r="AY204" i="1"/>
  <c r="AY203" i="1"/>
  <c r="AY202" i="1"/>
  <c r="AY201" i="1"/>
  <c r="AY200" i="1"/>
  <c r="AY199" i="1"/>
  <c r="AY198" i="1"/>
  <c r="AY197" i="1"/>
  <c r="AY196" i="1"/>
  <c r="AY195" i="1"/>
  <c r="AY194" i="1"/>
  <c r="AY193" i="1"/>
  <c r="AY192" i="1"/>
  <c r="AY191" i="1"/>
  <c r="AY190" i="1"/>
  <c r="AY189" i="1"/>
  <c r="AY188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4" i="1"/>
  <c r="AY153" i="1"/>
  <c r="AY152" i="1"/>
  <c r="AY151" i="1"/>
  <c r="AY150" i="1"/>
  <c r="AY149" i="1"/>
  <c r="AY148" i="1"/>
  <c r="AY147" i="1"/>
  <c r="AY146" i="1"/>
  <c r="AY145" i="1"/>
  <c r="AY144" i="1"/>
  <c r="AY143" i="1"/>
  <c r="AY142" i="1"/>
  <c r="AY141" i="1"/>
  <c r="AY140" i="1"/>
  <c r="AY139" i="1"/>
  <c r="AY138" i="1"/>
  <c r="AY137" i="1"/>
  <c r="AY136" i="1"/>
  <c r="AY135" i="1"/>
  <c r="AY134" i="1"/>
  <c r="AY133" i="1"/>
  <c r="AY132" i="1"/>
  <c r="AY131" i="1"/>
  <c r="AY130" i="1"/>
  <c r="AY129" i="1"/>
  <c r="AY128" i="1"/>
  <c r="AY127" i="1"/>
  <c r="AY126" i="1"/>
  <c r="AY125" i="1"/>
  <c r="AY124" i="1"/>
  <c r="AY123" i="1"/>
  <c r="AY122" i="1"/>
  <c r="AY121" i="1"/>
  <c r="AY120" i="1"/>
  <c r="AY119" i="1"/>
  <c r="AY118" i="1"/>
  <c r="AY117" i="1"/>
  <c r="AY116" i="1"/>
  <c r="AY115" i="1"/>
  <c r="AY114" i="1"/>
  <c r="AY113" i="1"/>
  <c r="AY112" i="1"/>
  <c r="AY111" i="1"/>
  <c r="AY110" i="1"/>
  <c r="AY109" i="1"/>
  <c r="AY108" i="1"/>
  <c r="AY107" i="1"/>
  <c r="AY106" i="1"/>
  <c r="AY105" i="1"/>
  <c r="AY104" i="1"/>
  <c r="AY103" i="1"/>
  <c r="AY102" i="1"/>
  <c r="AY101" i="1"/>
  <c r="AY100" i="1"/>
  <c r="AY99" i="1"/>
  <c r="AY98" i="1"/>
  <c r="AY97" i="1"/>
  <c r="AY96" i="1"/>
  <c r="AY95" i="1"/>
  <c r="AY94" i="1"/>
  <c r="AY93" i="1"/>
  <c r="AY92" i="1"/>
  <c r="AY91" i="1"/>
  <c r="AY90" i="1"/>
  <c r="AY89" i="1"/>
  <c r="AY88" i="1"/>
  <c r="AY87" i="1"/>
  <c r="AY86" i="1"/>
  <c r="AY85" i="1"/>
  <c r="AY84" i="1"/>
  <c r="AY83" i="1"/>
  <c r="AY82" i="1"/>
  <c r="AY81" i="1"/>
  <c r="AY80" i="1"/>
  <c r="AY79" i="1"/>
  <c r="AY78" i="1"/>
  <c r="AY77" i="1"/>
  <c r="AY76" i="1"/>
  <c r="AY75" i="1"/>
  <c r="AY74" i="1"/>
  <c r="AY73" i="1"/>
  <c r="AY72" i="1"/>
  <c r="AY71" i="1"/>
  <c r="AY70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Z2125" i="1"/>
  <c r="AZ2124" i="1"/>
  <c r="AZ2123" i="1"/>
  <c r="AZ2122" i="1"/>
  <c r="AZ2121" i="1"/>
  <c r="AZ2120" i="1"/>
  <c r="AZ2119" i="1"/>
  <c r="AZ2118" i="1"/>
  <c r="AZ2117" i="1"/>
  <c r="AZ2116" i="1"/>
  <c r="AZ2115" i="1"/>
  <c r="AZ2114" i="1"/>
  <c r="AZ2113" i="1"/>
  <c r="AZ2112" i="1"/>
  <c r="AZ2111" i="1"/>
  <c r="AZ2110" i="1"/>
  <c r="AZ2109" i="1"/>
  <c r="AZ2108" i="1"/>
  <c r="AZ2107" i="1"/>
  <c r="AZ2106" i="1"/>
  <c r="AZ2105" i="1"/>
  <c r="AZ2104" i="1"/>
  <c r="AZ2103" i="1"/>
  <c r="AZ2102" i="1"/>
  <c r="AZ2101" i="1"/>
  <c r="AZ2100" i="1"/>
  <c r="AZ2099" i="1"/>
  <c r="AZ2098" i="1"/>
  <c r="AZ2097" i="1"/>
  <c r="AZ2" i="1"/>
  <c r="AZ1" i="1"/>
  <c r="BN2096" i="1"/>
  <c r="AZ2096" i="1" s="1"/>
  <c r="BN2095" i="1"/>
  <c r="AZ2095" i="1" s="1"/>
  <c r="BN2094" i="1"/>
  <c r="AZ2094" i="1" s="1"/>
  <c r="BN2093" i="1"/>
  <c r="AZ2093" i="1" s="1"/>
  <c r="BN2092" i="1"/>
  <c r="AZ2092" i="1" s="1"/>
  <c r="BN2091" i="1"/>
  <c r="AZ2091" i="1" s="1"/>
  <c r="BN2090" i="1"/>
  <c r="AZ2090" i="1" s="1"/>
  <c r="BN2089" i="1"/>
  <c r="AZ2089" i="1" s="1"/>
  <c r="BN2088" i="1"/>
  <c r="AZ2088" i="1" s="1"/>
  <c r="BN2087" i="1"/>
  <c r="AZ2087" i="1" s="1"/>
  <c r="BN2086" i="1"/>
  <c r="AZ2086" i="1" s="1"/>
  <c r="BN2085" i="1"/>
  <c r="AZ2085" i="1" s="1"/>
  <c r="BN2084" i="1"/>
  <c r="AZ2084" i="1" s="1"/>
  <c r="BN2083" i="1"/>
  <c r="AZ2083" i="1" s="1"/>
  <c r="BN2082" i="1"/>
  <c r="AZ2082" i="1" s="1"/>
  <c r="BN2081" i="1"/>
  <c r="AZ2081" i="1" s="1"/>
  <c r="BN2080" i="1"/>
  <c r="AZ2080" i="1" s="1"/>
  <c r="BN2079" i="1"/>
  <c r="AZ2079" i="1" s="1"/>
  <c r="BN2078" i="1"/>
  <c r="AZ2078" i="1" s="1"/>
  <c r="BN2077" i="1"/>
  <c r="AZ2077" i="1" s="1"/>
  <c r="BN2076" i="1"/>
  <c r="AZ2076" i="1" s="1"/>
  <c r="BN2075" i="1"/>
  <c r="AZ2075" i="1" s="1"/>
  <c r="BN2074" i="1"/>
  <c r="AZ2074" i="1" s="1"/>
  <c r="BN2073" i="1"/>
  <c r="AZ2073" i="1" s="1"/>
  <c r="BN2072" i="1"/>
  <c r="AZ2072" i="1" s="1"/>
  <c r="BN2071" i="1"/>
  <c r="AZ2071" i="1" s="1"/>
  <c r="BN2070" i="1"/>
  <c r="AZ2070" i="1" s="1"/>
  <c r="BN2069" i="1"/>
  <c r="AZ2069" i="1" s="1"/>
  <c r="BN2068" i="1"/>
  <c r="AZ2068" i="1" s="1"/>
  <c r="BN2067" i="1"/>
  <c r="AZ2067" i="1" s="1"/>
  <c r="BN2066" i="1"/>
  <c r="AZ2066" i="1" s="1"/>
  <c r="BN2065" i="1"/>
  <c r="AZ2065" i="1" s="1"/>
  <c r="BN2064" i="1"/>
  <c r="AZ2064" i="1" s="1"/>
  <c r="BN2063" i="1"/>
  <c r="AZ2063" i="1" s="1"/>
  <c r="BN2062" i="1"/>
  <c r="AZ2062" i="1" s="1"/>
  <c r="BN2061" i="1"/>
  <c r="AZ2061" i="1" s="1"/>
  <c r="BN2060" i="1"/>
  <c r="AZ2060" i="1" s="1"/>
  <c r="BN2059" i="1"/>
  <c r="AZ2059" i="1" s="1"/>
  <c r="BN2058" i="1"/>
  <c r="AZ2058" i="1" s="1"/>
  <c r="BN2057" i="1"/>
  <c r="AZ2057" i="1" s="1"/>
  <c r="BN2056" i="1"/>
  <c r="AZ2056" i="1" s="1"/>
  <c r="BN2055" i="1"/>
  <c r="AZ2055" i="1" s="1"/>
  <c r="BN2054" i="1"/>
  <c r="AZ2054" i="1" s="1"/>
  <c r="BN2053" i="1"/>
  <c r="AZ2053" i="1" s="1"/>
  <c r="BN2052" i="1"/>
  <c r="AZ2052" i="1" s="1"/>
  <c r="BN2051" i="1"/>
  <c r="AZ2051" i="1" s="1"/>
  <c r="BN2050" i="1"/>
  <c r="AZ2050" i="1" s="1"/>
  <c r="BN2049" i="1"/>
  <c r="AZ2049" i="1" s="1"/>
  <c r="BN2048" i="1"/>
  <c r="AZ2048" i="1" s="1"/>
  <c r="BN2047" i="1"/>
  <c r="AZ2047" i="1" s="1"/>
  <c r="BN2046" i="1"/>
  <c r="AZ2046" i="1" s="1"/>
  <c r="BN2045" i="1"/>
  <c r="AZ2045" i="1" s="1"/>
  <c r="BN2044" i="1"/>
  <c r="AZ2044" i="1" s="1"/>
  <c r="BN2043" i="1"/>
  <c r="AZ2043" i="1" s="1"/>
  <c r="BN2042" i="1"/>
  <c r="AZ2042" i="1" s="1"/>
  <c r="BN2041" i="1"/>
  <c r="AZ2041" i="1" s="1"/>
  <c r="BN2040" i="1"/>
  <c r="AZ2040" i="1" s="1"/>
  <c r="BN2039" i="1"/>
  <c r="AZ2039" i="1" s="1"/>
  <c r="BN2038" i="1"/>
  <c r="AZ2038" i="1" s="1"/>
  <c r="BN2037" i="1"/>
  <c r="AZ2037" i="1" s="1"/>
  <c r="BN2036" i="1"/>
  <c r="AZ2036" i="1" s="1"/>
  <c r="BN2035" i="1"/>
  <c r="AZ2035" i="1" s="1"/>
  <c r="BN2034" i="1"/>
  <c r="AZ2034" i="1" s="1"/>
  <c r="BN2033" i="1"/>
  <c r="AZ2033" i="1" s="1"/>
  <c r="BN2032" i="1"/>
  <c r="AZ2032" i="1" s="1"/>
  <c r="BN2031" i="1"/>
  <c r="AZ2031" i="1" s="1"/>
  <c r="BN2030" i="1"/>
  <c r="AZ2030" i="1" s="1"/>
  <c r="BN2029" i="1"/>
  <c r="AZ2029" i="1" s="1"/>
  <c r="BN2028" i="1"/>
  <c r="AZ2028" i="1" s="1"/>
  <c r="BN2027" i="1"/>
  <c r="AZ2027" i="1" s="1"/>
  <c r="BN2026" i="1"/>
  <c r="AZ2026" i="1" s="1"/>
  <c r="BN2025" i="1"/>
  <c r="AZ2025" i="1" s="1"/>
  <c r="BN2024" i="1"/>
  <c r="AZ2024" i="1" s="1"/>
  <c r="BN2023" i="1"/>
  <c r="AZ2023" i="1" s="1"/>
  <c r="BN2022" i="1"/>
  <c r="AZ2022" i="1" s="1"/>
  <c r="BN2021" i="1"/>
  <c r="AZ2021" i="1" s="1"/>
  <c r="BN2020" i="1"/>
  <c r="AZ2020" i="1" s="1"/>
  <c r="BN2019" i="1"/>
  <c r="AZ2019" i="1" s="1"/>
  <c r="BN2018" i="1"/>
  <c r="AZ2018" i="1" s="1"/>
  <c r="BN2017" i="1"/>
  <c r="AZ2017" i="1" s="1"/>
  <c r="BN2016" i="1"/>
  <c r="AZ2016" i="1" s="1"/>
  <c r="BN2015" i="1"/>
  <c r="AZ2015" i="1" s="1"/>
  <c r="BN2014" i="1"/>
  <c r="AZ2014" i="1" s="1"/>
  <c r="BN2013" i="1"/>
  <c r="AZ2013" i="1" s="1"/>
  <c r="BN2012" i="1"/>
  <c r="AZ2012" i="1" s="1"/>
  <c r="BN2011" i="1"/>
  <c r="AZ2011" i="1" s="1"/>
  <c r="BN2010" i="1"/>
  <c r="AZ2010" i="1" s="1"/>
  <c r="BN2009" i="1"/>
  <c r="AZ2009" i="1" s="1"/>
  <c r="BN2008" i="1"/>
  <c r="AZ2008" i="1" s="1"/>
  <c r="BN2007" i="1"/>
  <c r="AZ2007" i="1" s="1"/>
  <c r="BN2006" i="1"/>
  <c r="AZ2006" i="1" s="1"/>
  <c r="BN2005" i="1"/>
  <c r="AZ2005" i="1" s="1"/>
  <c r="BN2004" i="1"/>
  <c r="AZ2004" i="1" s="1"/>
  <c r="BN2003" i="1"/>
  <c r="AZ2003" i="1" s="1"/>
  <c r="BN2002" i="1"/>
  <c r="AZ2002" i="1" s="1"/>
  <c r="BN2001" i="1"/>
  <c r="AZ2001" i="1" s="1"/>
  <c r="BN2000" i="1"/>
  <c r="AZ2000" i="1" s="1"/>
  <c r="BN1999" i="1"/>
  <c r="AZ1999" i="1" s="1"/>
  <c r="BN1998" i="1"/>
  <c r="AZ1998" i="1" s="1"/>
  <c r="BN1997" i="1"/>
  <c r="AZ1997" i="1" s="1"/>
  <c r="BN1996" i="1"/>
  <c r="AZ1996" i="1" s="1"/>
  <c r="BN1995" i="1"/>
  <c r="AZ1995" i="1" s="1"/>
  <c r="BN1994" i="1"/>
  <c r="AZ1994" i="1" s="1"/>
  <c r="BN1993" i="1"/>
  <c r="AZ1993" i="1" s="1"/>
  <c r="BN1992" i="1"/>
  <c r="AZ1992" i="1" s="1"/>
  <c r="BN1991" i="1"/>
  <c r="AZ1991" i="1" s="1"/>
  <c r="BN1990" i="1"/>
  <c r="AZ1990" i="1" s="1"/>
  <c r="BN1989" i="1"/>
  <c r="AZ1989" i="1" s="1"/>
  <c r="BN1988" i="1"/>
  <c r="AZ1988" i="1" s="1"/>
  <c r="BN1987" i="1"/>
  <c r="AZ1987" i="1" s="1"/>
  <c r="BN1986" i="1"/>
  <c r="AZ1986" i="1" s="1"/>
  <c r="BN1985" i="1"/>
  <c r="AZ1985" i="1" s="1"/>
  <c r="BN1984" i="1"/>
  <c r="AZ1984" i="1" s="1"/>
  <c r="BN1983" i="1"/>
  <c r="AZ1983" i="1" s="1"/>
  <c r="BN1982" i="1"/>
  <c r="AZ1982" i="1" s="1"/>
  <c r="BN1981" i="1"/>
  <c r="AZ1981" i="1" s="1"/>
  <c r="BN1980" i="1"/>
  <c r="AZ1980" i="1" s="1"/>
  <c r="BN1979" i="1"/>
  <c r="AZ1979" i="1" s="1"/>
  <c r="BN1978" i="1"/>
  <c r="AZ1978" i="1" s="1"/>
  <c r="BN1977" i="1"/>
  <c r="AZ1977" i="1" s="1"/>
  <c r="BN1976" i="1"/>
  <c r="AZ1976" i="1" s="1"/>
  <c r="BN1975" i="1"/>
  <c r="AZ1975" i="1" s="1"/>
  <c r="BN1974" i="1"/>
  <c r="AZ1974" i="1" s="1"/>
  <c r="BN1973" i="1"/>
  <c r="AZ1973" i="1" s="1"/>
  <c r="BN1972" i="1"/>
  <c r="AZ1972" i="1" s="1"/>
  <c r="BN1971" i="1"/>
  <c r="AZ1971" i="1" s="1"/>
  <c r="BN1970" i="1"/>
  <c r="AZ1970" i="1" s="1"/>
  <c r="BN1969" i="1"/>
  <c r="AZ1969" i="1" s="1"/>
  <c r="BN1968" i="1"/>
  <c r="AZ1968" i="1" s="1"/>
  <c r="BN1967" i="1"/>
  <c r="AZ1967" i="1" s="1"/>
  <c r="BN1966" i="1"/>
  <c r="AZ1966" i="1" s="1"/>
  <c r="BN1965" i="1"/>
  <c r="AZ1965" i="1" s="1"/>
  <c r="BN1964" i="1"/>
  <c r="AZ1964" i="1" s="1"/>
  <c r="BN1963" i="1"/>
  <c r="AZ1963" i="1" s="1"/>
  <c r="BN1962" i="1"/>
  <c r="AZ1962" i="1" s="1"/>
  <c r="BN1961" i="1"/>
  <c r="AZ1961" i="1" s="1"/>
  <c r="BN1960" i="1"/>
  <c r="AZ1960" i="1" s="1"/>
  <c r="BN1959" i="1"/>
  <c r="AZ1959" i="1" s="1"/>
  <c r="BN1958" i="1"/>
  <c r="AZ1958" i="1" s="1"/>
  <c r="BN1957" i="1"/>
  <c r="AZ1957" i="1" s="1"/>
  <c r="BN1956" i="1"/>
  <c r="AZ1956" i="1" s="1"/>
  <c r="BN1955" i="1"/>
  <c r="AZ1955" i="1" s="1"/>
  <c r="BN1954" i="1"/>
  <c r="AZ1954" i="1" s="1"/>
  <c r="BN1953" i="1"/>
  <c r="AZ1953" i="1" s="1"/>
  <c r="BN1952" i="1"/>
  <c r="AZ1952" i="1" s="1"/>
  <c r="BN1951" i="1"/>
  <c r="AZ1951" i="1" s="1"/>
  <c r="BN1950" i="1"/>
  <c r="AZ1950" i="1" s="1"/>
  <c r="BN1949" i="1"/>
  <c r="AZ1949" i="1" s="1"/>
  <c r="BN1948" i="1"/>
  <c r="AZ1948" i="1" s="1"/>
  <c r="BN1947" i="1"/>
  <c r="AZ1947" i="1" s="1"/>
  <c r="BN1946" i="1"/>
  <c r="AZ1946" i="1" s="1"/>
  <c r="BN1945" i="1"/>
  <c r="AZ1945" i="1" s="1"/>
  <c r="BN1944" i="1"/>
  <c r="AZ1944" i="1" s="1"/>
  <c r="BN1943" i="1"/>
  <c r="AZ1943" i="1" s="1"/>
  <c r="BN1942" i="1"/>
  <c r="AZ1942" i="1" s="1"/>
  <c r="BN1941" i="1"/>
  <c r="AZ1941" i="1" s="1"/>
  <c r="BN1940" i="1"/>
  <c r="AZ1940" i="1" s="1"/>
  <c r="BN1939" i="1"/>
  <c r="AZ1939" i="1" s="1"/>
  <c r="BN1938" i="1"/>
  <c r="AZ1938" i="1" s="1"/>
  <c r="BN1937" i="1"/>
  <c r="AZ1937" i="1" s="1"/>
  <c r="BN1936" i="1"/>
  <c r="AZ1936" i="1" s="1"/>
  <c r="BN1935" i="1"/>
  <c r="AZ1935" i="1" s="1"/>
  <c r="BN1934" i="1"/>
  <c r="AZ1934" i="1" s="1"/>
  <c r="BN1933" i="1"/>
  <c r="AZ1933" i="1" s="1"/>
  <c r="BN1932" i="1"/>
  <c r="AZ1932" i="1" s="1"/>
  <c r="BN1931" i="1"/>
  <c r="AZ1931" i="1" s="1"/>
  <c r="BN1930" i="1"/>
  <c r="AZ1930" i="1" s="1"/>
  <c r="BN1929" i="1"/>
  <c r="AZ1929" i="1" s="1"/>
  <c r="BN1928" i="1"/>
  <c r="AZ1928" i="1" s="1"/>
  <c r="BN1927" i="1"/>
  <c r="AZ1927" i="1" s="1"/>
  <c r="BN1926" i="1"/>
  <c r="AZ1926" i="1" s="1"/>
  <c r="BN1925" i="1"/>
  <c r="AZ1925" i="1" s="1"/>
  <c r="BN1924" i="1"/>
  <c r="AZ1924" i="1" s="1"/>
  <c r="BN1923" i="1"/>
  <c r="AZ1923" i="1" s="1"/>
  <c r="BN1922" i="1"/>
  <c r="AZ1922" i="1" s="1"/>
  <c r="BN1921" i="1"/>
  <c r="AZ1921" i="1" s="1"/>
  <c r="BN1920" i="1"/>
  <c r="AZ1920" i="1" s="1"/>
  <c r="BN1919" i="1"/>
  <c r="AZ1919" i="1" s="1"/>
  <c r="BN1918" i="1"/>
  <c r="AZ1918" i="1" s="1"/>
  <c r="BN1917" i="1"/>
  <c r="AZ1917" i="1" s="1"/>
  <c r="BN1916" i="1"/>
  <c r="AZ1916" i="1" s="1"/>
  <c r="BN1915" i="1"/>
  <c r="AZ1915" i="1" s="1"/>
  <c r="BN1914" i="1"/>
  <c r="AZ1914" i="1" s="1"/>
  <c r="BN1913" i="1"/>
  <c r="AZ1913" i="1" s="1"/>
  <c r="BN1912" i="1"/>
  <c r="AZ1912" i="1" s="1"/>
  <c r="BN1911" i="1"/>
  <c r="AZ1911" i="1" s="1"/>
  <c r="BN1910" i="1"/>
  <c r="AZ1910" i="1" s="1"/>
  <c r="BN1909" i="1"/>
  <c r="AZ1909" i="1" s="1"/>
  <c r="BN1908" i="1"/>
  <c r="AZ1908" i="1" s="1"/>
  <c r="BN1907" i="1"/>
  <c r="AZ1907" i="1" s="1"/>
  <c r="BN1906" i="1"/>
  <c r="AZ1906" i="1" s="1"/>
  <c r="BN1905" i="1"/>
  <c r="AZ1905" i="1" s="1"/>
  <c r="BN1904" i="1"/>
  <c r="AZ1904" i="1" s="1"/>
  <c r="BN1903" i="1"/>
  <c r="AZ1903" i="1" s="1"/>
  <c r="BN1902" i="1"/>
  <c r="AZ1902" i="1" s="1"/>
  <c r="BN1901" i="1"/>
  <c r="AZ1901" i="1" s="1"/>
  <c r="BN1900" i="1"/>
  <c r="AZ1900" i="1" s="1"/>
  <c r="BN1899" i="1"/>
  <c r="AZ1899" i="1" s="1"/>
  <c r="BN1898" i="1"/>
  <c r="AZ1898" i="1" s="1"/>
  <c r="BN1897" i="1"/>
  <c r="AZ1897" i="1" s="1"/>
  <c r="BN1896" i="1"/>
  <c r="AZ1896" i="1" s="1"/>
  <c r="BN1895" i="1"/>
  <c r="AZ1895" i="1" s="1"/>
  <c r="BN1894" i="1"/>
  <c r="AZ1894" i="1" s="1"/>
  <c r="BN1893" i="1"/>
  <c r="AZ1893" i="1" s="1"/>
  <c r="BN1892" i="1"/>
  <c r="AZ1892" i="1" s="1"/>
  <c r="BN1891" i="1"/>
  <c r="AZ1891" i="1" s="1"/>
  <c r="BN1890" i="1"/>
  <c r="AZ1890" i="1" s="1"/>
  <c r="BN1889" i="1"/>
  <c r="AZ1889" i="1" s="1"/>
  <c r="BN1888" i="1"/>
  <c r="AZ1888" i="1" s="1"/>
  <c r="BN1887" i="1"/>
  <c r="AZ1887" i="1" s="1"/>
  <c r="BN1886" i="1"/>
  <c r="AZ1886" i="1" s="1"/>
  <c r="BN1885" i="1"/>
  <c r="AZ1885" i="1" s="1"/>
  <c r="BN1884" i="1"/>
  <c r="AZ1884" i="1" s="1"/>
  <c r="BN1883" i="1"/>
  <c r="AZ1883" i="1" s="1"/>
  <c r="BN1882" i="1"/>
  <c r="AZ1882" i="1" s="1"/>
  <c r="BN1881" i="1"/>
  <c r="AZ1881" i="1" s="1"/>
  <c r="BN1880" i="1"/>
  <c r="AZ1880" i="1" s="1"/>
  <c r="BN1879" i="1"/>
  <c r="AZ1879" i="1" s="1"/>
  <c r="BN1878" i="1"/>
  <c r="AZ1878" i="1" s="1"/>
  <c r="BN1877" i="1"/>
  <c r="AZ1877" i="1" s="1"/>
  <c r="BN1876" i="1"/>
  <c r="AZ1876" i="1" s="1"/>
  <c r="BN1875" i="1"/>
  <c r="AZ1875" i="1" s="1"/>
  <c r="BN1874" i="1"/>
  <c r="AZ1874" i="1" s="1"/>
  <c r="BN1873" i="1"/>
  <c r="AZ1873" i="1" s="1"/>
  <c r="BN1872" i="1"/>
  <c r="AZ1872" i="1" s="1"/>
  <c r="BN1871" i="1"/>
  <c r="AZ1871" i="1" s="1"/>
  <c r="BN1870" i="1"/>
  <c r="AZ1870" i="1" s="1"/>
  <c r="BN1869" i="1"/>
  <c r="AZ1869" i="1" s="1"/>
  <c r="BN1868" i="1"/>
  <c r="AZ1868" i="1" s="1"/>
  <c r="BN1867" i="1"/>
  <c r="AZ1867" i="1" s="1"/>
  <c r="BN1866" i="1"/>
  <c r="AZ1866" i="1" s="1"/>
  <c r="BN1865" i="1"/>
  <c r="AZ1865" i="1" s="1"/>
  <c r="BN1864" i="1"/>
  <c r="AZ1864" i="1" s="1"/>
  <c r="BN1863" i="1"/>
  <c r="AZ1863" i="1" s="1"/>
  <c r="BN1862" i="1"/>
  <c r="AZ1862" i="1" s="1"/>
  <c r="BN1861" i="1"/>
  <c r="AZ1861" i="1" s="1"/>
  <c r="BN1860" i="1"/>
  <c r="AZ1860" i="1" s="1"/>
  <c r="BN1859" i="1"/>
  <c r="AZ1859" i="1" s="1"/>
  <c r="BN1858" i="1"/>
  <c r="AZ1858" i="1" s="1"/>
  <c r="BN1857" i="1"/>
  <c r="AZ1857" i="1" s="1"/>
  <c r="BN1856" i="1"/>
  <c r="AZ1856" i="1" s="1"/>
  <c r="BN1855" i="1"/>
  <c r="AZ1855" i="1" s="1"/>
  <c r="BN1854" i="1"/>
  <c r="AZ1854" i="1" s="1"/>
  <c r="BN1853" i="1"/>
  <c r="AZ1853" i="1" s="1"/>
  <c r="BN1852" i="1"/>
  <c r="AZ1852" i="1" s="1"/>
  <c r="BN1851" i="1"/>
  <c r="AZ1851" i="1" s="1"/>
  <c r="BN1850" i="1"/>
  <c r="AZ1850" i="1" s="1"/>
  <c r="BN1849" i="1"/>
  <c r="AZ1849" i="1" s="1"/>
  <c r="BN1848" i="1"/>
  <c r="AZ1848" i="1" s="1"/>
  <c r="BN1847" i="1"/>
  <c r="AZ1847" i="1" s="1"/>
  <c r="BN1846" i="1"/>
  <c r="AZ1846" i="1" s="1"/>
  <c r="BN1845" i="1"/>
  <c r="AZ1845" i="1" s="1"/>
  <c r="BN1844" i="1"/>
  <c r="AZ1844" i="1" s="1"/>
  <c r="BN1843" i="1"/>
  <c r="AZ1843" i="1" s="1"/>
  <c r="BN1842" i="1"/>
  <c r="AZ1842" i="1" s="1"/>
  <c r="BN1841" i="1"/>
  <c r="AZ1841" i="1" s="1"/>
  <c r="BN1840" i="1"/>
  <c r="AZ1840" i="1" s="1"/>
  <c r="BN1839" i="1"/>
  <c r="AZ1839" i="1" s="1"/>
  <c r="BN1838" i="1"/>
  <c r="AZ1838" i="1" s="1"/>
  <c r="BN1837" i="1"/>
  <c r="AZ1837" i="1" s="1"/>
  <c r="BN1836" i="1"/>
  <c r="AZ1836" i="1" s="1"/>
  <c r="BN1835" i="1"/>
  <c r="AZ1835" i="1" s="1"/>
  <c r="BN1834" i="1"/>
  <c r="AZ1834" i="1" s="1"/>
  <c r="BN1833" i="1"/>
  <c r="AZ1833" i="1" s="1"/>
  <c r="BN1832" i="1"/>
  <c r="AZ1832" i="1" s="1"/>
  <c r="BN1831" i="1"/>
  <c r="AZ1831" i="1" s="1"/>
  <c r="BN1830" i="1"/>
  <c r="AZ1830" i="1" s="1"/>
  <c r="BN1829" i="1"/>
  <c r="AZ1829" i="1" s="1"/>
  <c r="BN1828" i="1"/>
  <c r="AZ1828" i="1" s="1"/>
  <c r="BN1827" i="1"/>
  <c r="AZ1827" i="1" s="1"/>
  <c r="BN1826" i="1"/>
  <c r="AZ1826" i="1" s="1"/>
  <c r="BN1825" i="1"/>
  <c r="AZ1825" i="1" s="1"/>
  <c r="BN1824" i="1"/>
  <c r="AZ1824" i="1" s="1"/>
  <c r="BN1823" i="1"/>
  <c r="AZ1823" i="1" s="1"/>
  <c r="BN1822" i="1"/>
  <c r="AZ1822" i="1" s="1"/>
  <c r="BN1821" i="1"/>
  <c r="AZ1821" i="1" s="1"/>
  <c r="BN1820" i="1"/>
  <c r="AZ1820" i="1" s="1"/>
  <c r="BN1819" i="1"/>
  <c r="AZ1819" i="1" s="1"/>
  <c r="BN1818" i="1"/>
  <c r="AZ1818" i="1" s="1"/>
  <c r="BN1817" i="1"/>
  <c r="AZ1817" i="1" s="1"/>
  <c r="BN1816" i="1"/>
  <c r="AZ1816" i="1" s="1"/>
  <c r="BN1815" i="1"/>
  <c r="AZ1815" i="1" s="1"/>
  <c r="BN1814" i="1"/>
  <c r="AZ1814" i="1" s="1"/>
  <c r="BN1813" i="1"/>
  <c r="AZ1813" i="1" s="1"/>
  <c r="BN1812" i="1"/>
  <c r="AZ1812" i="1" s="1"/>
  <c r="BN1811" i="1"/>
  <c r="AZ1811" i="1" s="1"/>
  <c r="BN1810" i="1"/>
  <c r="AZ1810" i="1" s="1"/>
  <c r="BN1809" i="1"/>
  <c r="AZ1809" i="1" s="1"/>
  <c r="BN1808" i="1"/>
  <c r="AZ1808" i="1" s="1"/>
  <c r="BN1807" i="1"/>
  <c r="AZ1807" i="1" s="1"/>
  <c r="BN1806" i="1"/>
  <c r="AZ1806" i="1" s="1"/>
  <c r="BN1805" i="1"/>
  <c r="AZ1805" i="1" s="1"/>
  <c r="BN1804" i="1"/>
  <c r="AZ1804" i="1" s="1"/>
  <c r="BN1803" i="1"/>
  <c r="AZ1803" i="1" s="1"/>
  <c r="BN1802" i="1"/>
  <c r="AZ1802" i="1" s="1"/>
  <c r="BN1801" i="1"/>
  <c r="AZ1801" i="1" s="1"/>
  <c r="BN1800" i="1"/>
  <c r="AZ1800" i="1" s="1"/>
  <c r="BN1799" i="1"/>
  <c r="AZ1799" i="1" s="1"/>
  <c r="BN1798" i="1"/>
  <c r="AZ1798" i="1" s="1"/>
  <c r="BN1797" i="1"/>
  <c r="AZ1797" i="1" s="1"/>
  <c r="BN1796" i="1"/>
  <c r="AZ1796" i="1" s="1"/>
  <c r="BN1795" i="1"/>
  <c r="AZ1795" i="1" s="1"/>
  <c r="BN1794" i="1"/>
  <c r="AZ1794" i="1" s="1"/>
  <c r="BN1793" i="1"/>
  <c r="AZ1793" i="1" s="1"/>
  <c r="BN1792" i="1"/>
  <c r="AZ1792" i="1" s="1"/>
  <c r="BN1791" i="1"/>
  <c r="AZ1791" i="1" s="1"/>
  <c r="BN1790" i="1"/>
  <c r="AZ1790" i="1" s="1"/>
  <c r="BN1789" i="1"/>
  <c r="AZ1789" i="1" s="1"/>
  <c r="BN1788" i="1"/>
  <c r="AZ1788" i="1" s="1"/>
  <c r="BN1787" i="1"/>
  <c r="AZ1787" i="1" s="1"/>
  <c r="BN1786" i="1"/>
  <c r="AZ1786" i="1" s="1"/>
  <c r="BN1785" i="1"/>
  <c r="AZ1785" i="1" s="1"/>
  <c r="BN1784" i="1"/>
  <c r="AZ1784" i="1" s="1"/>
  <c r="BN1783" i="1"/>
  <c r="AZ1783" i="1" s="1"/>
  <c r="BN1782" i="1"/>
  <c r="AZ1782" i="1" s="1"/>
  <c r="BN1781" i="1"/>
  <c r="AZ1781" i="1" s="1"/>
  <c r="BN1780" i="1"/>
  <c r="AZ1780" i="1" s="1"/>
  <c r="BN1779" i="1"/>
  <c r="AZ1779" i="1" s="1"/>
  <c r="BN1778" i="1"/>
  <c r="AZ1778" i="1" s="1"/>
  <c r="BN1777" i="1"/>
  <c r="AZ1777" i="1" s="1"/>
  <c r="BN1776" i="1"/>
  <c r="AZ1776" i="1" s="1"/>
  <c r="BN1775" i="1"/>
  <c r="AZ1775" i="1" s="1"/>
  <c r="BN1774" i="1"/>
  <c r="AZ1774" i="1" s="1"/>
  <c r="BN1773" i="1"/>
  <c r="AZ1773" i="1" s="1"/>
  <c r="BN1772" i="1"/>
  <c r="AZ1772" i="1" s="1"/>
  <c r="BN1771" i="1"/>
  <c r="AZ1771" i="1" s="1"/>
  <c r="BN1770" i="1"/>
  <c r="AZ1770" i="1" s="1"/>
  <c r="BN1769" i="1"/>
  <c r="AZ1769" i="1" s="1"/>
  <c r="BN1768" i="1"/>
  <c r="AZ1768" i="1" s="1"/>
  <c r="BN1767" i="1"/>
  <c r="AZ1767" i="1" s="1"/>
  <c r="BN1766" i="1"/>
  <c r="AZ1766" i="1" s="1"/>
  <c r="BN1765" i="1"/>
  <c r="AZ1765" i="1" s="1"/>
  <c r="BN1764" i="1"/>
  <c r="AZ1764" i="1" s="1"/>
  <c r="BN1763" i="1"/>
  <c r="AZ1763" i="1" s="1"/>
  <c r="BN1762" i="1"/>
  <c r="AZ1762" i="1" s="1"/>
  <c r="BN1761" i="1"/>
  <c r="AZ1761" i="1" s="1"/>
  <c r="BN1760" i="1"/>
  <c r="AZ1760" i="1" s="1"/>
  <c r="BN1759" i="1"/>
  <c r="AZ1759" i="1" s="1"/>
  <c r="BN1758" i="1"/>
  <c r="AZ1758" i="1" s="1"/>
  <c r="BN1757" i="1"/>
  <c r="AZ1757" i="1" s="1"/>
  <c r="BN1756" i="1"/>
  <c r="AZ1756" i="1" s="1"/>
  <c r="BN1755" i="1"/>
  <c r="AZ1755" i="1" s="1"/>
  <c r="BN1754" i="1"/>
  <c r="AZ1754" i="1" s="1"/>
  <c r="BN1753" i="1"/>
  <c r="AZ1753" i="1" s="1"/>
  <c r="BN1752" i="1"/>
  <c r="AZ1752" i="1" s="1"/>
  <c r="BN1751" i="1"/>
  <c r="AZ1751" i="1" s="1"/>
  <c r="BN1750" i="1"/>
  <c r="AZ1750" i="1" s="1"/>
  <c r="BN1749" i="1"/>
  <c r="AZ1749" i="1" s="1"/>
  <c r="BN1748" i="1"/>
  <c r="AZ1748" i="1" s="1"/>
  <c r="BN1747" i="1"/>
  <c r="AZ1747" i="1" s="1"/>
  <c r="BN1746" i="1"/>
  <c r="AZ1746" i="1" s="1"/>
  <c r="BN1745" i="1"/>
  <c r="AZ1745" i="1" s="1"/>
  <c r="BN1744" i="1"/>
  <c r="AZ1744" i="1" s="1"/>
  <c r="BN1743" i="1"/>
  <c r="AZ1743" i="1" s="1"/>
  <c r="BN1742" i="1"/>
  <c r="AZ1742" i="1" s="1"/>
  <c r="BN1741" i="1"/>
  <c r="AZ1741" i="1" s="1"/>
  <c r="BN1740" i="1"/>
  <c r="AZ1740" i="1" s="1"/>
  <c r="BN1739" i="1"/>
  <c r="AZ1739" i="1" s="1"/>
  <c r="BN1738" i="1"/>
  <c r="AZ1738" i="1" s="1"/>
  <c r="BN1737" i="1"/>
  <c r="AZ1737" i="1" s="1"/>
  <c r="BN1736" i="1"/>
  <c r="AZ1736" i="1" s="1"/>
  <c r="BN1735" i="1"/>
  <c r="AZ1735" i="1" s="1"/>
  <c r="BN1734" i="1"/>
  <c r="AZ1734" i="1" s="1"/>
  <c r="BN1733" i="1"/>
  <c r="AZ1733" i="1" s="1"/>
  <c r="BN1732" i="1"/>
  <c r="AZ1732" i="1" s="1"/>
  <c r="BN1731" i="1"/>
  <c r="AZ1731" i="1" s="1"/>
  <c r="BN1730" i="1"/>
  <c r="AZ1730" i="1" s="1"/>
  <c r="BN1729" i="1"/>
  <c r="AZ1729" i="1" s="1"/>
  <c r="BN1728" i="1"/>
  <c r="AZ1728" i="1" s="1"/>
  <c r="BN1727" i="1"/>
  <c r="AZ1727" i="1" s="1"/>
  <c r="BN1726" i="1"/>
  <c r="AZ1726" i="1" s="1"/>
  <c r="BN1725" i="1"/>
  <c r="AZ1725" i="1" s="1"/>
  <c r="BN1724" i="1"/>
  <c r="AZ1724" i="1" s="1"/>
  <c r="BN1723" i="1"/>
  <c r="AZ1723" i="1" s="1"/>
  <c r="BN1722" i="1"/>
  <c r="AZ1722" i="1" s="1"/>
  <c r="BN1721" i="1"/>
  <c r="AZ1721" i="1" s="1"/>
  <c r="BN1720" i="1"/>
  <c r="AZ1720" i="1" s="1"/>
  <c r="BN1719" i="1"/>
  <c r="AZ1719" i="1" s="1"/>
  <c r="BN1718" i="1"/>
  <c r="AZ1718" i="1" s="1"/>
  <c r="BN1717" i="1"/>
  <c r="AZ1717" i="1" s="1"/>
  <c r="BN1716" i="1"/>
  <c r="AZ1716" i="1" s="1"/>
  <c r="BN1715" i="1"/>
  <c r="AZ1715" i="1" s="1"/>
  <c r="BN1714" i="1"/>
  <c r="AZ1714" i="1" s="1"/>
  <c r="BN1713" i="1"/>
  <c r="AZ1713" i="1" s="1"/>
  <c r="BN1712" i="1"/>
  <c r="AZ1712" i="1" s="1"/>
  <c r="BN1711" i="1"/>
  <c r="AZ1711" i="1" s="1"/>
  <c r="BN1710" i="1"/>
  <c r="AZ1710" i="1" s="1"/>
  <c r="BN1709" i="1"/>
  <c r="AZ1709" i="1" s="1"/>
  <c r="BN1708" i="1"/>
  <c r="AZ1708" i="1" s="1"/>
  <c r="BN1707" i="1"/>
  <c r="AZ1707" i="1" s="1"/>
  <c r="BN1706" i="1"/>
  <c r="AZ1706" i="1" s="1"/>
  <c r="BN1705" i="1"/>
  <c r="AZ1705" i="1" s="1"/>
  <c r="BN1704" i="1"/>
  <c r="AZ1704" i="1" s="1"/>
  <c r="BN1703" i="1"/>
  <c r="AZ1703" i="1" s="1"/>
  <c r="BN1702" i="1"/>
  <c r="AZ1702" i="1" s="1"/>
  <c r="BN1701" i="1"/>
  <c r="AZ1701" i="1" s="1"/>
  <c r="BN1700" i="1"/>
  <c r="AZ1700" i="1" s="1"/>
  <c r="BN1699" i="1"/>
  <c r="AZ1699" i="1" s="1"/>
  <c r="BN1698" i="1"/>
  <c r="AZ1698" i="1" s="1"/>
  <c r="BN1697" i="1"/>
  <c r="AZ1697" i="1" s="1"/>
  <c r="BN1696" i="1"/>
  <c r="AZ1696" i="1" s="1"/>
  <c r="BN1695" i="1"/>
  <c r="AZ1695" i="1" s="1"/>
  <c r="BN1694" i="1"/>
  <c r="AZ1694" i="1" s="1"/>
  <c r="BN1693" i="1"/>
  <c r="AZ1693" i="1" s="1"/>
  <c r="BN1692" i="1"/>
  <c r="AZ1692" i="1" s="1"/>
  <c r="BN1691" i="1"/>
  <c r="AZ1691" i="1" s="1"/>
  <c r="BN1690" i="1"/>
  <c r="AZ1690" i="1" s="1"/>
  <c r="BN1689" i="1"/>
  <c r="AZ1689" i="1" s="1"/>
  <c r="BN1688" i="1"/>
  <c r="AZ1688" i="1" s="1"/>
  <c r="BN1687" i="1"/>
  <c r="AZ1687" i="1" s="1"/>
  <c r="BN1686" i="1"/>
  <c r="AZ1686" i="1" s="1"/>
  <c r="BN1685" i="1"/>
  <c r="AZ1685" i="1" s="1"/>
  <c r="BN1684" i="1"/>
  <c r="AZ1684" i="1" s="1"/>
  <c r="BN1683" i="1"/>
  <c r="AZ1683" i="1" s="1"/>
  <c r="BN1682" i="1"/>
  <c r="AZ1682" i="1" s="1"/>
  <c r="BN1681" i="1"/>
  <c r="AZ1681" i="1" s="1"/>
  <c r="BN1680" i="1"/>
  <c r="AZ1680" i="1" s="1"/>
  <c r="BN1679" i="1"/>
  <c r="AZ1679" i="1" s="1"/>
  <c r="BN1678" i="1"/>
  <c r="AZ1678" i="1" s="1"/>
  <c r="BN1677" i="1"/>
  <c r="AZ1677" i="1" s="1"/>
  <c r="BN1676" i="1"/>
  <c r="AZ1676" i="1" s="1"/>
  <c r="BN1675" i="1"/>
  <c r="AZ1675" i="1" s="1"/>
  <c r="BN1674" i="1"/>
  <c r="AZ1674" i="1" s="1"/>
  <c r="BN1673" i="1"/>
  <c r="AZ1673" i="1" s="1"/>
  <c r="BN1672" i="1"/>
  <c r="AZ1672" i="1" s="1"/>
  <c r="BN1671" i="1"/>
  <c r="AZ1671" i="1" s="1"/>
  <c r="BN1670" i="1"/>
  <c r="AZ1670" i="1" s="1"/>
  <c r="BN1669" i="1"/>
  <c r="AZ1669" i="1" s="1"/>
  <c r="BN1668" i="1"/>
  <c r="AZ1668" i="1" s="1"/>
  <c r="BN1667" i="1"/>
  <c r="AZ1667" i="1" s="1"/>
  <c r="BN1666" i="1"/>
  <c r="AZ1666" i="1" s="1"/>
  <c r="BN1665" i="1"/>
  <c r="AZ1665" i="1" s="1"/>
  <c r="BN1664" i="1"/>
  <c r="AZ1664" i="1" s="1"/>
  <c r="BN1663" i="1"/>
  <c r="AZ1663" i="1" s="1"/>
  <c r="BN1662" i="1"/>
  <c r="AZ1662" i="1" s="1"/>
  <c r="BN1661" i="1"/>
  <c r="AZ1661" i="1" s="1"/>
  <c r="BN1660" i="1"/>
  <c r="AZ1660" i="1" s="1"/>
  <c r="BN1659" i="1"/>
  <c r="AZ1659" i="1" s="1"/>
  <c r="BN1658" i="1"/>
  <c r="AZ1658" i="1" s="1"/>
  <c r="BN1657" i="1"/>
  <c r="AZ1657" i="1" s="1"/>
  <c r="BN1656" i="1"/>
  <c r="AZ1656" i="1" s="1"/>
  <c r="BN1655" i="1"/>
  <c r="AZ1655" i="1" s="1"/>
  <c r="BN1654" i="1"/>
  <c r="AZ1654" i="1" s="1"/>
  <c r="BN1653" i="1"/>
  <c r="AZ1653" i="1" s="1"/>
  <c r="BN1652" i="1"/>
  <c r="AZ1652" i="1" s="1"/>
  <c r="BN1651" i="1"/>
  <c r="AZ1651" i="1" s="1"/>
  <c r="BN1650" i="1"/>
  <c r="AZ1650" i="1" s="1"/>
  <c r="BN1649" i="1"/>
  <c r="AZ1649" i="1" s="1"/>
  <c r="BN1648" i="1"/>
  <c r="AZ1648" i="1" s="1"/>
  <c r="BN1647" i="1"/>
  <c r="AZ1647" i="1" s="1"/>
  <c r="BN1646" i="1"/>
  <c r="AZ1646" i="1" s="1"/>
  <c r="BN1645" i="1"/>
  <c r="AZ1645" i="1" s="1"/>
  <c r="BN1644" i="1"/>
  <c r="AZ1644" i="1" s="1"/>
  <c r="BN1643" i="1"/>
  <c r="AZ1643" i="1" s="1"/>
  <c r="BN1642" i="1"/>
  <c r="AZ1642" i="1" s="1"/>
  <c r="BN1641" i="1"/>
  <c r="AZ1641" i="1" s="1"/>
  <c r="BN1640" i="1"/>
  <c r="AZ1640" i="1" s="1"/>
  <c r="BN1639" i="1"/>
  <c r="AZ1639" i="1" s="1"/>
  <c r="BN1638" i="1"/>
  <c r="AZ1638" i="1" s="1"/>
  <c r="BN1637" i="1"/>
  <c r="AZ1637" i="1" s="1"/>
  <c r="BN1636" i="1"/>
  <c r="AZ1636" i="1" s="1"/>
  <c r="BN1635" i="1"/>
  <c r="AZ1635" i="1" s="1"/>
  <c r="BN1634" i="1"/>
  <c r="AZ1634" i="1" s="1"/>
  <c r="BN1633" i="1"/>
  <c r="AZ1633" i="1" s="1"/>
  <c r="BN1632" i="1"/>
  <c r="AZ1632" i="1" s="1"/>
  <c r="BN1631" i="1"/>
  <c r="AZ1631" i="1" s="1"/>
  <c r="BN1630" i="1"/>
  <c r="AZ1630" i="1" s="1"/>
  <c r="BN1629" i="1"/>
  <c r="AZ1629" i="1" s="1"/>
  <c r="BN1628" i="1"/>
  <c r="AZ1628" i="1" s="1"/>
  <c r="BN1627" i="1"/>
  <c r="AZ1627" i="1" s="1"/>
  <c r="BN1626" i="1"/>
  <c r="AZ1626" i="1" s="1"/>
  <c r="BN1625" i="1"/>
  <c r="AZ1625" i="1" s="1"/>
  <c r="BN1624" i="1"/>
  <c r="AZ1624" i="1" s="1"/>
  <c r="BN1623" i="1"/>
  <c r="AZ1623" i="1" s="1"/>
  <c r="BN1622" i="1"/>
  <c r="AZ1622" i="1" s="1"/>
  <c r="BN1621" i="1"/>
  <c r="AZ1621" i="1" s="1"/>
  <c r="BN1620" i="1"/>
  <c r="AZ1620" i="1" s="1"/>
  <c r="BN1619" i="1"/>
  <c r="AZ1619" i="1" s="1"/>
  <c r="BN1618" i="1"/>
  <c r="AZ1618" i="1" s="1"/>
  <c r="BN1617" i="1"/>
  <c r="AZ1617" i="1" s="1"/>
  <c r="BN1616" i="1"/>
  <c r="AZ1616" i="1" s="1"/>
  <c r="BN1615" i="1"/>
  <c r="AZ1615" i="1" s="1"/>
  <c r="BN1614" i="1"/>
  <c r="AZ1614" i="1" s="1"/>
  <c r="BN1613" i="1"/>
  <c r="AZ1613" i="1" s="1"/>
  <c r="BN1612" i="1"/>
  <c r="AZ1612" i="1" s="1"/>
  <c r="BN1611" i="1"/>
  <c r="AZ1611" i="1" s="1"/>
  <c r="BN1610" i="1"/>
  <c r="AZ1610" i="1" s="1"/>
  <c r="BN1609" i="1"/>
  <c r="AZ1609" i="1" s="1"/>
  <c r="BN1608" i="1"/>
  <c r="AZ1608" i="1" s="1"/>
  <c r="BN1607" i="1"/>
  <c r="AZ1607" i="1" s="1"/>
  <c r="BN1606" i="1"/>
  <c r="AZ1606" i="1" s="1"/>
  <c r="BN1605" i="1"/>
  <c r="AZ1605" i="1" s="1"/>
  <c r="BN1604" i="1"/>
  <c r="AZ1604" i="1" s="1"/>
  <c r="BN1603" i="1"/>
  <c r="AZ1603" i="1" s="1"/>
  <c r="BN1602" i="1"/>
  <c r="AZ1602" i="1" s="1"/>
  <c r="BN1601" i="1"/>
  <c r="AZ1601" i="1" s="1"/>
  <c r="BN1600" i="1"/>
  <c r="AZ1600" i="1" s="1"/>
  <c r="BN1599" i="1"/>
  <c r="AZ1599" i="1" s="1"/>
  <c r="BN1598" i="1"/>
  <c r="AZ1598" i="1" s="1"/>
  <c r="BN1597" i="1"/>
  <c r="AZ1597" i="1" s="1"/>
  <c r="BN1596" i="1"/>
  <c r="AZ1596" i="1" s="1"/>
  <c r="BN1595" i="1"/>
  <c r="AZ1595" i="1" s="1"/>
  <c r="BN1594" i="1"/>
  <c r="AZ1594" i="1" s="1"/>
  <c r="BN1593" i="1"/>
  <c r="AZ1593" i="1" s="1"/>
  <c r="BN1592" i="1"/>
  <c r="AZ1592" i="1" s="1"/>
  <c r="BN1591" i="1"/>
  <c r="AZ1591" i="1" s="1"/>
  <c r="BN1590" i="1"/>
  <c r="AZ1590" i="1" s="1"/>
  <c r="BN1589" i="1"/>
  <c r="AZ1589" i="1" s="1"/>
  <c r="BN1588" i="1"/>
  <c r="AZ1588" i="1" s="1"/>
  <c r="BN1587" i="1"/>
  <c r="AZ1587" i="1" s="1"/>
  <c r="BN1586" i="1"/>
  <c r="AZ1586" i="1" s="1"/>
  <c r="BN1585" i="1"/>
  <c r="AZ1585" i="1" s="1"/>
  <c r="BN1584" i="1"/>
  <c r="AZ1584" i="1" s="1"/>
  <c r="BN1583" i="1"/>
  <c r="AZ1583" i="1" s="1"/>
  <c r="BN1582" i="1"/>
  <c r="AZ1582" i="1" s="1"/>
  <c r="BN1581" i="1"/>
  <c r="AZ1581" i="1" s="1"/>
  <c r="BN1580" i="1"/>
  <c r="AZ1580" i="1" s="1"/>
  <c r="BN1579" i="1"/>
  <c r="AZ1579" i="1" s="1"/>
  <c r="BN1578" i="1"/>
  <c r="AZ1578" i="1" s="1"/>
  <c r="BN1577" i="1"/>
  <c r="AZ1577" i="1" s="1"/>
  <c r="BN1576" i="1"/>
  <c r="AZ1576" i="1" s="1"/>
  <c r="BN1575" i="1"/>
  <c r="AZ1575" i="1" s="1"/>
  <c r="BN1574" i="1"/>
  <c r="AZ1574" i="1" s="1"/>
  <c r="BN1573" i="1"/>
  <c r="AZ1573" i="1" s="1"/>
  <c r="BN1572" i="1"/>
  <c r="AZ1572" i="1" s="1"/>
  <c r="BN1571" i="1"/>
  <c r="AZ1571" i="1" s="1"/>
  <c r="BN1570" i="1"/>
  <c r="AZ1570" i="1" s="1"/>
  <c r="BN1569" i="1"/>
  <c r="AZ1569" i="1" s="1"/>
  <c r="BN1568" i="1"/>
  <c r="AZ1568" i="1" s="1"/>
  <c r="BN1567" i="1"/>
  <c r="AZ1567" i="1" s="1"/>
  <c r="BN1566" i="1"/>
  <c r="AZ1566" i="1" s="1"/>
  <c r="BN1565" i="1"/>
  <c r="AZ1565" i="1" s="1"/>
  <c r="BN1564" i="1"/>
  <c r="AZ1564" i="1" s="1"/>
  <c r="BN1563" i="1"/>
  <c r="AZ1563" i="1" s="1"/>
  <c r="BN1562" i="1"/>
  <c r="AZ1562" i="1" s="1"/>
  <c r="BN1561" i="1"/>
  <c r="AZ1561" i="1" s="1"/>
  <c r="BN1560" i="1"/>
  <c r="AZ1560" i="1" s="1"/>
  <c r="BN1559" i="1"/>
  <c r="AZ1559" i="1" s="1"/>
  <c r="BN1558" i="1"/>
  <c r="AZ1558" i="1" s="1"/>
  <c r="BN1557" i="1"/>
  <c r="AZ1557" i="1" s="1"/>
  <c r="BN1556" i="1"/>
  <c r="AZ1556" i="1" s="1"/>
  <c r="BN1555" i="1"/>
  <c r="AZ1555" i="1" s="1"/>
  <c r="BN1554" i="1"/>
  <c r="AZ1554" i="1" s="1"/>
  <c r="BN1553" i="1"/>
  <c r="AZ1553" i="1" s="1"/>
  <c r="BN1552" i="1"/>
  <c r="AZ1552" i="1" s="1"/>
  <c r="BN1551" i="1"/>
  <c r="AZ1551" i="1" s="1"/>
  <c r="BN1550" i="1"/>
  <c r="AZ1550" i="1" s="1"/>
  <c r="BN1549" i="1"/>
  <c r="AZ1549" i="1" s="1"/>
  <c r="BN1548" i="1"/>
  <c r="AZ1548" i="1" s="1"/>
  <c r="BN1547" i="1"/>
  <c r="AZ1547" i="1" s="1"/>
  <c r="BN1546" i="1"/>
  <c r="AZ1546" i="1" s="1"/>
  <c r="BN1545" i="1"/>
  <c r="AZ1545" i="1" s="1"/>
  <c r="BN1544" i="1"/>
  <c r="AZ1544" i="1" s="1"/>
  <c r="BN1543" i="1"/>
  <c r="AZ1543" i="1" s="1"/>
  <c r="BN1542" i="1"/>
  <c r="AZ1542" i="1" s="1"/>
  <c r="BN1541" i="1"/>
  <c r="AZ1541" i="1" s="1"/>
  <c r="BN1540" i="1"/>
  <c r="AZ1540" i="1" s="1"/>
  <c r="BN1539" i="1"/>
  <c r="AZ1539" i="1" s="1"/>
  <c r="BN1538" i="1"/>
  <c r="AZ1538" i="1" s="1"/>
  <c r="BN1537" i="1"/>
  <c r="AZ1537" i="1" s="1"/>
  <c r="BN1536" i="1"/>
  <c r="AZ1536" i="1" s="1"/>
  <c r="BN1535" i="1"/>
  <c r="AZ1535" i="1" s="1"/>
  <c r="BN1534" i="1"/>
  <c r="AZ1534" i="1" s="1"/>
  <c r="BN1533" i="1"/>
  <c r="AZ1533" i="1" s="1"/>
  <c r="BN1532" i="1"/>
  <c r="AZ1532" i="1" s="1"/>
  <c r="BN1531" i="1"/>
  <c r="AZ1531" i="1" s="1"/>
  <c r="BN1530" i="1"/>
  <c r="AZ1530" i="1" s="1"/>
  <c r="BN1529" i="1"/>
  <c r="AZ1529" i="1" s="1"/>
  <c r="BN1528" i="1"/>
  <c r="AZ1528" i="1" s="1"/>
  <c r="BN1527" i="1"/>
  <c r="AZ1527" i="1" s="1"/>
  <c r="BN1526" i="1"/>
  <c r="AZ1526" i="1" s="1"/>
  <c r="BN1525" i="1"/>
  <c r="AZ1525" i="1" s="1"/>
  <c r="BN1524" i="1"/>
  <c r="AZ1524" i="1" s="1"/>
  <c r="BN1523" i="1"/>
  <c r="AZ1523" i="1" s="1"/>
  <c r="BN1522" i="1"/>
  <c r="AZ1522" i="1" s="1"/>
  <c r="BN1521" i="1"/>
  <c r="AZ1521" i="1" s="1"/>
  <c r="BN1520" i="1"/>
  <c r="AZ1520" i="1" s="1"/>
  <c r="BN1519" i="1"/>
  <c r="AZ1519" i="1" s="1"/>
  <c r="BN1518" i="1"/>
  <c r="AZ1518" i="1" s="1"/>
  <c r="BN1517" i="1"/>
  <c r="AZ1517" i="1" s="1"/>
  <c r="BN1516" i="1"/>
  <c r="AZ1516" i="1" s="1"/>
  <c r="BN1515" i="1"/>
  <c r="AZ1515" i="1" s="1"/>
  <c r="BN1514" i="1"/>
  <c r="AZ1514" i="1" s="1"/>
  <c r="BN1513" i="1"/>
  <c r="AZ1513" i="1" s="1"/>
  <c r="BN1512" i="1"/>
  <c r="AZ1512" i="1" s="1"/>
  <c r="BN1511" i="1"/>
  <c r="AZ1511" i="1" s="1"/>
  <c r="BN1510" i="1"/>
  <c r="AZ1510" i="1" s="1"/>
  <c r="BN1509" i="1"/>
  <c r="AZ1509" i="1" s="1"/>
  <c r="BN1508" i="1"/>
  <c r="AZ1508" i="1" s="1"/>
  <c r="BN1507" i="1"/>
  <c r="AZ1507" i="1" s="1"/>
  <c r="BN1506" i="1"/>
  <c r="AZ1506" i="1" s="1"/>
  <c r="BN1505" i="1"/>
  <c r="AZ1505" i="1" s="1"/>
  <c r="BN1504" i="1"/>
  <c r="AZ1504" i="1" s="1"/>
  <c r="BN1503" i="1"/>
  <c r="AZ1503" i="1" s="1"/>
  <c r="BN1502" i="1"/>
  <c r="AZ1502" i="1" s="1"/>
  <c r="BN1501" i="1"/>
  <c r="AZ1501" i="1" s="1"/>
  <c r="BN1500" i="1"/>
  <c r="AZ1500" i="1" s="1"/>
  <c r="BN1499" i="1"/>
  <c r="AZ1499" i="1" s="1"/>
  <c r="BN1498" i="1"/>
  <c r="AZ1498" i="1" s="1"/>
  <c r="BN1497" i="1"/>
  <c r="AZ1497" i="1" s="1"/>
  <c r="BN1496" i="1"/>
  <c r="AZ1496" i="1" s="1"/>
  <c r="BN1495" i="1"/>
  <c r="AZ1495" i="1" s="1"/>
  <c r="BN1494" i="1"/>
  <c r="AZ1494" i="1" s="1"/>
  <c r="BN1493" i="1"/>
  <c r="AZ1493" i="1" s="1"/>
  <c r="BN1492" i="1"/>
  <c r="AZ1492" i="1" s="1"/>
  <c r="BN1491" i="1"/>
  <c r="AZ1491" i="1" s="1"/>
  <c r="BN1490" i="1"/>
  <c r="AZ1490" i="1" s="1"/>
  <c r="BN1489" i="1"/>
  <c r="AZ1489" i="1" s="1"/>
  <c r="BN1488" i="1"/>
  <c r="AZ1488" i="1" s="1"/>
  <c r="BN1487" i="1"/>
  <c r="AZ1487" i="1" s="1"/>
  <c r="BN1486" i="1"/>
  <c r="AZ1486" i="1" s="1"/>
  <c r="BN1485" i="1"/>
  <c r="AZ1485" i="1" s="1"/>
  <c r="BN1484" i="1"/>
  <c r="AZ1484" i="1" s="1"/>
  <c r="BN1483" i="1"/>
  <c r="AZ1483" i="1" s="1"/>
  <c r="BN1482" i="1"/>
  <c r="AZ1482" i="1" s="1"/>
  <c r="BN1481" i="1"/>
  <c r="AZ1481" i="1" s="1"/>
  <c r="BN1480" i="1"/>
  <c r="AZ1480" i="1" s="1"/>
  <c r="BN1479" i="1"/>
  <c r="AZ1479" i="1" s="1"/>
  <c r="BN1478" i="1"/>
  <c r="AZ1478" i="1" s="1"/>
  <c r="BN1477" i="1"/>
  <c r="AZ1477" i="1" s="1"/>
  <c r="BN1476" i="1"/>
  <c r="AZ1476" i="1" s="1"/>
  <c r="BN1475" i="1"/>
  <c r="AZ1475" i="1" s="1"/>
  <c r="BN1474" i="1"/>
  <c r="AZ1474" i="1" s="1"/>
  <c r="BN1473" i="1"/>
  <c r="AZ1473" i="1" s="1"/>
  <c r="BN1472" i="1"/>
  <c r="AZ1472" i="1" s="1"/>
  <c r="BN1471" i="1"/>
  <c r="AZ1471" i="1" s="1"/>
  <c r="BN1470" i="1"/>
  <c r="AZ1470" i="1" s="1"/>
  <c r="BN1469" i="1"/>
  <c r="AZ1469" i="1" s="1"/>
  <c r="BN1468" i="1"/>
  <c r="AZ1468" i="1" s="1"/>
  <c r="BN1467" i="1"/>
  <c r="AZ1467" i="1" s="1"/>
  <c r="BN1466" i="1"/>
  <c r="AZ1466" i="1" s="1"/>
  <c r="BN1465" i="1"/>
  <c r="AZ1465" i="1" s="1"/>
  <c r="BN1464" i="1"/>
  <c r="AZ1464" i="1" s="1"/>
  <c r="BN1463" i="1"/>
  <c r="AZ1463" i="1" s="1"/>
  <c r="BN1462" i="1"/>
  <c r="AZ1462" i="1" s="1"/>
  <c r="BN1461" i="1"/>
  <c r="AZ1461" i="1" s="1"/>
  <c r="BN1460" i="1"/>
  <c r="AZ1460" i="1" s="1"/>
  <c r="BN1459" i="1"/>
  <c r="AZ1459" i="1" s="1"/>
  <c r="BN1458" i="1"/>
  <c r="AZ1458" i="1" s="1"/>
  <c r="BN1457" i="1"/>
  <c r="AZ1457" i="1" s="1"/>
  <c r="BN1456" i="1"/>
  <c r="AZ1456" i="1" s="1"/>
  <c r="BN1455" i="1"/>
  <c r="AZ1455" i="1" s="1"/>
  <c r="BN1454" i="1"/>
  <c r="AZ1454" i="1" s="1"/>
  <c r="BN1453" i="1"/>
  <c r="AZ1453" i="1" s="1"/>
  <c r="BN1452" i="1"/>
  <c r="AZ1452" i="1" s="1"/>
  <c r="BN1451" i="1"/>
  <c r="AZ1451" i="1" s="1"/>
  <c r="BN1450" i="1"/>
  <c r="AZ1450" i="1" s="1"/>
  <c r="BN1449" i="1"/>
  <c r="AZ1449" i="1" s="1"/>
  <c r="BN1448" i="1"/>
  <c r="AZ1448" i="1" s="1"/>
  <c r="BN1447" i="1"/>
  <c r="AZ1447" i="1" s="1"/>
  <c r="BN1446" i="1"/>
  <c r="AZ1446" i="1" s="1"/>
  <c r="BN1445" i="1"/>
  <c r="AZ1445" i="1" s="1"/>
  <c r="BN1444" i="1"/>
  <c r="AZ1444" i="1" s="1"/>
  <c r="BN1443" i="1"/>
  <c r="AZ1443" i="1" s="1"/>
  <c r="BN1442" i="1"/>
  <c r="AZ1442" i="1" s="1"/>
  <c r="BN1441" i="1"/>
  <c r="AZ1441" i="1" s="1"/>
  <c r="BN1440" i="1"/>
  <c r="AZ1440" i="1" s="1"/>
  <c r="BN1439" i="1"/>
  <c r="AZ1439" i="1" s="1"/>
  <c r="BN1438" i="1"/>
  <c r="AZ1438" i="1" s="1"/>
  <c r="BN1437" i="1"/>
  <c r="AZ1437" i="1" s="1"/>
  <c r="BN1436" i="1"/>
  <c r="AZ1436" i="1" s="1"/>
  <c r="BN1435" i="1"/>
  <c r="AZ1435" i="1" s="1"/>
  <c r="BN1434" i="1"/>
  <c r="AZ1434" i="1" s="1"/>
  <c r="BN1433" i="1"/>
  <c r="AZ1433" i="1" s="1"/>
  <c r="BN1432" i="1"/>
  <c r="AZ1432" i="1" s="1"/>
  <c r="BN1431" i="1"/>
  <c r="AZ1431" i="1" s="1"/>
  <c r="BN1430" i="1"/>
  <c r="AZ1430" i="1" s="1"/>
  <c r="BN1429" i="1"/>
  <c r="AZ1429" i="1" s="1"/>
  <c r="BN1428" i="1"/>
  <c r="AZ1428" i="1" s="1"/>
  <c r="BN1427" i="1"/>
  <c r="AZ1427" i="1" s="1"/>
  <c r="BN1426" i="1"/>
  <c r="AZ1426" i="1" s="1"/>
  <c r="BN1425" i="1"/>
  <c r="AZ1425" i="1" s="1"/>
  <c r="BN1424" i="1"/>
  <c r="AZ1424" i="1" s="1"/>
  <c r="BN1423" i="1"/>
  <c r="AZ1423" i="1" s="1"/>
  <c r="BN1422" i="1"/>
  <c r="AZ1422" i="1" s="1"/>
  <c r="BN1421" i="1"/>
  <c r="AZ1421" i="1" s="1"/>
  <c r="BN1420" i="1"/>
  <c r="AZ1420" i="1" s="1"/>
  <c r="BN1419" i="1"/>
  <c r="AZ1419" i="1" s="1"/>
  <c r="BN1418" i="1"/>
  <c r="AZ1418" i="1" s="1"/>
  <c r="BN1417" i="1"/>
  <c r="AZ1417" i="1" s="1"/>
  <c r="BN1416" i="1"/>
  <c r="AZ1416" i="1" s="1"/>
  <c r="BN1415" i="1"/>
  <c r="AZ1415" i="1" s="1"/>
  <c r="BN1414" i="1"/>
  <c r="AZ1414" i="1" s="1"/>
  <c r="BN1413" i="1"/>
  <c r="AZ1413" i="1" s="1"/>
  <c r="BN1412" i="1"/>
  <c r="AZ1412" i="1" s="1"/>
  <c r="BN1411" i="1"/>
  <c r="AZ1411" i="1" s="1"/>
  <c r="BN1410" i="1"/>
  <c r="AZ1410" i="1" s="1"/>
  <c r="BN1409" i="1"/>
  <c r="AZ1409" i="1" s="1"/>
  <c r="BN1408" i="1"/>
  <c r="AZ1408" i="1" s="1"/>
  <c r="BN1407" i="1"/>
  <c r="AZ1407" i="1" s="1"/>
  <c r="BN1406" i="1"/>
  <c r="AZ1406" i="1" s="1"/>
  <c r="BN1405" i="1"/>
  <c r="AZ1405" i="1" s="1"/>
  <c r="BN1404" i="1"/>
  <c r="AZ1404" i="1" s="1"/>
  <c r="BN1403" i="1"/>
  <c r="AZ1403" i="1" s="1"/>
  <c r="BN1402" i="1"/>
  <c r="AZ1402" i="1" s="1"/>
  <c r="BN1401" i="1"/>
  <c r="AZ1401" i="1" s="1"/>
  <c r="BN1400" i="1"/>
  <c r="AZ1400" i="1" s="1"/>
  <c r="BN1399" i="1"/>
  <c r="AZ1399" i="1" s="1"/>
  <c r="BN1398" i="1"/>
  <c r="AZ1398" i="1" s="1"/>
  <c r="BN1397" i="1"/>
  <c r="AZ1397" i="1" s="1"/>
  <c r="BN1396" i="1"/>
  <c r="AZ1396" i="1" s="1"/>
  <c r="BN1395" i="1"/>
  <c r="AZ1395" i="1" s="1"/>
  <c r="BN1394" i="1"/>
  <c r="AZ1394" i="1" s="1"/>
  <c r="BN1393" i="1"/>
  <c r="AZ1393" i="1" s="1"/>
  <c r="BN1392" i="1"/>
  <c r="AZ1392" i="1" s="1"/>
  <c r="BN1391" i="1"/>
  <c r="AZ1391" i="1" s="1"/>
  <c r="BN1390" i="1"/>
  <c r="AZ1390" i="1" s="1"/>
  <c r="BN1389" i="1"/>
  <c r="AZ1389" i="1" s="1"/>
  <c r="BN1388" i="1"/>
  <c r="AZ1388" i="1" s="1"/>
  <c r="BN1387" i="1"/>
  <c r="AZ1387" i="1" s="1"/>
  <c r="BN1386" i="1"/>
  <c r="AZ1386" i="1" s="1"/>
  <c r="BN1385" i="1"/>
  <c r="AZ1385" i="1" s="1"/>
  <c r="BN1384" i="1"/>
  <c r="AZ1384" i="1" s="1"/>
  <c r="BN1383" i="1"/>
  <c r="AZ1383" i="1" s="1"/>
  <c r="BN1382" i="1"/>
  <c r="AZ1382" i="1" s="1"/>
  <c r="BN1381" i="1"/>
  <c r="AZ1381" i="1" s="1"/>
  <c r="BN1380" i="1"/>
  <c r="AZ1380" i="1" s="1"/>
  <c r="BN1379" i="1"/>
  <c r="AZ1379" i="1" s="1"/>
  <c r="BN1378" i="1"/>
  <c r="AZ1378" i="1" s="1"/>
  <c r="BN1377" i="1"/>
  <c r="AZ1377" i="1" s="1"/>
  <c r="BN1376" i="1"/>
  <c r="AZ1376" i="1" s="1"/>
  <c r="BN1375" i="1"/>
  <c r="AZ1375" i="1" s="1"/>
  <c r="BN1374" i="1"/>
  <c r="AZ1374" i="1" s="1"/>
  <c r="BN1373" i="1"/>
  <c r="AZ1373" i="1" s="1"/>
  <c r="BN1372" i="1"/>
  <c r="AZ1372" i="1" s="1"/>
  <c r="BN1371" i="1"/>
  <c r="AZ1371" i="1" s="1"/>
  <c r="BN1370" i="1"/>
  <c r="AZ1370" i="1" s="1"/>
  <c r="BN1369" i="1"/>
  <c r="AZ1369" i="1" s="1"/>
  <c r="BN1368" i="1"/>
  <c r="AZ1368" i="1" s="1"/>
  <c r="BN1367" i="1"/>
  <c r="AZ1367" i="1" s="1"/>
  <c r="BN1366" i="1"/>
  <c r="AZ1366" i="1" s="1"/>
  <c r="BN1365" i="1"/>
  <c r="AZ1365" i="1" s="1"/>
  <c r="BN1364" i="1"/>
  <c r="AZ1364" i="1" s="1"/>
  <c r="BN1363" i="1"/>
  <c r="AZ1363" i="1" s="1"/>
  <c r="BN1362" i="1"/>
  <c r="AZ1362" i="1" s="1"/>
  <c r="BN1361" i="1"/>
  <c r="AZ1361" i="1" s="1"/>
  <c r="BN1360" i="1"/>
  <c r="AZ1360" i="1" s="1"/>
  <c r="BN1359" i="1"/>
  <c r="AZ1359" i="1" s="1"/>
  <c r="BN1358" i="1"/>
  <c r="AZ1358" i="1" s="1"/>
  <c r="BN1357" i="1"/>
  <c r="AZ1357" i="1" s="1"/>
  <c r="BN1356" i="1"/>
  <c r="AZ1356" i="1" s="1"/>
  <c r="BN1355" i="1"/>
  <c r="AZ1355" i="1" s="1"/>
  <c r="BN1354" i="1"/>
  <c r="AZ1354" i="1" s="1"/>
  <c r="BN1353" i="1"/>
  <c r="AZ1353" i="1" s="1"/>
  <c r="BN1352" i="1"/>
  <c r="AZ1352" i="1" s="1"/>
  <c r="BN1351" i="1"/>
  <c r="AZ1351" i="1" s="1"/>
  <c r="BN1350" i="1"/>
  <c r="AZ1350" i="1" s="1"/>
  <c r="BN1349" i="1"/>
  <c r="AZ1349" i="1" s="1"/>
  <c r="BN1348" i="1"/>
  <c r="AZ1348" i="1" s="1"/>
  <c r="BN1347" i="1"/>
  <c r="AZ1347" i="1" s="1"/>
  <c r="BN1346" i="1"/>
  <c r="AZ1346" i="1" s="1"/>
  <c r="BN1345" i="1"/>
  <c r="AZ1345" i="1" s="1"/>
  <c r="BN1344" i="1"/>
  <c r="AZ1344" i="1" s="1"/>
  <c r="BN1343" i="1"/>
  <c r="AZ1343" i="1" s="1"/>
  <c r="BN1342" i="1"/>
  <c r="AZ1342" i="1" s="1"/>
  <c r="BN1341" i="1"/>
  <c r="AZ1341" i="1" s="1"/>
  <c r="BN1340" i="1"/>
  <c r="AZ1340" i="1" s="1"/>
  <c r="BN1339" i="1"/>
  <c r="AZ1339" i="1" s="1"/>
  <c r="BN1338" i="1"/>
  <c r="AZ1338" i="1" s="1"/>
  <c r="BN1337" i="1"/>
  <c r="AZ1337" i="1" s="1"/>
  <c r="BN1336" i="1"/>
  <c r="AZ1336" i="1" s="1"/>
  <c r="BN1335" i="1"/>
  <c r="AZ1335" i="1" s="1"/>
  <c r="BN1334" i="1"/>
  <c r="AZ1334" i="1" s="1"/>
  <c r="BN1333" i="1"/>
  <c r="AZ1333" i="1" s="1"/>
  <c r="BN1332" i="1"/>
  <c r="AZ1332" i="1" s="1"/>
  <c r="BN1331" i="1"/>
  <c r="AZ1331" i="1" s="1"/>
  <c r="BN1330" i="1"/>
  <c r="AZ1330" i="1" s="1"/>
  <c r="BN1329" i="1"/>
  <c r="AZ1329" i="1" s="1"/>
  <c r="BN1328" i="1"/>
  <c r="AZ1328" i="1" s="1"/>
  <c r="BN1327" i="1"/>
  <c r="AZ1327" i="1" s="1"/>
  <c r="BN1326" i="1"/>
  <c r="AZ1326" i="1" s="1"/>
  <c r="BN1325" i="1"/>
  <c r="AZ1325" i="1" s="1"/>
  <c r="BN1324" i="1"/>
  <c r="AZ1324" i="1" s="1"/>
  <c r="BN1323" i="1"/>
  <c r="AZ1323" i="1" s="1"/>
  <c r="BN1322" i="1"/>
  <c r="AZ1322" i="1" s="1"/>
  <c r="BN1321" i="1"/>
  <c r="AZ1321" i="1" s="1"/>
  <c r="BN1320" i="1"/>
  <c r="AZ1320" i="1" s="1"/>
  <c r="BN1319" i="1"/>
  <c r="AZ1319" i="1" s="1"/>
  <c r="BN1318" i="1"/>
  <c r="AZ1318" i="1" s="1"/>
  <c r="BN1317" i="1"/>
  <c r="AZ1317" i="1" s="1"/>
  <c r="BN1316" i="1"/>
  <c r="AZ1316" i="1" s="1"/>
  <c r="BN1315" i="1"/>
  <c r="AZ1315" i="1" s="1"/>
  <c r="BN1314" i="1"/>
  <c r="AZ1314" i="1" s="1"/>
  <c r="BN1313" i="1"/>
  <c r="AZ1313" i="1" s="1"/>
  <c r="BN1312" i="1"/>
  <c r="AZ1312" i="1" s="1"/>
  <c r="BN1311" i="1"/>
  <c r="AZ1311" i="1" s="1"/>
  <c r="BN1310" i="1"/>
  <c r="AZ1310" i="1" s="1"/>
  <c r="BN1309" i="1"/>
  <c r="AZ1309" i="1" s="1"/>
  <c r="BN1308" i="1"/>
  <c r="AZ1308" i="1" s="1"/>
  <c r="BN1307" i="1"/>
  <c r="AZ1307" i="1" s="1"/>
  <c r="BN1306" i="1"/>
  <c r="AZ1306" i="1" s="1"/>
  <c r="BN1305" i="1"/>
  <c r="AZ1305" i="1" s="1"/>
  <c r="BN1304" i="1"/>
  <c r="AZ1304" i="1" s="1"/>
  <c r="BN1303" i="1"/>
  <c r="AZ1303" i="1" s="1"/>
  <c r="BN1302" i="1"/>
  <c r="AZ1302" i="1" s="1"/>
  <c r="BN1301" i="1"/>
  <c r="AZ1301" i="1" s="1"/>
  <c r="BN1300" i="1"/>
  <c r="AZ1300" i="1" s="1"/>
  <c r="BN1299" i="1"/>
  <c r="AZ1299" i="1" s="1"/>
  <c r="BN1298" i="1"/>
  <c r="AZ1298" i="1" s="1"/>
  <c r="BN1297" i="1"/>
  <c r="AZ1297" i="1" s="1"/>
  <c r="BN1296" i="1"/>
  <c r="AZ1296" i="1" s="1"/>
  <c r="BN1295" i="1"/>
  <c r="AZ1295" i="1" s="1"/>
  <c r="BN1294" i="1"/>
  <c r="AZ1294" i="1" s="1"/>
  <c r="BN1293" i="1"/>
  <c r="AZ1293" i="1" s="1"/>
  <c r="BN1292" i="1"/>
  <c r="AZ1292" i="1" s="1"/>
  <c r="BN1291" i="1"/>
  <c r="AZ1291" i="1" s="1"/>
  <c r="BN1290" i="1"/>
  <c r="AZ1290" i="1" s="1"/>
  <c r="BN1289" i="1"/>
  <c r="AZ1289" i="1" s="1"/>
  <c r="BN1288" i="1"/>
  <c r="AZ1288" i="1" s="1"/>
  <c r="BN1287" i="1"/>
  <c r="AZ1287" i="1" s="1"/>
  <c r="BN1286" i="1"/>
  <c r="AZ1286" i="1" s="1"/>
  <c r="BN1285" i="1"/>
  <c r="AZ1285" i="1" s="1"/>
  <c r="BN1284" i="1"/>
  <c r="AZ1284" i="1" s="1"/>
  <c r="BN1283" i="1"/>
  <c r="AZ1283" i="1" s="1"/>
  <c r="BN1282" i="1"/>
  <c r="AZ1282" i="1" s="1"/>
  <c r="BN1281" i="1"/>
  <c r="AZ1281" i="1" s="1"/>
  <c r="BN1280" i="1"/>
  <c r="AZ1280" i="1" s="1"/>
  <c r="BN1279" i="1"/>
  <c r="AZ1279" i="1" s="1"/>
  <c r="BN1278" i="1"/>
  <c r="AZ1278" i="1" s="1"/>
  <c r="BN1277" i="1"/>
  <c r="AZ1277" i="1" s="1"/>
  <c r="BN1276" i="1"/>
  <c r="AZ1276" i="1" s="1"/>
  <c r="BN1275" i="1"/>
  <c r="AZ1275" i="1" s="1"/>
  <c r="BN1274" i="1"/>
  <c r="AZ1274" i="1" s="1"/>
  <c r="BN1273" i="1"/>
  <c r="AZ1273" i="1" s="1"/>
  <c r="BN1272" i="1"/>
  <c r="AZ1272" i="1" s="1"/>
  <c r="BN1271" i="1"/>
  <c r="AZ1271" i="1" s="1"/>
  <c r="BN1270" i="1"/>
  <c r="AZ1270" i="1" s="1"/>
  <c r="BN1269" i="1"/>
  <c r="AZ1269" i="1" s="1"/>
  <c r="BN1268" i="1"/>
  <c r="AZ1268" i="1" s="1"/>
  <c r="BN1267" i="1"/>
  <c r="AZ1267" i="1" s="1"/>
  <c r="BN1266" i="1"/>
  <c r="AZ1266" i="1" s="1"/>
  <c r="BN1265" i="1"/>
  <c r="AZ1265" i="1" s="1"/>
  <c r="BN1264" i="1"/>
  <c r="AZ1264" i="1" s="1"/>
  <c r="BN1263" i="1"/>
  <c r="AZ1263" i="1" s="1"/>
  <c r="BN1262" i="1"/>
  <c r="AZ1262" i="1" s="1"/>
  <c r="BN1261" i="1"/>
  <c r="AZ1261" i="1" s="1"/>
  <c r="BN1260" i="1"/>
  <c r="AZ1260" i="1" s="1"/>
  <c r="BN1259" i="1"/>
  <c r="AZ1259" i="1" s="1"/>
  <c r="BN1258" i="1"/>
  <c r="AZ1258" i="1" s="1"/>
  <c r="BN1257" i="1"/>
  <c r="AZ1257" i="1" s="1"/>
  <c r="BN1256" i="1"/>
  <c r="AZ1256" i="1" s="1"/>
  <c r="BN1255" i="1"/>
  <c r="AZ1255" i="1" s="1"/>
  <c r="BN1254" i="1"/>
  <c r="AZ1254" i="1" s="1"/>
  <c r="BN1253" i="1"/>
  <c r="AZ1253" i="1" s="1"/>
  <c r="BN1252" i="1"/>
  <c r="AZ1252" i="1" s="1"/>
  <c r="BN1251" i="1"/>
  <c r="AZ1251" i="1" s="1"/>
  <c r="BN1250" i="1"/>
  <c r="AZ1250" i="1" s="1"/>
  <c r="BN1249" i="1"/>
  <c r="AZ1249" i="1" s="1"/>
  <c r="BN1248" i="1"/>
  <c r="AZ1248" i="1" s="1"/>
  <c r="BN1247" i="1"/>
  <c r="AZ1247" i="1" s="1"/>
  <c r="BN1246" i="1"/>
  <c r="AZ1246" i="1" s="1"/>
  <c r="BN1245" i="1"/>
  <c r="AZ1245" i="1" s="1"/>
  <c r="BN1244" i="1"/>
  <c r="AZ1244" i="1" s="1"/>
  <c r="BN1243" i="1"/>
  <c r="AZ1243" i="1" s="1"/>
  <c r="BN1242" i="1"/>
  <c r="AZ1242" i="1" s="1"/>
  <c r="BN1241" i="1"/>
  <c r="AZ1241" i="1" s="1"/>
  <c r="BN1240" i="1"/>
  <c r="AZ1240" i="1" s="1"/>
  <c r="BN1239" i="1"/>
  <c r="AZ1239" i="1" s="1"/>
  <c r="BN1238" i="1"/>
  <c r="AZ1238" i="1" s="1"/>
  <c r="BN1237" i="1"/>
  <c r="AZ1237" i="1" s="1"/>
  <c r="BN1236" i="1"/>
  <c r="AZ1236" i="1" s="1"/>
  <c r="BN1235" i="1"/>
  <c r="AZ1235" i="1" s="1"/>
  <c r="BN1234" i="1"/>
  <c r="AZ1234" i="1" s="1"/>
  <c r="BN1233" i="1"/>
  <c r="AZ1233" i="1" s="1"/>
  <c r="BN1232" i="1"/>
  <c r="AZ1232" i="1" s="1"/>
  <c r="BN1231" i="1"/>
  <c r="AZ1231" i="1" s="1"/>
  <c r="BN1230" i="1"/>
  <c r="AZ1230" i="1" s="1"/>
  <c r="BN1229" i="1"/>
  <c r="AZ1229" i="1" s="1"/>
  <c r="BN1228" i="1"/>
  <c r="AZ1228" i="1" s="1"/>
  <c r="BN1227" i="1"/>
  <c r="AZ1227" i="1" s="1"/>
  <c r="BN1226" i="1"/>
  <c r="AZ1226" i="1" s="1"/>
  <c r="BN1225" i="1"/>
  <c r="AZ1225" i="1" s="1"/>
  <c r="BN1224" i="1"/>
  <c r="AZ1224" i="1" s="1"/>
  <c r="BN1223" i="1"/>
  <c r="AZ1223" i="1" s="1"/>
  <c r="BN1222" i="1"/>
  <c r="AZ1222" i="1" s="1"/>
  <c r="BN1221" i="1"/>
  <c r="AZ1221" i="1" s="1"/>
  <c r="BN1220" i="1"/>
  <c r="AZ1220" i="1" s="1"/>
  <c r="BN1219" i="1"/>
  <c r="AZ1219" i="1" s="1"/>
  <c r="BN1218" i="1"/>
  <c r="AZ1218" i="1" s="1"/>
  <c r="BN1217" i="1"/>
  <c r="AZ1217" i="1" s="1"/>
  <c r="BN1216" i="1"/>
  <c r="AZ1216" i="1" s="1"/>
  <c r="BN1215" i="1"/>
  <c r="AZ1215" i="1" s="1"/>
  <c r="BN1214" i="1"/>
  <c r="AZ1214" i="1" s="1"/>
  <c r="BN1213" i="1"/>
  <c r="AZ1213" i="1" s="1"/>
  <c r="BN1212" i="1"/>
  <c r="AZ1212" i="1" s="1"/>
  <c r="BN1211" i="1"/>
  <c r="AZ1211" i="1" s="1"/>
  <c r="BN1210" i="1"/>
  <c r="AZ1210" i="1" s="1"/>
  <c r="BN1209" i="1"/>
  <c r="AZ1209" i="1" s="1"/>
  <c r="BN1208" i="1"/>
  <c r="AZ1208" i="1" s="1"/>
  <c r="BN1207" i="1"/>
  <c r="AZ1207" i="1" s="1"/>
  <c r="BN1206" i="1"/>
  <c r="AZ1206" i="1" s="1"/>
  <c r="BN1205" i="1"/>
  <c r="AZ1205" i="1" s="1"/>
  <c r="BN1204" i="1"/>
  <c r="AZ1204" i="1" s="1"/>
  <c r="BN1203" i="1"/>
  <c r="AZ1203" i="1" s="1"/>
  <c r="BN1202" i="1"/>
  <c r="AZ1202" i="1" s="1"/>
  <c r="BN1201" i="1"/>
  <c r="AZ1201" i="1" s="1"/>
  <c r="BN1200" i="1"/>
  <c r="AZ1200" i="1" s="1"/>
  <c r="BN1199" i="1"/>
  <c r="AZ1199" i="1" s="1"/>
  <c r="BN1198" i="1"/>
  <c r="AZ1198" i="1" s="1"/>
  <c r="BN1197" i="1"/>
  <c r="AZ1197" i="1" s="1"/>
  <c r="BN1196" i="1"/>
  <c r="AZ1196" i="1" s="1"/>
  <c r="BN1195" i="1"/>
  <c r="AZ1195" i="1" s="1"/>
  <c r="BN1194" i="1"/>
  <c r="AZ1194" i="1" s="1"/>
  <c r="BN1193" i="1"/>
  <c r="AZ1193" i="1" s="1"/>
  <c r="BN1192" i="1"/>
  <c r="AZ1192" i="1" s="1"/>
  <c r="BN1191" i="1"/>
  <c r="AZ1191" i="1" s="1"/>
  <c r="BN1190" i="1"/>
  <c r="AZ1190" i="1" s="1"/>
  <c r="BN1189" i="1"/>
  <c r="AZ1189" i="1" s="1"/>
  <c r="BN1188" i="1"/>
  <c r="AZ1188" i="1" s="1"/>
  <c r="BN1187" i="1"/>
  <c r="AZ1187" i="1" s="1"/>
  <c r="BN1186" i="1"/>
  <c r="AZ1186" i="1" s="1"/>
  <c r="BN1185" i="1"/>
  <c r="AZ1185" i="1" s="1"/>
  <c r="BN1184" i="1"/>
  <c r="AZ1184" i="1" s="1"/>
  <c r="BN1183" i="1"/>
  <c r="AZ1183" i="1" s="1"/>
  <c r="BN1182" i="1"/>
  <c r="AZ1182" i="1" s="1"/>
  <c r="BN1181" i="1"/>
  <c r="AZ1181" i="1" s="1"/>
  <c r="BN1180" i="1"/>
  <c r="AZ1180" i="1" s="1"/>
  <c r="BN1179" i="1"/>
  <c r="AZ1179" i="1" s="1"/>
  <c r="BN1178" i="1"/>
  <c r="AZ1178" i="1" s="1"/>
  <c r="BN1177" i="1"/>
  <c r="AZ1177" i="1" s="1"/>
  <c r="BN1176" i="1"/>
  <c r="AZ1176" i="1" s="1"/>
  <c r="BN1175" i="1"/>
  <c r="AZ1175" i="1" s="1"/>
  <c r="BN1174" i="1"/>
  <c r="AZ1174" i="1" s="1"/>
  <c r="BN1173" i="1"/>
  <c r="AZ1173" i="1" s="1"/>
  <c r="BN1172" i="1"/>
  <c r="AZ1172" i="1" s="1"/>
  <c r="BN1171" i="1"/>
  <c r="AZ1171" i="1" s="1"/>
  <c r="BN1170" i="1"/>
  <c r="AZ1170" i="1" s="1"/>
  <c r="BN1169" i="1"/>
  <c r="AZ1169" i="1" s="1"/>
  <c r="BN1168" i="1"/>
  <c r="AZ1168" i="1" s="1"/>
  <c r="BN1167" i="1"/>
  <c r="AZ1167" i="1" s="1"/>
  <c r="BN1166" i="1"/>
  <c r="AZ1166" i="1" s="1"/>
  <c r="BN1165" i="1"/>
  <c r="AZ1165" i="1" s="1"/>
  <c r="BN1164" i="1"/>
  <c r="AZ1164" i="1" s="1"/>
  <c r="BN1163" i="1"/>
  <c r="AZ1163" i="1" s="1"/>
  <c r="BN1162" i="1"/>
  <c r="AZ1162" i="1" s="1"/>
  <c r="BN1161" i="1"/>
  <c r="AZ1161" i="1" s="1"/>
  <c r="BN1160" i="1"/>
  <c r="AZ1160" i="1" s="1"/>
  <c r="BN1159" i="1"/>
  <c r="AZ1159" i="1" s="1"/>
  <c r="BN1158" i="1"/>
  <c r="AZ1158" i="1" s="1"/>
  <c r="BN1157" i="1"/>
  <c r="AZ1157" i="1" s="1"/>
  <c r="BN1156" i="1"/>
  <c r="AZ1156" i="1" s="1"/>
  <c r="BN1155" i="1"/>
  <c r="AZ1155" i="1" s="1"/>
  <c r="BN1154" i="1"/>
  <c r="AZ1154" i="1" s="1"/>
  <c r="BN1153" i="1"/>
  <c r="AZ1153" i="1" s="1"/>
  <c r="BN1152" i="1"/>
  <c r="AZ1152" i="1" s="1"/>
  <c r="BN1151" i="1"/>
  <c r="AZ1151" i="1" s="1"/>
  <c r="BN1150" i="1"/>
  <c r="AZ1150" i="1" s="1"/>
  <c r="BN1149" i="1"/>
  <c r="AZ1149" i="1" s="1"/>
  <c r="BN1148" i="1"/>
  <c r="AZ1148" i="1" s="1"/>
  <c r="BN1147" i="1"/>
  <c r="AZ1147" i="1" s="1"/>
  <c r="BN1146" i="1"/>
  <c r="AZ1146" i="1" s="1"/>
  <c r="BN1145" i="1"/>
  <c r="AZ1145" i="1" s="1"/>
  <c r="BN1144" i="1"/>
  <c r="AZ1144" i="1" s="1"/>
  <c r="BN1143" i="1"/>
  <c r="AZ1143" i="1" s="1"/>
  <c r="BN1142" i="1"/>
  <c r="AZ1142" i="1" s="1"/>
  <c r="BN1141" i="1"/>
  <c r="AZ1141" i="1" s="1"/>
  <c r="BN1140" i="1"/>
  <c r="AZ1140" i="1" s="1"/>
  <c r="BN1139" i="1"/>
  <c r="AZ1139" i="1" s="1"/>
  <c r="BN1138" i="1"/>
  <c r="AZ1138" i="1" s="1"/>
  <c r="BN1137" i="1"/>
  <c r="AZ1137" i="1" s="1"/>
  <c r="BN1136" i="1"/>
  <c r="AZ1136" i="1" s="1"/>
  <c r="BN1135" i="1"/>
  <c r="AZ1135" i="1" s="1"/>
  <c r="BN1134" i="1"/>
  <c r="AZ1134" i="1" s="1"/>
  <c r="BN1133" i="1"/>
  <c r="AZ1133" i="1" s="1"/>
  <c r="BN1132" i="1"/>
  <c r="AZ1132" i="1" s="1"/>
  <c r="BN1131" i="1"/>
  <c r="AZ1131" i="1" s="1"/>
  <c r="BN1130" i="1"/>
  <c r="AZ1130" i="1" s="1"/>
  <c r="BN1129" i="1"/>
  <c r="AZ1129" i="1" s="1"/>
  <c r="BN1128" i="1"/>
  <c r="AZ1128" i="1" s="1"/>
  <c r="BN1127" i="1"/>
  <c r="AZ1127" i="1" s="1"/>
  <c r="BN1126" i="1"/>
  <c r="AZ1126" i="1" s="1"/>
  <c r="BN1125" i="1"/>
  <c r="AZ1125" i="1" s="1"/>
  <c r="BN1124" i="1"/>
  <c r="AZ1124" i="1" s="1"/>
  <c r="BN1123" i="1"/>
  <c r="AZ1123" i="1" s="1"/>
  <c r="BN1122" i="1"/>
  <c r="AZ1122" i="1" s="1"/>
  <c r="BN1121" i="1"/>
  <c r="AZ1121" i="1" s="1"/>
  <c r="BN1120" i="1"/>
  <c r="AZ1120" i="1" s="1"/>
  <c r="BN1119" i="1"/>
  <c r="AZ1119" i="1" s="1"/>
  <c r="BN1118" i="1"/>
  <c r="AZ1118" i="1" s="1"/>
  <c r="BN1117" i="1"/>
  <c r="AZ1117" i="1" s="1"/>
  <c r="BN1116" i="1"/>
  <c r="AZ1116" i="1" s="1"/>
  <c r="BN1115" i="1"/>
  <c r="AZ1115" i="1" s="1"/>
  <c r="BN1114" i="1"/>
  <c r="AZ1114" i="1" s="1"/>
  <c r="BN1113" i="1"/>
  <c r="AZ1113" i="1" s="1"/>
  <c r="BN1112" i="1"/>
  <c r="AZ1112" i="1" s="1"/>
  <c r="BN1111" i="1"/>
  <c r="AZ1111" i="1" s="1"/>
  <c r="BN1110" i="1"/>
  <c r="AZ1110" i="1" s="1"/>
  <c r="BN1109" i="1"/>
  <c r="AZ1109" i="1" s="1"/>
  <c r="BN1108" i="1"/>
  <c r="AZ1108" i="1" s="1"/>
  <c r="BN1107" i="1"/>
  <c r="AZ1107" i="1" s="1"/>
  <c r="BN1106" i="1"/>
  <c r="AZ1106" i="1" s="1"/>
  <c r="BN1105" i="1"/>
  <c r="AZ1105" i="1" s="1"/>
  <c r="BN1104" i="1"/>
  <c r="AZ1104" i="1" s="1"/>
  <c r="BN1103" i="1"/>
  <c r="AZ1103" i="1" s="1"/>
  <c r="BN1102" i="1"/>
  <c r="AZ1102" i="1" s="1"/>
  <c r="BN1101" i="1"/>
  <c r="AZ1101" i="1" s="1"/>
  <c r="BN1100" i="1"/>
  <c r="AZ1100" i="1" s="1"/>
  <c r="BN1099" i="1"/>
  <c r="AZ1099" i="1" s="1"/>
  <c r="BN1098" i="1"/>
  <c r="AZ1098" i="1" s="1"/>
  <c r="BN1097" i="1"/>
  <c r="AZ1097" i="1" s="1"/>
  <c r="BN1096" i="1"/>
  <c r="AZ1096" i="1" s="1"/>
  <c r="BN1095" i="1"/>
  <c r="AZ1095" i="1" s="1"/>
  <c r="BN1094" i="1"/>
  <c r="AZ1094" i="1" s="1"/>
  <c r="BN1093" i="1"/>
  <c r="AZ1093" i="1" s="1"/>
  <c r="BN1092" i="1"/>
  <c r="AZ1092" i="1" s="1"/>
  <c r="BN1091" i="1"/>
  <c r="AZ1091" i="1" s="1"/>
  <c r="BN1090" i="1"/>
  <c r="AZ1090" i="1" s="1"/>
  <c r="BN1089" i="1"/>
  <c r="AZ1089" i="1" s="1"/>
  <c r="BN1088" i="1"/>
  <c r="AZ1088" i="1" s="1"/>
  <c r="BN1087" i="1"/>
  <c r="AZ1087" i="1" s="1"/>
  <c r="BN1086" i="1"/>
  <c r="AZ1086" i="1" s="1"/>
  <c r="BN1085" i="1"/>
  <c r="AZ1085" i="1" s="1"/>
  <c r="BN1084" i="1"/>
  <c r="AZ1084" i="1" s="1"/>
  <c r="BN1083" i="1"/>
  <c r="AZ1083" i="1" s="1"/>
  <c r="BN1082" i="1"/>
  <c r="AZ1082" i="1" s="1"/>
  <c r="BN1081" i="1"/>
  <c r="AZ1081" i="1" s="1"/>
  <c r="BN1080" i="1"/>
  <c r="AZ1080" i="1" s="1"/>
  <c r="BN1079" i="1"/>
  <c r="AZ1079" i="1" s="1"/>
  <c r="BN1078" i="1"/>
  <c r="AZ1078" i="1" s="1"/>
  <c r="BN1077" i="1"/>
  <c r="AZ1077" i="1" s="1"/>
  <c r="BN1076" i="1"/>
  <c r="AZ1076" i="1" s="1"/>
  <c r="BN1075" i="1"/>
  <c r="AZ1075" i="1" s="1"/>
  <c r="BN1074" i="1"/>
  <c r="AZ1074" i="1" s="1"/>
  <c r="BN1073" i="1"/>
  <c r="AZ1073" i="1" s="1"/>
  <c r="BN1072" i="1"/>
  <c r="AZ1072" i="1" s="1"/>
  <c r="BN1071" i="1"/>
  <c r="AZ1071" i="1" s="1"/>
  <c r="BN1070" i="1"/>
  <c r="AZ1070" i="1" s="1"/>
  <c r="BN1069" i="1"/>
  <c r="AZ1069" i="1" s="1"/>
  <c r="BN1068" i="1"/>
  <c r="AZ1068" i="1" s="1"/>
  <c r="BN1067" i="1"/>
  <c r="AZ1067" i="1" s="1"/>
  <c r="BN1066" i="1"/>
  <c r="AZ1066" i="1" s="1"/>
  <c r="BN1065" i="1"/>
  <c r="AZ1065" i="1" s="1"/>
  <c r="BN1064" i="1"/>
  <c r="AZ1064" i="1" s="1"/>
  <c r="BN1063" i="1"/>
  <c r="AZ1063" i="1" s="1"/>
  <c r="BN1062" i="1"/>
  <c r="AZ1062" i="1" s="1"/>
  <c r="BN1061" i="1"/>
  <c r="AZ1061" i="1" s="1"/>
  <c r="BN1060" i="1"/>
  <c r="AZ1060" i="1" s="1"/>
  <c r="BN1059" i="1"/>
  <c r="AZ1059" i="1" s="1"/>
  <c r="BN1058" i="1"/>
  <c r="AZ1058" i="1" s="1"/>
  <c r="BN1057" i="1"/>
  <c r="AZ1057" i="1" s="1"/>
  <c r="BN1056" i="1"/>
  <c r="AZ1056" i="1" s="1"/>
  <c r="BN1055" i="1"/>
  <c r="AZ1055" i="1" s="1"/>
  <c r="BN1054" i="1"/>
  <c r="AZ1054" i="1" s="1"/>
  <c r="BN1053" i="1"/>
  <c r="AZ1053" i="1" s="1"/>
  <c r="BN1052" i="1"/>
  <c r="AZ1052" i="1" s="1"/>
  <c r="BN1051" i="1"/>
  <c r="AZ1051" i="1" s="1"/>
  <c r="BN1050" i="1"/>
  <c r="AZ1050" i="1" s="1"/>
  <c r="BN1049" i="1"/>
  <c r="AZ1049" i="1" s="1"/>
  <c r="BN1048" i="1"/>
  <c r="AZ1048" i="1" s="1"/>
  <c r="BN1047" i="1"/>
  <c r="AZ1047" i="1" s="1"/>
  <c r="BN1046" i="1"/>
  <c r="AZ1046" i="1" s="1"/>
  <c r="BN1045" i="1"/>
  <c r="AZ1045" i="1" s="1"/>
  <c r="BN1044" i="1"/>
  <c r="AZ1044" i="1" s="1"/>
  <c r="BN1043" i="1"/>
  <c r="AZ1043" i="1" s="1"/>
  <c r="BN1042" i="1"/>
  <c r="AZ1042" i="1" s="1"/>
  <c r="BN1041" i="1"/>
  <c r="AZ1041" i="1" s="1"/>
  <c r="BN1040" i="1"/>
  <c r="AZ1040" i="1" s="1"/>
  <c r="BN1039" i="1"/>
  <c r="AZ1039" i="1" s="1"/>
  <c r="BN1038" i="1"/>
  <c r="AZ1038" i="1" s="1"/>
  <c r="BN1037" i="1"/>
  <c r="AZ1037" i="1" s="1"/>
  <c r="BN1036" i="1"/>
  <c r="AZ1036" i="1" s="1"/>
  <c r="BN1035" i="1"/>
  <c r="AZ1035" i="1" s="1"/>
  <c r="BN1034" i="1"/>
  <c r="AZ1034" i="1" s="1"/>
  <c r="BN1033" i="1"/>
  <c r="AZ1033" i="1" s="1"/>
  <c r="BN1032" i="1"/>
  <c r="AZ1032" i="1" s="1"/>
  <c r="BN1031" i="1"/>
  <c r="AZ1031" i="1" s="1"/>
  <c r="BN1030" i="1"/>
  <c r="AZ1030" i="1" s="1"/>
  <c r="BN1029" i="1"/>
  <c r="AZ1029" i="1" s="1"/>
  <c r="BN1028" i="1"/>
  <c r="AZ1028" i="1" s="1"/>
  <c r="BN1027" i="1"/>
  <c r="AZ1027" i="1" s="1"/>
  <c r="BN1026" i="1"/>
  <c r="AZ1026" i="1" s="1"/>
  <c r="BN1025" i="1"/>
  <c r="AZ1025" i="1" s="1"/>
  <c r="BN1024" i="1"/>
  <c r="AZ1024" i="1" s="1"/>
  <c r="BN1023" i="1"/>
  <c r="AZ1023" i="1" s="1"/>
  <c r="BN1022" i="1"/>
  <c r="AZ1022" i="1" s="1"/>
  <c r="BN1021" i="1"/>
  <c r="AZ1021" i="1" s="1"/>
  <c r="BN1020" i="1"/>
  <c r="AZ1020" i="1" s="1"/>
  <c r="BN1019" i="1"/>
  <c r="AZ1019" i="1" s="1"/>
  <c r="BN1018" i="1"/>
  <c r="AZ1018" i="1" s="1"/>
  <c r="BN1017" i="1"/>
  <c r="AZ1017" i="1" s="1"/>
  <c r="BN1016" i="1"/>
  <c r="AZ1016" i="1" s="1"/>
  <c r="BN1015" i="1"/>
  <c r="AZ1015" i="1" s="1"/>
  <c r="BN1014" i="1"/>
  <c r="AZ1014" i="1" s="1"/>
  <c r="BN1013" i="1"/>
  <c r="AZ1013" i="1" s="1"/>
  <c r="BN1012" i="1"/>
  <c r="AZ1012" i="1" s="1"/>
  <c r="BN1011" i="1"/>
  <c r="AZ1011" i="1" s="1"/>
  <c r="BN1010" i="1"/>
  <c r="AZ1010" i="1" s="1"/>
  <c r="BN1009" i="1"/>
  <c r="AZ1009" i="1" s="1"/>
  <c r="BN1008" i="1"/>
  <c r="AZ1008" i="1" s="1"/>
  <c r="BN1007" i="1"/>
  <c r="AZ1007" i="1" s="1"/>
  <c r="BN1006" i="1"/>
  <c r="AZ1006" i="1" s="1"/>
  <c r="BN1005" i="1"/>
  <c r="AZ1005" i="1" s="1"/>
  <c r="BN1004" i="1"/>
  <c r="AZ1004" i="1" s="1"/>
  <c r="BN1003" i="1"/>
  <c r="AZ1003" i="1" s="1"/>
  <c r="BN1002" i="1"/>
  <c r="AZ1002" i="1" s="1"/>
  <c r="BN1001" i="1"/>
  <c r="AZ1001" i="1" s="1"/>
  <c r="BN1000" i="1"/>
  <c r="AZ1000" i="1" s="1"/>
  <c r="BN999" i="1"/>
  <c r="AZ999" i="1" s="1"/>
  <c r="BN998" i="1"/>
  <c r="AZ998" i="1" s="1"/>
  <c r="BN997" i="1"/>
  <c r="AZ997" i="1" s="1"/>
  <c r="BN996" i="1"/>
  <c r="AZ996" i="1" s="1"/>
  <c r="BN995" i="1"/>
  <c r="AZ995" i="1" s="1"/>
  <c r="BN994" i="1"/>
  <c r="AZ994" i="1" s="1"/>
  <c r="BN993" i="1"/>
  <c r="AZ993" i="1" s="1"/>
  <c r="BN992" i="1"/>
  <c r="AZ992" i="1" s="1"/>
  <c r="BN991" i="1"/>
  <c r="AZ991" i="1" s="1"/>
  <c r="BN990" i="1"/>
  <c r="AZ990" i="1" s="1"/>
  <c r="BN989" i="1"/>
  <c r="AZ989" i="1" s="1"/>
  <c r="BN988" i="1"/>
  <c r="AZ988" i="1" s="1"/>
  <c r="BN987" i="1"/>
  <c r="AZ987" i="1" s="1"/>
  <c r="BN986" i="1"/>
  <c r="AZ986" i="1" s="1"/>
  <c r="BN985" i="1"/>
  <c r="AZ985" i="1" s="1"/>
  <c r="BN984" i="1"/>
  <c r="AZ984" i="1" s="1"/>
  <c r="BN983" i="1"/>
  <c r="AZ983" i="1" s="1"/>
  <c r="BN982" i="1"/>
  <c r="AZ982" i="1" s="1"/>
  <c r="BN981" i="1"/>
  <c r="AZ981" i="1" s="1"/>
  <c r="BN980" i="1"/>
  <c r="AZ980" i="1" s="1"/>
  <c r="BN979" i="1"/>
  <c r="AZ979" i="1" s="1"/>
  <c r="BN978" i="1"/>
  <c r="AZ978" i="1" s="1"/>
  <c r="BN977" i="1"/>
  <c r="AZ977" i="1" s="1"/>
  <c r="BN976" i="1"/>
  <c r="AZ976" i="1" s="1"/>
  <c r="BN975" i="1"/>
  <c r="AZ975" i="1" s="1"/>
  <c r="BN974" i="1"/>
  <c r="AZ974" i="1" s="1"/>
  <c r="BN973" i="1"/>
  <c r="AZ973" i="1" s="1"/>
  <c r="BN972" i="1"/>
  <c r="AZ972" i="1" s="1"/>
  <c r="BN971" i="1"/>
  <c r="AZ971" i="1" s="1"/>
  <c r="BN970" i="1"/>
  <c r="AZ970" i="1" s="1"/>
  <c r="BN969" i="1"/>
  <c r="AZ969" i="1" s="1"/>
  <c r="BN968" i="1"/>
  <c r="AZ968" i="1" s="1"/>
  <c r="BN967" i="1"/>
  <c r="AZ967" i="1" s="1"/>
  <c r="BN966" i="1"/>
  <c r="AZ966" i="1" s="1"/>
  <c r="BN965" i="1"/>
  <c r="AZ965" i="1" s="1"/>
  <c r="BN964" i="1"/>
  <c r="AZ964" i="1" s="1"/>
  <c r="BN963" i="1"/>
  <c r="AZ963" i="1" s="1"/>
  <c r="BN962" i="1"/>
  <c r="AZ962" i="1" s="1"/>
  <c r="BN961" i="1"/>
  <c r="AZ961" i="1" s="1"/>
  <c r="BN960" i="1"/>
  <c r="AZ960" i="1" s="1"/>
  <c r="BN959" i="1"/>
  <c r="AZ959" i="1" s="1"/>
  <c r="BN958" i="1"/>
  <c r="AZ958" i="1" s="1"/>
  <c r="BN957" i="1"/>
  <c r="AZ957" i="1" s="1"/>
  <c r="BN956" i="1"/>
  <c r="AZ956" i="1" s="1"/>
  <c r="BN955" i="1"/>
  <c r="AZ955" i="1" s="1"/>
  <c r="BN954" i="1"/>
  <c r="AZ954" i="1" s="1"/>
  <c r="BN953" i="1"/>
  <c r="AZ953" i="1" s="1"/>
  <c r="BN952" i="1"/>
  <c r="AZ952" i="1" s="1"/>
  <c r="BN951" i="1"/>
  <c r="AZ951" i="1" s="1"/>
  <c r="BN950" i="1"/>
  <c r="AZ950" i="1" s="1"/>
  <c r="BN949" i="1"/>
  <c r="AZ949" i="1" s="1"/>
  <c r="BN948" i="1"/>
  <c r="AZ948" i="1" s="1"/>
  <c r="BN947" i="1"/>
  <c r="AZ947" i="1" s="1"/>
  <c r="BN946" i="1"/>
  <c r="AZ946" i="1" s="1"/>
  <c r="BN945" i="1"/>
  <c r="AZ945" i="1" s="1"/>
  <c r="BN944" i="1"/>
  <c r="AZ944" i="1" s="1"/>
  <c r="BN943" i="1"/>
  <c r="AZ943" i="1" s="1"/>
  <c r="BN942" i="1"/>
  <c r="AZ942" i="1" s="1"/>
  <c r="BN941" i="1"/>
  <c r="AZ941" i="1" s="1"/>
  <c r="BN940" i="1"/>
  <c r="AZ940" i="1" s="1"/>
  <c r="BN939" i="1"/>
  <c r="AZ939" i="1" s="1"/>
  <c r="BN938" i="1"/>
  <c r="AZ938" i="1" s="1"/>
  <c r="BN937" i="1"/>
  <c r="AZ937" i="1" s="1"/>
  <c r="BN936" i="1"/>
  <c r="AZ936" i="1" s="1"/>
  <c r="BN935" i="1"/>
  <c r="AZ935" i="1" s="1"/>
  <c r="BN934" i="1"/>
  <c r="AZ934" i="1" s="1"/>
  <c r="BN933" i="1"/>
  <c r="AZ933" i="1" s="1"/>
  <c r="BN932" i="1"/>
  <c r="AZ932" i="1" s="1"/>
  <c r="BN931" i="1"/>
  <c r="AZ931" i="1" s="1"/>
  <c r="BN930" i="1"/>
  <c r="AZ930" i="1" s="1"/>
  <c r="BN929" i="1"/>
  <c r="AZ929" i="1" s="1"/>
  <c r="BN928" i="1"/>
  <c r="AZ928" i="1" s="1"/>
  <c r="BN927" i="1"/>
  <c r="AZ927" i="1" s="1"/>
  <c r="BN926" i="1"/>
  <c r="AZ926" i="1" s="1"/>
  <c r="BN925" i="1"/>
  <c r="AZ925" i="1" s="1"/>
  <c r="BN924" i="1"/>
  <c r="AZ924" i="1" s="1"/>
  <c r="BN923" i="1"/>
  <c r="AZ923" i="1" s="1"/>
  <c r="BN922" i="1"/>
  <c r="AZ922" i="1" s="1"/>
  <c r="BN921" i="1"/>
  <c r="AZ921" i="1" s="1"/>
  <c r="BN920" i="1"/>
  <c r="AZ920" i="1" s="1"/>
  <c r="BN919" i="1"/>
  <c r="AZ919" i="1" s="1"/>
  <c r="BN918" i="1"/>
  <c r="AZ918" i="1" s="1"/>
  <c r="BN917" i="1"/>
  <c r="AZ917" i="1" s="1"/>
  <c r="BN916" i="1"/>
  <c r="AZ916" i="1" s="1"/>
  <c r="BN915" i="1"/>
  <c r="AZ915" i="1" s="1"/>
  <c r="BN914" i="1"/>
  <c r="AZ914" i="1" s="1"/>
  <c r="BN913" i="1"/>
  <c r="AZ913" i="1" s="1"/>
  <c r="BN912" i="1"/>
  <c r="AZ912" i="1" s="1"/>
  <c r="BN911" i="1"/>
  <c r="AZ911" i="1" s="1"/>
  <c r="BN910" i="1"/>
  <c r="AZ910" i="1" s="1"/>
  <c r="BN909" i="1"/>
  <c r="AZ909" i="1" s="1"/>
  <c r="BN908" i="1"/>
  <c r="AZ908" i="1" s="1"/>
  <c r="BN907" i="1"/>
  <c r="AZ907" i="1" s="1"/>
  <c r="BN906" i="1"/>
  <c r="AZ906" i="1" s="1"/>
  <c r="BN905" i="1"/>
  <c r="AZ905" i="1" s="1"/>
  <c r="BN904" i="1"/>
  <c r="AZ904" i="1" s="1"/>
  <c r="BN903" i="1"/>
  <c r="AZ903" i="1" s="1"/>
  <c r="BN902" i="1"/>
  <c r="AZ902" i="1" s="1"/>
  <c r="BN901" i="1"/>
  <c r="AZ901" i="1" s="1"/>
  <c r="BN900" i="1"/>
  <c r="AZ900" i="1" s="1"/>
  <c r="BN899" i="1"/>
  <c r="AZ899" i="1" s="1"/>
  <c r="BN898" i="1"/>
  <c r="AZ898" i="1" s="1"/>
  <c r="BN897" i="1"/>
  <c r="AZ897" i="1" s="1"/>
  <c r="BN896" i="1"/>
  <c r="AZ896" i="1" s="1"/>
  <c r="BN895" i="1"/>
  <c r="AZ895" i="1" s="1"/>
  <c r="BN894" i="1"/>
  <c r="AZ894" i="1" s="1"/>
  <c r="BN893" i="1"/>
  <c r="AZ893" i="1" s="1"/>
  <c r="BN892" i="1"/>
  <c r="AZ892" i="1" s="1"/>
  <c r="BN891" i="1"/>
  <c r="AZ891" i="1" s="1"/>
  <c r="BN890" i="1"/>
  <c r="AZ890" i="1" s="1"/>
  <c r="BN889" i="1"/>
  <c r="AZ889" i="1" s="1"/>
  <c r="BN888" i="1"/>
  <c r="AZ888" i="1" s="1"/>
  <c r="BN887" i="1"/>
  <c r="AZ887" i="1" s="1"/>
  <c r="BN886" i="1"/>
  <c r="AZ886" i="1" s="1"/>
  <c r="BN885" i="1"/>
  <c r="AZ885" i="1" s="1"/>
  <c r="BN884" i="1"/>
  <c r="AZ884" i="1" s="1"/>
  <c r="BN883" i="1"/>
  <c r="AZ883" i="1" s="1"/>
  <c r="BN882" i="1"/>
  <c r="AZ882" i="1" s="1"/>
  <c r="BN881" i="1"/>
  <c r="AZ881" i="1" s="1"/>
  <c r="BN880" i="1"/>
  <c r="AZ880" i="1" s="1"/>
  <c r="BN879" i="1"/>
  <c r="AZ879" i="1" s="1"/>
  <c r="BN878" i="1"/>
  <c r="AZ878" i="1" s="1"/>
  <c r="BN877" i="1"/>
  <c r="AZ877" i="1" s="1"/>
  <c r="BN876" i="1"/>
  <c r="AZ876" i="1" s="1"/>
  <c r="BN875" i="1"/>
  <c r="AZ875" i="1" s="1"/>
  <c r="BN874" i="1"/>
  <c r="AZ874" i="1" s="1"/>
  <c r="BN873" i="1"/>
  <c r="AZ873" i="1" s="1"/>
  <c r="BN872" i="1"/>
  <c r="AZ872" i="1" s="1"/>
  <c r="BN871" i="1"/>
  <c r="AZ871" i="1" s="1"/>
  <c r="BN870" i="1"/>
  <c r="AZ870" i="1" s="1"/>
  <c r="BN869" i="1"/>
  <c r="AZ869" i="1" s="1"/>
  <c r="BN868" i="1"/>
  <c r="AZ868" i="1" s="1"/>
  <c r="BN867" i="1"/>
  <c r="AZ867" i="1" s="1"/>
  <c r="BN866" i="1"/>
  <c r="AZ866" i="1" s="1"/>
  <c r="BN865" i="1"/>
  <c r="AZ865" i="1" s="1"/>
  <c r="BN864" i="1"/>
  <c r="AZ864" i="1" s="1"/>
  <c r="BN863" i="1"/>
  <c r="AZ863" i="1" s="1"/>
  <c r="BN862" i="1"/>
  <c r="AZ862" i="1" s="1"/>
  <c r="BN861" i="1"/>
  <c r="AZ861" i="1" s="1"/>
  <c r="BN860" i="1"/>
  <c r="AZ860" i="1" s="1"/>
  <c r="BN859" i="1"/>
  <c r="AZ859" i="1" s="1"/>
  <c r="BN858" i="1"/>
  <c r="AZ858" i="1" s="1"/>
  <c r="BN857" i="1"/>
  <c r="AZ857" i="1" s="1"/>
  <c r="BN856" i="1"/>
  <c r="AZ856" i="1" s="1"/>
  <c r="BN855" i="1"/>
  <c r="AZ855" i="1" s="1"/>
  <c r="BN854" i="1"/>
  <c r="AZ854" i="1" s="1"/>
  <c r="BN853" i="1"/>
  <c r="AZ853" i="1" s="1"/>
  <c r="BN852" i="1"/>
  <c r="AZ852" i="1" s="1"/>
  <c r="BN851" i="1"/>
  <c r="AZ851" i="1" s="1"/>
  <c r="BN850" i="1"/>
  <c r="AZ850" i="1" s="1"/>
  <c r="BN849" i="1"/>
  <c r="AZ849" i="1" s="1"/>
  <c r="BN848" i="1"/>
  <c r="AZ848" i="1" s="1"/>
  <c r="BN847" i="1"/>
  <c r="AZ847" i="1" s="1"/>
  <c r="BN846" i="1"/>
  <c r="AZ846" i="1" s="1"/>
  <c r="BN845" i="1"/>
  <c r="AZ845" i="1" s="1"/>
  <c r="BN844" i="1"/>
  <c r="AZ844" i="1" s="1"/>
  <c r="BN843" i="1"/>
  <c r="AZ843" i="1" s="1"/>
  <c r="BN842" i="1"/>
  <c r="AZ842" i="1" s="1"/>
  <c r="BN841" i="1"/>
  <c r="AZ841" i="1" s="1"/>
  <c r="BN840" i="1"/>
  <c r="AZ840" i="1" s="1"/>
  <c r="BN839" i="1"/>
  <c r="AZ839" i="1" s="1"/>
  <c r="BN838" i="1"/>
  <c r="AZ838" i="1" s="1"/>
  <c r="BN837" i="1"/>
  <c r="AZ837" i="1" s="1"/>
  <c r="BN836" i="1"/>
  <c r="AZ836" i="1" s="1"/>
  <c r="BN835" i="1"/>
  <c r="AZ835" i="1" s="1"/>
  <c r="BN834" i="1"/>
  <c r="AZ834" i="1" s="1"/>
  <c r="BN833" i="1"/>
  <c r="AZ833" i="1" s="1"/>
  <c r="BN832" i="1"/>
  <c r="AZ832" i="1" s="1"/>
  <c r="BN831" i="1"/>
  <c r="AZ831" i="1" s="1"/>
  <c r="BN830" i="1"/>
  <c r="AZ830" i="1" s="1"/>
  <c r="BN829" i="1"/>
  <c r="AZ829" i="1" s="1"/>
  <c r="BN828" i="1"/>
  <c r="AZ828" i="1" s="1"/>
  <c r="BN827" i="1"/>
  <c r="AZ827" i="1" s="1"/>
  <c r="BN826" i="1"/>
  <c r="AZ826" i="1" s="1"/>
  <c r="BN825" i="1"/>
  <c r="AZ825" i="1" s="1"/>
  <c r="BN824" i="1"/>
  <c r="AZ824" i="1" s="1"/>
  <c r="BN823" i="1"/>
  <c r="AZ823" i="1" s="1"/>
  <c r="BN822" i="1"/>
  <c r="AZ822" i="1" s="1"/>
  <c r="BN821" i="1"/>
  <c r="AZ821" i="1" s="1"/>
  <c r="BN820" i="1"/>
  <c r="AZ820" i="1" s="1"/>
  <c r="BN819" i="1"/>
  <c r="AZ819" i="1" s="1"/>
  <c r="BN818" i="1"/>
  <c r="AZ818" i="1" s="1"/>
  <c r="BN817" i="1"/>
  <c r="AZ817" i="1" s="1"/>
  <c r="BN816" i="1"/>
  <c r="AZ816" i="1" s="1"/>
  <c r="BN815" i="1"/>
  <c r="AZ815" i="1" s="1"/>
  <c r="BN814" i="1"/>
  <c r="AZ814" i="1" s="1"/>
  <c r="BN813" i="1"/>
  <c r="AZ813" i="1" s="1"/>
  <c r="BN812" i="1"/>
  <c r="AZ812" i="1" s="1"/>
  <c r="BN811" i="1"/>
  <c r="AZ811" i="1" s="1"/>
  <c r="BN810" i="1"/>
  <c r="AZ810" i="1" s="1"/>
  <c r="BN809" i="1"/>
  <c r="AZ809" i="1" s="1"/>
  <c r="BN808" i="1"/>
  <c r="AZ808" i="1" s="1"/>
  <c r="BN807" i="1"/>
  <c r="AZ807" i="1" s="1"/>
  <c r="BN806" i="1"/>
  <c r="AZ806" i="1" s="1"/>
  <c r="BN805" i="1"/>
  <c r="AZ805" i="1" s="1"/>
  <c r="BN804" i="1"/>
  <c r="AZ804" i="1" s="1"/>
  <c r="BN803" i="1"/>
  <c r="AZ803" i="1" s="1"/>
  <c r="BN802" i="1"/>
  <c r="AZ802" i="1" s="1"/>
  <c r="BN801" i="1"/>
  <c r="AZ801" i="1" s="1"/>
  <c r="BN800" i="1"/>
  <c r="AZ800" i="1" s="1"/>
  <c r="BN799" i="1"/>
  <c r="AZ799" i="1" s="1"/>
  <c r="BN798" i="1"/>
  <c r="AZ798" i="1" s="1"/>
  <c r="BN797" i="1"/>
  <c r="AZ797" i="1" s="1"/>
  <c r="BN796" i="1"/>
  <c r="AZ796" i="1" s="1"/>
  <c r="BN795" i="1"/>
  <c r="AZ795" i="1" s="1"/>
  <c r="BN794" i="1"/>
  <c r="AZ794" i="1" s="1"/>
  <c r="BN793" i="1"/>
  <c r="AZ793" i="1" s="1"/>
  <c r="BN792" i="1"/>
  <c r="AZ792" i="1" s="1"/>
  <c r="BN791" i="1"/>
  <c r="AZ791" i="1" s="1"/>
  <c r="BN790" i="1"/>
  <c r="AZ790" i="1" s="1"/>
  <c r="BN789" i="1"/>
  <c r="AZ789" i="1" s="1"/>
  <c r="BN788" i="1"/>
  <c r="AZ788" i="1" s="1"/>
  <c r="BN787" i="1"/>
  <c r="AZ787" i="1" s="1"/>
  <c r="BN786" i="1"/>
  <c r="AZ786" i="1" s="1"/>
  <c r="BN785" i="1"/>
  <c r="AZ785" i="1" s="1"/>
  <c r="BN784" i="1"/>
  <c r="AZ784" i="1" s="1"/>
  <c r="BN783" i="1"/>
  <c r="AZ783" i="1" s="1"/>
  <c r="BN782" i="1"/>
  <c r="AZ782" i="1" s="1"/>
  <c r="BN781" i="1"/>
  <c r="AZ781" i="1" s="1"/>
  <c r="BN780" i="1"/>
  <c r="AZ780" i="1" s="1"/>
  <c r="BN779" i="1"/>
  <c r="AZ779" i="1" s="1"/>
  <c r="BN778" i="1"/>
  <c r="AZ778" i="1" s="1"/>
  <c r="BN777" i="1"/>
  <c r="AZ777" i="1" s="1"/>
  <c r="BN776" i="1"/>
  <c r="AZ776" i="1" s="1"/>
  <c r="BN775" i="1"/>
  <c r="AZ775" i="1" s="1"/>
  <c r="BN774" i="1"/>
  <c r="AZ774" i="1" s="1"/>
  <c r="BN773" i="1"/>
  <c r="AZ773" i="1" s="1"/>
  <c r="BN772" i="1"/>
  <c r="AZ772" i="1" s="1"/>
  <c r="BN771" i="1"/>
  <c r="AZ771" i="1" s="1"/>
  <c r="BN770" i="1"/>
  <c r="AZ770" i="1" s="1"/>
  <c r="BN769" i="1"/>
  <c r="AZ769" i="1" s="1"/>
  <c r="BN768" i="1"/>
  <c r="AZ768" i="1" s="1"/>
  <c r="BN767" i="1"/>
  <c r="AZ767" i="1" s="1"/>
  <c r="BN766" i="1"/>
  <c r="AZ766" i="1" s="1"/>
  <c r="BN765" i="1"/>
  <c r="AZ765" i="1" s="1"/>
  <c r="BN764" i="1"/>
  <c r="AZ764" i="1" s="1"/>
  <c r="BN763" i="1"/>
  <c r="AZ763" i="1" s="1"/>
  <c r="BN762" i="1"/>
  <c r="AZ762" i="1" s="1"/>
  <c r="BN761" i="1"/>
  <c r="AZ761" i="1" s="1"/>
  <c r="BN760" i="1"/>
  <c r="AZ760" i="1" s="1"/>
  <c r="BN759" i="1"/>
  <c r="AZ759" i="1" s="1"/>
  <c r="BN758" i="1"/>
  <c r="AZ758" i="1" s="1"/>
  <c r="BN757" i="1"/>
  <c r="AZ757" i="1" s="1"/>
  <c r="BN756" i="1"/>
  <c r="AZ756" i="1" s="1"/>
  <c r="BN755" i="1"/>
  <c r="AZ755" i="1" s="1"/>
  <c r="BN754" i="1"/>
  <c r="AZ754" i="1" s="1"/>
  <c r="BN753" i="1"/>
  <c r="AZ753" i="1" s="1"/>
  <c r="BN752" i="1"/>
  <c r="AZ752" i="1" s="1"/>
  <c r="BN751" i="1"/>
  <c r="AZ751" i="1" s="1"/>
  <c r="BN750" i="1"/>
  <c r="AZ750" i="1" s="1"/>
  <c r="BN749" i="1"/>
  <c r="AZ749" i="1" s="1"/>
  <c r="BN748" i="1"/>
  <c r="AZ748" i="1" s="1"/>
  <c r="BN747" i="1"/>
  <c r="AZ747" i="1" s="1"/>
  <c r="BN746" i="1"/>
  <c r="AZ746" i="1" s="1"/>
  <c r="BN745" i="1"/>
  <c r="AZ745" i="1" s="1"/>
  <c r="BN744" i="1"/>
  <c r="AZ744" i="1" s="1"/>
  <c r="BN743" i="1"/>
  <c r="AZ743" i="1" s="1"/>
  <c r="BN742" i="1"/>
  <c r="AZ742" i="1" s="1"/>
  <c r="BN741" i="1"/>
  <c r="AZ741" i="1" s="1"/>
  <c r="BN740" i="1"/>
  <c r="AZ740" i="1" s="1"/>
  <c r="BN739" i="1"/>
  <c r="AZ739" i="1" s="1"/>
  <c r="BN738" i="1"/>
  <c r="AZ738" i="1" s="1"/>
  <c r="BN737" i="1"/>
  <c r="AZ737" i="1" s="1"/>
  <c r="BN736" i="1"/>
  <c r="AZ736" i="1" s="1"/>
  <c r="BN735" i="1"/>
  <c r="AZ735" i="1" s="1"/>
  <c r="BN734" i="1"/>
  <c r="AZ734" i="1" s="1"/>
  <c r="BN733" i="1"/>
  <c r="AZ733" i="1" s="1"/>
  <c r="BN732" i="1"/>
  <c r="AZ732" i="1" s="1"/>
  <c r="BN731" i="1"/>
  <c r="AZ731" i="1" s="1"/>
  <c r="BN730" i="1"/>
  <c r="AZ730" i="1" s="1"/>
  <c r="BN729" i="1"/>
  <c r="AZ729" i="1" s="1"/>
  <c r="BN728" i="1"/>
  <c r="AZ728" i="1" s="1"/>
  <c r="BN727" i="1"/>
  <c r="AZ727" i="1" s="1"/>
  <c r="BN726" i="1"/>
  <c r="AZ726" i="1" s="1"/>
  <c r="BN725" i="1"/>
  <c r="AZ725" i="1" s="1"/>
  <c r="BN724" i="1"/>
  <c r="AZ724" i="1" s="1"/>
  <c r="BN723" i="1"/>
  <c r="AZ723" i="1" s="1"/>
  <c r="BN722" i="1"/>
  <c r="AZ722" i="1" s="1"/>
  <c r="BN721" i="1"/>
  <c r="AZ721" i="1" s="1"/>
  <c r="BN720" i="1"/>
  <c r="AZ720" i="1" s="1"/>
  <c r="BN719" i="1"/>
  <c r="AZ719" i="1" s="1"/>
  <c r="BN718" i="1"/>
  <c r="AZ718" i="1" s="1"/>
  <c r="BN717" i="1"/>
  <c r="AZ717" i="1" s="1"/>
  <c r="BN716" i="1"/>
  <c r="AZ716" i="1" s="1"/>
  <c r="BN715" i="1"/>
  <c r="AZ715" i="1" s="1"/>
  <c r="BN714" i="1"/>
  <c r="AZ714" i="1" s="1"/>
  <c r="BN713" i="1"/>
  <c r="AZ713" i="1" s="1"/>
  <c r="BN712" i="1"/>
  <c r="AZ712" i="1" s="1"/>
  <c r="BN711" i="1"/>
  <c r="AZ711" i="1" s="1"/>
  <c r="BN710" i="1"/>
  <c r="AZ710" i="1" s="1"/>
  <c r="BN709" i="1"/>
  <c r="AZ709" i="1" s="1"/>
  <c r="BN708" i="1"/>
  <c r="AZ708" i="1" s="1"/>
  <c r="BN707" i="1"/>
  <c r="AZ707" i="1" s="1"/>
  <c r="BN706" i="1"/>
  <c r="AZ706" i="1" s="1"/>
  <c r="BN705" i="1"/>
  <c r="AZ705" i="1" s="1"/>
  <c r="BN704" i="1"/>
  <c r="AZ704" i="1" s="1"/>
  <c r="BN703" i="1"/>
  <c r="AZ703" i="1" s="1"/>
  <c r="BN702" i="1"/>
  <c r="AZ702" i="1" s="1"/>
  <c r="BN701" i="1"/>
  <c r="AZ701" i="1" s="1"/>
  <c r="BN700" i="1"/>
  <c r="AZ700" i="1" s="1"/>
  <c r="BN699" i="1"/>
  <c r="AZ699" i="1" s="1"/>
  <c r="BN698" i="1"/>
  <c r="AZ698" i="1" s="1"/>
  <c r="BN697" i="1"/>
  <c r="AZ697" i="1" s="1"/>
  <c r="BN696" i="1"/>
  <c r="AZ696" i="1" s="1"/>
  <c r="BN695" i="1"/>
  <c r="AZ695" i="1" s="1"/>
  <c r="BN694" i="1"/>
  <c r="AZ694" i="1" s="1"/>
  <c r="BN693" i="1"/>
  <c r="AZ693" i="1" s="1"/>
  <c r="BN692" i="1"/>
  <c r="AZ692" i="1" s="1"/>
  <c r="BN691" i="1"/>
  <c r="AZ691" i="1" s="1"/>
  <c r="BN690" i="1"/>
  <c r="AZ690" i="1" s="1"/>
  <c r="BN689" i="1"/>
  <c r="AZ689" i="1" s="1"/>
  <c r="BN688" i="1"/>
  <c r="AZ688" i="1" s="1"/>
  <c r="BN687" i="1"/>
  <c r="AZ687" i="1" s="1"/>
  <c r="BN686" i="1"/>
  <c r="AZ686" i="1" s="1"/>
  <c r="BN685" i="1"/>
  <c r="AZ685" i="1" s="1"/>
  <c r="BN684" i="1"/>
  <c r="AZ684" i="1" s="1"/>
  <c r="BN683" i="1"/>
  <c r="AZ683" i="1" s="1"/>
  <c r="BN682" i="1"/>
  <c r="AZ682" i="1" s="1"/>
  <c r="BN681" i="1"/>
  <c r="AZ681" i="1" s="1"/>
  <c r="BN680" i="1"/>
  <c r="AZ680" i="1" s="1"/>
  <c r="BN679" i="1"/>
  <c r="AZ679" i="1" s="1"/>
  <c r="BN678" i="1"/>
  <c r="AZ678" i="1" s="1"/>
  <c r="BN677" i="1"/>
  <c r="AZ677" i="1" s="1"/>
  <c r="BN676" i="1"/>
  <c r="AZ676" i="1" s="1"/>
  <c r="BN675" i="1"/>
  <c r="AZ675" i="1" s="1"/>
  <c r="BN674" i="1"/>
  <c r="AZ674" i="1" s="1"/>
  <c r="BN673" i="1"/>
  <c r="AZ673" i="1" s="1"/>
  <c r="BN672" i="1"/>
  <c r="AZ672" i="1" s="1"/>
  <c r="BN671" i="1"/>
  <c r="AZ671" i="1" s="1"/>
  <c r="BN670" i="1"/>
  <c r="AZ670" i="1" s="1"/>
  <c r="BN669" i="1"/>
  <c r="AZ669" i="1" s="1"/>
  <c r="BN668" i="1"/>
  <c r="AZ668" i="1" s="1"/>
  <c r="BN667" i="1"/>
  <c r="AZ667" i="1" s="1"/>
  <c r="BN666" i="1"/>
  <c r="AZ666" i="1" s="1"/>
  <c r="BN665" i="1"/>
  <c r="AZ665" i="1" s="1"/>
  <c r="BN664" i="1"/>
  <c r="AZ664" i="1" s="1"/>
  <c r="BN663" i="1"/>
  <c r="AZ663" i="1" s="1"/>
  <c r="BN662" i="1"/>
  <c r="AZ662" i="1" s="1"/>
  <c r="BN661" i="1"/>
  <c r="AZ661" i="1" s="1"/>
  <c r="BN660" i="1"/>
  <c r="AZ660" i="1" s="1"/>
  <c r="BN659" i="1"/>
  <c r="AZ659" i="1" s="1"/>
  <c r="BN658" i="1"/>
  <c r="AZ658" i="1" s="1"/>
  <c r="BN657" i="1"/>
  <c r="AZ657" i="1" s="1"/>
  <c r="BN656" i="1"/>
  <c r="AZ656" i="1" s="1"/>
  <c r="BN655" i="1"/>
  <c r="AZ655" i="1" s="1"/>
  <c r="BN654" i="1"/>
  <c r="AZ654" i="1" s="1"/>
  <c r="BN653" i="1"/>
  <c r="AZ653" i="1" s="1"/>
  <c r="BN652" i="1"/>
  <c r="AZ652" i="1" s="1"/>
  <c r="BN651" i="1"/>
  <c r="AZ651" i="1" s="1"/>
  <c r="BN650" i="1"/>
  <c r="AZ650" i="1" s="1"/>
  <c r="BN649" i="1"/>
  <c r="AZ649" i="1" s="1"/>
  <c r="BN648" i="1"/>
  <c r="AZ648" i="1" s="1"/>
  <c r="BN647" i="1"/>
  <c r="AZ647" i="1" s="1"/>
  <c r="BN646" i="1"/>
  <c r="AZ646" i="1" s="1"/>
  <c r="BN645" i="1"/>
  <c r="AZ645" i="1" s="1"/>
  <c r="BN644" i="1"/>
  <c r="AZ644" i="1" s="1"/>
  <c r="BN643" i="1"/>
  <c r="AZ643" i="1" s="1"/>
  <c r="BN642" i="1"/>
  <c r="AZ642" i="1" s="1"/>
  <c r="BN641" i="1"/>
  <c r="AZ641" i="1" s="1"/>
  <c r="BN640" i="1"/>
  <c r="AZ640" i="1" s="1"/>
  <c r="BN639" i="1"/>
  <c r="AZ639" i="1" s="1"/>
  <c r="BN638" i="1"/>
  <c r="AZ638" i="1" s="1"/>
  <c r="BN637" i="1"/>
  <c r="AZ637" i="1" s="1"/>
  <c r="BN636" i="1"/>
  <c r="AZ636" i="1" s="1"/>
  <c r="BN635" i="1"/>
  <c r="AZ635" i="1" s="1"/>
  <c r="BN634" i="1"/>
  <c r="AZ634" i="1" s="1"/>
  <c r="BN633" i="1"/>
  <c r="AZ633" i="1" s="1"/>
  <c r="BN632" i="1"/>
  <c r="AZ632" i="1" s="1"/>
  <c r="BN631" i="1"/>
  <c r="AZ631" i="1" s="1"/>
  <c r="BN630" i="1"/>
  <c r="AZ630" i="1" s="1"/>
  <c r="BN629" i="1"/>
  <c r="AZ629" i="1" s="1"/>
  <c r="BN628" i="1"/>
  <c r="AZ628" i="1" s="1"/>
  <c r="BN627" i="1"/>
  <c r="AZ627" i="1" s="1"/>
  <c r="BN626" i="1"/>
  <c r="AZ626" i="1" s="1"/>
  <c r="BN625" i="1"/>
  <c r="AZ625" i="1" s="1"/>
  <c r="BN624" i="1"/>
  <c r="AZ624" i="1" s="1"/>
  <c r="BN623" i="1"/>
  <c r="AZ623" i="1" s="1"/>
  <c r="BN622" i="1"/>
  <c r="AZ622" i="1" s="1"/>
  <c r="BN621" i="1"/>
  <c r="AZ621" i="1" s="1"/>
  <c r="BN620" i="1"/>
  <c r="AZ620" i="1" s="1"/>
  <c r="BN619" i="1"/>
  <c r="AZ619" i="1" s="1"/>
  <c r="BN618" i="1"/>
  <c r="AZ618" i="1" s="1"/>
  <c r="BN617" i="1"/>
  <c r="AZ617" i="1" s="1"/>
  <c r="BN616" i="1"/>
  <c r="AZ616" i="1" s="1"/>
  <c r="BN615" i="1"/>
  <c r="AZ615" i="1" s="1"/>
  <c r="BN614" i="1"/>
  <c r="AZ614" i="1" s="1"/>
  <c r="BN613" i="1"/>
  <c r="AZ613" i="1" s="1"/>
  <c r="BN612" i="1"/>
  <c r="AZ612" i="1" s="1"/>
  <c r="BN611" i="1"/>
  <c r="AZ611" i="1" s="1"/>
  <c r="BN610" i="1"/>
  <c r="AZ610" i="1" s="1"/>
  <c r="BN609" i="1"/>
  <c r="AZ609" i="1" s="1"/>
  <c r="BN608" i="1"/>
  <c r="AZ608" i="1" s="1"/>
  <c r="BN607" i="1"/>
  <c r="AZ607" i="1" s="1"/>
  <c r="BN606" i="1"/>
  <c r="AZ606" i="1" s="1"/>
  <c r="BN605" i="1"/>
  <c r="AZ605" i="1" s="1"/>
  <c r="BN604" i="1"/>
  <c r="AZ604" i="1" s="1"/>
  <c r="BN603" i="1"/>
  <c r="AZ603" i="1" s="1"/>
  <c r="BN602" i="1"/>
  <c r="AZ602" i="1" s="1"/>
  <c r="BN601" i="1"/>
  <c r="AZ601" i="1" s="1"/>
  <c r="BN600" i="1"/>
  <c r="AZ600" i="1" s="1"/>
  <c r="BN599" i="1"/>
  <c r="AZ599" i="1" s="1"/>
  <c r="BN598" i="1"/>
  <c r="AZ598" i="1" s="1"/>
  <c r="BN597" i="1"/>
  <c r="AZ597" i="1" s="1"/>
  <c r="BN596" i="1"/>
  <c r="AZ596" i="1" s="1"/>
  <c r="BN595" i="1"/>
  <c r="AZ595" i="1" s="1"/>
  <c r="BN594" i="1"/>
  <c r="AZ594" i="1" s="1"/>
  <c r="BN593" i="1"/>
  <c r="AZ593" i="1" s="1"/>
  <c r="BN592" i="1"/>
  <c r="AZ592" i="1" s="1"/>
  <c r="BN591" i="1"/>
  <c r="AZ591" i="1" s="1"/>
  <c r="BN590" i="1"/>
  <c r="AZ590" i="1" s="1"/>
  <c r="BN589" i="1"/>
  <c r="AZ589" i="1" s="1"/>
  <c r="BN588" i="1"/>
  <c r="AZ588" i="1" s="1"/>
  <c r="BN587" i="1"/>
  <c r="AZ587" i="1" s="1"/>
  <c r="BN586" i="1"/>
  <c r="AZ586" i="1" s="1"/>
  <c r="BN585" i="1"/>
  <c r="AZ585" i="1" s="1"/>
  <c r="BN584" i="1"/>
  <c r="AZ584" i="1" s="1"/>
  <c r="BN583" i="1"/>
  <c r="AZ583" i="1" s="1"/>
  <c r="BN582" i="1"/>
  <c r="AZ582" i="1" s="1"/>
  <c r="BN581" i="1"/>
  <c r="AZ581" i="1" s="1"/>
  <c r="BN580" i="1"/>
  <c r="AZ580" i="1" s="1"/>
  <c r="BN579" i="1"/>
  <c r="AZ579" i="1" s="1"/>
  <c r="BN578" i="1"/>
  <c r="AZ578" i="1" s="1"/>
  <c r="BN577" i="1"/>
  <c r="AZ577" i="1" s="1"/>
  <c r="BN576" i="1"/>
  <c r="AZ576" i="1" s="1"/>
  <c r="BN575" i="1"/>
  <c r="AZ575" i="1" s="1"/>
  <c r="BN574" i="1"/>
  <c r="AZ574" i="1" s="1"/>
  <c r="BN573" i="1"/>
  <c r="AZ573" i="1" s="1"/>
  <c r="BN572" i="1"/>
  <c r="AZ572" i="1" s="1"/>
  <c r="BN571" i="1"/>
  <c r="AZ571" i="1" s="1"/>
  <c r="BN570" i="1"/>
  <c r="AZ570" i="1" s="1"/>
  <c r="BN569" i="1"/>
  <c r="AZ569" i="1" s="1"/>
  <c r="BN568" i="1"/>
  <c r="AZ568" i="1" s="1"/>
  <c r="BN567" i="1"/>
  <c r="AZ567" i="1" s="1"/>
  <c r="BN566" i="1"/>
  <c r="AZ566" i="1" s="1"/>
  <c r="BN565" i="1"/>
  <c r="AZ565" i="1" s="1"/>
  <c r="BN564" i="1"/>
  <c r="AZ564" i="1" s="1"/>
  <c r="BN563" i="1"/>
  <c r="AZ563" i="1" s="1"/>
  <c r="BN562" i="1"/>
  <c r="AZ562" i="1" s="1"/>
  <c r="BN561" i="1"/>
  <c r="AZ561" i="1" s="1"/>
  <c r="BN560" i="1"/>
  <c r="AZ560" i="1" s="1"/>
  <c r="BN559" i="1"/>
  <c r="AZ559" i="1" s="1"/>
  <c r="BN558" i="1"/>
  <c r="AZ558" i="1" s="1"/>
  <c r="BN557" i="1"/>
  <c r="AZ557" i="1" s="1"/>
  <c r="BN556" i="1"/>
  <c r="AZ556" i="1" s="1"/>
  <c r="BN555" i="1"/>
  <c r="AZ555" i="1" s="1"/>
  <c r="BN554" i="1"/>
  <c r="AZ554" i="1" s="1"/>
  <c r="BN553" i="1"/>
  <c r="AZ553" i="1" s="1"/>
  <c r="BN552" i="1"/>
  <c r="AZ552" i="1" s="1"/>
  <c r="BN551" i="1"/>
  <c r="AZ551" i="1" s="1"/>
  <c r="BN550" i="1"/>
  <c r="AZ550" i="1" s="1"/>
  <c r="BN549" i="1"/>
  <c r="AZ549" i="1" s="1"/>
  <c r="BN548" i="1"/>
  <c r="AZ548" i="1" s="1"/>
  <c r="BN547" i="1"/>
  <c r="AZ547" i="1" s="1"/>
  <c r="BN546" i="1"/>
  <c r="AZ546" i="1" s="1"/>
  <c r="BN545" i="1"/>
  <c r="AZ545" i="1" s="1"/>
  <c r="BN544" i="1"/>
  <c r="AZ544" i="1" s="1"/>
  <c r="BN543" i="1"/>
  <c r="AZ543" i="1" s="1"/>
  <c r="BN542" i="1"/>
  <c r="AZ542" i="1" s="1"/>
  <c r="BN541" i="1"/>
  <c r="AZ541" i="1" s="1"/>
  <c r="BN540" i="1"/>
  <c r="AZ540" i="1" s="1"/>
  <c r="BN539" i="1"/>
  <c r="AZ539" i="1" s="1"/>
  <c r="BN538" i="1"/>
  <c r="AZ538" i="1" s="1"/>
  <c r="BN537" i="1"/>
  <c r="AZ537" i="1" s="1"/>
  <c r="BN536" i="1"/>
  <c r="AZ536" i="1" s="1"/>
  <c r="BN535" i="1"/>
  <c r="AZ535" i="1" s="1"/>
  <c r="BN534" i="1"/>
  <c r="AZ534" i="1" s="1"/>
  <c r="BN533" i="1"/>
  <c r="AZ533" i="1" s="1"/>
  <c r="BN532" i="1"/>
  <c r="AZ532" i="1" s="1"/>
  <c r="BN531" i="1"/>
  <c r="AZ531" i="1" s="1"/>
  <c r="BN530" i="1"/>
  <c r="AZ530" i="1" s="1"/>
  <c r="BN529" i="1"/>
  <c r="AZ529" i="1" s="1"/>
  <c r="BN528" i="1"/>
  <c r="AZ528" i="1" s="1"/>
  <c r="BN527" i="1"/>
  <c r="AZ527" i="1" s="1"/>
  <c r="BN526" i="1"/>
  <c r="AZ526" i="1" s="1"/>
  <c r="BN525" i="1"/>
  <c r="AZ525" i="1" s="1"/>
  <c r="BN524" i="1"/>
  <c r="AZ524" i="1" s="1"/>
  <c r="BN523" i="1"/>
  <c r="AZ523" i="1" s="1"/>
  <c r="BN522" i="1"/>
  <c r="AZ522" i="1" s="1"/>
  <c r="BN521" i="1"/>
  <c r="AZ521" i="1" s="1"/>
  <c r="BN520" i="1"/>
  <c r="AZ520" i="1" s="1"/>
  <c r="BN519" i="1"/>
  <c r="AZ519" i="1" s="1"/>
  <c r="BN518" i="1"/>
  <c r="AZ518" i="1" s="1"/>
  <c r="BN517" i="1"/>
  <c r="AZ517" i="1" s="1"/>
  <c r="BN516" i="1"/>
  <c r="AZ516" i="1" s="1"/>
  <c r="BN515" i="1"/>
  <c r="AZ515" i="1" s="1"/>
  <c r="BN514" i="1"/>
  <c r="AZ514" i="1" s="1"/>
  <c r="BN513" i="1"/>
  <c r="AZ513" i="1" s="1"/>
  <c r="BN512" i="1"/>
  <c r="AZ512" i="1" s="1"/>
  <c r="BN511" i="1"/>
  <c r="AZ511" i="1" s="1"/>
  <c r="BN510" i="1"/>
  <c r="AZ510" i="1" s="1"/>
  <c r="BN509" i="1"/>
  <c r="AZ509" i="1" s="1"/>
  <c r="BN508" i="1"/>
  <c r="AZ508" i="1" s="1"/>
  <c r="BN507" i="1"/>
  <c r="AZ507" i="1" s="1"/>
  <c r="BN506" i="1"/>
  <c r="AZ506" i="1" s="1"/>
  <c r="BN505" i="1"/>
  <c r="AZ505" i="1" s="1"/>
  <c r="BN504" i="1"/>
  <c r="AZ504" i="1" s="1"/>
  <c r="BN503" i="1"/>
  <c r="AZ503" i="1" s="1"/>
  <c r="BN502" i="1"/>
  <c r="AZ502" i="1" s="1"/>
  <c r="BN501" i="1"/>
  <c r="AZ501" i="1" s="1"/>
  <c r="BN500" i="1"/>
  <c r="AZ500" i="1" s="1"/>
  <c r="BN499" i="1"/>
  <c r="AZ499" i="1" s="1"/>
  <c r="BN498" i="1"/>
  <c r="AZ498" i="1" s="1"/>
  <c r="BN497" i="1"/>
  <c r="AZ497" i="1" s="1"/>
  <c r="BN496" i="1"/>
  <c r="AZ496" i="1" s="1"/>
  <c r="BN495" i="1"/>
  <c r="AZ495" i="1" s="1"/>
  <c r="BN494" i="1"/>
  <c r="AZ494" i="1" s="1"/>
  <c r="BN493" i="1"/>
  <c r="AZ493" i="1" s="1"/>
  <c r="BN492" i="1"/>
  <c r="AZ492" i="1" s="1"/>
  <c r="BN491" i="1"/>
  <c r="AZ491" i="1" s="1"/>
  <c r="BN490" i="1"/>
  <c r="AZ490" i="1" s="1"/>
  <c r="BN489" i="1"/>
  <c r="AZ489" i="1" s="1"/>
  <c r="BN488" i="1"/>
  <c r="AZ488" i="1" s="1"/>
  <c r="BN487" i="1"/>
  <c r="AZ487" i="1" s="1"/>
  <c r="BN486" i="1"/>
  <c r="AZ486" i="1" s="1"/>
  <c r="BN485" i="1"/>
  <c r="AZ485" i="1" s="1"/>
  <c r="BN484" i="1"/>
  <c r="AZ484" i="1" s="1"/>
  <c r="BN483" i="1"/>
  <c r="AZ483" i="1" s="1"/>
  <c r="BN482" i="1"/>
  <c r="AZ482" i="1" s="1"/>
  <c r="BN481" i="1"/>
  <c r="AZ481" i="1" s="1"/>
  <c r="BN480" i="1"/>
  <c r="AZ480" i="1" s="1"/>
  <c r="BN479" i="1"/>
  <c r="AZ479" i="1" s="1"/>
  <c r="BN478" i="1"/>
  <c r="AZ478" i="1" s="1"/>
  <c r="BN477" i="1"/>
  <c r="AZ477" i="1" s="1"/>
  <c r="BN476" i="1"/>
  <c r="AZ476" i="1" s="1"/>
  <c r="BN475" i="1"/>
  <c r="AZ475" i="1" s="1"/>
  <c r="BN474" i="1"/>
  <c r="AZ474" i="1" s="1"/>
  <c r="BN473" i="1"/>
  <c r="AZ473" i="1" s="1"/>
  <c r="BN472" i="1"/>
  <c r="AZ472" i="1" s="1"/>
  <c r="BN471" i="1"/>
  <c r="AZ471" i="1" s="1"/>
  <c r="BN470" i="1"/>
  <c r="AZ470" i="1" s="1"/>
  <c r="BN469" i="1"/>
  <c r="AZ469" i="1" s="1"/>
  <c r="BN468" i="1"/>
  <c r="AZ468" i="1" s="1"/>
  <c r="BN467" i="1"/>
  <c r="AZ467" i="1" s="1"/>
  <c r="BN466" i="1"/>
  <c r="AZ466" i="1" s="1"/>
  <c r="BN465" i="1"/>
  <c r="AZ465" i="1" s="1"/>
  <c r="BN464" i="1"/>
  <c r="AZ464" i="1" s="1"/>
  <c r="BN463" i="1"/>
  <c r="AZ463" i="1" s="1"/>
  <c r="BN462" i="1"/>
  <c r="AZ462" i="1" s="1"/>
  <c r="BN461" i="1"/>
  <c r="AZ461" i="1" s="1"/>
  <c r="BN460" i="1"/>
  <c r="AZ460" i="1" s="1"/>
  <c r="BN459" i="1"/>
  <c r="AZ459" i="1" s="1"/>
  <c r="BN458" i="1"/>
  <c r="AZ458" i="1" s="1"/>
  <c r="BN457" i="1"/>
  <c r="AZ457" i="1" s="1"/>
  <c r="BN456" i="1"/>
  <c r="AZ456" i="1" s="1"/>
  <c r="BN455" i="1"/>
  <c r="AZ455" i="1" s="1"/>
  <c r="BN454" i="1"/>
  <c r="AZ454" i="1" s="1"/>
  <c r="BN453" i="1"/>
  <c r="AZ453" i="1" s="1"/>
  <c r="BN452" i="1"/>
  <c r="AZ452" i="1" s="1"/>
  <c r="BN451" i="1"/>
  <c r="AZ451" i="1" s="1"/>
  <c r="BN450" i="1"/>
  <c r="AZ450" i="1" s="1"/>
  <c r="BN449" i="1"/>
  <c r="AZ449" i="1" s="1"/>
  <c r="BN448" i="1"/>
  <c r="AZ448" i="1" s="1"/>
  <c r="BN447" i="1"/>
  <c r="AZ447" i="1" s="1"/>
  <c r="BN446" i="1"/>
  <c r="AZ446" i="1" s="1"/>
  <c r="BN445" i="1"/>
  <c r="AZ445" i="1" s="1"/>
  <c r="BN444" i="1"/>
  <c r="AZ444" i="1" s="1"/>
  <c r="BN443" i="1"/>
  <c r="AZ443" i="1" s="1"/>
  <c r="BN442" i="1"/>
  <c r="AZ442" i="1" s="1"/>
  <c r="BN441" i="1"/>
  <c r="AZ441" i="1" s="1"/>
  <c r="BN440" i="1"/>
  <c r="AZ440" i="1" s="1"/>
  <c r="BN439" i="1"/>
  <c r="AZ439" i="1" s="1"/>
  <c r="BN438" i="1"/>
  <c r="AZ438" i="1" s="1"/>
  <c r="BN437" i="1"/>
  <c r="AZ437" i="1" s="1"/>
  <c r="BN436" i="1"/>
  <c r="AZ436" i="1" s="1"/>
  <c r="BN435" i="1"/>
  <c r="AZ435" i="1" s="1"/>
  <c r="BN434" i="1"/>
  <c r="AZ434" i="1" s="1"/>
  <c r="BN433" i="1"/>
  <c r="AZ433" i="1" s="1"/>
  <c r="BN432" i="1"/>
  <c r="AZ432" i="1" s="1"/>
  <c r="BN431" i="1"/>
  <c r="AZ431" i="1" s="1"/>
  <c r="BN430" i="1"/>
  <c r="AZ430" i="1" s="1"/>
  <c r="BN429" i="1"/>
  <c r="AZ429" i="1" s="1"/>
  <c r="BN428" i="1"/>
  <c r="AZ428" i="1" s="1"/>
  <c r="BN427" i="1"/>
  <c r="AZ427" i="1" s="1"/>
  <c r="BN426" i="1"/>
  <c r="AZ426" i="1" s="1"/>
  <c r="BN425" i="1"/>
  <c r="AZ425" i="1" s="1"/>
  <c r="BN424" i="1"/>
  <c r="AZ424" i="1" s="1"/>
  <c r="BN423" i="1"/>
  <c r="AZ423" i="1" s="1"/>
  <c r="BN422" i="1"/>
  <c r="AZ422" i="1" s="1"/>
  <c r="BN421" i="1"/>
  <c r="AZ421" i="1" s="1"/>
  <c r="BN420" i="1"/>
  <c r="AZ420" i="1" s="1"/>
  <c r="BN419" i="1"/>
  <c r="AZ419" i="1" s="1"/>
  <c r="BN418" i="1"/>
  <c r="AZ418" i="1" s="1"/>
  <c r="BN417" i="1"/>
  <c r="AZ417" i="1" s="1"/>
  <c r="BN416" i="1"/>
  <c r="AZ416" i="1" s="1"/>
  <c r="BN415" i="1"/>
  <c r="AZ415" i="1" s="1"/>
  <c r="BN414" i="1"/>
  <c r="AZ414" i="1" s="1"/>
  <c r="BN413" i="1"/>
  <c r="AZ413" i="1" s="1"/>
  <c r="BN412" i="1"/>
  <c r="AZ412" i="1" s="1"/>
  <c r="BN411" i="1"/>
  <c r="AZ411" i="1" s="1"/>
  <c r="BN410" i="1"/>
  <c r="AZ410" i="1" s="1"/>
  <c r="BN409" i="1"/>
  <c r="AZ409" i="1" s="1"/>
  <c r="BN408" i="1"/>
  <c r="AZ408" i="1" s="1"/>
  <c r="BN407" i="1"/>
  <c r="AZ407" i="1" s="1"/>
  <c r="BN406" i="1"/>
  <c r="AZ406" i="1" s="1"/>
  <c r="BN405" i="1"/>
  <c r="AZ405" i="1" s="1"/>
  <c r="BN404" i="1"/>
  <c r="AZ404" i="1" s="1"/>
  <c r="BN403" i="1"/>
  <c r="AZ403" i="1" s="1"/>
  <c r="BN402" i="1"/>
  <c r="AZ402" i="1" s="1"/>
  <c r="BN401" i="1"/>
  <c r="AZ401" i="1" s="1"/>
  <c r="BN400" i="1"/>
  <c r="AZ400" i="1" s="1"/>
  <c r="BN399" i="1"/>
  <c r="AZ399" i="1" s="1"/>
  <c r="BN398" i="1"/>
  <c r="AZ398" i="1" s="1"/>
  <c r="BN397" i="1"/>
  <c r="AZ397" i="1" s="1"/>
  <c r="BN396" i="1"/>
  <c r="AZ396" i="1" s="1"/>
  <c r="BN395" i="1"/>
  <c r="AZ395" i="1" s="1"/>
  <c r="BN394" i="1"/>
  <c r="AZ394" i="1" s="1"/>
  <c r="BN393" i="1"/>
  <c r="AZ393" i="1" s="1"/>
  <c r="BN392" i="1"/>
  <c r="AZ392" i="1" s="1"/>
  <c r="BN391" i="1"/>
  <c r="AZ391" i="1" s="1"/>
  <c r="BN390" i="1"/>
  <c r="AZ390" i="1" s="1"/>
  <c r="BN389" i="1"/>
  <c r="AZ389" i="1" s="1"/>
  <c r="BN388" i="1"/>
  <c r="AZ388" i="1" s="1"/>
  <c r="BN387" i="1"/>
  <c r="AZ387" i="1" s="1"/>
  <c r="BN386" i="1"/>
  <c r="AZ386" i="1" s="1"/>
  <c r="BN385" i="1"/>
  <c r="AZ385" i="1" s="1"/>
  <c r="BN384" i="1"/>
  <c r="AZ384" i="1" s="1"/>
  <c r="BN383" i="1"/>
  <c r="AZ383" i="1" s="1"/>
  <c r="BN382" i="1"/>
  <c r="AZ382" i="1" s="1"/>
  <c r="BN381" i="1"/>
  <c r="AZ381" i="1" s="1"/>
  <c r="BN380" i="1"/>
  <c r="AZ380" i="1" s="1"/>
  <c r="BN379" i="1"/>
  <c r="AZ379" i="1" s="1"/>
  <c r="BN378" i="1"/>
  <c r="AZ378" i="1" s="1"/>
  <c r="BN377" i="1"/>
  <c r="AZ377" i="1" s="1"/>
  <c r="BN376" i="1"/>
  <c r="AZ376" i="1" s="1"/>
  <c r="BN375" i="1"/>
  <c r="AZ375" i="1" s="1"/>
  <c r="BN374" i="1"/>
  <c r="AZ374" i="1" s="1"/>
  <c r="BN373" i="1"/>
  <c r="AZ373" i="1" s="1"/>
  <c r="BN372" i="1"/>
  <c r="AZ372" i="1" s="1"/>
  <c r="BN371" i="1"/>
  <c r="AZ371" i="1" s="1"/>
  <c r="BN370" i="1"/>
  <c r="AZ370" i="1" s="1"/>
  <c r="BN369" i="1"/>
  <c r="AZ369" i="1" s="1"/>
  <c r="BN368" i="1"/>
  <c r="AZ368" i="1" s="1"/>
  <c r="BN367" i="1"/>
  <c r="AZ367" i="1" s="1"/>
  <c r="BN366" i="1"/>
  <c r="AZ366" i="1" s="1"/>
  <c r="BN365" i="1"/>
  <c r="AZ365" i="1" s="1"/>
  <c r="BN364" i="1"/>
  <c r="AZ364" i="1" s="1"/>
  <c r="BN363" i="1"/>
  <c r="AZ363" i="1" s="1"/>
  <c r="BN362" i="1"/>
  <c r="AZ362" i="1" s="1"/>
  <c r="BN361" i="1"/>
  <c r="AZ361" i="1" s="1"/>
  <c r="BN360" i="1"/>
  <c r="AZ360" i="1" s="1"/>
  <c r="BN359" i="1"/>
  <c r="AZ359" i="1" s="1"/>
  <c r="BN358" i="1"/>
  <c r="AZ358" i="1" s="1"/>
  <c r="BN357" i="1"/>
  <c r="AZ357" i="1" s="1"/>
  <c r="BN356" i="1"/>
  <c r="AZ356" i="1" s="1"/>
  <c r="BN355" i="1"/>
  <c r="AZ355" i="1" s="1"/>
  <c r="BN354" i="1"/>
  <c r="AZ354" i="1" s="1"/>
  <c r="BN353" i="1"/>
  <c r="AZ353" i="1" s="1"/>
  <c r="BN352" i="1"/>
  <c r="AZ352" i="1" s="1"/>
  <c r="BN351" i="1"/>
  <c r="AZ351" i="1" s="1"/>
  <c r="BN350" i="1"/>
  <c r="AZ350" i="1" s="1"/>
  <c r="BN349" i="1"/>
  <c r="AZ349" i="1" s="1"/>
  <c r="BN348" i="1"/>
  <c r="AZ348" i="1" s="1"/>
  <c r="BN347" i="1"/>
  <c r="AZ347" i="1" s="1"/>
  <c r="BN346" i="1"/>
  <c r="AZ346" i="1" s="1"/>
  <c r="BN345" i="1"/>
  <c r="AZ345" i="1" s="1"/>
  <c r="BN344" i="1"/>
  <c r="AZ344" i="1" s="1"/>
  <c r="BN343" i="1"/>
  <c r="AZ343" i="1" s="1"/>
  <c r="BN342" i="1"/>
  <c r="AZ342" i="1" s="1"/>
  <c r="BN341" i="1"/>
  <c r="AZ341" i="1" s="1"/>
  <c r="BN340" i="1"/>
  <c r="AZ340" i="1" s="1"/>
  <c r="BN339" i="1"/>
  <c r="AZ339" i="1" s="1"/>
  <c r="BN338" i="1"/>
  <c r="AZ338" i="1" s="1"/>
  <c r="BN337" i="1"/>
  <c r="AZ337" i="1" s="1"/>
  <c r="BN336" i="1"/>
  <c r="AZ336" i="1" s="1"/>
  <c r="BN335" i="1"/>
  <c r="AZ335" i="1" s="1"/>
  <c r="BN334" i="1"/>
  <c r="AZ334" i="1" s="1"/>
  <c r="BN333" i="1"/>
  <c r="AZ333" i="1" s="1"/>
  <c r="BN332" i="1"/>
  <c r="AZ332" i="1" s="1"/>
  <c r="BN331" i="1"/>
  <c r="AZ331" i="1" s="1"/>
  <c r="BN330" i="1"/>
  <c r="AZ330" i="1" s="1"/>
  <c r="BN329" i="1"/>
  <c r="AZ329" i="1" s="1"/>
  <c r="BN328" i="1"/>
  <c r="AZ328" i="1" s="1"/>
  <c r="BN327" i="1"/>
  <c r="AZ327" i="1" s="1"/>
  <c r="BN326" i="1"/>
  <c r="AZ326" i="1" s="1"/>
  <c r="BN325" i="1"/>
  <c r="AZ325" i="1" s="1"/>
  <c r="BN324" i="1"/>
  <c r="AZ324" i="1" s="1"/>
  <c r="BN323" i="1"/>
  <c r="AZ323" i="1" s="1"/>
  <c r="BN322" i="1"/>
  <c r="AZ322" i="1" s="1"/>
  <c r="BN321" i="1"/>
  <c r="AZ321" i="1" s="1"/>
  <c r="BN320" i="1"/>
  <c r="AZ320" i="1" s="1"/>
  <c r="BN319" i="1"/>
  <c r="AZ319" i="1" s="1"/>
  <c r="BN318" i="1"/>
  <c r="AZ318" i="1" s="1"/>
  <c r="BN317" i="1"/>
  <c r="AZ317" i="1" s="1"/>
  <c r="BN316" i="1"/>
  <c r="AZ316" i="1" s="1"/>
  <c r="BN315" i="1"/>
  <c r="AZ315" i="1" s="1"/>
  <c r="BN314" i="1"/>
  <c r="AZ314" i="1" s="1"/>
  <c r="BN313" i="1"/>
  <c r="AZ313" i="1" s="1"/>
  <c r="BN312" i="1"/>
  <c r="AZ312" i="1" s="1"/>
  <c r="BN311" i="1"/>
  <c r="AZ311" i="1" s="1"/>
  <c r="BN310" i="1"/>
  <c r="AZ310" i="1" s="1"/>
  <c r="BN309" i="1"/>
  <c r="AZ309" i="1" s="1"/>
  <c r="BN308" i="1"/>
  <c r="AZ308" i="1" s="1"/>
  <c r="BN307" i="1"/>
  <c r="AZ307" i="1" s="1"/>
  <c r="BN306" i="1"/>
  <c r="AZ306" i="1" s="1"/>
  <c r="BN305" i="1"/>
  <c r="AZ305" i="1" s="1"/>
  <c r="BN304" i="1"/>
  <c r="AZ304" i="1" s="1"/>
  <c r="BN303" i="1"/>
  <c r="AZ303" i="1" s="1"/>
  <c r="BN302" i="1"/>
  <c r="AZ302" i="1" s="1"/>
  <c r="BN301" i="1"/>
  <c r="AZ301" i="1" s="1"/>
  <c r="BN300" i="1"/>
  <c r="AZ300" i="1" s="1"/>
  <c r="BN299" i="1"/>
  <c r="AZ299" i="1" s="1"/>
  <c r="BN298" i="1"/>
  <c r="AZ298" i="1" s="1"/>
  <c r="BN297" i="1"/>
  <c r="AZ297" i="1" s="1"/>
  <c r="BN296" i="1"/>
  <c r="AZ296" i="1" s="1"/>
  <c r="BN295" i="1"/>
  <c r="AZ295" i="1" s="1"/>
  <c r="BN294" i="1"/>
  <c r="AZ294" i="1" s="1"/>
  <c r="BN293" i="1"/>
  <c r="AZ293" i="1" s="1"/>
  <c r="BN292" i="1"/>
  <c r="AZ292" i="1" s="1"/>
  <c r="BN291" i="1"/>
  <c r="AZ291" i="1" s="1"/>
  <c r="BN290" i="1"/>
  <c r="AZ290" i="1" s="1"/>
  <c r="BN289" i="1"/>
  <c r="AZ289" i="1" s="1"/>
  <c r="BN288" i="1"/>
  <c r="AZ288" i="1" s="1"/>
  <c r="BN287" i="1"/>
  <c r="AZ287" i="1" s="1"/>
  <c r="BN286" i="1"/>
  <c r="AZ286" i="1" s="1"/>
  <c r="BN285" i="1"/>
  <c r="AZ285" i="1" s="1"/>
  <c r="BN284" i="1"/>
  <c r="AZ284" i="1" s="1"/>
  <c r="BN283" i="1"/>
  <c r="AZ283" i="1" s="1"/>
  <c r="BN282" i="1"/>
  <c r="AZ282" i="1" s="1"/>
  <c r="BN281" i="1"/>
  <c r="AZ281" i="1" s="1"/>
  <c r="BN280" i="1"/>
  <c r="AZ280" i="1" s="1"/>
  <c r="BN279" i="1"/>
  <c r="AZ279" i="1" s="1"/>
  <c r="BN278" i="1"/>
  <c r="AZ278" i="1" s="1"/>
  <c r="BN277" i="1"/>
  <c r="AZ277" i="1" s="1"/>
  <c r="BN276" i="1"/>
  <c r="AZ276" i="1" s="1"/>
  <c r="BN275" i="1"/>
  <c r="AZ275" i="1" s="1"/>
  <c r="BN274" i="1"/>
  <c r="AZ274" i="1" s="1"/>
  <c r="BN273" i="1"/>
  <c r="AZ273" i="1" s="1"/>
  <c r="BN272" i="1"/>
  <c r="AZ272" i="1" s="1"/>
  <c r="BN271" i="1"/>
  <c r="AZ271" i="1" s="1"/>
  <c r="BN270" i="1"/>
  <c r="AZ270" i="1" s="1"/>
  <c r="BN269" i="1"/>
  <c r="AZ269" i="1" s="1"/>
  <c r="BN268" i="1"/>
  <c r="AZ268" i="1" s="1"/>
  <c r="BN267" i="1"/>
  <c r="AZ267" i="1" s="1"/>
  <c r="BN266" i="1"/>
  <c r="AZ266" i="1" s="1"/>
  <c r="BN265" i="1"/>
  <c r="AZ265" i="1" s="1"/>
  <c r="BN264" i="1"/>
  <c r="AZ264" i="1" s="1"/>
  <c r="BN263" i="1"/>
  <c r="AZ263" i="1" s="1"/>
  <c r="BN262" i="1"/>
  <c r="AZ262" i="1" s="1"/>
  <c r="BN261" i="1"/>
  <c r="AZ261" i="1" s="1"/>
  <c r="BN260" i="1"/>
  <c r="AZ260" i="1" s="1"/>
  <c r="BN259" i="1"/>
  <c r="AZ259" i="1" s="1"/>
  <c r="BN258" i="1"/>
  <c r="AZ258" i="1" s="1"/>
  <c r="BN257" i="1"/>
  <c r="AZ257" i="1" s="1"/>
  <c r="BN256" i="1"/>
  <c r="AZ256" i="1" s="1"/>
  <c r="BN255" i="1"/>
  <c r="AZ255" i="1" s="1"/>
  <c r="BN254" i="1"/>
  <c r="AZ254" i="1" s="1"/>
  <c r="BN253" i="1"/>
  <c r="AZ253" i="1" s="1"/>
  <c r="BN252" i="1"/>
  <c r="AZ252" i="1" s="1"/>
  <c r="BN251" i="1"/>
  <c r="AZ251" i="1" s="1"/>
  <c r="BN250" i="1"/>
  <c r="AZ250" i="1" s="1"/>
  <c r="BN249" i="1"/>
  <c r="AZ249" i="1" s="1"/>
  <c r="BN248" i="1"/>
  <c r="AZ248" i="1" s="1"/>
  <c r="BN247" i="1"/>
  <c r="AZ247" i="1" s="1"/>
  <c r="BN246" i="1"/>
  <c r="AZ246" i="1" s="1"/>
  <c r="BN245" i="1"/>
  <c r="AZ245" i="1" s="1"/>
  <c r="BN244" i="1"/>
  <c r="AZ244" i="1" s="1"/>
  <c r="BN243" i="1"/>
  <c r="AZ243" i="1" s="1"/>
  <c r="BN242" i="1"/>
  <c r="AZ242" i="1" s="1"/>
  <c r="BN241" i="1"/>
  <c r="AZ241" i="1" s="1"/>
  <c r="BN240" i="1"/>
  <c r="AZ240" i="1" s="1"/>
  <c r="BN239" i="1"/>
  <c r="AZ239" i="1" s="1"/>
  <c r="BN238" i="1"/>
  <c r="AZ238" i="1" s="1"/>
  <c r="BN237" i="1"/>
  <c r="AZ237" i="1" s="1"/>
  <c r="BN236" i="1"/>
  <c r="AZ236" i="1" s="1"/>
  <c r="BN235" i="1"/>
  <c r="AZ235" i="1" s="1"/>
  <c r="BN234" i="1"/>
  <c r="AZ234" i="1" s="1"/>
  <c r="BN233" i="1"/>
  <c r="AZ233" i="1" s="1"/>
  <c r="BN232" i="1"/>
  <c r="AZ232" i="1" s="1"/>
  <c r="BN231" i="1"/>
  <c r="AZ231" i="1" s="1"/>
  <c r="BN230" i="1"/>
  <c r="AZ230" i="1" s="1"/>
  <c r="BN229" i="1"/>
  <c r="AZ229" i="1" s="1"/>
  <c r="BN228" i="1"/>
  <c r="AZ228" i="1" s="1"/>
  <c r="BN227" i="1"/>
  <c r="AZ227" i="1" s="1"/>
  <c r="BN226" i="1"/>
  <c r="AZ226" i="1" s="1"/>
  <c r="BN225" i="1"/>
  <c r="AZ225" i="1" s="1"/>
  <c r="BN224" i="1"/>
  <c r="AZ224" i="1" s="1"/>
  <c r="BN223" i="1"/>
  <c r="AZ223" i="1" s="1"/>
  <c r="BN222" i="1"/>
  <c r="AZ222" i="1" s="1"/>
  <c r="BN221" i="1"/>
  <c r="AZ221" i="1" s="1"/>
  <c r="BN220" i="1"/>
  <c r="AZ220" i="1" s="1"/>
  <c r="BN219" i="1"/>
  <c r="AZ219" i="1" s="1"/>
  <c r="BN218" i="1"/>
  <c r="AZ218" i="1" s="1"/>
  <c r="BN217" i="1"/>
  <c r="AZ217" i="1" s="1"/>
  <c r="BN216" i="1"/>
  <c r="AZ216" i="1" s="1"/>
  <c r="BN215" i="1"/>
  <c r="AZ215" i="1" s="1"/>
  <c r="BN214" i="1"/>
  <c r="AZ214" i="1" s="1"/>
  <c r="BN213" i="1"/>
  <c r="AZ213" i="1" s="1"/>
  <c r="BN212" i="1"/>
  <c r="AZ212" i="1" s="1"/>
  <c r="BN211" i="1"/>
  <c r="AZ211" i="1" s="1"/>
  <c r="BN210" i="1"/>
  <c r="AZ210" i="1" s="1"/>
  <c r="BN209" i="1"/>
  <c r="AZ209" i="1" s="1"/>
  <c r="BN208" i="1"/>
  <c r="AZ208" i="1" s="1"/>
  <c r="BN207" i="1"/>
  <c r="AZ207" i="1" s="1"/>
  <c r="BN206" i="1"/>
  <c r="AZ206" i="1" s="1"/>
  <c r="BN205" i="1"/>
  <c r="AZ205" i="1" s="1"/>
  <c r="BN204" i="1"/>
  <c r="AZ204" i="1" s="1"/>
  <c r="BN203" i="1"/>
  <c r="AZ203" i="1" s="1"/>
  <c r="BN202" i="1"/>
  <c r="AZ202" i="1" s="1"/>
  <c r="BN201" i="1"/>
  <c r="AZ201" i="1" s="1"/>
  <c r="BN200" i="1"/>
  <c r="AZ200" i="1" s="1"/>
  <c r="BN199" i="1"/>
  <c r="AZ199" i="1" s="1"/>
  <c r="BN198" i="1"/>
  <c r="AZ198" i="1" s="1"/>
  <c r="BN197" i="1"/>
  <c r="AZ197" i="1" s="1"/>
  <c r="BN196" i="1"/>
  <c r="AZ196" i="1" s="1"/>
  <c r="BN195" i="1"/>
  <c r="AZ195" i="1" s="1"/>
  <c r="BN194" i="1"/>
  <c r="AZ194" i="1" s="1"/>
  <c r="BN193" i="1"/>
  <c r="AZ193" i="1" s="1"/>
  <c r="BN192" i="1"/>
  <c r="AZ192" i="1" s="1"/>
  <c r="BN191" i="1"/>
  <c r="AZ191" i="1" s="1"/>
  <c r="BN190" i="1"/>
  <c r="AZ190" i="1" s="1"/>
  <c r="BN189" i="1"/>
  <c r="AZ189" i="1" s="1"/>
  <c r="BN188" i="1"/>
  <c r="AZ188" i="1" s="1"/>
  <c r="BN187" i="1"/>
  <c r="AZ187" i="1" s="1"/>
  <c r="BN186" i="1"/>
  <c r="AZ186" i="1" s="1"/>
  <c r="BN185" i="1"/>
  <c r="AZ185" i="1" s="1"/>
  <c r="BN184" i="1"/>
  <c r="AZ184" i="1" s="1"/>
  <c r="BN183" i="1"/>
  <c r="AZ183" i="1" s="1"/>
  <c r="BN182" i="1"/>
  <c r="AZ182" i="1" s="1"/>
  <c r="BN181" i="1"/>
  <c r="AZ181" i="1" s="1"/>
  <c r="BN180" i="1"/>
  <c r="AZ180" i="1" s="1"/>
  <c r="BN179" i="1"/>
  <c r="AZ179" i="1" s="1"/>
  <c r="BN178" i="1"/>
  <c r="AZ178" i="1" s="1"/>
  <c r="BN177" i="1"/>
  <c r="AZ177" i="1" s="1"/>
  <c r="BN176" i="1"/>
  <c r="AZ176" i="1" s="1"/>
  <c r="BN175" i="1"/>
  <c r="AZ175" i="1" s="1"/>
  <c r="BN174" i="1"/>
  <c r="AZ174" i="1" s="1"/>
  <c r="BN173" i="1"/>
  <c r="AZ173" i="1" s="1"/>
  <c r="BN172" i="1"/>
  <c r="AZ172" i="1" s="1"/>
  <c r="BN171" i="1"/>
  <c r="AZ171" i="1" s="1"/>
  <c r="BN170" i="1"/>
  <c r="AZ170" i="1" s="1"/>
  <c r="BN169" i="1"/>
  <c r="AZ169" i="1" s="1"/>
  <c r="BN168" i="1"/>
  <c r="AZ168" i="1" s="1"/>
  <c r="BN167" i="1"/>
  <c r="AZ167" i="1" s="1"/>
  <c r="BN166" i="1"/>
  <c r="AZ166" i="1" s="1"/>
  <c r="BN165" i="1"/>
  <c r="AZ165" i="1" s="1"/>
  <c r="BN164" i="1"/>
  <c r="AZ164" i="1" s="1"/>
  <c r="BN163" i="1"/>
  <c r="AZ163" i="1" s="1"/>
  <c r="BN162" i="1"/>
  <c r="AZ162" i="1" s="1"/>
  <c r="BN161" i="1"/>
  <c r="AZ161" i="1" s="1"/>
  <c r="BN160" i="1"/>
  <c r="AZ160" i="1" s="1"/>
  <c r="BN159" i="1"/>
  <c r="AZ159" i="1" s="1"/>
  <c r="BN158" i="1"/>
  <c r="AZ158" i="1" s="1"/>
  <c r="BN157" i="1"/>
  <c r="AZ157" i="1" s="1"/>
  <c r="BN156" i="1"/>
  <c r="AZ156" i="1" s="1"/>
  <c r="BN155" i="1"/>
  <c r="AZ155" i="1" s="1"/>
  <c r="BN154" i="1"/>
  <c r="AZ154" i="1" s="1"/>
  <c r="BN153" i="1"/>
  <c r="AZ153" i="1" s="1"/>
  <c r="BN152" i="1"/>
  <c r="AZ152" i="1" s="1"/>
  <c r="BN151" i="1"/>
  <c r="AZ151" i="1" s="1"/>
  <c r="BN150" i="1"/>
  <c r="AZ150" i="1" s="1"/>
  <c r="BN149" i="1"/>
  <c r="AZ149" i="1" s="1"/>
  <c r="BN148" i="1"/>
  <c r="AZ148" i="1" s="1"/>
  <c r="BN147" i="1"/>
  <c r="AZ147" i="1" s="1"/>
  <c r="BN146" i="1"/>
  <c r="AZ146" i="1" s="1"/>
  <c r="BN145" i="1"/>
  <c r="AZ145" i="1" s="1"/>
  <c r="BN144" i="1"/>
  <c r="AZ144" i="1" s="1"/>
  <c r="BN143" i="1"/>
  <c r="AZ143" i="1" s="1"/>
  <c r="BN142" i="1"/>
  <c r="AZ142" i="1" s="1"/>
  <c r="BN141" i="1"/>
  <c r="AZ141" i="1" s="1"/>
  <c r="BN140" i="1"/>
  <c r="AZ140" i="1" s="1"/>
  <c r="BN139" i="1"/>
  <c r="AZ139" i="1" s="1"/>
  <c r="BN138" i="1"/>
  <c r="AZ138" i="1" s="1"/>
  <c r="BN137" i="1"/>
  <c r="AZ137" i="1" s="1"/>
  <c r="BN136" i="1"/>
  <c r="AZ136" i="1" s="1"/>
  <c r="BN135" i="1"/>
  <c r="AZ135" i="1" s="1"/>
  <c r="BN134" i="1"/>
  <c r="AZ134" i="1" s="1"/>
  <c r="BN133" i="1"/>
  <c r="AZ133" i="1" s="1"/>
  <c r="BN132" i="1"/>
  <c r="AZ132" i="1" s="1"/>
  <c r="BN131" i="1"/>
  <c r="AZ131" i="1" s="1"/>
  <c r="BN130" i="1"/>
  <c r="AZ130" i="1" s="1"/>
  <c r="BN129" i="1"/>
  <c r="AZ129" i="1" s="1"/>
  <c r="BN128" i="1"/>
  <c r="AZ128" i="1" s="1"/>
  <c r="BN127" i="1"/>
  <c r="AZ127" i="1" s="1"/>
  <c r="BN126" i="1"/>
  <c r="AZ126" i="1" s="1"/>
  <c r="BN125" i="1"/>
  <c r="AZ125" i="1" s="1"/>
  <c r="BN124" i="1"/>
  <c r="AZ124" i="1" s="1"/>
  <c r="BN123" i="1"/>
  <c r="AZ123" i="1" s="1"/>
  <c r="BN122" i="1"/>
  <c r="AZ122" i="1" s="1"/>
  <c r="BN121" i="1"/>
  <c r="AZ121" i="1" s="1"/>
  <c r="BN120" i="1"/>
  <c r="AZ120" i="1" s="1"/>
  <c r="BN119" i="1"/>
  <c r="AZ119" i="1" s="1"/>
  <c r="BN118" i="1"/>
  <c r="AZ118" i="1" s="1"/>
  <c r="BN117" i="1"/>
  <c r="AZ117" i="1" s="1"/>
  <c r="BN116" i="1"/>
  <c r="AZ116" i="1" s="1"/>
  <c r="BN115" i="1"/>
  <c r="AZ115" i="1" s="1"/>
  <c r="BN114" i="1"/>
  <c r="AZ114" i="1" s="1"/>
  <c r="BN113" i="1"/>
  <c r="AZ113" i="1" s="1"/>
  <c r="BN112" i="1"/>
  <c r="AZ112" i="1" s="1"/>
  <c r="BN111" i="1"/>
  <c r="AZ111" i="1" s="1"/>
  <c r="BN110" i="1"/>
  <c r="AZ110" i="1" s="1"/>
  <c r="BN109" i="1"/>
  <c r="AZ109" i="1" s="1"/>
  <c r="BN108" i="1"/>
  <c r="AZ108" i="1" s="1"/>
  <c r="BN107" i="1"/>
  <c r="AZ107" i="1" s="1"/>
  <c r="BN106" i="1"/>
  <c r="AZ106" i="1" s="1"/>
  <c r="BN105" i="1"/>
  <c r="AZ105" i="1" s="1"/>
  <c r="BN104" i="1"/>
  <c r="AZ104" i="1" s="1"/>
  <c r="BN103" i="1"/>
  <c r="AZ103" i="1" s="1"/>
  <c r="BN102" i="1"/>
  <c r="AZ102" i="1" s="1"/>
  <c r="BN101" i="1"/>
  <c r="AZ101" i="1" s="1"/>
  <c r="BN100" i="1"/>
  <c r="AZ100" i="1" s="1"/>
  <c r="BN99" i="1"/>
  <c r="AZ99" i="1" s="1"/>
  <c r="BN98" i="1"/>
  <c r="AZ98" i="1" s="1"/>
  <c r="BN97" i="1"/>
  <c r="AZ97" i="1" s="1"/>
  <c r="BN96" i="1"/>
  <c r="AZ96" i="1" s="1"/>
  <c r="BN95" i="1"/>
  <c r="AZ95" i="1" s="1"/>
  <c r="BN94" i="1"/>
  <c r="AZ94" i="1" s="1"/>
  <c r="BN93" i="1"/>
  <c r="AZ93" i="1" s="1"/>
  <c r="BN92" i="1"/>
  <c r="AZ92" i="1" s="1"/>
  <c r="BN91" i="1"/>
  <c r="AZ91" i="1" s="1"/>
  <c r="BN90" i="1"/>
  <c r="AZ90" i="1" s="1"/>
  <c r="BN89" i="1"/>
  <c r="AZ89" i="1" s="1"/>
  <c r="BN88" i="1"/>
  <c r="AZ88" i="1" s="1"/>
  <c r="BN87" i="1"/>
  <c r="AZ87" i="1" s="1"/>
  <c r="BN86" i="1"/>
  <c r="AZ86" i="1" s="1"/>
  <c r="BN85" i="1"/>
  <c r="AZ85" i="1" s="1"/>
  <c r="BN84" i="1"/>
  <c r="AZ84" i="1" s="1"/>
  <c r="BN83" i="1"/>
  <c r="AZ83" i="1" s="1"/>
  <c r="BN82" i="1"/>
  <c r="AZ82" i="1" s="1"/>
  <c r="BN81" i="1"/>
  <c r="AZ81" i="1" s="1"/>
  <c r="BN80" i="1"/>
  <c r="AZ80" i="1" s="1"/>
  <c r="BN79" i="1"/>
  <c r="AZ79" i="1" s="1"/>
  <c r="BN78" i="1"/>
  <c r="AZ78" i="1" s="1"/>
  <c r="BN77" i="1"/>
  <c r="AZ77" i="1" s="1"/>
  <c r="BN76" i="1"/>
  <c r="AZ76" i="1" s="1"/>
  <c r="BN75" i="1"/>
  <c r="AZ75" i="1" s="1"/>
  <c r="BN74" i="1"/>
  <c r="AZ74" i="1" s="1"/>
  <c r="BN73" i="1"/>
  <c r="AZ73" i="1" s="1"/>
  <c r="BN72" i="1"/>
  <c r="AZ72" i="1" s="1"/>
  <c r="BN71" i="1"/>
  <c r="AZ71" i="1" s="1"/>
  <c r="BN70" i="1"/>
  <c r="AZ70" i="1" s="1"/>
  <c r="BN69" i="1"/>
  <c r="AZ69" i="1" s="1"/>
  <c r="BN68" i="1"/>
  <c r="AZ68" i="1" s="1"/>
  <c r="BN67" i="1"/>
  <c r="AZ67" i="1" s="1"/>
  <c r="BN66" i="1"/>
  <c r="AZ66" i="1" s="1"/>
  <c r="BN65" i="1"/>
  <c r="AZ65" i="1" s="1"/>
  <c r="BN64" i="1"/>
  <c r="AZ64" i="1" s="1"/>
  <c r="BN63" i="1"/>
  <c r="AZ63" i="1" s="1"/>
  <c r="BN62" i="1"/>
  <c r="AZ62" i="1" s="1"/>
  <c r="BN61" i="1"/>
  <c r="AZ61" i="1" s="1"/>
  <c r="BN60" i="1"/>
  <c r="AZ60" i="1" s="1"/>
  <c r="BN59" i="1"/>
  <c r="AZ59" i="1" s="1"/>
  <c r="BN58" i="1"/>
  <c r="AZ58" i="1" s="1"/>
  <c r="BN57" i="1"/>
  <c r="AZ57" i="1" s="1"/>
  <c r="BN56" i="1"/>
  <c r="AZ56" i="1" s="1"/>
  <c r="BN55" i="1"/>
  <c r="AZ55" i="1" s="1"/>
  <c r="BN54" i="1"/>
  <c r="AZ54" i="1" s="1"/>
  <c r="BN53" i="1"/>
  <c r="AZ53" i="1" s="1"/>
  <c r="BN52" i="1"/>
  <c r="AZ52" i="1" s="1"/>
  <c r="BN51" i="1"/>
  <c r="AZ51" i="1" s="1"/>
  <c r="BN50" i="1"/>
  <c r="AZ50" i="1" s="1"/>
  <c r="BN49" i="1"/>
  <c r="AZ49" i="1" s="1"/>
  <c r="BN48" i="1"/>
  <c r="AZ48" i="1" s="1"/>
  <c r="BN47" i="1"/>
  <c r="AZ47" i="1" s="1"/>
  <c r="BN46" i="1"/>
  <c r="AZ46" i="1" s="1"/>
  <c r="BN45" i="1"/>
  <c r="AZ45" i="1" s="1"/>
  <c r="BN44" i="1"/>
  <c r="AZ44" i="1" s="1"/>
  <c r="BN43" i="1"/>
  <c r="AZ43" i="1" s="1"/>
  <c r="BN42" i="1"/>
  <c r="AZ42" i="1" s="1"/>
  <c r="BN41" i="1"/>
  <c r="AZ41" i="1" s="1"/>
  <c r="BN40" i="1"/>
  <c r="AZ40" i="1" s="1"/>
  <c r="BN39" i="1"/>
  <c r="AZ39" i="1" s="1"/>
  <c r="BN38" i="1"/>
  <c r="AZ38" i="1" s="1"/>
  <c r="BN37" i="1"/>
  <c r="AZ37" i="1" s="1"/>
  <c r="BN36" i="1"/>
  <c r="AZ36" i="1" s="1"/>
  <c r="BN35" i="1"/>
  <c r="AZ35" i="1" s="1"/>
  <c r="BN34" i="1"/>
  <c r="AZ34" i="1" s="1"/>
  <c r="BN33" i="1"/>
  <c r="AZ33" i="1" s="1"/>
  <c r="BN32" i="1"/>
  <c r="AZ32" i="1" s="1"/>
  <c r="BN31" i="1"/>
  <c r="AZ31" i="1" s="1"/>
  <c r="BN30" i="1"/>
  <c r="AZ30" i="1" s="1"/>
  <c r="BN29" i="1"/>
  <c r="AZ29" i="1" s="1"/>
  <c r="BN28" i="1"/>
  <c r="AZ28" i="1" s="1"/>
  <c r="BN27" i="1"/>
  <c r="AZ27" i="1" s="1"/>
  <c r="BN26" i="1"/>
  <c r="AZ26" i="1" s="1"/>
  <c r="BN25" i="1"/>
  <c r="AZ25" i="1" s="1"/>
  <c r="BN24" i="1"/>
  <c r="AZ24" i="1" s="1"/>
  <c r="BN23" i="1"/>
  <c r="AZ23" i="1" s="1"/>
  <c r="BN22" i="1"/>
  <c r="AZ22" i="1" s="1"/>
  <c r="BN21" i="1"/>
  <c r="AZ21" i="1" s="1"/>
  <c r="BN20" i="1"/>
  <c r="AZ20" i="1" s="1"/>
  <c r="BN19" i="1"/>
  <c r="AZ19" i="1" s="1"/>
  <c r="BN18" i="1"/>
  <c r="AZ18" i="1" s="1"/>
  <c r="BN17" i="1"/>
  <c r="AZ17" i="1" s="1"/>
  <c r="BN16" i="1"/>
  <c r="AZ16" i="1" s="1"/>
  <c r="BN15" i="1"/>
  <c r="AZ15" i="1" s="1"/>
  <c r="BN14" i="1"/>
  <c r="AZ14" i="1" s="1"/>
  <c r="BN13" i="1"/>
  <c r="AZ13" i="1" s="1"/>
  <c r="BN12" i="1"/>
  <c r="AZ12" i="1" s="1"/>
  <c r="BN11" i="1"/>
  <c r="AZ11" i="1" s="1"/>
  <c r="BN10" i="1"/>
  <c r="AZ10" i="1" s="1"/>
  <c r="BN9" i="1"/>
  <c r="AZ9" i="1" s="1"/>
  <c r="BN8" i="1"/>
  <c r="AZ8" i="1" s="1"/>
  <c r="BN7" i="1"/>
  <c r="AZ7" i="1" s="1"/>
  <c r="BN6" i="1"/>
  <c r="AZ6" i="1" s="1"/>
  <c r="BN5" i="1"/>
  <c r="AZ5" i="1" s="1"/>
  <c r="BN2" i="1"/>
  <c r="BO4" i="1"/>
  <c r="BN3" i="1"/>
  <c r="BO16" i="1"/>
  <c r="BO11" i="1"/>
  <c r="BO13" i="1"/>
  <c r="BP17" i="1"/>
  <c r="BP9" i="1"/>
  <c r="BO23" i="1"/>
  <c r="BO22" i="1"/>
  <c r="BO19" i="1"/>
  <c r="BO10" i="1"/>
  <c r="BO12" i="1"/>
  <c r="BQ6" i="1"/>
  <c r="BP21" i="1"/>
  <c r="BR19" i="1"/>
  <c r="BP5" i="1"/>
  <c r="BP6" i="1"/>
  <c r="BR16" i="1"/>
  <c r="BQ7" i="1"/>
  <c r="BP13" i="1"/>
  <c r="BR11" i="1"/>
  <c r="BQ9" i="1"/>
  <c r="BP8" i="1"/>
  <c r="BO6" i="1"/>
  <c r="BO5" i="1"/>
  <c r="BR8" i="1"/>
  <c r="BR20" i="1"/>
  <c r="BP7" i="1"/>
  <c r="BQ10" i="1"/>
  <c r="BO21" i="1"/>
  <c r="BQ8" i="1"/>
  <c r="BQ14" i="1"/>
  <c r="BR9" i="1"/>
  <c r="BQ18" i="1"/>
  <c r="BR5" i="1"/>
  <c r="BR12" i="1"/>
  <c r="BO15" i="1"/>
  <c r="BO17" i="1"/>
  <c r="BO7" i="1"/>
  <c r="BR6" i="1"/>
  <c r="BO14" i="1"/>
  <c r="BR23" i="1"/>
  <c r="BQ22" i="1"/>
  <c r="BO18" i="1"/>
  <c r="BO8" i="1"/>
  <c r="BR7" i="1"/>
  <c r="BQ5" i="1"/>
  <c r="BR15" i="1"/>
  <c r="BO20" i="1"/>
  <c r="AH7" i="1"/>
  <c r="Q6" i="1"/>
  <c r="R6" i="1"/>
  <c r="I284" i="4" l="1"/>
  <c r="AH4" i="1"/>
  <c r="BU10" i="1"/>
  <c r="BU14" i="1"/>
  <c r="BU22" i="1"/>
  <c r="BV11" i="1"/>
  <c r="BV15" i="1"/>
  <c r="BV19" i="1"/>
  <c r="BV23" i="1"/>
  <c r="BV12" i="1"/>
  <c r="BV16" i="1"/>
  <c r="BV20" i="1"/>
  <c r="BU18" i="1"/>
  <c r="BT13" i="1"/>
  <c r="BT17" i="1"/>
  <c r="BT21" i="1"/>
  <c r="BU5" i="1"/>
  <c r="BV5" i="1"/>
  <c r="BT6" i="1"/>
  <c r="BT8" i="1"/>
  <c r="BT9" i="1"/>
  <c r="BU6" i="1"/>
  <c r="BU7" i="1"/>
  <c r="BU8" i="1"/>
  <c r="BU9" i="1"/>
  <c r="BT7" i="1"/>
  <c r="BV6" i="1"/>
  <c r="BV7" i="1"/>
  <c r="BV8" i="1"/>
  <c r="BV9" i="1"/>
  <c r="BT5" i="1"/>
  <c r="BS6" i="1"/>
  <c r="BS12" i="1"/>
  <c r="BS16" i="1"/>
  <c r="BS20" i="1"/>
  <c r="BS7" i="1"/>
  <c r="BS13" i="1"/>
  <c r="BS17" i="1"/>
  <c r="BS21" i="1"/>
  <c r="BS8" i="1"/>
  <c r="BS10" i="1"/>
  <c r="BS14" i="1"/>
  <c r="BS18" i="1"/>
  <c r="BS22" i="1"/>
  <c r="BS5" i="1"/>
  <c r="BS9" i="1"/>
  <c r="BS11" i="1"/>
  <c r="BS15" i="1"/>
  <c r="BS19" i="1"/>
  <c r="BS23" i="1"/>
  <c r="BN4" i="1"/>
  <c r="BP11" i="1"/>
  <c r="BR14" i="1"/>
  <c r="BQ11" i="1"/>
  <c r="BP14" i="1"/>
  <c r="BQ17" i="1"/>
  <c r="BQ21" i="1"/>
  <c r="BQ23" i="1"/>
  <c r="BP22" i="1"/>
  <c r="BR13" i="1"/>
  <c r="BP10" i="1"/>
  <c r="BQ20" i="1"/>
  <c r="BP18" i="1"/>
  <c r="BP15" i="1"/>
  <c r="BQ15" i="1"/>
  <c r="BP20" i="1"/>
  <c r="BR21" i="1"/>
  <c r="BQ13" i="1"/>
  <c r="BP19" i="1"/>
  <c r="BQ16" i="1"/>
  <c r="BQ19" i="1"/>
  <c r="BR10" i="1"/>
  <c r="BQ12" i="1"/>
  <c r="BP23" i="1"/>
  <c r="BP12" i="1"/>
  <c r="BR22" i="1"/>
  <c r="BP16" i="1"/>
  <c r="BR18" i="1"/>
  <c r="BR17" i="1"/>
  <c r="AH8" i="1"/>
  <c r="BU23" i="1" l="1"/>
  <c r="BU15" i="1"/>
  <c r="BT23" i="1"/>
  <c r="BV17" i="1"/>
  <c r="BU12" i="1"/>
  <c r="BT20" i="1"/>
  <c r="BV14" i="1"/>
  <c r="BT14" i="1"/>
  <c r="BV18" i="1"/>
  <c r="BU11" i="1"/>
  <c r="BV22" i="1"/>
  <c r="BT12" i="1"/>
  <c r="BT22" i="1"/>
  <c r="BV21" i="1"/>
  <c r="BU16" i="1"/>
  <c r="BT11" i="1"/>
  <c r="BU13" i="1"/>
  <c r="BU19" i="1"/>
  <c r="BU20" i="1"/>
  <c r="BT15" i="1"/>
  <c r="BU17" i="1"/>
  <c r="BT18" i="1"/>
  <c r="BT10" i="1"/>
  <c r="BT19" i="1"/>
  <c r="BV13" i="1"/>
  <c r="BU21" i="1"/>
  <c r="BT16" i="1"/>
  <c r="BV10" i="1"/>
  <c r="AZ4" i="1"/>
  <c r="BS4" i="1"/>
  <c r="BS3" i="1" l="1"/>
  <c r="BS1" i="1" s="1"/>
  <c r="AH5" i="1" s="1"/>
  <c r="AE31" i="1"/>
  <c r="AE32" i="1" s="1"/>
  <c r="AE33" i="1" s="1"/>
  <c r="AE34" i="1" s="1"/>
  <c r="AE35" i="1" s="1"/>
  <c r="AE36" i="1" s="1"/>
  <c r="AE37" i="1" s="1"/>
  <c r="AE38" i="1" s="1"/>
  <c r="AE39" i="1" s="1"/>
  <c r="AE40" i="1" s="1"/>
  <c r="AE41" i="1" s="1"/>
  <c r="AE42" i="1" s="1"/>
  <c r="AE43" i="1" s="1"/>
  <c r="AE44" i="1" s="1"/>
  <c r="AE45" i="1" s="1"/>
  <c r="AE46" i="1" s="1"/>
  <c r="AE47" i="1" s="1"/>
  <c r="AE48" i="1" s="1"/>
  <c r="AE49" i="1" s="1"/>
  <c r="AE50" i="1" s="1"/>
  <c r="AE51" i="1" s="1"/>
  <c r="AE52" i="1" s="1"/>
  <c r="AE53" i="1" s="1"/>
  <c r="AE54" i="1" s="1"/>
  <c r="AE55" i="1" s="1"/>
  <c r="AE56" i="1" s="1"/>
  <c r="AE57" i="1" s="1"/>
  <c r="AE58" i="1" s="1"/>
  <c r="AE59" i="1" s="1"/>
  <c r="AE60" i="1" s="1"/>
  <c r="AE61" i="1" s="1"/>
  <c r="AE62" i="1" s="1"/>
  <c r="AE63" i="1" s="1"/>
  <c r="AE64" i="1" s="1"/>
  <c r="AE65" i="1" s="1"/>
  <c r="AE66" i="1" s="1"/>
  <c r="AE67" i="1" s="1"/>
  <c r="AE68" i="1" s="1"/>
  <c r="AE69" i="1" s="1"/>
  <c r="AE70" i="1" s="1"/>
  <c r="AE71" i="1" s="1"/>
  <c r="AE72" i="1" s="1"/>
  <c r="AE73" i="1" s="1"/>
  <c r="AE74" i="1" s="1"/>
  <c r="AE75" i="1" s="1"/>
  <c r="AE76" i="1" s="1"/>
  <c r="AE77" i="1" s="1"/>
  <c r="AE78" i="1" s="1"/>
  <c r="AE79" i="1" s="1"/>
  <c r="AE80" i="1" s="1"/>
  <c r="AE81" i="1" s="1"/>
  <c r="AE82" i="1" s="1"/>
  <c r="AE83" i="1" s="1"/>
  <c r="AE84" i="1" s="1"/>
  <c r="AE85" i="1" s="1"/>
  <c r="AE86" i="1" s="1"/>
  <c r="AE87" i="1" s="1"/>
  <c r="AE88" i="1" s="1"/>
  <c r="AE89" i="1" s="1"/>
  <c r="AE90" i="1" s="1"/>
  <c r="AE91" i="1" s="1"/>
  <c r="AE92" i="1" s="1"/>
  <c r="AE93" i="1" s="1"/>
  <c r="AE94" i="1" s="1"/>
  <c r="AE95" i="1" s="1"/>
  <c r="AE96" i="1" s="1"/>
  <c r="AE97" i="1" s="1"/>
  <c r="AE98" i="1" s="1"/>
  <c r="AE99" i="1" s="1"/>
  <c r="AE100" i="1" s="1"/>
  <c r="AE101" i="1" s="1"/>
  <c r="AE102" i="1" s="1"/>
  <c r="AE103" i="1" s="1"/>
  <c r="AE104" i="1" s="1"/>
  <c r="AE105" i="1" s="1"/>
  <c r="AE106" i="1" s="1"/>
  <c r="AE107" i="1" s="1"/>
  <c r="AE108" i="1" s="1"/>
  <c r="AE109" i="1" s="1"/>
  <c r="AE110" i="1" s="1"/>
  <c r="AE111" i="1" s="1"/>
  <c r="AE112" i="1" s="1"/>
  <c r="AE113" i="1" s="1"/>
  <c r="AE114" i="1" s="1"/>
  <c r="AE115" i="1" s="1"/>
  <c r="AE116" i="1" s="1"/>
  <c r="AE117" i="1" s="1"/>
  <c r="AE118" i="1" s="1"/>
  <c r="AE119" i="1" s="1"/>
  <c r="AE120" i="1" s="1"/>
  <c r="AE121" i="1" s="1"/>
  <c r="AE122" i="1" s="1"/>
  <c r="AE123" i="1" s="1"/>
  <c r="AE124" i="1" s="1"/>
  <c r="AE125" i="1" s="1"/>
  <c r="AE126" i="1" s="1"/>
  <c r="AE127" i="1" s="1"/>
  <c r="AE128" i="1" s="1"/>
  <c r="AE129" i="1" s="1"/>
  <c r="AE130" i="1" s="1"/>
  <c r="AE131" i="1" s="1"/>
  <c r="AE132" i="1" s="1"/>
  <c r="AE133" i="1" s="1"/>
  <c r="AE134" i="1" s="1"/>
  <c r="AE135" i="1" s="1"/>
  <c r="AE136" i="1" s="1"/>
  <c r="AE137" i="1" s="1"/>
  <c r="AE138" i="1" s="1"/>
  <c r="AE139" i="1" s="1"/>
  <c r="AE140" i="1" s="1"/>
  <c r="AE141" i="1" s="1"/>
  <c r="AE142" i="1" s="1"/>
  <c r="AE143" i="1" s="1"/>
  <c r="AE144" i="1" s="1"/>
  <c r="AE145" i="1" s="1"/>
  <c r="AE146" i="1" s="1"/>
  <c r="AE147" i="1" s="1"/>
  <c r="AE148" i="1" s="1"/>
  <c r="AE149" i="1" s="1"/>
  <c r="AE150" i="1" s="1"/>
  <c r="AE151" i="1" s="1"/>
  <c r="AE152" i="1" s="1"/>
  <c r="AE153" i="1" s="1"/>
  <c r="AE154" i="1" s="1"/>
  <c r="AE155" i="1" s="1"/>
  <c r="AE156" i="1" s="1"/>
  <c r="AE157" i="1" s="1"/>
  <c r="AE158" i="1" s="1"/>
  <c r="AE159" i="1" s="1"/>
  <c r="AE160" i="1" s="1"/>
  <c r="AE161" i="1" s="1"/>
  <c r="AE162" i="1" s="1"/>
  <c r="AE163" i="1" s="1"/>
  <c r="AE164" i="1" s="1"/>
  <c r="AE165" i="1" s="1"/>
  <c r="AE166" i="1" s="1"/>
  <c r="AE167" i="1" s="1"/>
  <c r="AE168" i="1" s="1"/>
  <c r="AE169" i="1" s="1"/>
  <c r="AE170" i="1" s="1"/>
  <c r="AE171" i="1" s="1"/>
  <c r="AE172" i="1" s="1"/>
  <c r="AE173" i="1" s="1"/>
  <c r="AE174" i="1" s="1"/>
  <c r="AE175" i="1" s="1"/>
  <c r="AE176" i="1" s="1"/>
  <c r="AE177" i="1" s="1"/>
  <c r="AE178" i="1" s="1"/>
  <c r="AE179" i="1" s="1"/>
  <c r="AE180" i="1" s="1"/>
  <c r="AE181" i="1" s="1"/>
  <c r="AE182" i="1" s="1"/>
  <c r="AE183" i="1" s="1"/>
  <c r="AE184" i="1" s="1"/>
  <c r="AE185" i="1" s="1"/>
  <c r="AE186" i="1" s="1"/>
  <c r="AE187" i="1" s="1"/>
  <c r="AE188" i="1" s="1"/>
  <c r="AE189" i="1" s="1"/>
  <c r="AE190" i="1" s="1"/>
  <c r="AE191" i="1" s="1"/>
  <c r="AE192" i="1" s="1"/>
  <c r="AE193" i="1" s="1"/>
  <c r="AE194" i="1" s="1"/>
  <c r="AE195" i="1" s="1"/>
  <c r="AE196" i="1" s="1"/>
  <c r="AE197" i="1" s="1"/>
  <c r="AE198" i="1" s="1"/>
  <c r="AE199" i="1" s="1"/>
  <c r="AE200" i="1" s="1"/>
  <c r="AE201" i="1" s="1"/>
  <c r="AE202" i="1" s="1"/>
  <c r="AE203" i="1" s="1"/>
  <c r="AE204" i="1" s="1"/>
  <c r="AE205" i="1" s="1"/>
  <c r="AE206" i="1" s="1"/>
  <c r="AE207" i="1" s="1"/>
  <c r="AE208" i="1" s="1"/>
  <c r="AE209" i="1" s="1"/>
  <c r="AE210" i="1" s="1"/>
  <c r="AE211" i="1" s="1"/>
  <c r="AE212" i="1" s="1"/>
  <c r="AE213" i="1" s="1"/>
  <c r="AE214" i="1" s="1"/>
  <c r="AE215" i="1" s="1"/>
  <c r="AE216" i="1" s="1"/>
  <c r="AE217" i="1" s="1"/>
  <c r="AE218" i="1" s="1"/>
  <c r="AE219" i="1" s="1"/>
  <c r="AE220" i="1" s="1"/>
  <c r="AE221" i="1" s="1"/>
  <c r="AE222" i="1" s="1"/>
  <c r="AE223" i="1" s="1"/>
  <c r="AE224" i="1" s="1"/>
  <c r="AE225" i="1" s="1"/>
  <c r="AE226" i="1" s="1"/>
  <c r="AE227" i="1" s="1"/>
  <c r="AE228" i="1" s="1"/>
  <c r="AE229" i="1" s="1"/>
  <c r="AE230" i="1" s="1"/>
  <c r="AE231" i="1" s="1"/>
  <c r="AE232" i="1" s="1"/>
  <c r="AE233" i="1" s="1"/>
  <c r="AE234" i="1" s="1"/>
  <c r="AE235" i="1" s="1"/>
  <c r="AE236" i="1" s="1"/>
  <c r="AE237" i="1" s="1"/>
  <c r="AE238" i="1" s="1"/>
  <c r="AE239" i="1" s="1"/>
  <c r="AE240" i="1" s="1"/>
  <c r="AE241" i="1" s="1"/>
  <c r="AE242" i="1" s="1"/>
  <c r="AE243" i="1" s="1"/>
  <c r="AE244" i="1" s="1"/>
  <c r="AE245" i="1" s="1"/>
  <c r="AE246" i="1" s="1"/>
  <c r="AE247" i="1" s="1"/>
  <c r="AE248" i="1" s="1"/>
  <c r="AE249" i="1" s="1"/>
  <c r="AE250" i="1" s="1"/>
  <c r="AE251" i="1" s="1"/>
  <c r="AE252" i="1" s="1"/>
  <c r="AE253" i="1" s="1"/>
  <c r="AE254" i="1" s="1"/>
  <c r="AE255" i="1" s="1"/>
  <c r="AE256" i="1" s="1"/>
  <c r="AE257" i="1" s="1"/>
  <c r="AE258" i="1" s="1"/>
  <c r="AE259" i="1" s="1"/>
  <c r="AE260" i="1" s="1"/>
  <c r="AE261" i="1" s="1"/>
  <c r="AE262" i="1" s="1"/>
  <c r="AE263" i="1" s="1"/>
  <c r="AE264" i="1" s="1"/>
  <c r="AE265" i="1" s="1"/>
  <c r="AE266" i="1" s="1"/>
  <c r="AE267" i="1" s="1"/>
  <c r="AE268" i="1" s="1"/>
  <c r="AE269" i="1" s="1"/>
  <c r="AE270" i="1" s="1"/>
  <c r="AE271" i="1" s="1"/>
  <c r="AE272" i="1" s="1"/>
  <c r="AE273" i="1" s="1"/>
  <c r="AE274" i="1" s="1"/>
  <c r="AE275" i="1" s="1"/>
  <c r="AE276" i="1" s="1"/>
  <c r="AE277" i="1" s="1"/>
  <c r="AE278" i="1" s="1"/>
  <c r="AE279" i="1" s="1"/>
  <c r="AE280" i="1" s="1"/>
  <c r="AE281" i="1" s="1"/>
  <c r="AE282" i="1" s="1"/>
  <c r="AE283" i="1" s="1"/>
  <c r="AE284" i="1" s="1"/>
  <c r="AE285" i="1" s="1"/>
  <c r="AE286" i="1" s="1"/>
  <c r="AE287" i="1" s="1"/>
  <c r="AE288" i="1" s="1"/>
  <c r="AE289" i="1" s="1"/>
  <c r="AE290" i="1" s="1"/>
  <c r="AE291" i="1" s="1"/>
  <c r="AE292" i="1" s="1"/>
  <c r="AE293" i="1" s="1"/>
  <c r="AE294" i="1" s="1"/>
  <c r="AE295" i="1" s="1"/>
  <c r="AE296" i="1" s="1"/>
  <c r="AE297" i="1" s="1"/>
  <c r="AE298" i="1" s="1"/>
  <c r="AE299" i="1" s="1"/>
  <c r="AE300" i="1" s="1"/>
  <c r="AE301" i="1" s="1"/>
  <c r="AE302" i="1" s="1"/>
  <c r="AE303" i="1" s="1"/>
  <c r="AE304" i="1" s="1"/>
  <c r="AE305" i="1" s="1"/>
  <c r="AE306" i="1" s="1"/>
  <c r="AE307" i="1" s="1"/>
  <c r="AE308" i="1" s="1"/>
  <c r="AE309" i="1" s="1"/>
  <c r="AE310" i="1" s="1"/>
  <c r="AE311" i="1" s="1"/>
  <c r="AE312" i="1" s="1"/>
  <c r="AE313" i="1" s="1"/>
  <c r="AE314" i="1" s="1"/>
  <c r="AE315" i="1" s="1"/>
  <c r="AE316" i="1" s="1"/>
  <c r="AE317" i="1" s="1"/>
  <c r="AE318" i="1" s="1"/>
  <c r="AE319" i="1" s="1"/>
  <c r="AE320" i="1" s="1"/>
  <c r="AE321" i="1" s="1"/>
  <c r="AE322" i="1" s="1"/>
  <c r="AE323" i="1" s="1"/>
  <c r="AE324" i="1" s="1"/>
  <c r="AE325" i="1" s="1"/>
  <c r="AE326" i="1" s="1"/>
  <c r="AE327" i="1" s="1"/>
  <c r="AE328" i="1" s="1"/>
  <c r="AE329" i="1" s="1"/>
  <c r="AE330" i="1" s="1"/>
  <c r="AE331" i="1" s="1"/>
  <c r="AE332" i="1" s="1"/>
  <c r="AE333" i="1" s="1"/>
  <c r="AE334" i="1" s="1"/>
  <c r="AE335" i="1" s="1"/>
  <c r="AE336" i="1" s="1"/>
  <c r="AE337" i="1" s="1"/>
  <c r="AE338" i="1" s="1"/>
  <c r="AE339" i="1" s="1"/>
  <c r="AE340" i="1" s="1"/>
  <c r="AE341" i="1" s="1"/>
  <c r="AE342" i="1" s="1"/>
  <c r="AE343" i="1" s="1"/>
  <c r="AE344" i="1" s="1"/>
  <c r="AE345" i="1" s="1"/>
  <c r="AE346" i="1" s="1"/>
  <c r="AI14" i="1" l="1"/>
  <c r="AH14" i="1"/>
  <c r="AW2125" i="1" l="1"/>
  <c r="AW2124" i="1"/>
  <c r="AW2123" i="1"/>
  <c r="AW2122" i="1"/>
  <c r="AW2121" i="1"/>
  <c r="AW2120" i="1"/>
  <c r="AW2119" i="1"/>
  <c r="AW2118" i="1"/>
  <c r="AW2117" i="1"/>
  <c r="AW2116" i="1"/>
  <c r="AW2115" i="1"/>
  <c r="AW2114" i="1"/>
  <c r="AW2113" i="1"/>
  <c r="AW2112" i="1"/>
  <c r="AW2111" i="1"/>
  <c r="AW2110" i="1"/>
  <c r="AW2109" i="1"/>
  <c r="AW2108" i="1"/>
  <c r="AW2107" i="1"/>
  <c r="AW2106" i="1"/>
  <c r="AW2105" i="1"/>
  <c r="AW2104" i="1"/>
  <c r="AW2103" i="1"/>
  <c r="AW2102" i="1"/>
  <c r="AW2101" i="1"/>
  <c r="AW2100" i="1"/>
  <c r="AW2099" i="1"/>
  <c r="AW2098" i="1"/>
  <c r="AW2097" i="1"/>
  <c r="AW2096" i="1"/>
  <c r="AW2095" i="1"/>
  <c r="AW2094" i="1"/>
  <c r="AW2093" i="1"/>
  <c r="AW2092" i="1"/>
  <c r="AW2091" i="1"/>
  <c r="AW2090" i="1"/>
  <c r="AW2089" i="1"/>
  <c r="AW2088" i="1"/>
  <c r="AW2087" i="1"/>
  <c r="AW2086" i="1"/>
  <c r="AW2085" i="1"/>
  <c r="AW2084" i="1"/>
  <c r="AW2083" i="1"/>
  <c r="AW2082" i="1"/>
  <c r="AW2081" i="1"/>
  <c r="AW2080" i="1"/>
  <c r="AW2079" i="1"/>
  <c r="AW2078" i="1"/>
  <c r="AW2077" i="1"/>
  <c r="AW2076" i="1"/>
  <c r="AW2075" i="1"/>
  <c r="AW2074" i="1"/>
  <c r="AW2073" i="1"/>
  <c r="AW2072" i="1"/>
  <c r="AW2071" i="1"/>
  <c r="AW2070" i="1"/>
  <c r="AW2069" i="1"/>
  <c r="AW2068" i="1"/>
  <c r="AW2067" i="1"/>
  <c r="AW2066" i="1"/>
  <c r="AW2065" i="1"/>
  <c r="AW2064" i="1"/>
  <c r="AW2063" i="1"/>
  <c r="AW2062" i="1"/>
  <c r="AW2061" i="1"/>
  <c r="AW2060" i="1"/>
  <c r="AW2059" i="1"/>
  <c r="AW2058" i="1"/>
  <c r="AW2057" i="1"/>
  <c r="AW2056" i="1"/>
  <c r="AW2055" i="1"/>
  <c r="AW2054" i="1"/>
  <c r="AW2053" i="1"/>
  <c r="AW2052" i="1"/>
  <c r="AW2051" i="1"/>
  <c r="AW2050" i="1"/>
  <c r="AW2049" i="1"/>
  <c r="AW2048" i="1"/>
  <c r="AW2047" i="1"/>
  <c r="AW2046" i="1"/>
  <c r="AW2045" i="1"/>
  <c r="AW2044" i="1"/>
  <c r="AW2043" i="1"/>
  <c r="AW2042" i="1"/>
  <c r="AW2041" i="1"/>
  <c r="AW2040" i="1"/>
  <c r="AW2039" i="1"/>
  <c r="AW2038" i="1"/>
  <c r="AW2037" i="1"/>
  <c r="AW2036" i="1"/>
  <c r="AW2035" i="1"/>
  <c r="AW2034" i="1"/>
  <c r="AW2033" i="1"/>
  <c r="AW2032" i="1"/>
  <c r="AW2031" i="1"/>
  <c r="AW2030" i="1"/>
  <c r="AW2029" i="1"/>
  <c r="AW2028" i="1"/>
  <c r="AW2027" i="1"/>
  <c r="AW2026" i="1"/>
  <c r="AW2025" i="1"/>
  <c r="AW2024" i="1"/>
  <c r="AW2023" i="1"/>
  <c r="AW2022" i="1"/>
  <c r="AW2021" i="1"/>
  <c r="AW2020" i="1"/>
  <c r="AW2019" i="1"/>
  <c r="AW2018" i="1"/>
  <c r="AW2017" i="1"/>
  <c r="AW2016" i="1"/>
  <c r="AW2015" i="1"/>
  <c r="AW2014" i="1"/>
  <c r="AW2013" i="1"/>
  <c r="AW2012" i="1"/>
  <c r="AW2011" i="1"/>
  <c r="AW2010" i="1"/>
  <c r="AW2009" i="1"/>
  <c r="AW2008" i="1"/>
  <c r="AW2007" i="1"/>
  <c r="AW2006" i="1"/>
  <c r="AW2005" i="1"/>
  <c r="AW2004" i="1"/>
  <c r="AW2003" i="1"/>
  <c r="AW2002" i="1"/>
  <c r="AW2001" i="1"/>
  <c r="AW2000" i="1"/>
  <c r="AW1999" i="1"/>
  <c r="AW1998" i="1"/>
  <c r="AW1997" i="1"/>
  <c r="AW1996" i="1"/>
  <c r="AW1995" i="1"/>
  <c r="AW1994" i="1"/>
  <c r="AW1993" i="1"/>
  <c r="AW1992" i="1"/>
  <c r="AW1991" i="1"/>
  <c r="AW1990" i="1"/>
  <c r="AW1989" i="1"/>
  <c r="AW1988" i="1"/>
  <c r="AW1987" i="1"/>
  <c r="AW1986" i="1"/>
  <c r="AW1985" i="1"/>
  <c r="AW1984" i="1"/>
  <c r="AW1983" i="1"/>
  <c r="AW1982" i="1"/>
  <c r="AW1981" i="1"/>
  <c r="AW1980" i="1"/>
  <c r="AW1979" i="1"/>
  <c r="AW1978" i="1"/>
  <c r="AW1977" i="1"/>
  <c r="AW1976" i="1"/>
  <c r="AW1975" i="1"/>
  <c r="AW1974" i="1"/>
  <c r="AW1973" i="1"/>
  <c r="AW1972" i="1"/>
  <c r="AW1971" i="1"/>
  <c r="AW1970" i="1"/>
  <c r="AW1969" i="1"/>
  <c r="AW1968" i="1"/>
  <c r="AW1967" i="1"/>
  <c r="AW1966" i="1"/>
  <c r="AW1965" i="1"/>
  <c r="AW1964" i="1"/>
  <c r="AW1963" i="1"/>
  <c r="AW1962" i="1"/>
  <c r="AW1961" i="1"/>
  <c r="AW1960" i="1"/>
  <c r="AW1959" i="1"/>
  <c r="AW1958" i="1"/>
  <c r="AW1957" i="1"/>
  <c r="AW1956" i="1"/>
  <c r="AW1955" i="1"/>
  <c r="AW1954" i="1"/>
  <c r="AW1953" i="1"/>
  <c r="AW1952" i="1"/>
  <c r="AW1951" i="1"/>
  <c r="AW1950" i="1"/>
  <c r="AW1949" i="1"/>
  <c r="AW1948" i="1"/>
  <c r="AW1947" i="1"/>
  <c r="AW1946" i="1"/>
  <c r="AW1945" i="1"/>
  <c r="AW1944" i="1"/>
  <c r="AW1943" i="1"/>
  <c r="AW1942" i="1"/>
  <c r="AW1941" i="1"/>
  <c r="AW1940" i="1"/>
  <c r="AW1939" i="1"/>
  <c r="AW1938" i="1"/>
  <c r="AW1937" i="1"/>
  <c r="AW1936" i="1"/>
  <c r="AW1935" i="1"/>
  <c r="AW1934" i="1"/>
  <c r="AW1933" i="1"/>
  <c r="AW1932" i="1"/>
  <c r="AW1931" i="1"/>
  <c r="AW1930" i="1"/>
  <c r="AW1929" i="1"/>
  <c r="AW1928" i="1"/>
  <c r="AW1927" i="1"/>
  <c r="AW1926" i="1"/>
  <c r="AW1925" i="1"/>
  <c r="AW1924" i="1"/>
  <c r="AW1923" i="1"/>
  <c r="AW1922" i="1"/>
  <c r="AW1921" i="1"/>
  <c r="AW1920" i="1"/>
  <c r="AW1919" i="1"/>
  <c r="AW1918" i="1"/>
  <c r="AW1917" i="1"/>
  <c r="AW1916" i="1"/>
  <c r="AW1915" i="1"/>
  <c r="AW1914" i="1"/>
  <c r="AW1913" i="1"/>
  <c r="AW1912" i="1"/>
  <c r="AW1911" i="1"/>
  <c r="AW1910" i="1"/>
  <c r="AW1909" i="1"/>
  <c r="AW1908" i="1"/>
  <c r="AW1907" i="1"/>
  <c r="AW1906" i="1"/>
  <c r="AW1905" i="1"/>
  <c r="AW1904" i="1"/>
  <c r="AW1903" i="1"/>
  <c r="AW1902" i="1"/>
  <c r="AW1901" i="1"/>
  <c r="AW1900" i="1"/>
  <c r="AW1899" i="1"/>
  <c r="AW1898" i="1"/>
  <c r="AW1897" i="1"/>
  <c r="AW1896" i="1"/>
  <c r="AW1895" i="1"/>
  <c r="AW1894" i="1"/>
  <c r="AW1893" i="1"/>
  <c r="AW1892" i="1"/>
  <c r="AW1891" i="1"/>
  <c r="AW1890" i="1"/>
  <c r="AW1889" i="1"/>
  <c r="AW1888" i="1"/>
  <c r="AW1887" i="1"/>
  <c r="AW1886" i="1"/>
  <c r="AW1885" i="1"/>
  <c r="AW1884" i="1"/>
  <c r="AW1883" i="1"/>
  <c r="AW1882" i="1"/>
  <c r="AW1881" i="1"/>
  <c r="AW1880" i="1"/>
  <c r="AW1879" i="1"/>
  <c r="AW1878" i="1"/>
  <c r="AW1877" i="1"/>
  <c r="AW1876" i="1"/>
  <c r="AW1875" i="1"/>
  <c r="AW1874" i="1"/>
  <c r="AW1873" i="1"/>
  <c r="AW1872" i="1"/>
  <c r="AW1871" i="1"/>
  <c r="AW1870" i="1"/>
  <c r="AW1869" i="1"/>
  <c r="AW1868" i="1"/>
  <c r="AW1867" i="1"/>
  <c r="AW1866" i="1"/>
  <c r="AW1865" i="1"/>
  <c r="AW1864" i="1"/>
  <c r="AW1863" i="1"/>
  <c r="AW1862" i="1"/>
  <c r="AW1861" i="1"/>
  <c r="AW1860" i="1"/>
  <c r="AW1859" i="1"/>
  <c r="AW1858" i="1"/>
  <c r="AW1857" i="1"/>
  <c r="AW1856" i="1"/>
  <c r="AW1855" i="1"/>
  <c r="AW1854" i="1"/>
  <c r="AW1853" i="1"/>
  <c r="AW1852" i="1"/>
  <c r="AW1851" i="1"/>
  <c r="AW1850" i="1"/>
  <c r="AW1849" i="1"/>
  <c r="AW1848" i="1"/>
  <c r="AW1847" i="1"/>
  <c r="AW1846" i="1"/>
  <c r="AW1845" i="1"/>
  <c r="AW1844" i="1"/>
  <c r="AW1843" i="1"/>
  <c r="AW1842" i="1"/>
  <c r="AW1841" i="1"/>
  <c r="AW1840" i="1"/>
  <c r="AW1839" i="1"/>
  <c r="AW1838" i="1"/>
  <c r="AW1837" i="1"/>
  <c r="AW1836" i="1"/>
  <c r="AW1835" i="1"/>
  <c r="AW1834" i="1"/>
  <c r="AW1833" i="1"/>
  <c r="AW1832" i="1"/>
  <c r="AW1831" i="1"/>
  <c r="AW1830" i="1"/>
  <c r="AW1829" i="1"/>
  <c r="AW1828" i="1"/>
  <c r="AW1827" i="1"/>
  <c r="AW1826" i="1"/>
  <c r="AW1825" i="1"/>
  <c r="AW1824" i="1"/>
  <c r="AW1823" i="1"/>
  <c r="AW1822" i="1"/>
  <c r="AW1821" i="1"/>
  <c r="AW1820" i="1"/>
  <c r="AW1819" i="1"/>
  <c r="AW1818" i="1"/>
  <c r="AW1817" i="1"/>
  <c r="AW1816" i="1"/>
  <c r="AW1815" i="1"/>
  <c r="AW1814" i="1"/>
  <c r="AW1813" i="1"/>
  <c r="AW1812" i="1"/>
  <c r="AW1811" i="1"/>
  <c r="AW1810" i="1"/>
  <c r="AW1809" i="1"/>
  <c r="AW1808" i="1"/>
  <c r="AW1807" i="1"/>
  <c r="AW1806" i="1"/>
  <c r="AW1805" i="1"/>
  <c r="AW1804" i="1"/>
  <c r="AW1803" i="1"/>
  <c r="AW1802" i="1"/>
  <c r="AW1801" i="1"/>
  <c r="AW1800" i="1"/>
  <c r="AW1799" i="1"/>
  <c r="AW1798" i="1"/>
  <c r="AW1797" i="1"/>
  <c r="AW1796" i="1"/>
  <c r="AW1795" i="1"/>
  <c r="AW1794" i="1"/>
  <c r="AW1793" i="1"/>
  <c r="AW1792" i="1"/>
  <c r="AW1791" i="1"/>
  <c r="AW1790" i="1"/>
  <c r="AW1789" i="1"/>
  <c r="AW1788" i="1"/>
  <c r="AW1787" i="1"/>
  <c r="AW1786" i="1"/>
  <c r="AW1785" i="1"/>
  <c r="AW1784" i="1"/>
  <c r="AW1783" i="1"/>
  <c r="AW1782" i="1"/>
  <c r="AW1781" i="1"/>
  <c r="AW1780" i="1"/>
  <c r="AW1779" i="1"/>
  <c r="AW1778" i="1"/>
  <c r="AW1777" i="1"/>
  <c r="AW1776" i="1"/>
  <c r="AW1775" i="1"/>
  <c r="AW1774" i="1"/>
  <c r="AW1773" i="1"/>
  <c r="AW1772" i="1"/>
  <c r="AW1771" i="1"/>
  <c r="AW1770" i="1"/>
  <c r="AW1769" i="1"/>
  <c r="AW1768" i="1"/>
  <c r="AW1767" i="1"/>
  <c r="AW1766" i="1"/>
  <c r="AW1765" i="1"/>
  <c r="AW1764" i="1"/>
  <c r="AW1763" i="1"/>
  <c r="AW1762" i="1"/>
  <c r="AW1761" i="1"/>
  <c r="AW1760" i="1"/>
  <c r="AW1759" i="1"/>
  <c r="AW1758" i="1"/>
  <c r="AW1757" i="1"/>
  <c r="AW1756" i="1"/>
  <c r="AW1755" i="1"/>
  <c r="AW1754" i="1"/>
  <c r="AW1753" i="1"/>
  <c r="AW1752" i="1"/>
  <c r="AW1751" i="1"/>
  <c r="AW1750" i="1"/>
  <c r="AW1749" i="1"/>
  <c r="AW1748" i="1"/>
  <c r="AW1747" i="1"/>
  <c r="AW1746" i="1"/>
  <c r="AW1745" i="1"/>
  <c r="AW1744" i="1"/>
  <c r="AW1743" i="1"/>
  <c r="AW1742" i="1"/>
  <c r="AW1741" i="1"/>
  <c r="AW1740" i="1"/>
  <c r="AW1739" i="1"/>
  <c r="AW1738" i="1"/>
  <c r="AW1737" i="1"/>
  <c r="AW1736" i="1"/>
  <c r="AW1735" i="1"/>
  <c r="AW1734" i="1"/>
  <c r="AW1733" i="1"/>
  <c r="AW1732" i="1"/>
  <c r="AW1731" i="1"/>
  <c r="AW1730" i="1"/>
  <c r="AW1729" i="1"/>
  <c r="AW1728" i="1"/>
  <c r="AW1727" i="1"/>
  <c r="AW1726" i="1"/>
  <c r="AW1725" i="1"/>
  <c r="AW1724" i="1"/>
  <c r="AW1723" i="1"/>
  <c r="AW1722" i="1"/>
  <c r="AW1721" i="1"/>
  <c r="AW1720" i="1"/>
  <c r="AW1719" i="1"/>
  <c r="AW1718" i="1"/>
  <c r="AW1717" i="1"/>
  <c r="AW1716" i="1"/>
  <c r="AW1715" i="1"/>
  <c r="AW1714" i="1"/>
  <c r="AW1713" i="1"/>
  <c r="AW1712" i="1"/>
  <c r="AW1711" i="1"/>
  <c r="AW1710" i="1"/>
  <c r="AW1709" i="1"/>
  <c r="AW1708" i="1"/>
  <c r="AW1707" i="1"/>
  <c r="AW1706" i="1"/>
  <c r="AW1705" i="1"/>
  <c r="AW1704" i="1"/>
  <c r="AW1703" i="1"/>
  <c r="AW1702" i="1"/>
  <c r="AW1701" i="1"/>
  <c r="AW1700" i="1"/>
  <c r="AW1699" i="1"/>
  <c r="AW1698" i="1"/>
  <c r="AW1697" i="1"/>
  <c r="AW1696" i="1"/>
  <c r="AW1695" i="1"/>
  <c r="AW1694" i="1"/>
  <c r="AW1693" i="1"/>
  <c r="AW1692" i="1"/>
  <c r="AW1691" i="1"/>
  <c r="AW1690" i="1"/>
  <c r="AW1689" i="1"/>
  <c r="AW1688" i="1"/>
  <c r="AW1687" i="1"/>
  <c r="AW1686" i="1"/>
  <c r="AW1685" i="1"/>
  <c r="AW1684" i="1"/>
  <c r="AW1683" i="1"/>
  <c r="AW1682" i="1"/>
  <c r="AW1681" i="1"/>
  <c r="AW1680" i="1"/>
  <c r="AW1679" i="1"/>
  <c r="AW1678" i="1"/>
  <c r="AW1677" i="1"/>
  <c r="AW1676" i="1"/>
  <c r="AW1675" i="1"/>
  <c r="AW1674" i="1"/>
  <c r="AW1673" i="1"/>
  <c r="AW1672" i="1"/>
  <c r="AW1671" i="1"/>
  <c r="AW1670" i="1"/>
  <c r="AW1669" i="1"/>
  <c r="AW1668" i="1"/>
  <c r="AW1667" i="1"/>
  <c r="AW1666" i="1"/>
  <c r="AW1665" i="1"/>
  <c r="AW1664" i="1"/>
  <c r="AW1663" i="1"/>
  <c r="AW1662" i="1"/>
  <c r="AW1661" i="1"/>
  <c r="AW1660" i="1"/>
  <c r="AW1659" i="1"/>
  <c r="AW1658" i="1"/>
  <c r="AW1657" i="1"/>
  <c r="AW1656" i="1"/>
  <c r="AW1655" i="1"/>
  <c r="AW1654" i="1"/>
  <c r="AW1653" i="1"/>
  <c r="AW1652" i="1"/>
  <c r="AW1651" i="1"/>
  <c r="AW1650" i="1"/>
  <c r="AW1649" i="1"/>
  <c r="AW1648" i="1"/>
  <c r="AW1647" i="1"/>
  <c r="AW1646" i="1"/>
  <c r="AW1645" i="1"/>
  <c r="AW1644" i="1"/>
  <c r="AW1643" i="1"/>
  <c r="AW1642" i="1"/>
  <c r="AW1641" i="1"/>
  <c r="AW1640" i="1"/>
  <c r="AW1639" i="1"/>
  <c r="AW1638" i="1"/>
  <c r="AW1637" i="1"/>
  <c r="AW1636" i="1"/>
  <c r="AW1635" i="1"/>
  <c r="AW1634" i="1"/>
  <c r="AW1633" i="1"/>
  <c r="AW1632" i="1"/>
  <c r="AW1631" i="1"/>
  <c r="AW1630" i="1"/>
  <c r="AW1629" i="1"/>
  <c r="AW1628" i="1"/>
  <c r="AW1627" i="1"/>
  <c r="AW1626" i="1"/>
  <c r="AW1625" i="1"/>
  <c r="AW1624" i="1"/>
  <c r="AW1623" i="1"/>
  <c r="AW1622" i="1"/>
  <c r="AW1621" i="1"/>
  <c r="AW1620" i="1"/>
  <c r="AW1619" i="1"/>
  <c r="AW1618" i="1"/>
  <c r="AW1617" i="1"/>
  <c r="AW1616" i="1"/>
  <c r="AW1615" i="1"/>
  <c r="AW1614" i="1"/>
  <c r="AW1613" i="1"/>
  <c r="AW1612" i="1"/>
  <c r="AW1611" i="1"/>
  <c r="AW1610" i="1"/>
  <c r="AW1609" i="1"/>
  <c r="AW1608" i="1"/>
  <c r="AW1607" i="1"/>
  <c r="AW1606" i="1"/>
  <c r="AW1605" i="1"/>
  <c r="AW1604" i="1"/>
  <c r="AW1603" i="1"/>
  <c r="AW1602" i="1"/>
  <c r="AW1601" i="1"/>
  <c r="AW1600" i="1"/>
  <c r="AW1599" i="1"/>
  <c r="AW1598" i="1"/>
  <c r="AW1597" i="1"/>
  <c r="AW1596" i="1"/>
  <c r="AW1595" i="1"/>
  <c r="AW1594" i="1"/>
  <c r="AW1593" i="1"/>
  <c r="AW1592" i="1"/>
  <c r="AW1591" i="1"/>
  <c r="AW1590" i="1"/>
  <c r="AW1589" i="1"/>
  <c r="AW1588" i="1"/>
  <c r="AW1587" i="1"/>
  <c r="AW1586" i="1"/>
  <c r="AW1585" i="1"/>
  <c r="AW1584" i="1"/>
  <c r="AW1583" i="1"/>
  <c r="AW1582" i="1"/>
  <c r="AW1581" i="1"/>
  <c r="AW1580" i="1"/>
  <c r="AW1579" i="1"/>
  <c r="AW1578" i="1"/>
  <c r="AW1577" i="1"/>
  <c r="AW1576" i="1"/>
  <c r="AW1575" i="1"/>
  <c r="AW1574" i="1"/>
  <c r="AW1573" i="1"/>
  <c r="AW1572" i="1"/>
  <c r="AW1571" i="1"/>
  <c r="AW1570" i="1"/>
  <c r="AW1569" i="1"/>
  <c r="AW1568" i="1"/>
  <c r="AW1567" i="1"/>
  <c r="AW1566" i="1"/>
  <c r="AW1565" i="1"/>
  <c r="AW1564" i="1"/>
  <c r="AW1563" i="1"/>
  <c r="AW1562" i="1"/>
  <c r="AW1561" i="1"/>
  <c r="AW1560" i="1"/>
  <c r="AW1559" i="1"/>
  <c r="AW1558" i="1"/>
  <c r="AW1557" i="1"/>
  <c r="AW1556" i="1"/>
  <c r="AW1555" i="1"/>
  <c r="AW1554" i="1"/>
  <c r="AW1553" i="1"/>
  <c r="AW1552" i="1"/>
  <c r="AW1551" i="1"/>
  <c r="AW1550" i="1"/>
  <c r="AW1549" i="1"/>
  <c r="AW1548" i="1"/>
  <c r="AW1547" i="1"/>
  <c r="AW1546" i="1"/>
  <c r="AW1545" i="1"/>
  <c r="AW1544" i="1"/>
  <c r="AW1543" i="1"/>
  <c r="AW1542" i="1"/>
  <c r="AW1541" i="1"/>
  <c r="AW1540" i="1"/>
  <c r="AW1539" i="1"/>
  <c r="AW1538" i="1"/>
  <c r="AW1537" i="1"/>
  <c r="AW1536" i="1"/>
  <c r="AW1535" i="1"/>
  <c r="AW1534" i="1"/>
  <c r="AW1533" i="1"/>
  <c r="AW1532" i="1"/>
  <c r="AW1531" i="1"/>
  <c r="AW1530" i="1"/>
  <c r="AW1529" i="1"/>
  <c r="AW1528" i="1"/>
  <c r="AW1527" i="1"/>
  <c r="AW1526" i="1"/>
  <c r="AW1525" i="1"/>
  <c r="AW1524" i="1"/>
  <c r="AW1523" i="1"/>
  <c r="AW1522" i="1"/>
  <c r="AW1521" i="1"/>
  <c r="AW1520" i="1"/>
  <c r="AW1519" i="1"/>
  <c r="AW1518" i="1"/>
  <c r="AW1517" i="1"/>
  <c r="AW1516" i="1"/>
  <c r="AW1515" i="1"/>
  <c r="AW1514" i="1"/>
  <c r="AW1513" i="1"/>
  <c r="AW1512" i="1"/>
  <c r="AW1511" i="1"/>
  <c r="AW1510" i="1"/>
  <c r="AW1509" i="1"/>
  <c r="AW1508" i="1"/>
  <c r="AW1507" i="1"/>
  <c r="AW1506" i="1"/>
  <c r="AW1505" i="1"/>
  <c r="AW1504" i="1"/>
  <c r="AW1503" i="1"/>
  <c r="AW1502" i="1"/>
  <c r="AW1501" i="1"/>
  <c r="AW1500" i="1"/>
  <c r="AW1499" i="1"/>
  <c r="AW1498" i="1"/>
  <c r="AW1497" i="1"/>
  <c r="AW1496" i="1"/>
  <c r="AW1495" i="1"/>
  <c r="AW1494" i="1"/>
  <c r="AW1493" i="1"/>
  <c r="AW1492" i="1"/>
  <c r="AW1491" i="1"/>
  <c r="AW1490" i="1"/>
  <c r="AW1489" i="1"/>
  <c r="AW1488" i="1"/>
  <c r="AW1487" i="1"/>
  <c r="AW1486" i="1"/>
  <c r="AW1485" i="1"/>
  <c r="AW1484" i="1"/>
  <c r="AW1483" i="1"/>
  <c r="AW1482" i="1"/>
  <c r="AW1481" i="1"/>
  <c r="AW1480" i="1"/>
  <c r="AW1479" i="1"/>
  <c r="AW1478" i="1"/>
  <c r="AW1477" i="1"/>
  <c r="AW1476" i="1"/>
  <c r="AW1475" i="1"/>
  <c r="AW1474" i="1"/>
  <c r="AW1473" i="1"/>
  <c r="AW1472" i="1"/>
  <c r="AW1471" i="1"/>
  <c r="AW1470" i="1"/>
  <c r="AW1469" i="1"/>
  <c r="AW1468" i="1"/>
  <c r="AW1467" i="1"/>
  <c r="AW1466" i="1"/>
  <c r="AW1465" i="1"/>
  <c r="AW1464" i="1"/>
  <c r="AW1463" i="1"/>
  <c r="AW1462" i="1"/>
  <c r="AW1461" i="1"/>
  <c r="AW1460" i="1"/>
  <c r="AW1459" i="1"/>
  <c r="AW1458" i="1"/>
  <c r="AW1457" i="1"/>
  <c r="AW1456" i="1"/>
  <c r="AW1455" i="1"/>
  <c r="AW1454" i="1"/>
  <c r="AW1453" i="1"/>
  <c r="AW1452" i="1"/>
  <c r="AW1451" i="1"/>
  <c r="AW1450" i="1"/>
  <c r="AW1449" i="1"/>
  <c r="AW1448" i="1"/>
  <c r="AW1447" i="1"/>
  <c r="AW1446" i="1"/>
  <c r="AW1445" i="1"/>
  <c r="AW1444" i="1"/>
  <c r="AW1443" i="1"/>
  <c r="AW1442" i="1"/>
  <c r="AW1441" i="1"/>
  <c r="AW1440" i="1"/>
  <c r="AW1439" i="1"/>
  <c r="AW1438" i="1"/>
  <c r="AW1437" i="1"/>
  <c r="AW1436" i="1"/>
  <c r="AW1435" i="1"/>
  <c r="AW1434" i="1"/>
  <c r="AW1433" i="1"/>
  <c r="AW1432" i="1"/>
  <c r="AW1431" i="1"/>
  <c r="AW1430" i="1"/>
  <c r="AW1429" i="1"/>
  <c r="AW1428" i="1"/>
  <c r="AW1427" i="1"/>
  <c r="AW1426" i="1"/>
  <c r="AW1425" i="1"/>
  <c r="AW1424" i="1"/>
  <c r="AW1423" i="1"/>
  <c r="AW1422" i="1"/>
  <c r="AW1421" i="1"/>
  <c r="AW1420" i="1"/>
  <c r="AW1419" i="1"/>
  <c r="AW1418" i="1"/>
  <c r="AW1417" i="1"/>
  <c r="AW1416" i="1"/>
  <c r="AW1415" i="1"/>
  <c r="AW1414" i="1"/>
  <c r="AW1413" i="1"/>
  <c r="AW1412" i="1"/>
  <c r="AW1411" i="1"/>
  <c r="AW1410" i="1"/>
  <c r="AW1409" i="1"/>
  <c r="AW1408" i="1"/>
  <c r="AW1407" i="1"/>
  <c r="AW1406" i="1"/>
  <c r="AW1405" i="1"/>
  <c r="AW1404" i="1"/>
  <c r="AW1403" i="1"/>
  <c r="AW1402" i="1"/>
  <c r="AW1401" i="1"/>
  <c r="AW1400" i="1"/>
  <c r="AW1399" i="1"/>
  <c r="AW1398" i="1"/>
  <c r="AW1397" i="1"/>
  <c r="AW1396" i="1"/>
  <c r="AW1395" i="1"/>
  <c r="AW1394" i="1"/>
  <c r="AW1393" i="1"/>
  <c r="AW1392" i="1"/>
  <c r="AW1391" i="1"/>
  <c r="AW1390" i="1"/>
  <c r="AW1389" i="1"/>
  <c r="AW1388" i="1"/>
  <c r="AW1387" i="1"/>
  <c r="AW1386" i="1"/>
  <c r="AW1385" i="1"/>
  <c r="AW1384" i="1"/>
  <c r="AW1383" i="1"/>
  <c r="AW1382" i="1"/>
  <c r="AW1381" i="1"/>
  <c r="AW1380" i="1"/>
  <c r="AW1379" i="1"/>
  <c r="AW1378" i="1"/>
  <c r="AW1377" i="1"/>
  <c r="AW1376" i="1"/>
  <c r="AW1375" i="1"/>
  <c r="AW1374" i="1"/>
  <c r="AW1373" i="1"/>
  <c r="AW1372" i="1"/>
  <c r="AW1371" i="1"/>
  <c r="AW1370" i="1"/>
  <c r="AW1369" i="1"/>
  <c r="AW1368" i="1"/>
  <c r="AW1367" i="1"/>
  <c r="AW1366" i="1"/>
  <c r="AW1365" i="1"/>
  <c r="AW1364" i="1"/>
  <c r="AW1363" i="1"/>
  <c r="AW1362" i="1"/>
  <c r="AW1361" i="1"/>
  <c r="AW1360" i="1"/>
  <c r="AW1359" i="1"/>
  <c r="AW1358" i="1"/>
  <c r="AW1357" i="1"/>
  <c r="AW1356" i="1"/>
  <c r="AW1355" i="1"/>
  <c r="AW1354" i="1"/>
  <c r="AW1353" i="1"/>
  <c r="AW1352" i="1"/>
  <c r="AW1351" i="1"/>
  <c r="AW1350" i="1"/>
  <c r="AW1349" i="1"/>
  <c r="AW1348" i="1"/>
  <c r="AW1347" i="1"/>
  <c r="AW1346" i="1"/>
  <c r="AW1345" i="1"/>
  <c r="AW1344" i="1"/>
  <c r="AW1343" i="1"/>
  <c r="AW1342" i="1"/>
  <c r="AW1341" i="1"/>
  <c r="AW1340" i="1"/>
  <c r="AW1339" i="1"/>
  <c r="AW1338" i="1"/>
  <c r="AW1337" i="1"/>
  <c r="AW1336" i="1"/>
  <c r="AW1335" i="1"/>
  <c r="AW1334" i="1"/>
  <c r="AW1333" i="1"/>
  <c r="AW1332" i="1"/>
  <c r="AW1331" i="1"/>
  <c r="AW1330" i="1"/>
  <c r="AW1329" i="1"/>
  <c r="AW1328" i="1"/>
  <c r="AW1327" i="1"/>
  <c r="AW1326" i="1"/>
  <c r="AW1325" i="1"/>
  <c r="AW1324" i="1"/>
  <c r="AW1323" i="1"/>
  <c r="AW1322" i="1"/>
  <c r="AW1321" i="1"/>
  <c r="AW1320" i="1"/>
  <c r="AW1319" i="1"/>
  <c r="AW1318" i="1"/>
  <c r="AW1317" i="1"/>
  <c r="AW1316" i="1"/>
  <c r="AW1315" i="1"/>
  <c r="AW1314" i="1"/>
  <c r="AW1313" i="1"/>
  <c r="AW1312" i="1"/>
  <c r="AW1311" i="1"/>
  <c r="AW1310" i="1"/>
  <c r="AW1309" i="1"/>
  <c r="AW1308" i="1"/>
  <c r="AW1307" i="1"/>
  <c r="AW1306" i="1"/>
  <c r="AW1305" i="1"/>
  <c r="AW1304" i="1"/>
  <c r="AW1303" i="1"/>
  <c r="AW1302" i="1"/>
  <c r="AW1301" i="1"/>
  <c r="AW1300" i="1"/>
  <c r="AW1299" i="1"/>
  <c r="AW1298" i="1"/>
  <c r="AW1297" i="1"/>
  <c r="AW1296" i="1"/>
  <c r="AW1295" i="1"/>
  <c r="AW1294" i="1"/>
  <c r="AW1293" i="1"/>
  <c r="AW1292" i="1"/>
  <c r="AW1291" i="1"/>
  <c r="AW1290" i="1"/>
  <c r="AW1289" i="1"/>
  <c r="AW1288" i="1"/>
  <c r="AW1287" i="1"/>
  <c r="AW1286" i="1"/>
  <c r="AW1285" i="1"/>
  <c r="AW1284" i="1"/>
  <c r="AW1283" i="1"/>
  <c r="AW1282" i="1"/>
  <c r="AW1281" i="1"/>
  <c r="AW1280" i="1"/>
  <c r="AW1279" i="1"/>
  <c r="AW1278" i="1"/>
  <c r="AW1277" i="1"/>
  <c r="AW1276" i="1"/>
  <c r="AW1275" i="1"/>
  <c r="AW1274" i="1"/>
  <c r="AW1273" i="1"/>
  <c r="AW1272" i="1"/>
  <c r="AW1271" i="1"/>
  <c r="AW1270" i="1"/>
  <c r="AW1269" i="1"/>
  <c r="AW1268" i="1"/>
  <c r="AW1267" i="1"/>
  <c r="AW1266" i="1"/>
  <c r="AW1265" i="1"/>
  <c r="AW1264" i="1"/>
  <c r="AW1263" i="1"/>
  <c r="AW1262" i="1"/>
  <c r="AW1261" i="1"/>
  <c r="AW1260" i="1"/>
  <c r="AW1259" i="1"/>
  <c r="AW1258" i="1"/>
  <c r="AW1257" i="1"/>
  <c r="AW1256" i="1"/>
  <c r="AW1255" i="1"/>
  <c r="AW1254" i="1"/>
  <c r="AW1253" i="1"/>
  <c r="AW1252" i="1"/>
  <c r="AW1251" i="1"/>
  <c r="AW1250" i="1"/>
  <c r="AW1249" i="1"/>
  <c r="AW1248" i="1"/>
  <c r="AW1247" i="1"/>
  <c r="AW1246" i="1"/>
  <c r="AW1245" i="1"/>
  <c r="AW1244" i="1"/>
  <c r="AW1243" i="1"/>
  <c r="AW1242" i="1"/>
  <c r="AW1241" i="1"/>
  <c r="AW1240" i="1"/>
  <c r="AW1239" i="1"/>
  <c r="AW1238" i="1"/>
  <c r="AW1237" i="1"/>
  <c r="AW1236" i="1"/>
  <c r="AW1235" i="1"/>
  <c r="AW1234" i="1"/>
  <c r="AW1233" i="1"/>
  <c r="AW1232" i="1"/>
  <c r="AW1231" i="1"/>
  <c r="AW1230" i="1"/>
  <c r="AW1229" i="1"/>
  <c r="AW1228" i="1"/>
  <c r="AW1227" i="1"/>
  <c r="AW1226" i="1"/>
  <c r="AW1225" i="1"/>
  <c r="AW1224" i="1"/>
  <c r="AW1223" i="1"/>
  <c r="AW1222" i="1"/>
  <c r="AW1221" i="1"/>
  <c r="AW1220" i="1"/>
  <c r="AW1219" i="1"/>
  <c r="AW1218" i="1"/>
  <c r="AW1217" i="1"/>
  <c r="AW1216" i="1"/>
  <c r="AW1215" i="1"/>
  <c r="AW1214" i="1"/>
  <c r="AW1213" i="1"/>
  <c r="AW1212" i="1"/>
  <c r="AW1211" i="1"/>
  <c r="AW1210" i="1"/>
  <c r="AW1209" i="1"/>
  <c r="AW1208" i="1"/>
  <c r="AW1207" i="1"/>
  <c r="AW1206" i="1"/>
  <c r="AW1205" i="1"/>
  <c r="AW1204" i="1"/>
  <c r="AW1203" i="1"/>
  <c r="AW1202" i="1"/>
  <c r="AW1201" i="1"/>
  <c r="AW1200" i="1"/>
  <c r="AW1199" i="1"/>
  <c r="AW1198" i="1"/>
  <c r="AW1197" i="1"/>
  <c r="AW1196" i="1"/>
  <c r="AW1195" i="1"/>
  <c r="AW1194" i="1"/>
  <c r="AW1193" i="1"/>
  <c r="AW1192" i="1"/>
  <c r="AW1191" i="1"/>
  <c r="AW1190" i="1"/>
  <c r="AW1189" i="1"/>
  <c r="AW1188" i="1"/>
  <c r="AW1187" i="1"/>
  <c r="AW1186" i="1"/>
  <c r="AW1185" i="1"/>
  <c r="AW1184" i="1"/>
  <c r="AW1183" i="1"/>
  <c r="AW1182" i="1"/>
  <c r="AW1181" i="1"/>
  <c r="AW1180" i="1"/>
  <c r="AW1179" i="1"/>
  <c r="AW1178" i="1"/>
  <c r="AW1177" i="1"/>
  <c r="AW1176" i="1"/>
  <c r="AW1175" i="1"/>
  <c r="AW1174" i="1"/>
  <c r="AW1173" i="1"/>
  <c r="AW1172" i="1"/>
  <c r="AW1171" i="1"/>
  <c r="AW1170" i="1"/>
  <c r="AW1169" i="1"/>
  <c r="AW1168" i="1"/>
  <c r="AW1167" i="1"/>
  <c r="AW1166" i="1"/>
  <c r="AW1165" i="1"/>
  <c r="AW1164" i="1"/>
  <c r="AW1163" i="1"/>
  <c r="AW1162" i="1"/>
  <c r="AW1161" i="1"/>
  <c r="AW1160" i="1"/>
  <c r="AW1159" i="1"/>
  <c r="AW1158" i="1"/>
  <c r="AW1157" i="1"/>
  <c r="AW1156" i="1"/>
  <c r="AW1155" i="1"/>
  <c r="AW1154" i="1"/>
  <c r="AW1153" i="1"/>
  <c r="AW1152" i="1"/>
  <c r="AW1151" i="1"/>
  <c r="AW1150" i="1"/>
  <c r="AW1149" i="1"/>
  <c r="AW1148" i="1"/>
  <c r="AW1147" i="1"/>
  <c r="AW1146" i="1"/>
  <c r="AW1145" i="1"/>
  <c r="AW1144" i="1"/>
  <c r="AW1143" i="1"/>
  <c r="AW1142" i="1"/>
  <c r="AW1141" i="1"/>
  <c r="AW1140" i="1"/>
  <c r="AW1139" i="1"/>
  <c r="AW1138" i="1"/>
  <c r="AW1137" i="1"/>
  <c r="AW1136" i="1"/>
  <c r="AW1135" i="1"/>
  <c r="AW1134" i="1"/>
  <c r="AW1133" i="1"/>
  <c r="AW1132" i="1"/>
  <c r="AW1131" i="1"/>
  <c r="AW1130" i="1"/>
  <c r="AW1129" i="1"/>
  <c r="AW1128" i="1"/>
  <c r="AW1127" i="1"/>
  <c r="AW1126" i="1"/>
  <c r="AW1125" i="1"/>
  <c r="AW1124" i="1"/>
  <c r="AW1123" i="1"/>
  <c r="AW1122" i="1"/>
  <c r="AW1121" i="1"/>
  <c r="AW1120" i="1"/>
  <c r="AW1119" i="1"/>
  <c r="AW1118" i="1"/>
  <c r="AW1117" i="1"/>
  <c r="AW1116" i="1"/>
  <c r="AW1115" i="1"/>
  <c r="AW1114" i="1"/>
  <c r="AW1113" i="1"/>
  <c r="AW1112" i="1"/>
  <c r="AW1111" i="1"/>
  <c r="AW1110" i="1"/>
  <c r="AW1109" i="1"/>
  <c r="AW1108" i="1"/>
  <c r="AW1107" i="1"/>
  <c r="AW1106" i="1"/>
  <c r="AW1105" i="1"/>
  <c r="AW1104" i="1"/>
  <c r="AW1103" i="1"/>
  <c r="AW1102" i="1"/>
  <c r="AW1101" i="1"/>
  <c r="AW1100" i="1"/>
  <c r="AW1099" i="1"/>
  <c r="AW1098" i="1"/>
  <c r="AW1097" i="1"/>
  <c r="AW1096" i="1"/>
  <c r="AW1095" i="1"/>
  <c r="AW1094" i="1"/>
  <c r="AW1093" i="1"/>
  <c r="AW1092" i="1"/>
  <c r="AW1091" i="1"/>
  <c r="AW1090" i="1"/>
  <c r="AW1089" i="1"/>
  <c r="AW1088" i="1"/>
  <c r="AW1087" i="1"/>
  <c r="AW1086" i="1"/>
  <c r="AW1085" i="1"/>
  <c r="AW1084" i="1"/>
  <c r="AW1083" i="1"/>
  <c r="AW1082" i="1"/>
  <c r="AW1081" i="1"/>
  <c r="AW1080" i="1"/>
  <c r="AW1079" i="1"/>
  <c r="AW1078" i="1"/>
  <c r="AW1077" i="1"/>
  <c r="AW1076" i="1"/>
  <c r="AW1075" i="1"/>
  <c r="AW1074" i="1"/>
  <c r="AW1073" i="1"/>
  <c r="AW1072" i="1"/>
  <c r="AW1071" i="1"/>
  <c r="AW1070" i="1"/>
  <c r="AW1069" i="1"/>
  <c r="AW1068" i="1"/>
  <c r="AW1067" i="1"/>
  <c r="AW1066" i="1"/>
  <c r="AW1065" i="1"/>
  <c r="AW1064" i="1"/>
  <c r="AW1063" i="1"/>
  <c r="AW1062" i="1"/>
  <c r="AW1061" i="1"/>
  <c r="AW1060" i="1"/>
  <c r="AW1059" i="1"/>
  <c r="AW1058" i="1"/>
  <c r="AW1057" i="1"/>
  <c r="AW1056" i="1"/>
  <c r="AW1055" i="1"/>
  <c r="AW1054" i="1"/>
  <c r="AW1053" i="1"/>
  <c r="AW1052" i="1"/>
  <c r="AW1051" i="1"/>
  <c r="AW1050" i="1"/>
  <c r="AW1049" i="1"/>
  <c r="AW1048" i="1"/>
  <c r="AW1047" i="1"/>
  <c r="AW1046" i="1"/>
  <c r="AW1045" i="1"/>
  <c r="AW1044" i="1"/>
  <c r="AW1043" i="1"/>
  <c r="AW1042" i="1"/>
  <c r="AW1041" i="1"/>
  <c r="AW1040" i="1"/>
  <c r="AW1039" i="1"/>
  <c r="AW1038" i="1"/>
  <c r="AW1037" i="1"/>
  <c r="AW1036" i="1"/>
  <c r="AW1035" i="1"/>
  <c r="AW1034" i="1"/>
  <c r="AW1033" i="1"/>
  <c r="AW1032" i="1"/>
  <c r="AW1031" i="1"/>
  <c r="AW1030" i="1"/>
  <c r="AW1029" i="1"/>
  <c r="AW1028" i="1"/>
  <c r="AW1027" i="1"/>
  <c r="AW1026" i="1"/>
  <c r="AW1025" i="1"/>
  <c r="AW1024" i="1"/>
  <c r="AW1023" i="1"/>
  <c r="AW1022" i="1"/>
  <c r="AW1021" i="1"/>
  <c r="AW1020" i="1"/>
  <c r="AW1019" i="1"/>
  <c r="AW1018" i="1"/>
  <c r="AW1017" i="1"/>
  <c r="AW1016" i="1"/>
  <c r="AW1015" i="1"/>
  <c r="AW1014" i="1"/>
  <c r="AW1013" i="1"/>
  <c r="AW1012" i="1"/>
  <c r="AW1011" i="1"/>
  <c r="AW1010" i="1"/>
  <c r="AW1009" i="1"/>
  <c r="AW1008" i="1"/>
  <c r="AW1007" i="1"/>
  <c r="AW1006" i="1"/>
  <c r="AW1005" i="1"/>
  <c r="AW1004" i="1"/>
  <c r="AW1003" i="1"/>
  <c r="AW1002" i="1"/>
  <c r="AW1001" i="1"/>
  <c r="AW1000" i="1"/>
  <c r="AW999" i="1"/>
  <c r="AW998" i="1"/>
  <c r="AW997" i="1"/>
  <c r="AW996" i="1"/>
  <c r="AW995" i="1"/>
  <c r="AW994" i="1"/>
  <c r="AW993" i="1"/>
  <c r="AW992" i="1"/>
  <c r="AW991" i="1"/>
  <c r="AW990" i="1"/>
  <c r="AW989" i="1"/>
  <c r="AW988" i="1"/>
  <c r="AW987" i="1"/>
  <c r="AW986" i="1"/>
  <c r="AW985" i="1"/>
  <c r="AW984" i="1"/>
  <c r="AW983" i="1"/>
  <c r="AW982" i="1"/>
  <c r="AW981" i="1"/>
  <c r="AW980" i="1"/>
  <c r="AW979" i="1"/>
  <c r="AW978" i="1"/>
  <c r="AW977" i="1"/>
  <c r="AW976" i="1"/>
  <c r="AW975" i="1"/>
  <c r="AW974" i="1"/>
  <c r="AW973" i="1"/>
  <c r="AW972" i="1"/>
  <c r="AW971" i="1"/>
  <c r="AW970" i="1"/>
  <c r="AW969" i="1"/>
  <c r="AW968" i="1"/>
  <c r="AW967" i="1"/>
  <c r="AW966" i="1"/>
  <c r="AW965" i="1"/>
  <c r="AW964" i="1"/>
  <c r="AW963" i="1"/>
  <c r="AW962" i="1"/>
  <c r="AW961" i="1"/>
  <c r="AW960" i="1"/>
  <c r="AW959" i="1"/>
  <c r="AW958" i="1"/>
  <c r="AW957" i="1"/>
  <c r="AW956" i="1"/>
  <c r="AW955" i="1"/>
  <c r="AW954" i="1"/>
  <c r="AW953" i="1"/>
  <c r="AW952" i="1"/>
  <c r="AW951" i="1"/>
  <c r="AW950" i="1"/>
  <c r="AW949" i="1"/>
  <c r="AW948" i="1"/>
  <c r="AW947" i="1"/>
  <c r="AW946" i="1"/>
  <c r="AW945" i="1"/>
  <c r="AW944" i="1"/>
  <c r="AW943" i="1"/>
  <c r="AW942" i="1"/>
  <c r="AW941" i="1"/>
  <c r="AW940" i="1"/>
  <c r="AW939" i="1"/>
  <c r="AW938" i="1"/>
  <c r="AW937" i="1"/>
  <c r="AW936" i="1"/>
  <c r="AW935" i="1"/>
  <c r="AW934" i="1"/>
  <c r="AW933" i="1"/>
  <c r="AW932" i="1"/>
  <c r="AW931" i="1"/>
  <c r="AW930" i="1"/>
  <c r="AW929" i="1"/>
  <c r="AW928" i="1"/>
  <c r="AW927" i="1"/>
  <c r="AW926" i="1"/>
  <c r="AW925" i="1"/>
  <c r="AW924" i="1"/>
  <c r="AW923" i="1"/>
  <c r="AW922" i="1"/>
  <c r="AW921" i="1"/>
  <c r="AW920" i="1"/>
  <c r="AW919" i="1"/>
  <c r="AW918" i="1"/>
  <c r="AW917" i="1"/>
  <c r="AW916" i="1"/>
  <c r="AW915" i="1"/>
  <c r="AW914" i="1"/>
  <c r="AW913" i="1"/>
  <c r="AW912" i="1"/>
  <c r="AW911" i="1"/>
  <c r="AW910" i="1"/>
  <c r="AW909" i="1"/>
  <c r="AW908" i="1"/>
  <c r="AW907" i="1"/>
  <c r="AW906" i="1"/>
  <c r="AW905" i="1"/>
  <c r="AW904" i="1"/>
  <c r="AW903" i="1"/>
  <c r="AW902" i="1"/>
  <c r="AW901" i="1"/>
  <c r="AW900" i="1"/>
  <c r="AW899" i="1"/>
  <c r="AW898" i="1"/>
  <c r="AW897" i="1"/>
  <c r="AW896" i="1"/>
  <c r="AW895" i="1"/>
  <c r="AW894" i="1"/>
  <c r="AW893" i="1"/>
  <c r="AW892" i="1"/>
  <c r="AW891" i="1"/>
  <c r="AW890" i="1"/>
  <c r="AW889" i="1"/>
  <c r="AW888" i="1"/>
  <c r="AW887" i="1"/>
  <c r="AW886" i="1"/>
  <c r="AW885" i="1"/>
  <c r="AW884" i="1"/>
  <c r="AW883" i="1"/>
  <c r="AW882" i="1"/>
  <c r="AW881" i="1"/>
  <c r="AW880" i="1"/>
  <c r="AW879" i="1"/>
  <c r="AW878" i="1"/>
  <c r="AW877" i="1"/>
  <c r="AW876" i="1"/>
  <c r="AW875" i="1"/>
  <c r="AW874" i="1"/>
  <c r="AW873" i="1"/>
  <c r="AW872" i="1"/>
  <c r="AW871" i="1"/>
  <c r="AW870" i="1"/>
  <c r="AW869" i="1"/>
  <c r="AW868" i="1"/>
  <c r="AW867" i="1"/>
  <c r="AW866" i="1"/>
  <c r="AW865" i="1"/>
  <c r="AW864" i="1"/>
  <c r="AW863" i="1"/>
  <c r="AW862" i="1"/>
  <c r="AW861" i="1"/>
  <c r="AW860" i="1"/>
  <c r="AW859" i="1"/>
  <c r="AW858" i="1"/>
  <c r="AW857" i="1"/>
  <c r="AW856" i="1"/>
  <c r="AW855" i="1"/>
  <c r="AW854" i="1"/>
  <c r="AW853" i="1"/>
  <c r="AW852" i="1"/>
  <c r="AW851" i="1"/>
  <c r="AW850" i="1"/>
  <c r="AW849" i="1"/>
  <c r="AW848" i="1"/>
  <c r="AW847" i="1"/>
  <c r="AW846" i="1"/>
  <c r="AW845" i="1"/>
  <c r="AW844" i="1"/>
  <c r="AW843" i="1"/>
  <c r="AW842" i="1"/>
  <c r="AW841" i="1"/>
  <c r="AW840" i="1"/>
  <c r="AW839" i="1"/>
  <c r="AW838" i="1"/>
  <c r="AW837" i="1"/>
  <c r="AW836" i="1"/>
  <c r="AW835" i="1"/>
  <c r="AW834" i="1"/>
  <c r="AW833" i="1"/>
  <c r="AW832" i="1"/>
  <c r="AW831" i="1"/>
  <c r="AW830" i="1"/>
  <c r="AW829" i="1"/>
  <c r="AW828" i="1"/>
  <c r="AW827" i="1"/>
  <c r="AW826" i="1"/>
  <c r="AW825" i="1"/>
  <c r="AW824" i="1"/>
  <c r="AW823" i="1"/>
  <c r="AW822" i="1"/>
  <c r="AW821" i="1"/>
  <c r="AW820" i="1"/>
  <c r="AW819" i="1"/>
  <c r="AW818" i="1"/>
  <c r="AW817" i="1"/>
  <c r="AW816" i="1"/>
  <c r="AW815" i="1"/>
  <c r="AW814" i="1"/>
  <c r="AW813" i="1"/>
  <c r="AW812" i="1"/>
  <c r="AW811" i="1"/>
  <c r="AW810" i="1"/>
  <c r="AW809" i="1"/>
  <c r="AW808" i="1"/>
  <c r="AW807" i="1"/>
  <c r="AW806" i="1"/>
  <c r="AW805" i="1"/>
  <c r="AW804" i="1"/>
  <c r="AW803" i="1"/>
  <c r="AW802" i="1"/>
  <c r="AW801" i="1"/>
  <c r="AW800" i="1"/>
  <c r="AW799" i="1"/>
  <c r="AW798" i="1"/>
  <c r="AW797" i="1"/>
  <c r="AW796" i="1"/>
  <c r="AW795" i="1"/>
  <c r="AW794" i="1"/>
  <c r="AW793" i="1"/>
  <c r="AW792" i="1"/>
  <c r="AW791" i="1"/>
  <c r="AW790" i="1"/>
  <c r="AW789" i="1"/>
  <c r="AW788" i="1"/>
  <c r="AW787" i="1"/>
  <c r="AW786" i="1"/>
  <c r="AW785" i="1"/>
  <c r="AW784" i="1"/>
  <c r="AW783" i="1"/>
  <c r="AW782" i="1"/>
  <c r="AW781" i="1"/>
  <c r="AW780" i="1"/>
  <c r="AW779" i="1"/>
  <c r="AW778" i="1"/>
  <c r="AW777" i="1"/>
  <c r="AW776" i="1"/>
  <c r="AW775" i="1"/>
  <c r="AW774" i="1"/>
  <c r="AW773" i="1"/>
  <c r="AW772" i="1"/>
  <c r="AW771" i="1"/>
  <c r="AW770" i="1"/>
  <c r="AW769" i="1"/>
  <c r="AW768" i="1"/>
  <c r="AW767" i="1"/>
  <c r="AW766" i="1"/>
  <c r="AW765" i="1"/>
  <c r="AW764" i="1"/>
  <c r="AW763" i="1"/>
  <c r="AW762" i="1"/>
  <c r="AW761" i="1"/>
  <c r="AW760" i="1"/>
  <c r="AW759" i="1"/>
  <c r="AW758" i="1"/>
  <c r="AW757" i="1"/>
  <c r="AW756" i="1"/>
  <c r="AW755" i="1"/>
  <c r="AW754" i="1"/>
  <c r="AW753" i="1"/>
  <c r="AW752" i="1"/>
  <c r="AW751" i="1"/>
  <c r="AW750" i="1"/>
  <c r="AW749" i="1"/>
  <c r="AW748" i="1"/>
  <c r="AW747" i="1"/>
  <c r="AW746" i="1"/>
  <c r="AW745" i="1"/>
  <c r="AW744" i="1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22" i="1"/>
  <c r="AW721" i="1"/>
  <c r="AW720" i="1"/>
  <c r="AW719" i="1"/>
  <c r="AW718" i="1"/>
  <c r="AW717" i="1"/>
  <c r="AW716" i="1"/>
  <c r="AW715" i="1"/>
  <c r="AW714" i="1"/>
  <c r="AW713" i="1"/>
  <c r="AW712" i="1"/>
  <c r="AW711" i="1"/>
  <c r="AW710" i="1"/>
  <c r="AW709" i="1"/>
  <c r="AW708" i="1"/>
  <c r="AW707" i="1"/>
  <c r="AW706" i="1"/>
  <c r="AW705" i="1"/>
  <c r="AW704" i="1"/>
  <c r="AW703" i="1"/>
  <c r="AW702" i="1"/>
  <c r="AW701" i="1"/>
  <c r="AW700" i="1"/>
  <c r="AW699" i="1"/>
  <c r="AW698" i="1"/>
  <c r="AW697" i="1"/>
  <c r="AW696" i="1"/>
  <c r="AW695" i="1"/>
  <c r="AW694" i="1"/>
  <c r="AW693" i="1"/>
  <c r="AW692" i="1"/>
  <c r="AW691" i="1"/>
  <c r="AW690" i="1"/>
  <c r="AW689" i="1"/>
  <c r="AW688" i="1"/>
  <c r="AW687" i="1"/>
  <c r="AW686" i="1"/>
  <c r="AW685" i="1"/>
  <c r="AW684" i="1"/>
  <c r="AW683" i="1"/>
  <c r="AW682" i="1"/>
  <c r="AW681" i="1"/>
  <c r="AW680" i="1"/>
  <c r="AW679" i="1"/>
  <c r="AW678" i="1"/>
  <c r="AW677" i="1"/>
  <c r="AW676" i="1"/>
  <c r="AW675" i="1"/>
  <c r="AW674" i="1"/>
  <c r="AW673" i="1"/>
  <c r="AW672" i="1"/>
  <c r="AW671" i="1"/>
  <c r="AW670" i="1"/>
  <c r="AW669" i="1"/>
  <c r="AW668" i="1"/>
  <c r="AW667" i="1"/>
  <c r="AW666" i="1"/>
  <c r="AW665" i="1"/>
  <c r="AW664" i="1"/>
  <c r="AW663" i="1"/>
  <c r="AW662" i="1"/>
  <c r="AW661" i="1"/>
  <c r="AW660" i="1"/>
  <c r="AW659" i="1"/>
  <c r="AW658" i="1"/>
  <c r="AW657" i="1"/>
  <c r="AW656" i="1"/>
  <c r="AW655" i="1"/>
  <c r="AW654" i="1"/>
  <c r="AW653" i="1"/>
  <c r="AW652" i="1"/>
  <c r="AW651" i="1"/>
  <c r="AW650" i="1"/>
  <c r="AW649" i="1"/>
  <c r="AW648" i="1"/>
  <c r="AW647" i="1"/>
  <c r="AW646" i="1"/>
  <c r="AW645" i="1"/>
  <c r="AW644" i="1"/>
  <c r="AW643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6" i="1"/>
  <c r="AW625" i="1"/>
  <c r="AW624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1" i="1"/>
  <c r="AW610" i="1"/>
  <c r="AW609" i="1"/>
  <c r="AW608" i="1"/>
  <c r="AW607" i="1"/>
  <c r="AW606" i="1"/>
  <c r="AW605" i="1"/>
  <c r="AW604" i="1"/>
  <c r="AW603" i="1"/>
  <c r="AW602" i="1"/>
  <c r="AW601" i="1"/>
  <c r="AW600" i="1"/>
  <c r="AW599" i="1"/>
  <c r="AW598" i="1"/>
  <c r="AW597" i="1"/>
  <c r="AW596" i="1"/>
  <c r="AW595" i="1"/>
  <c r="AW594" i="1"/>
  <c r="AW593" i="1"/>
  <c r="AW592" i="1"/>
  <c r="AW591" i="1"/>
  <c r="AW590" i="1"/>
  <c r="AW589" i="1"/>
  <c r="AW588" i="1"/>
  <c r="AW587" i="1"/>
  <c r="AW586" i="1"/>
  <c r="AW585" i="1"/>
  <c r="AW584" i="1"/>
  <c r="AW583" i="1"/>
  <c r="AW582" i="1"/>
  <c r="AW581" i="1"/>
  <c r="AW580" i="1"/>
  <c r="AW579" i="1"/>
  <c r="AW578" i="1"/>
  <c r="AW577" i="1"/>
  <c r="AW576" i="1"/>
  <c r="AW575" i="1"/>
  <c r="AW574" i="1"/>
  <c r="AW573" i="1"/>
  <c r="AW572" i="1"/>
  <c r="AW571" i="1"/>
  <c r="AW570" i="1"/>
  <c r="AW569" i="1"/>
  <c r="AW568" i="1"/>
  <c r="AW567" i="1"/>
  <c r="AW566" i="1"/>
  <c r="AW565" i="1"/>
  <c r="AW564" i="1"/>
  <c r="AW563" i="1"/>
  <c r="AW562" i="1"/>
  <c r="AW561" i="1"/>
  <c r="AW560" i="1"/>
  <c r="AW559" i="1"/>
  <c r="AW558" i="1"/>
  <c r="AW557" i="1"/>
  <c r="AW556" i="1"/>
  <c r="AW555" i="1"/>
  <c r="AW554" i="1"/>
  <c r="AW553" i="1"/>
  <c r="AW552" i="1"/>
  <c r="AW551" i="1"/>
  <c r="AW550" i="1"/>
  <c r="AW549" i="1"/>
  <c r="AW548" i="1"/>
  <c r="AW547" i="1"/>
  <c r="AW546" i="1"/>
  <c r="AW545" i="1"/>
  <c r="AW544" i="1"/>
  <c r="AW543" i="1"/>
  <c r="AW542" i="1"/>
  <c r="AW541" i="1"/>
  <c r="AW540" i="1"/>
  <c r="AW539" i="1"/>
  <c r="AW538" i="1"/>
  <c r="AW537" i="1"/>
  <c r="AW536" i="1"/>
  <c r="AW535" i="1"/>
  <c r="AW534" i="1"/>
  <c r="AW533" i="1"/>
  <c r="AW532" i="1"/>
  <c r="AW531" i="1"/>
  <c r="AW530" i="1"/>
  <c r="AW529" i="1"/>
  <c r="AW528" i="1"/>
  <c r="AW527" i="1"/>
  <c r="AW526" i="1"/>
  <c r="AW525" i="1"/>
  <c r="AW524" i="1"/>
  <c r="AW523" i="1"/>
  <c r="AW522" i="1"/>
  <c r="AW521" i="1"/>
  <c r="AW520" i="1"/>
  <c r="AW519" i="1"/>
  <c r="AW518" i="1"/>
  <c r="AW517" i="1"/>
  <c r="AW516" i="1"/>
  <c r="AW515" i="1"/>
  <c r="AW514" i="1"/>
  <c r="AW513" i="1"/>
  <c r="AW512" i="1"/>
  <c r="AW511" i="1"/>
  <c r="AW510" i="1"/>
  <c r="AW509" i="1"/>
  <c r="AW508" i="1"/>
  <c r="AW507" i="1"/>
  <c r="AW506" i="1"/>
  <c r="AW505" i="1"/>
  <c r="AW504" i="1"/>
  <c r="AW503" i="1"/>
  <c r="AW502" i="1"/>
  <c r="AW501" i="1"/>
  <c r="AW500" i="1"/>
  <c r="AW499" i="1"/>
  <c r="AW498" i="1"/>
  <c r="AW497" i="1"/>
  <c r="AW496" i="1"/>
  <c r="AW495" i="1"/>
  <c r="AW494" i="1"/>
  <c r="AW493" i="1"/>
  <c r="AW492" i="1"/>
  <c r="AW491" i="1"/>
  <c r="AW490" i="1"/>
  <c r="AW489" i="1"/>
  <c r="AW488" i="1"/>
  <c r="AW487" i="1"/>
  <c r="AW486" i="1"/>
  <c r="AW485" i="1"/>
  <c r="AW484" i="1"/>
  <c r="AW483" i="1"/>
  <c r="AW482" i="1"/>
  <c r="AW481" i="1"/>
  <c r="AW480" i="1"/>
  <c r="AW479" i="1"/>
  <c r="AW47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8" i="1"/>
  <c r="AW457" i="1"/>
  <c r="AW456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4" i="1"/>
  <c r="AW433" i="1"/>
  <c r="AW432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10" i="1"/>
  <c r="AW409" i="1"/>
  <c r="AW408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6" i="1"/>
  <c r="AW385" i="1"/>
  <c r="AW384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70" i="1"/>
  <c r="AW169" i="1"/>
  <c r="AW168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6" i="1"/>
  <c r="AW145" i="1"/>
  <c r="AW144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K8" i="1" l="1"/>
  <c r="AK10" i="1" s="1"/>
  <c r="AM14" i="1"/>
  <c r="AF14" i="1"/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4" i="1" l="1"/>
  <c r="AK14" i="1"/>
  <c r="AJ14" i="1"/>
  <c r="N43" i="1"/>
  <c r="N27" i="1"/>
  <c r="N11" i="1"/>
  <c r="N36" i="1"/>
  <c r="N38" i="1"/>
  <c r="N22" i="1"/>
  <c r="N6" i="1"/>
  <c r="N33" i="1"/>
  <c r="N25" i="1"/>
  <c r="N17" i="1"/>
  <c r="N16" i="1"/>
  <c r="N32" i="1"/>
  <c r="N8" i="1"/>
  <c r="N41" i="1"/>
  <c r="N21" i="1"/>
  <c r="N13" i="1"/>
  <c r="N5" i="1"/>
  <c r="N20" i="1"/>
  <c r="N31" i="1"/>
  <c r="N12" i="1"/>
  <c r="N18" i="1"/>
  <c r="AB1" i="1"/>
  <c r="O11" i="1" s="1"/>
  <c r="AG14" i="1"/>
  <c r="N29" i="1"/>
  <c r="P29" i="1"/>
  <c r="N19" i="1"/>
  <c r="P19" i="1"/>
  <c r="N9" i="1"/>
  <c r="P9" i="1"/>
  <c r="N40" i="1"/>
  <c r="P40" i="1"/>
  <c r="N39" i="1"/>
  <c r="P39" i="1"/>
  <c r="N7" i="1"/>
  <c r="P7" i="1"/>
  <c r="N34" i="1"/>
  <c r="P34" i="1"/>
  <c r="N28" i="1"/>
  <c r="P28" i="1"/>
  <c r="N42" i="1"/>
  <c r="P42" i="1"/>
  <c r="N14" i="1"/>
  <c r="P14" i="1"/>
  <c r="P11" i="1"/>
  <c r="P38" i="1"/>
  <c r="P6" i="1"/>
  <c r="P25" i="1"/>
  <c r="P16" i="1"/>
  <c r="P8" i="1"/>
  <c r="P21" i="1"/>
  <c r="P13" i="1"/>
  <c r="P20" i="1"/>
  <c r="P12" i="1"/>
  <c r="P10" i="1"/>
  <c r="N10" i="1"/>
  <c r="N26" i="1"/>
  <c r="P26" i="1"/>
  <c r="N37" i="1"/>
  <c r="P37" i="1"/>
  <c r="N23" i="1"/>
  <c r="P23" i="1"/>
  <c r="N24" i="1"/>
  <c r="P24" i="1"/>
  <c r="N35" i="1"/>
  <c r="P35" i="1"/>
  <c r="N30" i="1"/>
  <c r="P30" i="1"/>
  <c r="N15" i="1"/>
  <c r="P15" i="1"/>
  <c r="P43" i="1"/>
  <c r="P27" i="1"/>
  <c r="P36" i="1"/>
  <c r="P22" i="1"/>
  <c r="P33" i="1"/>
  <c r="P17" i="1"/>
  <c r="P32" i="1"/>
  <c r="P41" i="1"/>
  <c r="P5" i="1"/>
  <c r="P31" i="1"/>
  <c r="P18" i="1"/>
  <c r="P4" i="1"/>
  <c r="N4" i="1"/>
  <c r="BA1" i="1"/>
  <c r="O28" i="1" l="1"/>
  <c r="O35" i="1"/>
  <c r="O4" i="1"/>
  <c r="O15" i="1"/>
  <c r="O37" i="1"/>
  <c r="O24" i="1"/>
  <c r="O26" i="1"/>
  <c r="O30" i="1"/>
  <c r="O9" i="1"/>
  <c r="O39" i="1"/>
  <c r="AD1" i="1"/>
  <c r="O10" i="1"/>
  <c r="O14" i="1"/>
  <c r="O34" i="1"/>
  <c r="O18" i="1"/>
  <c r="O8" i="1"/>
  <c r="O17" i="1"/>
  <c r="O23" i="1"/>
  <c r="O42" i="1"/>
  <c r="O7" i="1"/>
  <c r="O40" i="1"/>
  <c r="O19" i="1"/>
  <c r="O29" i="1"/>
  <c r="O31" i="1"/>
  <c r="O32" i="1"/>
  <c r="AA2" i="1"/>
  <c r="O12" i="1"/>
  <c r="O20" i="1"/>
  <c r="O13" i="1"/>
  <c r="O41" i="1"/>
  <c r="O33" i="1"/>
  <c r="O22" i="1"/>
  <c r="O36" i="1"/>
  <c r="O27" i="1"/>
  <c r="O25" i="1"/>
  <c r="O38" i="1"/>
  <c r="O43" i="1"/>
  <c r="O5" i="1"/>
  <c r="O21" i="1"/>
  <c r="O16" i="1"/>
  <c r="O6" i="1"/>
  <c r="AE1" i="1" l="1"/>
  <c r="AF1" i="1" s="1"/>
</calcChain>
</file>

<file path=xl/comments1.xml><?xml version="1.0" encoding="utf-8"?>
<comments xmlns="http://schemas.openxmlformats.org/spreadsheetml/2006/main">
  <authors>
    <author>作者</author>
  </authors>
  <commentList>
    <comment ref="AY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cgBvAHcAcwA9ADgALABjAG8AbABzAD0AMgA=</t>
        </r>
      </text>
    </comment>
    <comment ref="BA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cgBvAHcAcwA9ADgALABjAG8AbABzAD0ANAA=</t>
        </r>
      </text>
    </comment>
    <comment ref="BL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cgBvAHcAcwA9ADgALABjAG8AbABzAD0AMgA=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cgBvAHcAcwA9ADEAMgAzACwAYwBvAGwAcwA9ADIA</t>
        </r>
      </text>
    </comment>
  </commentList>
</comments>
</file>

<file path=xl/sharedStrings.xml><?xml version="1.0" encoding="utf-8"?>
<sst xmlns="http://schemas.openxmlformats.org/spreadsheetml/2006/main" count="360" uniqueCount="91">
  <si>
    <t>日期</t>
  </si>
  <si>
    <t>净值涨跌幅</t>
  </si>
  <si>
    <t>系数之和</t>
    <phoneticPr fontId="2" type="noConversion"/>
  </si>
  <si>
    <t>误差平方和</t>
    <phoneticPr fontId="2" type="noConversion"/>
  </si>
  <si>
    <t>误差平方</t>
    <phoneticPr fontId="2" type="noConversion"/>
  </si>
  <si>
    <t>回归系数1</t>
    <phoneticPr fontId="2" type="noConversion"/>
  </si>
  <si>
    <t>回归系数2</t>
    <phoneticPr fontId="2" type="noConversion"/>
  </si>
  <si>
    <t>回归系数3</t>
    <phoneticPr fontId="2" type="noConversion"/>
  </si>
  <si>
    <t>最小误差和</t>
    <phoneticPr fontId="2" type="noConversion"/>
  </si>
  <si>
    <t>总平方和</t>
    <phoneticPr fontId="2" type="noConversion"/>
  </si>
  <si>
    <t>平均涨跌幅</t>
    <phoneticPr fontId="2" type="noConversion"/>
  </si>
  <si>
    <t>166005.OF</t>
    <phoneticPr fontId="2" type="noConversion"/>
  </si>
  <si>
    <t>基金代码</t>
    <phoneticPr fontId="2" type="noConversion"/>
  </si>
  <si>
    <t>基金名称</t>
    <phoneticPr fontId="2" type="noConversion"/>
  </si>
  <si>
    <t>期初日期</t>
    <phoneticPr fontId="2" type="noConversion"/>
  </si>
  <si>
    <t>期末日期</t>
    <phoneticPr fontId="2" type="noConversion"/>
  </si>
  <si>
    <t>中证500回归系数</t>
    <phoneticPr fontId="2" type="noConversion"/>
  </si>
  <si>
    <t>国债因子回回归系数</t>
    <phoneticPr fontId="4" type="noConversion"/>
  </si>
  <si>
    <t>R方</t>
    <phoneticPr fontId="2" type="noConversion"/>
  </si>
  <si>
    <t>回归系数4</t>
    <phoneticPr fontId="2" type="noConversion"/>
  </si>
  <si>
    <t>沪深300回归系数</t>
    <phoneticPr fontId="2" type="noConversion"/>
  </si>
  <si>
    <t>基金代码</t>
    <phoneticPr fontId="2" type="noConversion"/>
  </si>
  <si>
    <t>基金名称</t>
    <phoneticPr fontId="2" type="noConversion"/>
  </si>
  <si>
    <t>成立日期</t>
    <phoneticPr fontId="2" type="noConversion"/>
  </si>
  <si>
    <t>上一个工作日</t>
    <phoneticPr fontId="2" type="noConversion"/>
  </si>
  <si>
    <t>成立后3个月</t>
    <phoneticPr fontId="2" type="noConversion"/>
  </si>
  <si>
    <t>沪深300</t>
  </si>
  <si>
    <t>中证500</t>
  </si>
  <si>
    <t>中证1000</t>
  </si>
  <si>
    <t>计算一个有多少个交易日</t>
    <phoneticPr fontId="2" type="noConversion"/>
  </si>
  <si>
    <t>序号</t>
    <phoneticPr fontId="2" type="noConversion"/>
  </si>
  <si>
    <t>中证1000回归系数</t>
    <phoneticPr fontId="2" type="noConversion"/>
  </si>
  <si>
    <t>沪深300最低可能仓位</t>
    <phoneticPr fontId="2" type="noConversion"/>
  </si>
  <si>
    <t>中证500可能最低仓位</t>
    <phoneticPr fontId="2" type="noConversion"/>
  </si>
  <si>
    <t>周涨跌幅(%)</t>
  </si>
  <si>
    <t>取3的倍数</t>
    <phoneticPr fontId="2" type="noConversion"/>
  </si>
  <si>
    <t>一共有多少周</t>
    <phoneticPr fontId="2" type="noConversion"/>
  </si>
  <si>
    <t>误差平方和</t>
    <phoneticPr fontId="2" type="noConversion"/>
  </si>
  <si>
    <t>f_info_setupdate(T6)</t>
    <phoneticPr fontId="2" type="noConversion"/>
  </si>
  <si>
    <t>期末日期</t>
    <phoneticPr fontId="2" type="noConversion"/>
  </si>
  <si>
    <t>T6改变代码</t>
    <phoneticPr fontId="2" type="noConversion"/>
  </si>
  <si>
    <t>AE,AG1加上等号</t>
    <phoneticPr fontId="2" type="noConversion"/>
  </si>
  <si>
    <t>总回归平方和</t>
    <phoneticPr fontId="2" type="noConversion"/>
  </si>
  <si>
    <t>误差平方和</t>
    <phoneticPr fontId="2" type="noConversion"/>
  </si>
  <si>
    <t>R方</t>
    <phoneticPr fontId="2" type="noConversion"/>
  </si>
  <si>
    <t>基金净值收益率算术平均数</t>
    <phoneticPr fontId="2" type="noConversion"/>
  </si>
  <si>
    <t>一共多少周</t>
    <phoneticPr fontId="2" type="noConversion"/>
  </si>
  <si>
    <t>周复权单位净值</t>
  </si>
  <si>
    <t>基金净值增长率</t>
    <phoneticPr fontId="2" type="noConversion"/>
  </si>
  <si>
    <t>000986.SH</t>
  </si>
  <si>
    <t>全指能源</t>
  </si>
  <si>
    <t>000987.SH</t>
  </si>
  <si>
    <t>全指材料</t>
  </si>
  <si>
    <t>000988.CSI</t>
  </si>
  <si>
    <t>全指工业</t>
  </si>
  <si>
    <t>000989.SH</t>
  </si>
  <si>
    <t>全指可选</t>
  </si>
  <si>
    <t>000990.SH</t>
  </si>
  <si>
    <t>全指消费</t>
  </si>
  <si>
    <t>000991.SH</t>
  </si>
  <si>
    <t>全指医药</t>
  </si>
  <si>
    <t>000992.SH</t>
  </si>
  <si>
    <t>全指金融</t>
  </si>
  <si>
    <t>000993.SH</t>
  </si>
  <si>
    <t>全指信息</t>
  </si>
  <si>
    <t>000994.CSI</t>
  </si>
  <si>
    <t>全指电信</t>
  </si>
  <si>
    <t>000995.CSI</t>
  </si>
  <si>
    <t>全指公用</t>
  </si>
  <si>
    <t>回归系数5</t>
    <phoneticPr fontId="2" type="noConversion"/>
  </si>
  <si>
    <t>回归系数6</t>
    <phoneticPr fontId="2" type="noConversion"/>
  </si>
  <si>
    <t>回归系数7</t>
    <phoneticPr fontId="2" type="noConversion"/>
  </si>
  <si>
    <t>回归系数8</t>
    <phoneticPr fontId="2" type="noConversion"/>
  </si>
  <si>
    <t>回归系数9</t>
    <phoneticPr fontId="2" type="noConversion"/>
  </si>
  <si>
    <t>回归系数10</t>
    <phoneticPr fontId="2" type="noConversion"/>
  </si>
  <si>
    <t>回归系数11</t>
    <phoneticPr fontId="2" type="noConversion"/>
  </si>
  <si>
    <t>163406.OF</t>
    <phoneticPr fontId="2" type="noConversion"/>
  </si>
  <si>
    <t>163406.OF</t>
  </si>
  <si>
    <t>HisQuote(AH6,"[NAV_Adj]","1",AH9,AH10,-1,"M",1,2,1,1,1,1,2,2,1,,1)</t>
    <phoneticPr fontId="2" type="noConversion"/>
  </si>
  <si>
    <t>时间</t>
  </si>
  <si>
    <t>强势</t>
  </si>
  <si>
    <t>熊市组合</t>
  </si>
  <si>
    <t>震荡市组合</t>
  </si>
  <si>
    <t>牛市组合</t>
  </si>
  <si>
    <t>熊市</t>
    <phoneticPr fontId="2" type="noConversion"/>
  </si>
  <si>
    <t>现金</t>
    <phoneticPr fontId="4" type="noConversion"/>
  </si>
  <si>
    <t>期中日期</t>
    <phoneticPr fontId="2" type="noConversion"/>
  </si>
  <si>
    <t>期中日期</t>
  </si>
  <si>
    <t>现金</t>
  </si>
  <si>
    <t>R方</t>
  </si>
  <si>
    <t>期中日期：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</si>
</sst>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yyyy\-mm\-dd"/>
    <numFmt numFmtId="177" formatCode="#,##0.0000_ ;\-#,##0.0000\ "/>
    <numFmt numFmtId="178" formatCode="0.00_);[Red]\(0.00\)"/>
    <numFmt numFmtId="179" formatCode="0.00_ "/>
    <numFmt numFmtId="180" formatCode="0.000_ "/>
    <numFmt numFmtId="181" formatCode="###,###,##0.0000"/>
    <numFmt numFmtId="182" formatCode="#,##0.0000_ "/>
  </numFmts>
  <fonts count="7" x14ac:knownFonts="1">
    <font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 applyAlignment="1">
      <alignment horizontal="right"/>
    </xf>
    <xf numFmtId="0" fontId="1" fillId="0" borderId="0" xfId="0" applyNumberFormat="1" applyFont="1" applyAlignment="1">
      <alignment horizontal="right"/>
    </xf>
    <xf numFmtId="176" fontId="0" fillId="0" borderId="0" xfId="0" applyNumberFormat="1"/>
    <xf numFmtId="176" fontId="0" fillId="0" borderId="0" xfId="0" applyNumberFormat="1" applyAlignment="1">
      <alignment horizontal="right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10" fontId="0" fillId="0" borderId="0" xfId="0" applyNumberFormat="1" applyAlignment="1">
      <alignment vertical="center"/>
    </xf>
    <xf numFmtId="178" fontId="0" fillId="0" borderId="0" xfId="0" applyNumberFormat="1"/>
    <xf numFmtId="179" fontId="0" fillId="0" borderId="0" xfId="0" applyNumberFormat="1" applyAlignment="1">
      <alignment horizontal="right"/>
    </xf>
    <xf numFmtId="10" fontId="0" fillId="0" borderId="0" xfId="0" applyNumberFormat="1"/>
    <xf numFmtId="179" fontId="0" fillId="0" borderId="0" xfId="0" applyNumberFormat="1"/>
    <xf numFmtId="14" fontId="0" fillId="0" borderId="0" xfId="0" applyNumberFormat="1"/>
    <xf numFmtId="37" fontId="0" fillId="0" borderId="0" xfId="0" applyNumberFormat="1" applyAlignment="1">
      <alignment horizontal="right"/>
    </xf>
    <xf numFmtId="0" fontId="0" fillId="2" borderId="0" xfId="0" applyFill="1"/>
    <xf numFmtId="176" fontId="0" fillId="2" borderId="0" xfId="0" applyNumberFormat="1" applyFill="1" applyAlignment="1">
      <alignment horizontal="right"/>
    </xf>
    <xf numFmtId="0" fontId="0" fillId="3" borderId="0" xfId="0" applyFill="1"/>
    <xf numFmtId="0" fontId="0" fillId="3" borderId="0" xfId="0" applyNumberFormat="1" applyFill="1" applyAlignment="1">
      <alignment horizontal="right"/>
    </xf>
    <xf numFmtId="0" fontId="0" fillId="4" borderId="0" xfId="0" applyFill="1"/>
    <xf numFmtId="180" fontId="0" fillId="3" borderId="0" xfId="0" applyNumberFormat="1" applyFill="1"/>
    <xf numFmtId="177" fontId="0" fillId="2" borderId="0" xfId="0" applyNumberFormat="1" applyFill="1" applyAlignment="1">
      <alignment horizontal="right"/>
    </xf>
    <xf numFmtId="181" fontId="0" fillId="0" borderId="0" xfId="0" applyNumberFormat="1"/>
    <xf numFmtId="182" fontId="0" fillId="0" borderId="0" xfId="0" applyNumberFormat="1"/>
    <xf numFmtId="14" fontId="6" fillId="0" borderId="1" xfId="0" applyNumberFormat="1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figure!$I$284</c:f>
          <c:strCache>
            <c:ptCount val="1"/>
            <c:pt idx="0">
              <c:v>兴全合润分级风格分析</c:v>
            </c:pt>
          </c:strCache>
        </c:strRef>
      </c:tx>
      <c:layout>
        <c:manualLayout>
          <c:xMode val="edge"/>
          <c:yMode val="edge"/>
          <c:x val="0.37646614518787214"/>
          <c:y val="2.3426065094332951E-2"/>
        </c:manualLayout>
      </c:layout>
      <c:overlay val="0"/>
      <c:txPr>
        <a:bodyPr/>
        <a:lstStyle/>
        <a:p>
          <a:pPr>
            <a:defRPr sz="1200" b="0" i="0" baseline="0">
              <a:solidFill>
                <a:schemeClr val="tx1"/>
              </a:solidFill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figure!$B$1</c:f>
              <c:strCache>
                <c:ptCount val="1"/>
                <c:pt idx="0">
                  <c:v>全指金融</c:v>
                </c:pt>
              </c:strCache>
            </c:strRef>
          </c:tx>
          <c:val>
            <c:numRef>
              <c:f>[0]!hs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[0]!time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D38-41C3-8C87-D536F489BAE2}"/>
            </c:ext>
          </c:extLst>
        </c:ser>
        <c:ser>
          <c:idx val="1"/>
          <c:order val="1"/>
          <c:tx>
            <c:strRef>
              <c:f>figure!$C$1</c:f>
              <c:strCache>
                <c:ptCount val="1"/>
                <c:pt idx="0">
                  <c:v>全指工业</c:v>
                </c:pt>
              </c:strCache>
            </c:strRef>
          </c:tx>
          <c:val>
            <c:numRef>
              <c:f>[0]!zzwubai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[0]!time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ED38-41C3-8C87-D536F489BAE2}"/>
            </c:ext>
          </c:extLst>
        </c:ser>
        <c:ser>
          <c:idx val="2"/>
          <c:order val="2"/>
          <c:tx>
            <c:strRef>
              <c:f>figure!$D$1</c:f>
              <c:strCache>
                <c:ptCount val="1"/>
                <c:pt idx="0">
                  <c:v>全指可选</c:v>
                </c:pt>
              </c:strCache>
            </c:strRef>
          </c:tx>
          <c:val>
            <c:numRef>
              <c:f>[0]!zzyiqian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[0]!time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ED38-41C3-8C87-D536F489BAE2}"/>
            </c:ext>
          </c:extLst>
        </c:ser>
        <c:ser>
          <c:idx val="3"/>
          <c:order val="3"/>
          <c:tx>
            <c:strRef>
              <c:f>figure!$E$1</c:f>
              <c:strCache>
                <c:ptCount val="1"/>
                <c:pt idx="0">
                  <c:v>全指材料</c:v>
                </c:pt>
              </c:strCache>
            </c:strRef>
          </c:tx>
          <c:val>
            <c:numRef>
              <c:f>[0]!cash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[0]!time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ED38-41C3-8C87-D536F489B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23264"/>
        <c:axId val="172125184"/>
      </c:areaChart>
      <c:catAx>
        <c:axId val="17212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72125184"/>
        <c:crosses val="autoZero"/>
        <c:auto val="1"/>
        <c:lblAlgn val="ctr"/>
        <c:lblOffset val="100"/>
        <c:noMultiLvlLbl val="1"/>
      </c:catAx>
      <c:valAx>
        <c:axId val="172125184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2123264"/>
        <c:crosses val="autoZero"/>
        <c:crossBetween val="midCat"/>
      </c:valAx>
    </c:plotArea>
    <c:legend>
      <c:legendPos val="b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熊市组合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熊市组合!$B$1</c:f>
              <c:strCache>
                <c:ptCount val="1"/>
                <c:pt idx="0">
                  <c:v>全指金融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熊市组合!$B$2:$B$196</c:f>
              <c:numCache>
                <c:formatCode>0.00%</c:formatCode>
                <c:ptCount val="195"/>
                <c:pt idx="0">
                  <c:v>0.16027228725889595</c:v>
                </c:pt>
                <c:pt idx="1">
                  <c:v>0.15838436844827611</c:v>
                </c:pt>
                <c:pt idx="2">
                  <c:v>0.15896878240971513</c:v>
                </c:pt>
                <c:pt idx="3">
                  <c:v>0.14993459340540455</c:v>
                </c:pt>
                <c:pt idx="4">
                  <c:v>0.1489141518901079</c:v>
                </c:pt>
                <c:pt idx="5">
                  <c:v>0.13652573957646602</c:v>
                </c:pt>
                <c:pt idx="6">
                  <c:v>0.1343749139581617</c:v>
                </c:pt>
                <c:pt idx="7">
                  <c:v>0.13400452013249395</c:v>
                </c:pt>
                <c:pt idx="8">
                  <c:v>0.14787214000031762</c:v>
                </c:pt>
                <c:pt idx="9">
                  <c:v>0.14585840563330979</c:v>
                </c:pt>
                <c:pt idx="10">
                  <c:v>0.14937016610316237</c:v>
                </c:pt>
                <c:pt idx="11">
                  <c:v>0.15625412026928209</c:v>
                </c:pt>
                <c:pt idx="12">
                  <c:v>0.17871972648076745</c:v>
                </c:pt>
                <c:pt idx="13">
                  <c:v>0.14513081771896316</c:v>
                </c:pt>
                <c:pt idx="14">
                  <c:v>0.15579923296107348</c:v>
                </c:pt>
                <c:pt idx="15">
                  <c:v>0.15596894430720354</c:v>
                </c:pt>
                <c:pt idx="16">
                  <c:v>0.15699927378932246</c:v>
                </c:pt>
                <c:pt idx="17">
                  <c:v>0.14838309352076198</c:v>
                </c:pt>
                <c:pt idx="18">
                  <c:v>0.14624685575378288</c:v>
                </c:pt>
                <c:pt idx="19">
                  <c:v>0.14215259231550167</c:v>
                </c:pt>
                <c:pt idx="20">
                  <c:v>0.14235786320298413</c:v>
                </c:pt>
                <c:pt idx="21">
                  <c:v>0.14337243759137067</c:v>
                </c:pt>
                <c:pt idx="22">
                  <c:v>0.14167362334365188</c:v>
                </c:pt>
                <c:pt idx="23">
                  <c:v>0.14120683512266191</c:v>
                </c:pt>
                <c:pt idx="24">
                  <c:v>0.1269528750209668</c:v>
                </c:pt>
                <c:pt idx="25">
                  <c:v>0.13980669670927595</c:v>
                </c:pt>
                <c:pt idx="26">
                  <c:v>0.13826001297101334</c:v>
                </c:pt>
                <c:pt idx="27">
                  <c:v>0.14133760598516812</c:v>
                </c:pt>
                <c:pt idx="28">
                  <c:v>0.15485050593309332</c:v>
                </c:pt>
                <c:pt idx="29">
                  <c:v>0.15386673737829865</c:v>
                </c:pt>
                <c:pt idx="30">
                  <c:v>0.15351546705835506</c:v>
                </c:pt>
                <c:pt idx="31">
                  <c:v>0.1543197256422795</c:v>
                </c:pt>
                <c:pt idx="32">
                  <c:v>0.15403352803025033</c:v>
                </c:pt>
                <c:pt idx="33">
                  <c:v>0.14993429899301602</c:v>
                </c:pt>
                <c:pt idx="34">
                  <c:v>0.15521787003640569</c:v>
                </c:pt>
                <c:pt idx="35">
                  <c:v>0.15113406254868747</c:v>
                </c:pt>
                <c:pt idx="36">
                  <c:v>0.14935982857449873</c:v>
                </c:pt>
                <c:pt idx="37">
                  <c:v>0.14886077185575494</c:v>
                </c:pt>
                <c:pt idx="38">
                  <c:v>0.14771481464887201</c:v>
                </c:pt>
                <c:pt idx="39">
                  <c:v>0.13818888667933169</c:v>
                </c:pt>
                <c:pt idx="40">
                  <c:v>0.14364354283698641</c:v>
                </c:pt>
                <c:pt idx="41">
                  <c:v>0.14813118637382472</c:v>
                </c:pt>
                <c:pt idx="42">
                  <c:v>0.1455515684735928</c:v>
                </c:pt>
                <c:pt idx="43">
                  <c:v>0.14230309831445032</c:v>
                </c:pt>
                <c:pt idx="44">
                  <c:v>0.14579852447709774</c:v>
                </c:pt>
                <c:pt idx="45">
                  <c:v>0.14223259768735544</c:v>
                </c:pt>
                <c:pt idx="46">
                  <c:v>0.16451541674136105</c:v>
                </c:pt>
                <c:pt idx="47">
                  <c:v>0.16562538814246375</c:v>
                </c:pt>
                <c:pt idx="48">
                  <c:v>0.14650092910329729</c:v>
                </c:pt>
                <c:pt idx="49">
                  <c:v>0.14522278870134656</c:v>
                </c:pt>
                <c:pt idx="50">
                  <c:v>0.14264886341728406</c:v>
                </c:pt>
                <c:pt idx="51">
                  <c:v>0.13109104010600231</c:v>
                </c:pt>
                <c:pt idx="52">
                  <c:v>0.11115834171228114</c:v>
                </c:pt>
                <c:pt idx="53">
                  <c:v>0.13955013200892141</c:v>
                </c:pt>
                <c:pt idx="54">
                  <c:v>0.11734298134995494</c:v>
                </c:pt>
                <c:pt idx="55">
                  <c:v>0.11237123606915461</c:v>
                </c:pt>
                <c:pt idx="56">
                  <c:v>0.10656910635861849</c:v>
                </c:pt>
                <c:pt idx="57">
                  <c:v>0.10759778146631371</c:v>
                </c:pt>
                <c:pt idx="58">
                  <c:v>0.10853331122080688</c:v>
                </c:pt>
                <c:pt idx="59">
                  <c:v>0.10731980282411374</c:v>
                </c:pt>
                <c:pt idx="60">
                  <c:v>0.10763333125276744</c:v>
                </c:pt>
                <c:pt idx="61">
                  <c:v>9.3294608753590899E-2</c:v>
                </c:pt>
                <c:pt idx="62">
                  <c:v>9.331122911519607E-2</c:v>
                </c:pt>
                <c:pt idx="63">
                  <c:v>0.10027035463293681</c:v>
                </c:pt>
                <c:pt idx="64">
                  <c:v>0.1076835671413605</c:v>
                </c:pt>
                <c:pt idx="65">
                  <c:v>0.11134959920668933</c:v>
                </c:pt>
                <c:pt idx="66">
                  <c:v>0.11173722979697438</c:v>
                </c:pt>
                <c:pt idx="67">
                  <c:v>0.10569029808933492</c:v>
                </c:pt>
                <c:pt idx="68">
                  <c:v>5.581688121384875E-2</c:v>
                </c:pt>
                <c:pt idx="69">
                  <c:v>4.1809265379879584E-2</c:v>
                </c:pt>
                <c:pt idx="70">
                  <c:v>4.4273622173364509E-2</c:v>
                </c:pt>
                <c:pt idx="71">
                  <c:v>3.6878771608461897E-2</c:v>
                </c:pt>
                <c:pt idx="72">
                  <c:v>4.2628066398003095E-2</c:v>
                </c:pt>
                <c:pt idx="73">
                  <c:v>3.8637023663763329E-2</c:v>
                </c:pt>
                <c:pt idx="74">
                  <c:v>4.6309463537730182E-2</c:v>
                </c:pt>
                <c:pt idx="75">
                  <c:v>3.4799398882454979E-2</c:v>
                </c:pt>
                <c:pt idx="76">
                  <c:v>3.1055814016391438E-2</c:v>
                </c:pt>
                <c:pt idx="77">
                  <c:v>3.1802328475360318E-2</c:v>
                </c:pt>
                <c:pt idx="78">
                  <c:v>3.7344134507988354E-2</c:v>
                </c:pt>
                <c:pt idx="79">
                  <c:v>2.0120889916899157E-2</c:v>
                </c:pt>
                <c:pt idx="80">
                  <c:v>7.0253762465810374E-2</c:v>
                </c:pt>
                <c:pt idx="81">
                  <c:v>8.7917405002225155E-2</c:v>
                </c:pt>
                <c:pt idx="82">
                  <c:v>8.6580686451871586E-2</c:v>
                </c:pt>
                <c:pt idx="83">
                  <c:v>0.10386210024256654</c:v>
                </c:pt>
                <c:pt idx="84">
                  <c:v>8.7667652914436275E-2</c:v>
                </c:pt>
                <c:pt idx="85">
                  <c:v>8.1269450958811065E-2</c:v>
                </c:pt>
                <c:pt idx="86">
                  <c:v>7.4181197650563163E-2</c:v>
                </c:pt>
                <c:pt idx="87">
                  <c:v>4.9569281805044899E-2</c:v>
                </c:pt>
                <c:pt idx="88">
                  <c:v>4.94460505536371E-2</c:v>
                </c:pt>
                <c:pt idx="89">
                  <c:v>4.8934416125601517E-2</c:v>
                </c:pt>
                <c:pt idx="90">
                  <c:v>1.2347152130437085E-2</c:v>
                </c:pt>
                <c:pt idx="91">
                  <c:v>6.148611321779271E-4</c:v>
                </c:pt>
                <c:pt idx="92">
                  <c:v>9.1211781554240303E-5</c:v>
                </c:pt>
                <c:pt idx="93">
                  <c:v>8.5721395190203073E-5</c:v>
                </c:pt>
                <c:pt idx="94">
                  <c:v>3.2919370812159268E-3</c:v>
                </c:pt>
                <c:pt idx="95">
                  <c:v>8.8411152391500211E-3</c:v>
                </c:pt>
                <c:pt idx="96">
                  <c:v>4.7381116840942614E-5</c:v>
                </c:pt>
                <c:pt idx="97">
                  <c:v>6.3443930954858621E-5</c:v>
                </c:pt>
                <c:pt idx="98">
                  <c:v>7.2057360916407835E-5</c:v>
                </c:pt>
                <c:pt idx="99">
                  <c:v>5.6689137731026886E-5</c:v>
                </c:pt>
                <c:pt idx="100">
                  <c:v>4.5071134346533941E-5</c:v>
                </c:pt>
                <c:pt idx="101">
                  <c:v>3.615907621829506E-5</c:v>
                </c:pt>
                <c:pt idx="102">
                  <c:v>3.4507440575008652E-5</c:v>
                </c:pt>
                <c:pt idx="103">
                  <c:v>4.5698719332701574E-5</c:v>
                </c:pt>
                <c:pt idx="104">
                  <c:v>4.7286576197295403E-5</c:v>
                </c:pt>
                <c:pt idx="105">
                  <c:v>4.5190550356206801E-5</c:v>
                </c:pt>
                <c:pt idx="106">
                  <c:v>3.8487437733852616E-5</c:v>
                </c:pt>
                <c:pt idx="107">
                  <c:v>4.1624805032353117E-5</c:v>
                </c:pt>
                <c:pt idx="108">
                  <c:v>1.8374939826042078E-2</c:v>
                </c:pt>
                <c:pt idx="109">
                  <c:v>1.6797175140407943E-2</c:v>
                </c:pt>
                <c:pt idx="110">
                  <c:v>7.346303028946336E-3</c:v>
                </c:pt>
                <c:pt idx="111">
                  <c:v>8.6093481787611736E-5</c:v>
                </c:pt>
                <c:pt idx="112">
                  <c:v>2.9803479578720714E-2</c:v>
                </c:pt>
                <c:pt idx="113">
                  <c:v>3.6431602781633092E-2</c:v>
                </c:pt>
                <c:pt idx="114">
                  <c:v>5.2970898984499443E-2</c:v>
                </c:pt>
                <c:pt idx="115">
                  <c:v>6.1315244393866333E-2</c:v>
                </c:pt>
                <c:pt idx="116">
                  <c:v>6.2411842030752548E-2</c:v>
                </c:pt>
                <c:pt idx="117">
                  <c:v>7.6098470477743999E-2</c:v>
                </c:pt>
                <c:pt idx="118">
                  <c:v>7.0319005753122457E-2</c:v>
                </c:pt>
                <c:pt idx="119">
                  <c:v>7.0430943867606677E-2</c:v>
                </c:pt>
                <c:pt idx="120">
                  <c:v>8.3291587445968138E-2</c:v>
                </c:pt>
                <c:pt idx="121">
                  <c:v>8.5644221264602999E-2</c:v>
                </c:pt>
                <c:pt idx="122">
                  <c:v>9.3110952790329243E-2</c:v>
                </c:pt>
                <c:pt idx="123">
                  <c:v>8.7570008822156598E-2</c:v>
                </c:pt>
                <c:pt idx="124">
                  <c:v>0.10319404142993478</c:v>
                </c:pt>
                <c:pt idx="125">
                  <c:v>0.10286160091263447</c:v>
                </c:pt>
                <c:pt idx="126">
                  <c:v>8.3422217011248592E-2</c:v>
                </c:pt>
                <c:pt idx="127">
                  <c:v>7.5208980404142214E-2</c:v>
                </c:pt>
                <c:pt idx="128">
                  <c:v>6.5952140507721302E-2</c:v>
                </c:pt>
                <c:pt idx="129">
                  <c:v>6.0737734354846848E-2</c:v>
                </c:pt>
                <c:pt idx="130">
                  <c:v>9.6177166992446245E-2</c:v>
                </c:pt>
                <c:pt idx="131">
                  <c:v>0.11553929898858027</c:v>
                </c:pt>
                <c:pt idx="132">
                  <c:v>0.11445700128092479</c:v>
                </c:pt>
                <c:pt idx="133">
                  <c:v>0.15534696493311159</c:v>
                </c:pt>
                <c:pt idx="134">
                  <c:v>0.16526140243858906</c:v>
                </c:pt>
                <c:pt idx="135">
                  <c:v>0.15854653324037463</c:v>
                </c:pt>
                <c:pt idx="136">
                  <c:v>0.16097846407940303</c:v>
                </c:pt>
                <c:pt idx="137">
                  <c:v>0.15675384398990228</c:v>
                </c:pt>
                <c:pt idx="138">
                  <c:v>0.15611997470964142</c:v>
                </c:pt>
                <c:pt idx="139">
                  <c:v>0.17816349073552132</c:v>
                </c:pt>
                <c:pt idx="140">
                  <c:v>0.18073622176301926</c:v>
                </c:pt>
                <c:pt idx="141">
                  <c:v>0.17606006132374549</c:v>
                </c:pt>
                <c:pt idx="142">
                  <c:v>0.16197241882044108</c:v>
                </c:pt>
                <c:pt idx="143">
                  <c:v>0.1553713150616878</c:v>
                </c:pt>
                <c:pt idx="144">
                  <c:v>0.1555658246954176</c:v>
                </c:pt>
                <c:pt idx="145">
                  <c:v>0.15680124595301995</c:v>
                </c:pt>
                <c:pt idx="146">
                  <c:v>0.16353513022843472</c:v>
                </c:pt>
                <c:pt idx="147">
                  <c:v>0.16280099358482186</c:v>
                </c:pt>
                <c:pt idx="148">
                  <c:v>0.16286201957460117</c:v>
                </c:pt>
                <c:pt idx="149">
                  <c:v>0.17096569365727682</c:v>
                </c:pt>
                <c:pt idx="150">
                  <c:v>0.17110103472446589</c:v>
                </c:pt>
                <c:pt idx="151">
                  <c:v>0.17226739687582565</c:v>
                </c:pt>
                <c:pt idx="152">
                  <c:v>0.16055864615327822</c:v>
                </c:pt>
                <c:pt idx="153">
                  <c:v>0.163776086915428</c:v>
                </c:pt>
                <c:pt idx="154">
                  <c:v>0.15839007473972849</c:v>
                </c:pt>
                <c:pt idx="155">
                  <c:v>0.15407214780196662</c:v>
                </c:pt>
                <c:pt idx="156">
                  <c:v>0.15639956269289068</c:v>
                </c:pt>
                <c:pt idx="157">
                  <c:v>0.15352209614093251</c:v>
                </c:pt>
                <c:pt idx="158">
                  <c:v>0.15483645171261251</c:v>
                </c:pt>
                <c:pt idx="159">
                  <c:v>0.14210065979965161</c:v>
                </c:pt>
                <c:pt idx="160">
                  <c:v>0.142713087625187</c:v>
                </c:pt>
                <c:pt idx="161">
                  <c:v>0.13794230770195062</c:v>
                </c:pt>
                <c:pt idx="162">
                  <c:v>0.13587690769536317</c:v>
                </c:pt>
                <c:pt idx="163">
                  <c:v>0.1320337995886865</c:v>
                </c:pt>
                <c:pt idx="164">
                  <c:v>0.12965083017873741</c:v>
                </c:pt>
                <c:pt idx="165">
                  <c:v>0.12544947326189218</c:v>
                </c:pt>
                <c:pt idx="166">
                  <c:v>0.12909776565605646</c:v>
                </c:pt>
                <c:pt idx="167">
                  <c:v>0.1324414685440421</c:v>
                </c:pt>
                <c:pt idx="168">
                  <c:v>0.10627381071569901</c:v>
                </c:pt>
                <c:pt idx="169">
                  <c:v>0.10263564349326827</c:v>
                </c:pt>
                <c:pt idx="170">
                  <c:v>7.4847510767355865E-2</c:v>
                </c:pt>
                <c:pt idx="171">
                  <c:v>9.1839001658494165E-2</c:v>
                </c:pt>
                <c:pt idx="172">
                  <c:v>9.89376112377513E-2</c:v>
                </c:pt>
                <c:pt idx="173">
                  <c:v>8.8300655751999649E-2</c:v>
                </c:pt>
                <c:pt idx="174">
                  <c:v>7.8029180578026408E-2</c:v>
                </c:pt>
                <c:pt idx="175">
                  <c:v>8.3920488067797644E-2</c:v>
                </c:pt>
                <c:pt idx="176">
                  <c:v>8.8922978512141121E-2</c:v>
                </c:pt>
                <c:pt idx="177">
                  <c:v>8.954513186725041E-2</c:v>
                </c:pt>
                <c:pt idx="178">
                  <c:v>9.5202540958675169E-2</c:v>
                </c:pt>
                <c:pt idx="179">
                  <c:v>7.8775398663903179E-2</c:v>
                </c:pt>
                <c:pt idx="180">
                  <c:v>8.1402786293689938E-2</c:v>
                </c:pt>
                <c:pt idx="181">
                  <c:v>8.0712821577817687E-2</c:v>
                </c:pt>
                <c:pt idx="182">
                  <c:v>7.5270945806686571E-2</c:v>
                </c:pt>
                <c:pt idx="183">
                  <c:v>7.5929907480898631E-2</c:v>
                </c:pt>
                <c:pt idx="184">
                  <c:v>7.9500233510350959E-2</c:v>
                </c:pt>
                <c:pt idx="185">
                  <c:v>0.10267374387661651</c:v>
                </c:pt>
                <c:pt idx="186">
                  <c:v>0.10664505941133656</c:v>
                </c:pt>
                <c:pt idx="187">
                  <c:v>0.10358884253720912</c:v>
                </c:pt>
                <c:pt idx="188">
                  <c:v>0.10670620865960831</c:v>
                </c:pt>
                <c:pt idx="189">
                  <c:v>0.12314290002257981</c:v>
                </c:pt>
                <c:pt idx="190">
                  <c:v>0.10792281265665457</c:v>
                </c:pt>
                <c:pt idx="191">
                  <c:v>0.10612924038331796</c:v>
                </c:pt>
                <c:pt idx="192">
                  <c:v>0.10786446840070084</c:v>
                </c:pt>
                <c:pt idx="193">
                  <c:v>0.11084039403662053</c:v>
                </c:pt>
                <c:pt idx="194">
                  <c:v>0.12200160907905265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A-4542-8355-0FC18ADDF1F4}"/>
            </c:ext>
          </c:extLst>
        </c:ser>
        <c:ser>
          <c:idx val="1"/>
          <c:order val="1"/>
          <c:tx>
            <c:strRef>
              <c:f>熊市组合!$C$1</c:f>
              <c:strCache>
                <c:ptCount val="1"/>
                <c:pt idx="0">
                  <c:v>全指工业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熊市组合!$C$2:$C$196</c:f>
              <c:numCache>
                <c:formatCode>0.00%</c:formatCode>
                <c:ptCount val="195"/>
                <c:pt idx="0">
                  <c:v>2.7024597097072456E-6</c:v>
                </c:pt>
                <c:pt idx="1">
                  <c:v>1.2935723011608368E-5</c:v>
                </c:pt>
                <c:pt idx="2">
                  <c:v>1.9626993524666737E-5</c:v>
                </c:pt>
                <c:pt idx="3">
                  <c:v>1.7563274432951896E-5</c:v>
                </c:pt>
                <c:pt idx="4">
                  <c:v>1.5628209671991385E-5</c:v>
                </c:pt>
                <c:pt idx="5">
                  <c:v>1.3721229172798529E-5</c:v>
                </c:pt>
                <c:pt idx="6">
                  <c:v>3.7873057916767616E-6</c:v>
                </c:pt>
                <c:pt idx="7">
                  <c:v>9.8154324838194648E-6</c:v>
                </c:pt>
                <c:pt idx="8">
                  <c:v>1.2224799007633362E-5</c:v>
                </c:pt>
                <c:pt idx="9">
                  <c:v>1.6827124775128689E-5</c:v>
                </c:pt>
                <c:pt idx="10">
                  <c:v>3.1496405953037751E-2</c:v>
                </c:pt>
                <c:pt idx="11">
                  <c:v>2.2776331183000566E-2</c:v>
                </c:pt>
                <c:pt idx="12">
                  <c:v>3.5864438127991019E-2</c:v>
                </c:pt>
                <c:pt idx="13">
                  <c:v>6.8167350144202803E-5</c:v>
                </c:pt>
                <c:pt idx="14">
                  <c:v>2.6219707668742749E-5</c:v>
                </c:pt>
                <c:pt idx="15">
                  <c:v>2.8658357293632525E-5</c:v>
                </c:pt>
                <c:pt idx="16">
                  <c:v>3.5492709166458784E-5</c:v>
                </c:pt>
                <c:pt idx="17">
                  <c:v>1.4544221961682847E-2</c:v>
                </c:pt>
                <c:pt idx="18">
                  <c:v>1.7130433668759566E-2</c:v>
                </c:pt>
                <c:pt idx="19">
                  <c:v>1.909409516927027E-2</c:v>
                </c:pt>
                <c:pt idx="20">
                  <c:v>1.6485235156599266E-2</c:v>
                </c:pt>
                <c:pt idx="21">
                  <c:v>1.5035630696382699E-2</c:v>
                </c:pt>
                <c:pt idx="22">
                  <c:v>1.8360280605076721E-2</c:v>
                </c:pt>
                <c:pt idx="23">
                  <c:v>2.1221238501395557E-2</c:v>
                </c:pt>
                <c:pt idx="24">
                  <c:v>3.7039705159706157E-2</c:v>
                </c:pt>
                <c:pt idx="25">
                  <c:v>3.5247537167635096E-2</c:v>
                </c:pt>
                <c:pt idx="26">
                  <c:v>3.2864202615897939E-2</c:v>
                </c:pt>
                <c:pt idx="27">
                  <c:v>2.6412286546703068E-2</c:v>
                </c:pt>
                <c:pt idx="28">
                  <c:v>3.4323876087920861E-2</c:v>
                </c:pt>
                <c:pt idx="29">
                  <c:v>3.9788561066893338E-2</c:v>
                </c:pt>
                <c:pt idx="30">
                  <c:v>3.3494370550295971E-2</c:v>
                </c:pt>
                <c:pt idx="31">
                  <c:v>3.0395615994242755E-2</c:v>
                </c:pt>
                <c:pt idx="32">
                  <c:v>2.32404820182152E-2</c:v>
                </c:pt>
                <c:pt idx="33">
                  <c:v>2.7789024622709577E-2</c:v>
                </c:pt>
                <c:pt idx="34">
                  <c:v>3.77514194084555E-2</c:v>
                </c:pt>
                <c:pt idx="35">
                  <c:v>7.2250662332770041E-2</c:v>
                </c:pt>
                <c:pt idx="36">
                  <c:v>8.1256954699828451E-2</c:v>
                </c:pt>
                <c:pt idx="37">
                  <c:v>8.2287068832267177E-2</c:v>
                </c:pt>
                <c:pt idx="38">
                  <c:v>8.5122934034578032E-2</c:v>
                </c:pt>
                <c:pt idx="39">
                  <c:v>8.3034502764743862E-2</c:v>
                </c:pt>
                <c:pt idx="40">
                  <c:v>9.082755782267847E-2</c:v>
                </c:pt>
                <c:pt idx="41">
                  <c:v>8.8760888936936136E-2</c:v>
                </c:pt>
                <c:pt idx="42">
                  <c:v>8.9162724338903751E-2</c:v>
                </c:pt>
                <c:pt idx="43">
                  <c:v>0.10318438844407396</c:v>
                </c:pt>
                <c:pt idx="44">
                  <c:v>0.10051318165141344</c:v>
                </c:pt>
                <c:pt idx="45">
                  <c:v>0.10351617737200439</c:v>
                </c:pt>
                <c:pt idx="46">
                  <c:v>0.10522691936238951</c:v>
                </c:pt>
                <c:pt idx="47">
                  <c:v>0.10605887906368419</c:v>
                </c:pt>
                <c:pt idx="48">
                  <c:v>0.12677398544467788</c:v>
                </c:pt>
                <c:pt idx="49">
                  <c:v>0.11013487314387105</c:v>
                </c:pt>
                <c:pt idx="50">
                  <c:v>8.6849277965013696E-2</c:v>
                </c:pt>
                <c:pt idx="51">
                  <c:v>0.11622270889034794</c:v>
                </c:pt>
                <c:pt idx="52">
                  <c:v>0.11998997159921024</c:v>
                </c:pt>
                <c:pt idx="53">
                  <c:v>0.14915583586630832</c:v>
                </c:pt>
                <c:pt idx="54">
                  <c:v>0.19216534801926438</c:v>
                </c:pt>
                <c:pt idx="55">
                  <c:v>0.19858772879036962</c:v>
                </c:pt>
                <c:pt idx="56">
                  <c:v>0.19840355420604977</c:v>
                </c:pt>
                <c:pt idx="57">
                  <c:v>0.19071799171303372</c:v>
                </c:pt>
                <c:pt idx="58">
                  <c:v>0.18846942780685808</c:v>
                </c:pt>
                <c:pt idx="59">
                  <c:v>0.182093990131872</c:v>
                </c:pt>
                <c:pt idx="60">
                  <c:v>0.1831996869045413</c:v>
                </c:pt>
                <c:pt idx="61">
                  <c:v>0.18173688804022162</c:v>
                </c:pt>
                <c:pt idx="62">
                  <c:v>0.18173785751676466</c:v>
                </c:pt>
                <c:pt idx="63">
                  <c:v>0.19216831386033845</c:v>
                </c:pt>
                <c:pt idx="64">
                  <c:v>0.18556425791743786</c:v>
                </c:pt>
                <c:pt idx="65">
                  <c:v>0.14357237728979125</c:v>
                </c:pt>
                <c:pt idx="66">
                  <c:v>0.14818788536827518</c:v>
                </c:pt>
                <c:pt idx="67">
                  <c:v>0.18891506568204958</c:v>
                </c:pt>
                <c:pt idx="68">
                  <c:v>3.1503959501596915E-2</c:v>
                </c:pt>
                <c:pt idx="69">
                  <c:v>4.8353312045054574E-2</c:v>
                </c:pt>
                <c:pt idx="70">
                  <c:v>8.8030323900222876E-3</c:v>
                </c:pt>
                <c:pt idx="71">
                  <c:v>1.3087790575450297E-2</c:v>
                </c:pt>
                <c:pt idx="72">
                  <c:v>1.4616611284638965E-2</c:v>
                </c:pt>
                <c:pt idx="73">
                  <c:v>1.2633872727030145E-2</c:v>
                </c:pt>
                <c:pt idx="74">
                  <c:v>9.9826016108990299E-3</c:v>
                </c:pt>
                <c:pt idx="75">
                  <c:v>4.3673195913199563E-5</c:v>
                </c:pt>
                <c:pt idx="76">
                  <c:v>4.7747160047104681E-5</c:v>
                </c:pt>
                <c:pt idx="77">
                  <c:v>4.6798848017238917E-5</c:v>
                </c:pt>
                <c:pt idx="78">
                  <c:v>4.2463891926050029E-5</c:v>
                </c:pt>
                <c:pt idx="79">
                  <c:v>2.6257401298484991E-5</c:v>
                </c:pt>
                <c:pt idx="80">
                  <c:v>2.8335517866495924E-5</c:v>
                </c:pt>
                <c:pt idx="81">
                  <c:v>2.9684306040134711E-5</c:v>
                </c:pt>
                <c:pt idx="82">
                  <c:v>5.2294839466571761E-5</c:v>
                </c:pt>
                <c:pt idx="83">
                  <c:v>4.3409995659780552E-5</c:v>
                </c:pt>
                <c:pt idx="84">
                  <c:v>3.121436279734966E-5</c:v>
                </c:pt>
                <c:pt idx="85">
                  <c:v>2.7061735989137948E-5</c:v>
                </c:pt>
                <c:pt idx="86">
                  <c:v>5.2836526406292185E-6</c:v>
                </c:pt>
                <c:pt idx="87">
                  <c:v>1.6627982428625859E-5</c:v>
                </c:pt>
                <c:pt idx="88">
                  <c:v>1.5979306885002752E-5</c:v>
                </c:pt>
                <c:pt idx="89">
                  <c:v>1.2911094628520994E-5</c:v>
                </c:pt>
                <c:pt idx="90">
                  <c:v>1.3095719741883088E-5</c:v>
                </c:pt>
                <c:pt idx="91">
                  <c:v>6.8601550274178951E-7</c:v>
                </c:pt>
                <c:pt idx="92">
                  <c:v>4.2368446349141338E-6</c:v>
                </c:pt>
                <c:pt idx="93">
                  <c:v>5.7535848682884664E-6</c:v>
                </c:pt>
                <c:pt idx="94">
                  <c:v>3.4457638756912954E-6</c:v>
                </c:pt>
                <c:pt idx="95">
                  <c:v>6.6358789297653768E-6</c:v>
                </c:pt>
                <c:pt idx="96">
                  <c:v>1.815080894525927E-5</c:v>
                </c:pt>
                <c:pt idx="97">
                  <c:v>2.2899043753092595E-5</c:v>
                </c:pt>
                <c:pt idx="98">
                  <c:v>2.5645505303493966E-5</c:v>
                </c:pt>
                <c:pt idx="99">
                  <c:v>2.6245712541978329E-5</c:v>
                </c:pt>
                <c:pt idx="100">
                  <c:v>2.8070321448472455E-5</c:v>
                </c:pt>
                <c:pt idx="101">
                  <c:v>3.0248941743128581E-5</c:v>
                </c:pt>
                <c:pt idx="102">
                  <c:v>2.9710722147549616E-5</c:v>
                </c:pt>
                <c:pt idx="103">
                  <c:v>2.5505512240100082E-5</c:v>
                </c:pt>
                <c:pt idx="104">
                  <c:v>2.5795923211244285E-5</c:v>
                </c:pt>
                <c:pt idx="105">
                  <c:v>2.2995717703361286E-5</c:v>
                </c:pt>
                <c:pt idx="106">
                  <c:v>2.3810897622989407E-5</c:v>
                </c:pt>
                <c:pt idx="107">
                  <c:v>3.1991089701339143E-5</c:v>
                </c:pt>
                <c:pt idx="108">
                  <c:v>1.853978722268924E-5</c:v>
                </c:pt>
                <c:pt idx="109">
                  <c:v>3.2454367152929985E-5</c:v>
                </c:pt>
                <c:pt idx="110">
                  <c:v>1.3347949499117278E-5</c:v>
                </c:pt>
                <c:pt idx="111">
                  <c:v>1.5718440406939803E-5</c:v>
                </c:pt>
                <c:pt idx="112">
                  <c:v>1.9439713654024745E-5</c:v>
                </c:pt>
                <c:pt idx="113">
                  <c:v>2.2373916394827999E-5</c:v>
                </c:pt>
                <c:pt idx="114">
                  <c:v>4.5191618293988816E-6</c:v>
                </c:pt>
                <c:pt idx="115">
                  <c:v>7.5035314292917885E-7</c:v>
                </c:pt>
                <c:pt idx="116">
                  <c:v>6.7741335570292164E-7</c:v>
                </c:pt>
                <c:pt idx="117">
                  <c:v>1.7676800343044372E-6</c:v>
                </c:pt>
                <c:pt idx="118">
                  <c:v>1.150697830490423E-6</c:v>
                </c:pt>
                <c:pt idx="119">
                  <c:v>2.4332571204520411E-6</c:v>
                </c:pt>
                <c:pt idx="120">
                  <c:v>1.4438304904150537E-6</c:v>
                </c:pt>
                <c:pt idx="121">
                  <c:v>7.5737240438932336E-6</c:v>
                </c:pt>
                <c:pt idx="122">
                  <c:v>2.1467134107371353E-5</c:v>
                </c:pt>
                <c:pt idx="123">
                  <c:v>7.8132248089319203E-6</c:v>
                </c:pt>
                <c:pt idx="124">
                  <c:v>5.4042191675464375E-6</c:v>
                </c:pt>
                <c:pt idx="125">
                  <c:v>9.5218559292372539E-6</c:v>
                </c:pt>
                <c:pt idx="126">
                  <c:v>2.3638506416089455E-5</c:v>
                </c:pt>
                <c:pt idx="127">
                  <c:v>7.0124124055456549E-5</c:v>
                </c:pt>
                <c:pt idx="128">
                  <c:v>9.9839013295678625E-4</c:v>
                </c:pt>
                <c:pt idx="129">
                  <c:v>8.372078570222376E-5</c:v>
                </c:pt>
                <c:pt idx="130">
                  <c:v>5.8700645809277772E-2</c:v>
                </c:pt>
                <c:pt idx="131">
                  <c:v>3.7160150291093853E-2</c:v>
                </c:pt>
                <c:pt idx="132">
                  <c:v>3.7536413530237844E-2</c:v>
                </c:pt>
                <c:pt idx="133">
                  <c:v>2.613591655148623E-2</c:v>
                </c:pt>
                <c:pt idx="134">
                  <c:v>3.7685997641539598E-2</c:v>
                </c:pt>
                <c:pt idx="135">
                  <c:v>4.966263145209357E-2</c:v>
                </c:pt>
                <c:pt idx="136">
                  <c:v>5.6162599745795135E-2</c:v>
                </c:pt>
                <c:pt idx="137">
                  <c:v>1.8573247699423218E-2</c:v>
                </c:pt>
                <c:pt idx="138">
                  <c:v>1.5662320530386176E-2</c:v>
                </c:pt>
                <c:pt idx="139">
                  <c:v>6.8136341147704959E-3</c:v>
                </c:pt>
                <c:pt idx="140">
                  <c:v>1.7562625070209986E-2</c:v>
                </c:pt>
                <c:pt idx="141">
                  <c:v>8.8586344067057582E-5</c:v>
                </c:pt>
                <c:pt idx="142">
                  <c:v>8.0450961044005367E-5</c:v>
                </c:pt>
                <c:pt idx="143">
                  <c:v>3.8537044548130566E-5</c:v>
                </c:pt>
                <c:pt idx="144">
                  <c:v>8.7992532982849702E-6</c:v>
                </c:pt>
                <c:pt idx="145">
                  <c:v>3.4775722324841038E-5</c:v>
                </c:pt>
                <c:pt idx="146">
                  <c:v>6.1195667574357284E-5</c:v>
                </c:pt>
                <c:pt idx="147">
                  <c:v>8.3431036550735035E-5</c:v>
                </c:pt>
                <c:pt idx="148">
                  <c:v>8.6536268014973048E-5</c:v>
                </c:pt>
                <c:pt idx="149">
                  <c:v>8.5724725525224041E-5</c:v>
                </c:pt>
                <c:pt idx="150">
                  <c:v>8.8141809008780074E-5</c:v>
                </c:pt>
                <c:pt idx="151">
                  <c:v>8.5196699259907887E-5</c:v>
                </c:pt>
                <c:pt idx="152">
                  <c:v>8.2896504789486578E-5</c:v>
                </c:pt>
                <c:pt idx="153">
                  <c:v>2.2974311747923788E-5</c:v>
                </c:pt>
                <c:pt idx="154">
                  <c:v>1.970635052041576E-5</c:v>
                </c:pt>
                <c:pt idx="155">
                  <c:v>5.8271836384797485E-5</c:v>
                </c:pt>
                <c:pt idx="156">
                  <c:v>2.5878946871396799E-5</c:v>
                </c:pt>
                <c:pt idx="157">
                  <c:v>4.8928157000766049E-5</c:v>
                </c:pt>
                <c:pt idx="158">
                  <c:v>1.2709070455750367E-6</c:v>
                </c:pt>
                <c:pt idx="159">
                  <c:v>1.6857516535713068E-5</c:v>
                </c:pt>
                <c:pt idx="160">
                  <c:v>2.2481083433867976E-5</c:v>
                </c:pt>
                <c:pt idx="161">
                  <c:v>5.5010437044295553E-5</c:v>
                </c:pt>
                <c:pt idx="162">
                  <c:v>4.9474625340588415E-5</c:v>
                </c:pt>
                <c:pt idx="163">
                  <c:v>4.9848867583751844E-5</c:v>
                </c:pt>
                <c:pt idx="164">
                  <c:v>1.6582031461633644E-5</c:v>
                </c:pt>
                <c:pt idx="165">
                  <c:v>2.3405883456858115E-5</c:v>
                </c:pt>
                <c:pt idx="166">
                  <c:v>3.1059392735494676E-6</c:v>
                </c:pt>
                <c:pt idx="167">
                  <c:v>2.5125119821990882E-5</c:v>
                </c:pt>
                <c:pt idx="168">
                  <c:v>5.6944351627895416E-5</c:v>
                </c:pt>
                <c:pt idx="169">
                  <c:v>7.2995458596586529E-5</c:v>
                </c:pt>
                <c:pt idx="170">
                  <c:v>9.9656343921761407E-6</c:v>
                </c:pt>
                <c:pt idx="171">
                  <c:v>8.6886811574554967E-6</c:v>
                </c:pt>
                <c:pt idx="172">
                  <c:v>9.3122195284929555E-6</c:v>
                </c:pt>
                <c:pt idx="173">
                  <c:v>2.1338883850481198E-5</c:v>
                </c:pt>
                <c:pt idx="174">
                  <c:v>2.7183150686416114E-5</c:v>
                </c:pt>
                <c:pt idx="175">
                  <c:v>2.6960675624094386E-5</c:v>
                </c:pt>
                <c:pt idx="176">
                  <c:v>2.9070824385557412E-5</c:v>
                </c:pt>
                <c:pt idx="177">
                  <c:v>3.5878472286608738E-5</c:v>
                </c:pt>
                <c:pt idx="178">
                  <c:v>2.7049975575297671E-5</c:v>
                </c:pt>
                <c:pt idx="179">
                  <c:v>3.1425654704704382E-5</c:v>
                </c:pt>
                <c:pt idx="180">
                  <c:v>2.5713111986313864E-5</c:v>
                </c:pt>
                <c:pt idx="181">
                  <c:v>2.5937689894783509E-5</c:v>
                </c:pt>
                <c:pt idx="182">
                  <c:v>6.126610625752819E-6</c:v>
                </c:pt>
                <c:pt idx="183">
                  <c:v>8.4271638100749533E-6</c:v>
                </c:pt>
                <c:pt idx="184">
                  <c:v>1.5762735887798698E-5</c:v>
                </c:pt>
                <c:pt idx="185">
                  <c:v>1.9110303449953856E-5</c:v>
                </c:pt>
                <c:pt idx="186">
                  <c:v>8.01069040934923E-5</c:v>
                </c:pt>
                <c:pt idx="187">
                  <c:v>8.1295757490219841E-5</c:v>
                </c:pt>
                <c:pt idx="188">
                  <c:v>6.10696140907517E-5</c:v>
                </c:pt>
                <c:pt idx="189">
                  <c:v>3.5891119396353677E-5</c:v>
                </c:pt>
                <c:pt idx="190">
                  <c:v>3.974909979631407E-5</c:v>
                </c:pt>
                <c:pt idx="191">
                  <c:v>5.149240109557284E-5</c:v>
                </c:pt>
                <c:pt idx="192">
                  <c:v>5.1049410257855376E-5</c:v>
                </c:pt>
                <c:pt idx="193">
                  <c:v>5.2543551744381196E-5</c:v>
                </c:pt>
                <c:pt idx="194">
                  <c:v>4.7078847469945401E-5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BA-4542-8355-0FC18ADDF1F4}"/>
            </c:ext>
          </c:extLst>
        </c:ser>
        <c:ser>
          <c:idx val="2"/>
          <c:order val="2"/>
          <c:tx>
            <c:strRef>
              <c:f>熊市组合!$D$1</c:f>
              <c:strCache>
                <c:ptCount val="1"/>
                <c:pt idx="0">
                  <c:v>全指可选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熊市组合!$D$2:$D$196</c:f>
              <c:numCache>
                <c:formatCode>0.00%</c:formatCode>
                <c:ptCount val="195"/>
                <c:pt idx="0">
                  <c:v>0.24208062882333198</c:v>
                </c:pt>
                <c:pt idx="1">
                  <c:v>0.24460641836906755</c:v>
                </c:pt>
                <c:pt idx="2">
                  <c:v>0.24374569350428726</c:v>
                </c:pt>
                <c:pt idx="3">
                  <c:v>0.25539388906186239</c:v>
                </c:pt>
                <c:pt idx="4">
                  <c:v>0.26491931907458932</c:v>
                </c:pt>
                <c:pt idx="5">
                  <c:v>0.28082825857539484</c:v>
                </c:pt>
                <c:pt idx="6">
                  <c:v>0.27587029045502254</c:v>
                </c:pt>
                <c:pt idx="7">
                  <c:v>0.26195412030766269</c:v>
                </c:pt>
                <c:pt idx="8">
                  <c:v>0.20991238698679895</c:v>
                </c:pt>
                <c:pt idx="9">
                  <c:v>0.25279879419191875</c:v>
                </c:pt>
                <c:pt idx="10">
                  <c:v>0.19889234220735619</c:v>
                </c:pt>
                <c:pt idx="11">
                  <c:v>0.2204191489875334</c:v>
                </c:pt>
                <c:pt idx="12">
                  <c:v>0.20372499385471496</c:v>
                </c:pt>
                <c:pt idx="13">
                  <c:v>0.3188335289307106</c:v>
                </c:pt>
                <c:pt idx="14">
                  <c:v>0.29765625708629284</c:v>
                </c:pt>
                <c:pt idx="15">
                  <c:v>0.29521744188952959</c:v>
                </c:pt>
                <c:pt idx="16">
                  <c:v>0.29526920852640143</c:v>
                </c:pt>
                <c:pt idx="17">
                  <c:v>0.29002584988489549</c:v>
                </c:pt>
                <c:pt idx="18">
                  <c:v>0.27871451024668348</c:v>
                </c:pt>
                <c:pt idx="19">
                  <c:v>0.28359368400603485</c:v>
                </c:pt>
                <c:pt idx="20">
                  <c:v>0.30842338272024017</c:v>
                </c:pt>
                <c:pt idx="21">
                  <c:v>0.32393369339893274</c:v>
                </c:pt>
                <c:pt idx="22">
                  <c:v>0.31858136946116938</c:v>
                </c:pt>
                <c:pt idx="23">
                  <c:v>0.30710636345630921</c:v>
                </c:pt>
                <c:pt idx="24">
                  <c:v>0.2865510861040847</c:v>
                </c:pt>
                <c:pt idx="25">
                  <c:v>0.31934350163241493</c:v>
                </c:pt>
                <c:pt idx="26">
                  <c:v>0.34065624787581389</c:v>
                </c:pt>
                <c:pt idx="27">
                  <c:v>0.35581785152763884</c:v>
                </c:pt>
                <c:pt idx="28">
                  <c:v>0.35318672690030928</c:v>
                </c:pt>
                <c:pt idx="29">
                  <c:v>0.32778256633959035</c:v>
                </c:pt>
                <c:pt idx="30">
                  <c:v>0.28960634413316283</c:v>
                </c:pt>
                <c:pt idx="31">
                  <c:v>0.29758197334854392</c:v>
                </c:pt>
                <c:pt idx="32">
                  <c:v>0.29646238117153689</c:v>
                </c:pt>
                <c:pt idx="33">
                  <c:v>0.29370451726123281</c:v>
                </c:pt>
                <c:pt idx="34">
                  <c:v>0.27046901368173437</c:v>
                </c:pt>
                <c:pt idx="35">
                  <c:v>0.18403150095513135</c:v>
                </c:pt>
                <c:pt idx="36">
                  <c:v>0.12993111518039141</c:v>
                </c:pt>
                <c:pt idx="37">
                  <c:v>0.11275742404147818</c:v>
                </c:pt>
                <c:pt idx="38">
                  <c:v>0.10982987730567673</c:v>
                </c:pt>
                <c:pt idx="39">
                  <c:v>9.3472911142634632E-2</c:v>
                </c:pt>
                <c:pt idx="40">
                  <c:v>8.7466547364540472E-5</c:v>
                </c:pt>
                <c:pt idx="41">
                  <c:v>8.4007792745203951E-5</c:v>
                </c:pt>
                <c:pt idx="42">
                  <c:v>8.2438103114709221E-5</c:v>
                </c:pt>
                <c:pt idx="43">
                  <c:v>1.5113124660572658E-2</c:v>
                </c:pt>
                <c:pt idx="44">
                  <c:v>8.318359984148324E-5</c:v>
                </c:pt>
                <c:pt idx="45">
                  <c:v>1.4968164910905513E-2</c:v>
                </c:pt>
                <c:pt idx="46">
                  <c:v>9.6024143862036934E-2</c:v>
                </c:pt>
                <c:pt idx="47">
                  <c:v>9.475456513696838E-2</c:v>
                </c:pt>
                <c:pt idx="48">
                  <c:v>9.073711421576143E-2</c:v>
                </c:pt>
                <c:pt idx="49">
                  <c:v>5.3844422386868526E-2</c:v>
                </c:pt>
                <c:pt idx="50">
                  <c:v>6.1829606786965176E-2</c:v>
                </c:pt>
                <c:pt idx="51">
                  <c:v>6.6906649398288762E-2</c:v>
                </c:pt>
                <c:pt idx="52">
                  <c:v>8.0491077937788993E-2</c:v>
                </c:pt>
                <c:pt idx="53">
                  <c:v>3.4549729986956518E-2</c:v>
                </c:pt>
                <c:pt idx="54">
                  <c:v>1.9778992145160202E-2</c:v>
                </c:pt>
                <c:pt idx="55">
                  <c:v>1.1434968922190984E-2</c:v>
                </c:pt>
                <c:pt idx="56">
                  <c:v>1.4636718716488466E-2</c:v>
                </c:pt>
                <c:pt idx="57">
                  <c:v>3.6966316441771189E-3</c:v>
                </c:pt>
                <c:pt idx="58">
                  <c:v>7.7408703270263684E-4</c:v>
                </c:pt>
                <c:pt idx="59">
                  <c:v>9.6406103156426476E-4</c:v>
                </c:pt>
                <c:pt idx="60">
                  <c:v>8.0848527312840244E-4</c:v>
                </c:pt>
                <c:pt idx="61">
                  <c:v>1.5640612672172087E-2</c:v>
                </c:pt>
                <c:pt idx="62">
                  <c:v>1.567161500009397E-2</c:v>
                </c:pt>
                <c:pt idx="63">
                  <c:v>4.4416345716462155E-3</c:v>
                </c:pt>
                <c:pt idx="64">
                  <c:v>3.0004268590601824E-3</c:v>
                </c:pt>
                <c:pt idx="65">
                  <c:v>8.2903185785793517E-5</c:v>
                </c:pt>
                <c:pt idx="66">
                  <c:v>4.4493758524745655E-5</c:v>
                </c:pt>
                <c:pt idx="67">
                  <c:v>3.0050125040197189E-5</c:v>
                </c:pt>
                <c:pt idx="68">
                  <c:v>3.4115573198887878E-5</c:v>
                </c:pt>
                <c:pt idx="69">
                  <c:v>3.7975398529241449E-6</c:v>
                </c:pt>
                <c:pt idx="70">
                  <c:v>1.1272748897261553E-6</c:v>
                </c:pt>
                <c:pt idx="71">
                  <c:v>5.4091513373357048E-7</c:v>
                </c:pt>
                <c:pt idx="72">
                  <c:v>6.703045873359307E-6</c:v>
                </c:pt>
                <c:pt idx="73">
                  <c:v>2.5597082846482383E-6</c:v>
                </c:pt>
                <c:pt idx="74">
                  <c:v>8.5685976939874816E-6</c:v>
                </c:pt>
                <c:pt idx="75">
                  <c:v>2.6874761359373124E-5</c:v>
                </c:pt>
                <c:pt idx="76">
                  <c:v>3.1758481266034427E-5</c:v>
                </c:pt>
                <c:pt idx="77">
                  <c:v>3.2628496978316424E-5</c:v>
                </c:pt>
                <c:pt idx="78">
                  <c:v>4.3424703375307268E-5</c:v>
                </c:pt>
                <c:pt idx="79">
                  <c:v>5.0670675051643037E-5</c:v>
                </c:pt>
                <c:pt idx="80">
                  <c:v>4.4301157695033726E-2</c:v>
                </c:pt>
                <c:pt idx="81">
                  <c:v>4.4805705299977933E-2</c:v>
                </c:pt>
                <c:pt idx="82">
                  <c:v>6.0768538447384939E-2</c:v>
                </c:pt>
                <c:pt idx="83">
                  <c:v>7.7887868267838598E-2</c:v>
                </c:pt>
                <c:pt idx="84">
                  <c:v>0.16054503318727478</c:v>
                </c:pt>
                <c:pt idx="85">
                  <c:v>7.9280556865962304E-2</c:v>
                </c:pt>
                <c:pt idx="86">
                  <c:v>8.6489881503101326E-5</c:v>
                </c:pt>
                <c:pt idx="87">
                  <c:v>8.2531707915932905E-5</c:v>
                </c:pt>
                <c:pt idx="88">
                  <c:v>7.0101288221981463E-5</c:v>
                </c:pt>
                <c:pt idx="89">
                  <c:v>5.6822604622963545E-5</c:v>
                </c:pt>
                <c:pt idx="90">
                  <c:v>3.6815898800298157E-5</c:v>
                </c:pt>
                <c:pt idx="91">
                  <c:v>2.076682027996035E-6</c:v>
                </c:pt>
                <c:pt idx="92">
                  <c:v>1.3653224836997659E-5</c:v>
                </c:pt>
                <c:pt idx="93">
                  <c:v>1.7944421034187444E-5</c:v>
                </c:pt>
                <c:pt idx="94">
                  <c:v>1.0206857675489446E-5</c:v>
                </c:pt>
                <c:pt idx="95">
                  <c:v>1.6804208250515618E-5</c:v>
                </c:pt>
                <c:pt idx="96">
                  <c:v>4.1811970559523223E-5</c:v>
                </c:pt>
                <c:pt idx="97">
                  <c:v>6.3938682540384193E-5</c:v>
                </c:pt>
                <c:pt idx="98">
                  <c:v>7.1887118210720317E-5</c:v>
                </c:pt>
                <c:pt idx="99">
                  <c:v>8.529971994855643E-5</c:v>
                </c:pt>
                <c:pt idx="100">
                  <c:v>8.229628414762489E-5</c:v>
                </c:pt>
                <c:pt idx="101">
                  <c:v>6.090525875533484E-5</c:v>
                </c:pt>
                <c:pt idx="102">
                  <c:v>6.2532264872617956E-5</c:v>
                </c:pt>
                <c:pt idx="103">
                  <c:v>8.137588270894172E-5</c:v>
                </c:pt>
                <c:pt idx="104">
                  <c:v>8.3747435128628221E-5</c:v>
                </c:pt>
                <c:pt idx="105">
                  <c:v>7.5227732256404319E-5</c:v>
                </c:pt>
                <c:pt idx="106">
                  <c:v>8.1607177539888125E-5</c:v>
                </c:pt>
                <c:pt idx="107">
                  <c:v>8.6863797569079558E-5</c:v>
                </c:pt>
                <c:pt idx="108">
                  <c:v>8.698070450159362E-2</c:v>
                </c:pt>
                <c:pt idx="109">
                  <c:v>4.0023577853483067E-2</c:v>
                </c:pt>
                <c:pt idx="110">
                  <c:v>4.6958635243861999E-2</c:v>
                </c:pt>
                <c:pt idx="111">
                  <c:v>5.0744500555306174E-2</c:v>
                </c:pt>
                <c:pt idx="112">
                  <c:v>3.8767849116113744E-2</c:v>
                </c:pt>
                <c:pt idx="113">
                  <c:v>3.4893253098563927E-2</c:v>
                </c:pt>
                <c:pt idx="114">
                  <c:v>8.3215836186849426E-5</c:v>
                </c:pt>
                <c:pt idx="115">
                  <c:v>9.2176617758999425E-5</c:v>
                </c:pt>
                <c:pt idx="116">
                  <c:v>9.1661619476682328E-5</c:v>
                </c:pt>
                <c:pt idx="117">
                  <c:v>9.3279421446399317E-5</c:v>
                </c:pt>
                <c:pt idx="118">
                  <c:v>1.0380441894805364E-2</c:v>
                </c:pt>
                <c:pt idx="119">
                  <c:v>9.8357957013626308E-3</c:v>
                </c:pt>
                <c:pt idx="120">
                  <c:v>8.7969237770991614E-5</c:v>
                </c:pt>
                <c:pt idx="121">
                  <c:v>8.4608172305374572E-5</c:v>
                </c:pt>
                <c:pt idx="122">
                  <c:v>8.7842127875888145E-5</c:v>
                </c:pt>
                <c:pt idx="123">
                  <c:v>8.4488715107385818E-3</c:v>
                </c:pt>
                <c:pt idx="124">
                  <c:v>5.8975976883024117E-3</c:v>
                </c:pt>
                <c:pt idx="125">
                  <c:v>5.9603133420939088E-3</c:v>
                </c:pt>
                <c:pt idx="126">
                  <c:v>1.0855218356081104E-2</c:v>
                </c:pt>
                <c:pt idx="127">
                  <c:v>3.3830551488392611E-2</c:v>
                </c:pt>
                <c:pt idx="128">
                  <c:v>9.7926608211282198E-2</c:v>
                </c:pt>
                <c:pt idx="129">
                  <c:v>8.211988250757972E-2</c:v>
                </c:pt>
                <c:pt idx="130">
                  <c:v>4.613311028829916E-2</c:v>
                </c:pt>
                <c:pt idx="131">
                  <c:v>4.4019108695042566E-2</c:v>
                </c:pt>
                <c:pt idx="132">
                  <c:v>5.3404590204377489E-2</c:v>
                </c:pt>
                <c:pt idx="133">
                  <c:v>5.115963371973428E-3</c:v>
                </c:pt>
                <c:pt idx="134">
                  <c:v>9.5514687048106064E-5</c:v>
                </c:pt>
                <c:pt idx="135">
                  <c:v>8.3886613688051754E-5</c:v>
                </c:pt>
                <c:pt idx="136">
                  <c:v>9.5787006303905446E-5</c:v>
                </c:pt>
                <c:pt idx="137">
                  <c:v>3.8170969238696471E-2</c:v>
                </c:pt>
                <c:pt idx="138">
                  <c:v>5.8875197316449662E-2</c:v>
                </c:pt>
                <c:pt idx="139">
                  <c:v>4.1402016160474342E-2</c:v>
                </c:pt>
                <c:pt idx="140">
                  <c:v>1.3797296867070498E-3</c:v>
                </c:pt>
                <c:pt idx="141">
                  <c:v>7.3663511986493772E-5</c:v>
                </c:pt>
                <c:pt idx="142">
                  <c:v>8.0087951858393965E-5</c:v>
                </c:pt>
                <c:pt idx="143">
                  <c:v>2.8409701648631281E-5</c:v>
                </c:pt>
                <c:pt idx="144">
                  <c:v>1.2722506196281227E-5</c:v>
                </c:pt>
                <c:pt idx="145">
                  <c:v>5.6249248804033741E-5</c:v>
                </c:pt>
                <c:pt idx="146">
                  <c:v>3.323960195810418E-2</c:v>
                </c:pt>
                <c:pt idx="147">
                  <c:v>3.0291950615771134E-2</c:v>
                </c:pt>
                <c:pt idx="148">
                  <c:v>2.9651837313499498E-2</c:v>
                </c:pt>
                <c:pt idx="149">
                  <c:v>3.6865945505770478E-2</c:v>
                </c:pt>
                <c:pt idx="150">
                  <c:v>3.6970275330141494E-2</c:v>
                </c:pt>
                <c:pt idx="151">
                  <c:v>2.2203688405384687E-2</c:v>
                </c:pt>
                <c:pt idx="152">
                  <c:v>1.2950464038098124E-2</c:v>
                </c:pt>
                <c:pt idx="153">
                  <c:v>6.6329707414389885E-3</c:v>
                </c:pt>
                <c:pt idx="154">
                  <c:v>1.531139662900631E-2</c:v>
                </c:pt>
                <c:pt idx="155">
                  <c:v>2.546002326453501E-2</c:v>
                </c:pt>
                <c:pt idx="156">
                  <c:v>2.0707215524217289E-2</c:v>
                </c:pt>
                <c:pt idx="157">
                  <c:v>2.0396202257340658E-2</c:v>
                </c:pt>
                <c:pt idx="158">
                  <c:v>3.2242063222710421E-2</c:v>
                </c:pt>
                <c:pt idx="159">
                  <c:v>6.115625248955063E-2</c:v>
                </c:pt>
                <c:pt idx="160">
                  <c:v>6.300606622865941E-2</c:v>
                </c:pt>
                <c:pt idx="161">
                  <c:v>4.3313615374202509E-2</c:v>
                </c:pt>
                <c:pt idx="162">
                  <c:v>5.3281199132906548E-2</c:v>
                </c:pt>
                <c:pt idx="163">
                  <c:v>5.7009664219556971E-2</c:v>
                </c:pt>
                <c:pt idx="164">
                  <c:v>6.1716837464293711E-2</c:v>
                </c:pt>
                <c:pt idx="165">
                  <c:v>7.8784273318131315E-2</c:v>
                </c:pt>
                <c:pt idx="166">
                  <c:v>6.7141857866555452E-2</c:v>
                </c:pt>
                <c:pt idx="167">
                  <c:v>2.2997694369557391E-2</c:v>
                </c:pt>
                <c:pt idx="168">
                  <c:v>4.8234633745737415E-2</c:v>
                </c:pt>
                <c:pt idx="169">
                  <c:v>0.106088185496252</c:v>
                </c:pt>
                <c:pt idx="170">
                  <c:v>0.17123628827355392</c:v>
                </c:pt>
                <c:pt idx="171">
                  <c:v>0.18050372167000206</c:v>
                </c:pt>
                <c:pt idx="172">
                  <c:v>0.17613989392665083</c:v>
                </c:pt>
                <c:pt idx="173">
                  <c:v>0.18155273773190145</c:v>
                </c:pt>
                <c:pt idx="174">
                  <c:v>0.16741646372997904</c:v>
                </c:pt>
                <c:pt idx="175">
                  <c:v>0.1548635171340314</c:v>
                </c:pt>
                <c:pt idx="176">
                  <c:v>0.14188302777773451</c:v>
                </c:pt>
                <c:pt idx="177">
                  <c:v>0.14129323781464775</c:v>
                </c:pt>
                <c:pt idx="178">
                  <c:v>8.6320327894967935E-2</c:v>
                </c:pt>
                <c:pt idx="179">
                  <c:v>9.0782580717850711E-2</c:v>
                </c:pt>
                <c:pt idx="180">
                  <c:v>8.7537432987983943E-2</c:v>
                </c:pt>
                <c:pt idx="181">
                  <c:v>8.7380736071509479E-2</c:v>
                </c:pt>
                <c:pt idx="182">
                  <c:v>9.757585788295324E-2</c:v>
                </c:pt>
                <c:pt idx="183">
                  <c:v>0.11852993511196307</c:v>
                </c:pt>
                <c:pt idx="184">
                  <c:v>0.11900116749861533</c:v>
                </c:pt>
                <c:pt idx="185">
                  <c:v>9.343068945366477E-2</c:v>
                </c:pt>
                <c:pt idx="186">
                  <c:v>9.3859716074922675E-2</c:v>
                </c:pt>
                <c:pt idx="187">
                  <c:v>0.10820403237193492</c:v>
                </c:pt>
                <c:pt idx="188">
                  <c:v>8.4125914069931876E-2</c:v>
                </c:pt>
                <c:pt idx="189">
                  <c:v>8.9169411129516526E-2</c:v>
                </c:pt>
                <c:pt idx="190">
                  <c:v>0.10047371155750051</c:v>
                </c:pt>
                <c:pt idx="191">
                  <c:v>9.6982743676730987E-2</c:v>
                </c:pt>
                <c:pt idx="192">
                  <c:v>8.9789666839450499E-2</c:v>
                </c:pt>
                <c:pt idx="193">
                  <c:v>7.2853213685580467E-2</c:v>
                </c:pt>
                <c:pt idx="194">
                  <c:v>5.0993375003687502E-2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BA-4542-8355-0FC18ADDF1F4}"/>
            </c:ext>
          </c:extLst>
        </c:ser>
        <c:ser>
          <c:idx val="3"/>
          <c:order val="3"/>
          <c:tx>
            <c:strRef>
              <c:f>熊市组合!$E$1</c:f>
              <c:strCache>
                <c:ptCount val="1"/>
                <c:pt idx="0">
                  <c:v>全指材料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熊市组合!$E$2:$E$196</c:f>
              <c:numCache>
                <c:formatCode>0.00%</c:formatCode>
                <c:ptCount val="195"/>
                <c:pt idx="0">
                  <c:v>4.2523892712404734E-6</c:v>
                </c:pt>
                <c:pt idx="1">
                  <c:v>2.3785986323736376E-5</c:v>
                </c:pt>
                <c:pt idx="2">
                  <c:v>3.325321217508695E-5</c:v>
                </c:pt>
                <c:pt idx="3">
                  <c:v>2.7157325423649241E-5</c:v>
                </c:pt>
                <c:pt idx="4">
                  <c:v>2.5872542888742169E-5</c:v>
                </c:pt>
                <c:pt idx="5">
                  <c:v>2.380468003156776E-5</c:v>
                </c:pt>
                <c:pt idx="6">
                  <c:v>6.7734802263604029E-6</c:v>
                </c:pt>
                <c:pt idx="7">
                  <c:v>1.5428729063962923E-5</c:v>
                </c:pt>
                <c:pt idx="8">
                  <c:v>1.8146660230777356E-5</c:v>
                </c:pt>
                <c:pt idx="9">
                  <c:v>1.9757819145364536E-5</c:v>
                </c:pt>
                <c:pt idx="10">
                  <c:v>2.7826535516444808E-5</c:v>
                </c:pt>
                <c:pt idx="11">
                  <c:v>1.6406414304193012E-5</c:v>
                </c:pt>
                <c:pt idx="12">
                  <c:v>2.2196434367404809E-5</c:v>
                </c:pt>
                <c:pt idx="13">
                  <c:v>4.4342487078363201E-6</c:v>
                </c:pt>
                <c:pt idx="14">
                  <c:v>1.0742935261277202E-5</c:v>
                </c:pt>
                <c:pt idx="15">
                  <c:v>1.3342317562984828E-5</c:v>
                </c:pt>
                <c:pt idx="16">
                  <c:v>1.3724516205670749E-5</c:v>
                </c:pt>
                <c:pt idx="17">
                  <c:v>2.3485507017825988E-5</c:v>
                </c:pt>
                <c:pt idx="18">
                  <c:v>2.8820663325101595E-5</c:v>
                </c:pt>
                <c:pt idx="19">
                  <c:v>3.9499597874066704E-5</c:v>
                </c:pt>
                <c:pt idx="20">
                  <c:v>3.9135623941861133E-5</c:v>
                </c:pt>
                <c:pt idx="21">
                  <c:v>2.4758227573732149E-5</c:v>
                </c:pt>
                <c:pt idx="22">
                  <c:v>3.2162909239735736E-5</c:v>
                </c:pt>
                <c:pt idx="23">
                  <c:v>3.9251912423983625E-5</c:v>
                </c:pt>
                <c:pt idx="24">
                  <c:v>3.1682532207071733E-5</c:v>
                </c:pt>
                <c:pt idx="25">
                  <c:v>3.4441947343749065E-5</c:v>
                </c:pt>
                <c:pt idx="26">
                  <c:v>3.7698412725206507E-5</c:v>
                </c:pt>
                <c:pt idx="27">
                  <c:v>4.3667987778872898E-5</c:v>
                </c:pt>
                <c:pt idx="28">
                  <c:v>2.3223739998238065E-5</c:v>
                </c:pt>
                <c:pt idx="29">
                  <c:v>2.2168702223741045E-5</c:v>
                </c:pt>
                <c:pt idx="30">
                  <c:v>2.5398340489592494E-5</c:v>
                </c:pt>
                <c:pt idx="31">
                  <c:v>2.1244229348281606E-5</c:v>
                </c:pt>
                <c:pt idx="32">
                  <c:v>1.743976424227063E-5</c:v>
                </c:pt>
                <c:pt idx="33">
                  <c:v>1.8494153371252441E-5</c:v>
                </c:pt>
                <c:pt idx="34">
                  <c:v>1.7745091538469608E-5</c:v>
                </c:pt>
                <c:pt idx="35">
                  <c:v>4.1300070328277538E-5</c:v>
                </c:pt>
                <c:pt idx="36">
                  <c:v>5.7486487772881661E-5</c:v>
                </c:pt>
                <c:pt idx="37">
                  <c:v>5.5874930915072364E-5</c:v>
                </c:pt>
                <c:pt idx="38">
                  <c:v>4.6678018625224988E-5</c:v>
                </c:pt>
                <c:pt idx="39">
                  <c:v>3.3014447208866455E-5</c:v>
                </c:pt>
                <c:pt idx="40">
                  <c:v>4.6890944348114115E-6</c:v>
                </c:pt>
                <c:pt idx="41">
                  <c:v>5.5486416103842028E-6</c:v>
                </c:pt>
                <c:pt idx="42">
                  <c:v>5.1927627312421837E-6</c:v>
                </c:pt>
                <c:pt idx="43">
                  <c:v>1.7971846201562422E-5</c:v>
                </c:pt>
                <c:pt idx="44">
                  <c:v>1.0882377062819063E-5</c:v>
                </c:pt>
                <c:pt idx="45">
                  <c:v>1.3249857267631661E-5</c:v>
                </c:pt>
                <c:pt idx="46">
                  <c:v>3.439061631544303E-6</c:v>
                </c:pt>
                <c:pt idx="47">
                  <c:v>9.1581985560576525E-7</c:v>
                </c:pt>
                <c:pt idx="48">
                  <c:v>4.3538632339879749E-6</c:v>
                </c:pt>
                <c:pt idx="49">
                  <c:v>2.3462851647365026E-5</c:v>
                </c:pt>
                <c:pt idx="50">
                  <c:v>2.2684512277250501E-5</c:v>
                </c:pt>
                <c:pt idx="51">
                  <c:v>1.12242860108857E-5</c:v>
                </c:pt>
                <c:pt idx="52">
                  <c:v>7.8588218376454175E-6</c:v>
                </c:pt>
                <c:pt idx="53">
                  <c:v>2.1204529848515515E-5</c:v>
                </c:pt>
                <c:pt idx="54">
                  <c:v>1.3637296632286698E-5</c:v>
                </c:pt>
                <c:pt idx="55">
                  <c:v>5.7842610468350595E-6</c:v>
                </c:pt>
                <c:pt idx="56">
                  <c:v>8.8575208898099517E-6</c:v>
                </c:pt>
                <c:pt idx="57">
                  <c:v>1.2933609274374576E-6</c:v>
                </c:pt>
                <c:pt idx="58">
                  <c:v>2.612109995462126E-7</c:v>
                </c:pt>
                <c:pt idx="59">
                  <c:v>3.2860174621149528E-7</c:v>
                </c:pt>
                <c:pt idx="60">
                  <c:v>2.8857082979546938E-7</c:v>
                </c:pt>
                <c:pt idx="61">
                  <c:v>1.0313639029489971E-5</c:v>
                </c:pt>
                <c:pt idx="62">
                  <c:v>1.0300564773715458E-5</c:v>
                </c:pt>
                <c:pt idx="63">
                  <c:v>2.0568178439193475E-6</c:v>
                </c:pt>
                <c:pt idx="64">
                  <c:v>1.4818962399719444E-6</c:v>
                </c:pt>
                <c:pt idx="65">
                  <c:v>2.5881837047920396E-5</c:v>
                </c:pt>
                <c:pt idx="66">
                  <c:v>2.8135133650991361E-5</c:v>
                </c:pt>
                <c:pt idx="67">
                  <c:v>1.7306221196207242E-5</c:v>
                </c:pt>
                <c:pt idx="68">
                  <c:v>2.0511860863905715E-5</c:v>
                </c:pt>
                <c:pt idx="69">
                  <c:v>2.3362320064460912E-6</c:v>
                </c:pt>
                <c:pt idx="70">
                  <c:v>6.8531869563682645E-7</c:v>
                </c:pt>
                <c:pt idx="71">
                  <c:v>3.701299356945159E-7</c:v>
                </c:pt>
                <c:pt idx="72">
                  <c:v>5.0514498459356223E-6</c:v>
                </c:pt>
                <c:pt idx="73">
                  <c:v>2.0689742284621803E-6</c:v>
                </c:pt>
                <c:pt idx="74">
                  <c:v>6.0407092087911923E-6</c:v>
                </c:pt>
                <c:pt idx="75">
                  <c:v>1.4770826924809857E-5</c:v>
                </c:pt>
                <c:pt idx="76">
                  <c:v>1.4292054430117589E-5</c:v>
                </c:pt>
                <c:pt idx="77">
                  <c:v>1.4510744099373352E-5</c:v>
                </c:pt>
                <c:pt idx="78">
                  <c:v>1.6688639241721405E-5</c:v>
                </c:pt>
                <c:pt idx="79">
                  <c:v>1.6737041500366002E-5</c:v>
                </c:pt>
                <c:pt idx="80">
                  <c:v>2.5167565203041472E-5</c:v>
                </c:pt>
                <c:pt idx="81">
                  <c:v>3.3495969486316968E-5</c:v>
                </c:pt>
                <c:pt idx="82">
                  <c:v>5.9152132761072229E-5</c:v>
                </c:pt>
                <c:pt idx="83">
                  <c:v>3.995135293669167E-5</c:v>
                </c:pt>
                <c:pt idx="84">
                  <c:v>2.7203654655260222E-5</c:v>
                </c:pt>
                <c:pt idx="85">
                  <c:v>8.6395465817043807E-5</c:v>
                </c:pt>
                <c:pt idx="86">
                  <c:v>2.891781004064655E-5</c:v>
                </c:pt>
                <c:pt idx="87">
                  <c:v>3.3228510380541226E-2</c:v>
                </c:pt>
                <c:pt idx="88">
                  <c:v>2.9640318172973659E-2</c:v>
                </c:pt>
                <c:pt idx="89">
                  <c:v>2.9639375713613868E-2</c:v>
                </c:pt>
                <c:pt idx="90">
                  <c:v>8.0553036946262299E-2</c:v>
                </c:pt>
                <c:pt idx="91">
                  <c:v>5.1478851763732882E-2</c:v>
                </c:pt>
                <c:pt idx="92">
                  <c:v>4.9694590120605522E-2</c:v>
                </c:pt>
                <c:pt idx="93">
                  <c:v>2.8846518358171442E-2</c:v>
                </c:pt>
                <c:pt idx="94">
                  <c:v>2.6217730891223111E-2</c:v>
                </c:pt>
                <c:pt idx="95">
                  <c:v>2.071935637907444E-2</c:v>
                </c:pt>
                <c:pt idx="96">
                  <c:v>3.6904450586048611E-2</c:v>
                </c:pt>
                <c:pt idx="97">
                  <c:v>5.2924015278018446E-2</c:v>
                </c:pt>
                <c:pt idx="98">
                  <c:v>5.0523395431947317E-2</c:v>
                </c:pt>
                <c:pt idx="99">
                  <c:v>7.5677670667225694E-2</c:v>
                </c:pt>
                <c:pt idx="100">
                  <c:v>6.9687676515822736E-2</c:v>
                </c:pt>
                <c:pt idx="101">
                  <c:v>4.827817100731497E-2</c:v>
                </c:pt>
                <c:pt idx="102">
                  <c:v>4.8697000247725962E-2</c:v>
                </c:pt>
                <c:pt idx="103">
                  <c:v>4.4929225963380795E-2</c:v>
                </c:pt>
                <c:pt idx="104">
                  <c:v>4.6643863086109023E-2</c:v>
                </c:pt>
                <c:pt idx="105">
                  <c:v>4.0231363592306661E-2</c:v>
                </c:pt>
                <c:pt idx="106">
                  <c:v>3.6859544821231688E-2</c:v>
                </c:pt>
                <c:pt idx="107">
                  <c:v>7.3539046388354651E-2</c:v>
                </c:pt>
                <c:pt idx="108">
                  <c:v>0.23053616849496478</c:v>
                </c:pt>
                <c:pt idx="109">
                  <c:v>0.19035083486868187</c:v>
                </c:pt>
                <c:pt idx="110">
                  <c:v>0.18928530859729359</c:v>
                </c:pt>
                <c:pt idx="111">
                  <c:v>0.19372251469869201</c:v>
                </c:pt>
                <c:pt idx="112">
                  <c:v>0.20395068632794416</c:v>
                </c:pt>
                <c:pt idx="113">
                  <c:v>0.204809366818446</c:v>
                </c:pt>
                <c:pt idx="114">
                  <c:v>0.21050313176440744</c:v>
                </c:pt>
                <c:pt idx="115">
                  <c:v>0.2143392367905379</c:v>
                </c:pt>
                <c:pt idx="116">
                  <c:v>0.21490061354621745</c:v>
                </c:pt>
                <c:pt idx="117">
                  <c:v>0.20043653642314027</c:v>
                </c:pt>
                <c:pt idx="118">
                  <c:v>0.19178349089471683</c:v>
                </c:pt>
                <c:pt idx="119">
                  <c:v>0.19048367089923848</c:v>
                </c:pt>
                <c:pt idx="120">
                  <c:v>0.20670900482439805</c:v>
                </c:pt>
                <c:pt idx="121">
                  <c:v>0.20630094506840008</c:v>
                </c:pt>
                <c:pt idx="122">
                  <c:v>0.19948713277306446</c:v>
                </c:pt>
                <c:pt idx="123">
                  <c:v>0.20649958832935081</c:v>
                </c:pt>
                <c:pt idx="124">
                  <c:v>0.19965346212795915</c:v>
                </c:pt>
                <c:pt idx="125">
                  <c:v>0.20138390180035515</c:v>
                </c:pt>
                <c:pt idx="126">
                  <c:v>0.16327010949355092</c:v>
                </c:pt>
                <c:pt idx="127">
                  <c:v>0.1464356376700853</c:v>
                </c:pt>
                <c:pt idx="128">
                  <c:v>0.19185911517631982</c:v>
                </c:pt>
                <c:pt idx="129">
                  <c:v>0.19012192068572087</c:v>
                </c:pt>
                <c:pt idx="130">
                  <c:v>0.11278002123867067</c:v>
                </c:pt>
                <c:pt idx="131">
                  <c:v>0.1343612053637494</c:v>
                </c:pt>
                <c:pt idx="132">
                  <c:v>0.1255170831354829</c:v>
                </c:pt>
                <c:pt idx="133">
                  <c:v>0.10865820804924185</c:v>
                </c:pt>
                <c:pt idx="134">
                  <c:v>0.11086061004986492</c:v>
                </c:pt>
                <c:pt idx="135">
                  <c:v>9.7002069853672906E-2</c:v>
                </c:pt>
                <c:pt idx="136">
                  <c:v>9.4219160223648526E-2</c:v>
                </c:pt>
                <c:pt idx="137">
                  <c:v>0.11524275705287845</c:v>
                </c:pt>
                <c:pt idx="138">
                  <c:v>0.11508149134074173</c:v>
                </c:pt>
                <c:pt idx="139">
                  <c:v>0.10156182198578205</c:v>
                </c:pt>
                <c:pt idx="140">
                  <c:v>9.6514909709209673E-2</c:v>
                </c:pt>
                <c:pt idx="141">
                  <c:v>0.14337508495039289</c:v>
                </c:pt>
                <c:pt idx="142">
                  <c:v>0.12888746626087666</c:v>
                </c:pt>
                <c:pt idx="143">
                  <c:v>0.16751638153828641</c:v>
                </c:pt>
                <c:pt idx="144">
                  <c:v>0.17159931721708641</c:v>
                </c:pt>
                <c:pt idx="145">
                  <c:v>0.1351507161811028</c:v>
                </c:pt>
                <c:pt idx="146">
                  <c:v>0.14951965353337893</c:v>
                </c:pt>
                <c:pt idx="147">
                  <c:v>0.13802298274410968</c:v>
                </c:pt>
                <c:pt idx="148">
                  <c:v>0.13805476066279923</c:v>
                </c:pt>
                <c:pt idx="149">
                  <c:v>0.12611740512675848</c:v>
                </c:pt>
                <c:pt idx="150">
                  <c:v>0.12693040499535965</c:v>
                </c:pt>
                <c:pt idx="151">
                  <c:v>0.12396272699295242</c:v>
                </c:pt>
                <c:pt idx="152">
                  <c:v>0.12261904591058716</c:v>
                </c:pt>
                <c:pt idx="153">
                  <c:v>0.1238436363803921</c:v>
                </c:pt>
                <c:pt idx="154">
                  <c:v>0.12038110272250567</c:v>
                </c:pt>
                <c:pt idx="155">
                  <c:v>0.11204613713689526</c:v>
                </c:pt>
                <c:pt idx="156">
                  <c:v>0.11220299239276435</c:v>
                </c:pt>
                <c:pt idx="157">
                  <c:v>0.11853030586471519</c:v>
                </c:pt>
                <c:pt idx="158">
                  <c:v>9.666927491538066E-2</c:v>
                </c:pt>
                <c:pt idx="159">
                  <c:v>8.9344643366152263E-2</c:v>
                </c:pt>
                <c:pt idx="160">
                  <c:v>8.7827050731536668E-2</c:v>
                </c:pt>
                <c:pt idx="161">
                  <c:v>0.1046534234912242</c:v>
                </c:pt>
                <c:pt idx="162">
                  <c:v>0.10986067290648729</c:v>
                </c:pt>
                <c:pt idx="163">
                  <c:v>0.10419058635909402</c:v>
                </c:pt>
                <c:pt idx="164">
                  <c:v>8.907966210967605E-2</c:v>
                </c:pt>
                <c:pt idx="165">
                  <c:v>9.3005708670494527E-2</c:v>
                </c:pt>
                <c:pt idx="166">
                  <c:v>0.10965718109399503</c:v>
                </c:pt>
                <c:pt idx="167">
                  <c:v>0.14869064937533247</c:v>
                </c:pt>
                <c:pt idx="168">
                  <c:v>0.11460909701130334</c:v>
                </c:pt>
                <c:pt idx="169">
                  <c:v>8.227781815854357E-2</c:v>
                </c:pt>
                <c:pt idx="170">
                  <c:v>4.7237607798574444E-2</c:v>
                </c:pt>
                <c:pt idx="171">
                  <c:v>5.1135288225404155E-2</c:v>
                </c:pt>
                <c:pt idx="172">
                  <c:v>7.7106446361845174E-2</c:v>
                </c:pt>
                <c:pt idx="173">
                  <c:v>9.6571893166099695E-2</c:v>
                </c:pt>
                <c:pt idx="174">
                  <c:v>8.6940934428661562E-2</c:v>
                </c:pt>
                <c:pt idx="175">
                  <c:v>8.0133992613257515E-2</c:v>
                </c:pt>
                <c:pt idx="176">
                  <c:v>7.3082009486590674E-2</c:v>
                </c:pt>
                <c:pt idx="177">
                  <c:v>5.9385321644461232E-2</c:v>
                </c:pt>
                <c:pt idx="178">
                  <c:v>8.8431754395117551E-2</c:v>
                </c:pt>
                <c:pt idx="179">
                  <c:v>7.6349155799819074E-2</c:v>
                </c:pt>
                <c:pt idx="180">
                  <c:v>7.9480118533168123E-2</c:v>
                </c:pt>
                <c:pt idx="181">
                  <c:v>7.7633873910739504E-2</c:v>
                </c:pt>
                <c:pt idx="182">
                  <c:v>7.69982919656549E-2</c:v>
                </c:pt>
                <c:pt idx="183">
                  <c:v>6.1752810494022051E-2</c:v>
                </c:pt>
                <c:pt idx="184">
                  <c:v>5.9045396440992735E-2</c:v>
                </c:pt>
                <c:pt idx="185">
                  <c:v>0.1197120350825281</c:v>
                </c:pt>
                <c:pt idx="186">
                  <c:v>0.11237912471089084</c:v>
                </c:pt>
                <c:pt idx="187">
                  <c:v>9.7988318488132581E-2</c:v>
                </c:pt>
                <c:pt idx="188">
                  <c:v>0.12566761609899565</c:v>
                </c:pt>
                <c:pt idx="189">
                  <c:v>0.12291610744087414</c:v>
                </c:pt>
                <c:pt idx="190">
                  <c:v>0.11795174629291641</c:v>
                </c:pt>
                <c:pt idx="191">
                  <c:v>0.10968065384937763</c:v>
                </c:pt>
                <c:pt idx="192">
                  <c:v>0.1119051692626636</c:v>
                </c:pt>
                <c:pt idx="193">
                  <c:v>0.13441593540113944</c:v>
                </c:pt>
                <c:pt idx="194">
                  <c:v>0.13763558237028531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BA-4542-8355-0FC18ADDF1F4}"/>
            </c:ext>
          </c:extLst>
        </c:ser>
        <c:ser>
          <c:idx val="4"/>
          <c:order val="4"/>
          <c:tx>
            <c:strRef>
              <c:f>熊市组合!$F$1</c:f>
              <c:strCache>
                <c:ptCount val="1"/>
                <c:pt idx="0">
                  <c:v>全指信息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熊市组合!$F$2:$F$196</c:f>
              <c:numCache>
                <c:formatCode>0.00%</c:formatCode>
                <c:ptCount val="195"/>
                <c:pt idx="0">
                  <c:v>0.1470248626525836</c:v>
                </c:pt>
                <c:pt idx="1">
                  <c:v>0.1474856450619404</c:v>
                </c:pt>
                <c:pt idx="2">
                  <c:v>0.14857238348443172</c:v>
                </c:pt>
                <c:pt idx="3">
                  <c:v>0.14742989826282221</c:v>
                </c:pt>
                <c:pt idx="4">
                  <c:v>0.14922793473121182</c:v>
                </c:pt>
                <c:pt idx="5">
                  <c:v>0.15332984010178513</c:v>
                </c:pt>
                <c:pt idx="6">
                  <c:v>0.13944724208998255</c:v>
                </c:pt>
                <c:pt idx="7">
                  <c:v>0.14488404283786757</c:v>
                </c:pt>
                <c:pt idx="8">
                  <c:v>0.16184660537583531</c:v>
                </c:pt>
                <c:pt idx="9">
                  <c:v>0.14175256940403419</c:v>
                </c:pt>
                <c:pt idx="10">
                  <c:v>0.15023266996511642</c:v>
                </c:pt>
                <c:pt idx="11">
                  <c:v>0.13300015746538574</c:v>
                </c:pt>
                <c:pt idx="12">
                  <c:v>0.11449869137008679</c:v>
                </c:pt>
                <c:pt idx="13">
                  <c:v>8.5646039265113466E-2</c:v>
                </c:pt>
                <c:pt idx="14">
                  <c:v>0.1173079449130164</c:v>
                </c:pt>
                <c:pt idx="15">
                  <c:v>0.12020713202596943</c:v>
                </c:pt>
                <c:pt idx="16">
                  <c:v>0.1159112794327922</c:v>
                </c:pt>
                <c:pt idx="17">
                  <c:v>8.3060818961885011E-2</c:v>
                </c:pt>
                <c:pt idx="18">
                  <c:v>8.4629472695160149E-2</c:v>
                </c:pt>
                <c:pt idx="19">
                  <c:v>8.268393387312524E-2</c:v>
                </c:pt>
                <c:pt idx="20">
                  <c:v>6.3941108191955212E-2</c:v>
                </c:pt>
                <c:pt idx="21">
                  <c:v>6.2465081492526109E-2</c:v>
                </c:pt>
                <c:pt idx="22">
                  <c:v>5.970806528355399E-2</c:v>
                </c:pt>
                <c:pt idx="23">
                  <c:v>6.3951718696279303E-2</c:v>
                </c:pt>
                <c:pt idx="24">
                  <c:v>7.0499836999018392E-2</c:v>
                </c:pt>
                <c:pt idx="25">
                  <c:v>4.854687296927529E-2</c:v>
                </c:pt>
                <c:pt idx="26">
                  <c:v>4.4068598855503384E-2</c:v>
                </c:pt>
                <c:pt idx="27">
                  <c:v>4.2200773022018669E-2</c:v>
                </c:pt>
                <c:pt idx="28">
                  <c:v>2.6784156932899081E-2</c:v>
                </c:pt>
                <c:pt idx="29">
                  <c:v>3.8313978865809992E-2</c:v>
                </c:pt>
                <c:pt idx="30">
                  <c:v>5.6216385572716437E-2</c:v>
                </c:pt>
                <c:pt idx="31">
                  <c:v>5.2072972517188905E-2</c:v>
                </c:pt>
                <c:pt idx="32">
                  <c:v>4.8465818790666353E-2</c:v>
                </c:pt>
                <c:pt idx="33">
                  <c:v>5.2021433370337655E-2</c:v>
                </c:pt>
                <c:pt idx="34">
                  <c:v>5.6625678609438936E-2</c:v>
                </c:pt>
                <c:pt idx="35">
                  <c:v>9.6693103301061858E-2</c:v>
                </c:pt>
                <c:pt idx="36">
                  <c:v>0.11647590204166237</c:v>
                </c:pt>
                <c:pt idx="37">
                  <c:v>0.11257396561893378</c:v>
                </c:pt>
                <c:pt idx="38">
                  <c:v>0.11494878921761605</c:v>
                </c:pt>
                <c:pt idx="39">
                  <c:v>0.13045086679122206</c:v>
                </c:pt>
                <c:pt idx="40">
                  <c:v>0.10926684347375018</c:v>
                </c:pt>
                <c:pt idx="41">
                  <c:v>9.1957307779030856E-2</c:v>
                </c:pt>
                <c:pt idx="42">
                  <c:v>9.0758897560005644E-2</c:v>
                </c:pt>
                <c:pt idx="43">
                  <c:v>8.1556185182273769E-2</c:v>
                </c:pt>
                <c:pt idx="44">
                  <c:v>7.9375239304530748E-2</c:v>
                </c:pt>
                <c:pt idx="45">
                  <c:v>8.6633533780319058E-2</c:v>
                </c:pt>
                <c:pt idx="46">
                  <c:v>2.3780782262871732E-2</c:v>
                </c:pt>
                <c:pt idx="47">
                  <c:v>2.9445172121118104E-2</c:v>
                </c:pt>
                <c:pt idx="48">
                  <c:v>4.1898507423745943E-2</c:v>
                </c:pt>
                <c:pt idx="49">
                  <c:v>5.7440804695171162E-2</c:v>
                </c:pt>
                <c:pt idx="50">
                  <c:v>4.0233341428499984E-2</c:v>
                </c:pt>
                <c:pt idx="51">
                  <c:v>5.088520554488353E-2</c:v>
                </c:pt>
                <c:pt idx="52">
                  <c:v>6.1502614829974572E-2</c:v>
                </c:pt>
                <c:pt idx="53">
                  <c:v>7.3607682382126047E-2</c:v>
                </c:pt>
                <c:pt idx="54">
                  <c:v>0.12179022101204258</c:v>
                </c:pt>
                <c:pt idx="55">
                  <c:v>0.14114241443259989</c:v>
                </c:pt>
                <c:pt idx="56">
                  <c:v>0.14205649510102489</c:v>
                </c:pt>
                <c:pt idx="57">
                  <c:v>0.15689074405586481</c:v>
                </c:pt>
                <c:pt idx="58">
                  <c:v>0.15876190300490478</c:v>
                </c:pt>
                <c:pt idx="59">
                  <c:v>0.1571060366125214</c:v>
                </c:pt>
                <c:pt idx="60">
                  <c:v>0.15637936043199324</c:v>
                </c:pt>
                <c:pt idx="61">
                  <c:v>0.15336441043927398</c:v>
                </c:pt>
                <c:pt idx="62">
                  <c:v>0.15341113903007653</c:v>
                </c:pt>
                <c:pt idx="63">
                  <c:v>0.16761524084319362</c:v>
                </c:pt>
                <c:pt idx="64">
                  <c:v>0.16674406327089022</c:v>
                </c:pt>
                <c:pt idx="65">
                  <c:v>0.13308186681529455</c:v>
                </c:pt>
                <c:pt idx="66">
                  <c:v>0.13991621188757841</c:v>
                </c:pt>
                <c:pt idx="67">
                  <c:v>0.11984008607618565</c:v>
                </c:pt>
                <c:pt idx="68">
                  <c:v>0.1730226636020607</c:v>
                </c:pt>
                <c:pt idx="69">
                  <c:v>0.18177441694278806</c:v>
                </c:pt>
                <c:pt idx="70">
                  <c:v>0.21068186288756383</c:v>
                </c:pt>
                <c:pt idx="71">
                  <c:v>0.21964632172211501</c:v>
                </c:pt>
                <c:pt idx="72">
                  <c:v>0.22250365651294018</c:v>
                </c:pt>
                <c:pt idx="73">
                  <c:v>0.22328134543618686</c:v>
                </c:pt>
                <c:pt idx="74">
                  <c:v>0.23921603664677044</c:v>
                </c:pt>
                <c:pt idx="75">
                  <c:v>0.21732245610948558</c:v>
                </c:pt>
                <c:pt idx="76">
                  <c:v>0.2238738111369058</c:v>
                </c:pt>
                <c:pt idx="77">
                  <c:v>0.22444702941793501</c:v>
                </c:pt>
                <c:pt idx="78">
                  <c:v>0.22358620225607406</c:v>
                </c:pt>
                <c:pt idx="79">
                  <c:v>0.23216469254906291</c:v>
                </c:pt>
                <c:pt idx="80">
                  <c:v>0.24899233746296848</c:v>
                </c:pt>
                <c:pt idx="81">
                  <c:v>0.24816800334959468</c:v>
                </c:pt>
                <c:pt idx="82">
                  <c:v>0.24334226183814869</c:v>
                </c:pt>
                <c:pt idx="83">
                  <c:v>0.25789184460441306</c:v>
                </c:pt>
                <c:pt idx="84">
                  <c:v>0.22722912470491968</c:v>
                </c:pt>
                <c:pt idx="85">
                  <c:v>0.26865349595689414</c:v>
                </c:pt>
                <c:pt idx="86">
                  <c:v>0.31282207478011359</c:v>
                </c:pt>
                <c:pt idx="87">
                  <c:v>0.29858622390033107</c:v>
                </c:pt>
                <c:pt idx="88">
                  <c:v>0.30402728778907229</c:v>
                </c:pt>
                <c:pt idx="89">
                  <c:v>0.30368954291004935</c:v>
                </c:pt>
                <c:pt idx="90">
                  <c:v>0.27285284596399778</c:v>
                </c:pt>
                <c:pt idx="91">
                  <c:v>0.26628747756038784</c:v>
                </c:pt>
                <c:pt idx="92">
                  <c:v>0.26084833508238708</c:v>
                </c:pt>
                <c:pt idx="93">
                  <c:v>0.22785934521021112</c:v>
                </c:pt>
                <c:pt idx="94">
                  <c:v>0.21276607709347098</c:v>
                </c:pt>
                <c:pt idx="95">
                  <c:v>0.1768107866765308</c:v>
                </c:pt>
                <c:pt idx="96">
                  <c:v>0.1477471858668975</c:v>
                </c:pt>
                <c:pt idx="97">
                  <c:v>0.15185107313585555</c:v>
                </c:pt>
                <c:pt idx="98">
                  <c:v>0.14244838012739661</c:v>
                </c:pt>
                <c:pt idx="99">
                  <c:v>0.13280283305579155</c:v>
                </c:pt>
                <c:pt idx="100">
                  <c:v>0.13769304725150094</c:v>
                </c:pt>
                <c:pt idx="101">
                  <c:v>0.13438744444738873</c:v>
                </c:pt>
                <c:pt idx="102">
                  <c:v>0.13466391412838927</c:v>
                </c:pt>
                <c:pt idx="103">
                  <c:v>0.12657613562677936</c:v>
                </c:pt>
                <c:pt idx="104">
                  <c:v>0.1261558946483162</c:v>
                </c:pt>
                <c:pt idx="105">
                  <c:v>0.1289373890116626</c:v>
                </c:pt>
                <c:pt idx="106">
                  <c:v>0.12868335838505418</c:v>
                </c:pt>
                <c:pt idx="107">
                  <c:v>0.11981235395743113</c:v>
                </c:pt>
                <c:pt idx="108">
                  <c:v>2.7184064939959295E-2</c:v>
                </c:pt>
                <c:pt idx="109">
                  <c:v>6.6697329935947083E-2</c:v>
                </c:pt>
                <c:pt idx="110">
                  <c:v>7.3790421182917287E-2</c:v>
                </c:pt>
                <c:pt idx="111">
                  <c:v>6.9254390713306829E-2</c:v>
                </c:pt>
                <c:pt idx="112">
                  <c:v>6.235922703322954E-2</c:v>
                </c:pt>
                <c:pt idx="113">
                  <c:v>6.3789107003626486E-2</c:v>
                </c:pt>
                <c:pt idx="114">
                  <c:v>3.2046521631788283E-2</c:v>
                </c:pt>
                <c:pt idx="115">
                  <c:v>2.7979122335137718E-2</c:v>
                </c:pt>
                <c:pt idx="116">
                  <c:v>2.7942259322107605E-2</c:v>
                </c:pt>
                <c:pt idx="117">
                  <c:v>4.0601298495456128E-2</c:v>
                </c:pt>
                <c:pt idx="118">
                  <c:v>4.9662416278836677E-2</c:v>
                </c:pt>
                <c:pt idx="119">
                  <c:v>5.1136746143418073E-2</c:v>
                </c:pt>
                <c:pt idx="120">
                  <c:v>4.2772356992262506E-2</c:v>
                </c:pt>
                <c:pt idx="121">
                  <c:v>3.7437855894415742E-2</c:v>
                </c:pt>
                <c:pt idx="122">
                  <c:v>3.1044107015247908E-2</c:v>
                </c:pt>
                <c:pt idx="123">
                  <c:v>2.8630105481652728E-2</c:v>
                </c:pt>
                <c:pt idx="124">
                  <c:v>9.1202302007867171E-3</c:v>
                </c:pt>
                <c:pt idx="125">
                  <c:v>3.7760233789575805E-3</c:v>
                </c:pt>
                <c:pt idx="126">
                  <c:v>1.9975112916073522E-2</c:v>
                </c:pt>
                <c:pt idx="127">
                  <c:v>2.3327018066321564E-2</c:v>
                </c:pt>
                <c:pt idx="128">
                  <c:v>6.2661927675352221E-7</c:v>
                </c:pt>
                <c:pt idx="129">
                  <c:v>1.9021747191039309E-5</c:v>
                </c:pt>
                <c:pt idx="130">
                  <c:v>9.891835178077347E-6</c:v>
                </c:pt>
                <c:pt idx="131">
                  <c:v>2.3372697631198099E-5</c:v>
                </c:pt>
                <c:pt idx="132">
                  <c:v>8.9735194528296243E-5</c:v>
                </c:pt>
                <c:pt idx="133">
                  <c:v>1.1751630777148272E-5</c:v>
                </c:pt>
                <c:pt idx="134">
                  <c:v>2.7752816598706093E-6</c:v>
                </c:pt>
                <c:pt idx="135">
                  <c:v>3.6072245433024018E-5</c:v>
                </c:pt>
                <c:pt idx="136">
                  <c:v>1.3015257599233109E-5</c:v>
                </c:pt>
                <c:pt idx="137">
                  <c:v>1.6436908315561475E-3</c:v>
                </c:pt>
                <c:pt idx="138">
                  <c:v>3.2396910197293999E-5</c:v>
                </c:pt>
                <c:pt idx="139">
                  <c:v>1.1932269004112525E-2</c:v>
                </c:pt>
                <c:pt idx="140">
                  <c:v>3.2544163943496775E-2</c:v>
                </c:pt>
                <c:pt idx="141">
                  <c:v>4.4813116092568099E-2</c:v>
                </c:pt>
                <c:pt idx="142">
                  <c:v>7.8240028225496749E-2</c:v>
                </c:pt>
                <c:pt idx="143">
                  <c:v>3.5560485981541115E-2</c:v>
                </c:pt>
                <c:pt idx="144">
                  <c:v>3.9260992163785841E-3</c:v>
                </c:pt>
                <c:pt idx="145">
                  <c:v>2.9509444711529293E-2</c:v>
                </c:pt>
                <c:pt idx="146">
                  <c:v>1.8819434653089946E-2</c:v>
                </c:pt>
                <c:pt idx="147">
                  <c:v>3.129987301186208E-2</c:v>
                </c:pt>
                <c:pt idx="148">
                  <c:v>3.1717652240876963E-2</c:v>
                </c:pt>
                <c:pt idx="149">
                  <c:v>2.9965103343775699E-2</c:v>
                </c:pt>
                <c:pt idx="150">
                  <c:v>3.0118235250299375E-2</c:v>
                </c:pt>
                <c:pt idx="151">
                  <c:v>3.5544125145950581E-2</c:v>
                </c:pt>
                <c:pt idx="152">
                  <c:v>3.6482392266694259E-2</c:v>
                </c:pt>
                <c:pt idx="153">
                  <c:v>4.0714025640266632E-2</c:v>
                </c:pt>
                <c:pt idx="154">
                  <c:v>4.4217376260361665E-2</c:v>
                </c:pt>
                <c:pt idx="155">
                  <c:v>3.8976547724415729E-2</c:v>
                </c:pt>
                <c:pt idx="156">
                  <c:v>4.0038875641196708E-2</c:v>
                </c:pt>
                <c:pt idx="157">
                  <c:v>4.076285625453685E-2</c:v>
                </c:pt>
                <c:pt idx="158">
                  <c:v>4.6614767033212323E-2</c:v>
                </c:pt>
                <c:pt idx="159">
                  <c:v>5.1676816916813459E-2</c:v>
                </c:pt>
                <c:pt idx="160">
                  <c:v>4.7702652658688477E-2</c:v>
                </c:pt>
                <c:pt idx="161">
                  <c:v>5.5061855358036399E-2</c:v>
                </c:pt>
                <c:pt idx="162">
                  <c:v>4.184060929238706E-2</c:v>
                </c:pt>
                <c:pt idx="163">
                  <c:v>3.481489679347638E-2</c:v>
                </c:pt>
                <c:pt idx="164">
                  <c:v>3.1213615858660809E-2</c:v>
                </c:pt>
                <c:pt idx="165">
                  <c:v>2.1140811584792127E-2</c:v>
                </c:pt>
                <c:pt idx="166">
                  <c:v>5.0746166769251214E-2</c:v>
                </c:pt>
                <c:pt idx="167">
                  <c:v>1.9863842689900831E-2</c:v>
                </c:pt>
                <c:pt idx="168">
                  <c:v>2.437202931972E-2</c:v>
                </c:pt>
                <c:pt idx="169">
                  <c:v>4.0072975950167934E-2</c:v>
                </c:pt>
                <c:pt idx="170">
                  <c:v>3.6522299897968756E-2</c:v>
                </c:pt>
                <c:pt idx="171">
                  <c:v>4.8825845683323622E-5</c:v>
                </c:pt>
                <c:pt idx="172">
                  <c:v>1.8927726667716102E-5</c:v>
                </c:pt>
                <c:pt idx="173">
                  <c:v>2.2468189768317497E-5</c:v>
                </c:pt>
                <c:pt idx="174">
                  <c:v>6.4648063220382307E-5</c:v>
                </c:pt>
                <c:pt idx="175">
                  <c:v>6.1733404472722717E-5</c:v>
                </c:pt>
                <c:pt idx="176">
                  <c:v>7.8292935579049388E-5</c:v>
                </c:pt>
                <c:pt idx="177">
                  <c:v>8.5368662999211169E-5</c:v>
                </c:pt>
                <c:pt idx="178">
                  <c:v>8.056069105247066E-5</c:v>
                </c:pt>
                <c:pt idx="179">
                  <c:v>9.0460918295994771E-5</c:v>
                </c:pt>
                <c:pt idx="180">
                  <c:v>8.3178612570928656E-5</c:v>
                </c:pt>
                <c:pt idx="181">
                  <c:v>9.0132236434357183E-5</c:v>
                </c:pt>
                <c:pt idx="182">
                  <c:v>3.8499407818586122E-3</c:v>
                </c:pt>
                <c:pt idx="183">
                  <c:v>5.0910806786682956E-3</c:v>
                </c:pt>
                <c:pt idx="184">
                  <c:v>8.7527753266035593E-3</c:v>
                </c:pt>
                <c:pt idx="185">
                  <c:v>1.0128037031367956E-2</c:v>
                </c:pt>
                <c:pt idx="186">
                  <c:v>2.3163306117287796E-2</c:v>
                </c:pt>
                <c:pt idx="187">
                  <c:v>3.1694745520736915E-2</c:v>
                </c:pt>
                <c:pt idx="188">
                  <c:v>3.2343986661934075E-2</c:v>
                </c:pt>
                <c:pt idx="189">
                  <c:v>5.5854615625426186E-2</c:v>
                </c:pt>
                <c:pt idx="190">
                  <c:v>1.8645136315194138E-2</c:v>
                </c:pt>
                <c:pt idx="191">
                  <c:v>2.3800849665624835E-2</c:v>
                </c:pt>
                <c:pt idx="192">
                  <c:v>2.6850931373464049E-2</c:v>
                </c:pt>
                <c:pt idx="193">
                  <c:v>2.1622794489967359E-2</c:v>
                </c:pt>
                <c:pt idx="194">
                  <c:v>3.6694193410120722E-2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BA-4542-8355-0FC18ADDF1F4}"/>
            </c:ext>
          </c:extLst>
        </c:ser>
        <c:ser>
          <c:idx val="5"/>
          <c:order val="5"/>
          <c:tx>
            <c:strRef>
              <c:f>熊市组合!$G$1</c:f>
              <c:strCache>
                <c:ptCount val="1"/>
                <c:pt idx="0">
                  <c:v>全指消费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熊市组合!$G$2:$G$196</c:f>
              <c:numCache>
                <c:formatCode>0.00%</c:formatCode>
                <c:ptCount val="195"/>
                <c:pt idx="0">
                  <c:v>0.25214396012286372</c:v>
                </c:pt>
                <c:pt idx="1">
                  <c:v>0.25461945941745118</c:v>
                </c:pt>
                <c:pt idx="2">
                  <c:v>0.25237463103595031</c:v>
                </c:pt>
                <c:pt idx="3">
                  <c:v>0.2510029914832243</c:v>
                </c:pt>
                <c:pt idx="4">
                  <c:v>0.23777297830596472</c:v>
                </c:pt>
                <c:pt idx="5">
                  <c:v>0.22603569243417918</c:v>
                </c:pt>
                <c:pt idx="6">
                  <c:v>0.25225454728283631</c:v>
                </c:pt>
                <c:pt idx="7">
                  <c:v>0.24798736000564883</c:v>
                </c:pt>
                <c:pt idx="8">
                  <c:v>0.24034849077099718</c:v>
                </c:pt>
                <c:pt idx="9">
                  <c:v>0.25671448073878189</c:v>
                </c:pt>
                <c:pt idx="10">
                  <c:v>0.25262029627473415</c:v>
                </c:pt>
                <c:pt idx="11">
                  <c:v>0.2382294721225259</c:v>
                </c:pt>
                <c:pt idx="12">
                  <c:v>0.23499904433235219</c:v>
                </c:pt>
                <c:pt idx="13">
                  <c:v>0.19904465939938401</c:v>
                </c:pt>
                <c:pt idx="14">
                  <c:v>0.20438552954042571</c:v>
                </c:pt>
                <c:pt idx="15">
                  <c:v>0.20266225706692939</c:v>
                </c:pt>
                <c:pt idx="16">
                  <c:v>0.19332145294783992</c:v>
                </c:pt>
                <c:pt idx="17">
                  <c:v>0.18725930117403139</c:v>
                </c:pt>
                <c:pt idx="18">
                  <c:v>0.18608224363911313</c:v>
                </c:pt>
                <c:pt idx="19">
                  <c:v>0.18024232581189026</c:v>
                </c:pt>
                <c:pt idx="20">
                  <c:v>0.17040285418164261</c:v>
                </c:pt>
                <c:pt idx="21">
                  <c:v>0.16481833868137141</c:v>
                </c:pt>
                <c:pt idx="22">
                  <c:v>0.16298759968191426</c:v>
                </c:pt>
                <c:pt idx="23">
                  <c:v>0.16780873980660355</c:v>
                </c:pt>
                <c:pt idx="24">
                  <c:v>0.19533493047772757</c:v>
                </c:pt>
                <c:pt idx="25">
                  <c:v>0.16958380116781097</c:v>
                </c:pt>
                <c:pt idx="26">
                  <c:v>0.15952926612103577</c:v>
                </c:pt>
                <c:pt idx="27">
                  <c:v>0.15595832662563261</c:v>
                </c:pt>
                <c:pt idx="28">
                  <c:v>0.10999338631476727</c:v>
                </c:pt>
                <c:pt idx="29">
                  <c:v>0.11283512115870467</c:v>
                </c:pt>
                <c:pt idx="30">
                  <c:v>0.13164824716103482</c:v>
                </c:pt>
                <c:pt idx="31">
                  <c:v>0.1216615434718351</c:v>
                </c:pt>
                <c:pt idx="32">
                  <c:v>0.13401779464669972</c:v>
                </c:pt>
                <c:pt idx="33">
                  <c:v>0.12829941581750984</c:v>
                </c:pt>
                <c:pt idx="34">
                  <c:v>0.1457342264652052</c:v>
                </c:pt>
                <c:pt idx="35">
                  <c:v>0.12991658743818618</c:v>
                </c:pt>
                <c:pt idx="36">
                  <c:v>0.16920042899726798</c:v>
                </c:pt>
                <c:pt idx="37">
                  <c:v>0.17635235107481823</c:v>
                </c:pt>
                <c:pt idx="38">
                  <c:v>0.17953107109674532</c:v>
                </c:pt>
                <c:pt idx="39">
                  <c:v>0.17224518951867615</c:v>
                </c:pt>
                <c:pt idx="40">
                  <c:v>0.1658723591137525</c:v>
                </c:pt>
                <c:pt idx="41">
                  <c:v>0.15800994936403817</c:v>
                </c:pt>
                <c:pt idx="42">
                  <c:v>0.16135541701812589</c:v>
                </c:pt>
                <c:pt idx="43">
                  <c:v>0.1270812882583254</c:v>
                </c:pt>
                <c:pt idx="44">
                  <c:v>0.1294755121976493</c:v>
                </c:pt>
                <c:pt idx="45">
                  <c:v>0.10618915167474198</c:v>
                </c:pt>
                <c:pt idx="46">
                  <c:v>6.4353021439153932E-2</c:v>
                </c:pt>
                <c:pt idx="47">
                  <c:v>6.7671874468721832E-2</c:v>
                </c:pt>
                <c:pt idx="48">
                  <c:v>5.8519453706915692E-2</c:v>
                </c:pt>
                <c:pt idx="49">
                  <c:v>6.9504679012220433E-2</c:v>
                </c:pt>
                <c:pt idx="50">
                  <c:v>7.0083559374041468E-2</c:v>
                </c:pt>
                <c:pt idx="51">
                  <c:v>2.9043995748640191E-2</c:v>
                </c:pt>
                <c:pt idx="52">
                  <c:v>2.447614923964395E-2</c:v>
                </c:pt>
                <c:pt idx="53">
                  <c:v>3.7866851051617308E-2</c:v>
                </c:pt>
                <c:pt idx="54">
                  <c:v>0.11829272824338487</c:v>
                </c:pt>
                <c:pt idx="55">
                  <c:v>0.13647091855350998</c:v>
                </c:pt>
                <c:pt idx="56">
                  <c:v>0.14218581117885912</c:v>
                </c:pt>
                <c:pt idx="57">
                  <c:v>0.15393329618490195</c:v>
                </c:pt>
                <c:pt idx="58">
                  <c:v>0.15862674608716021</c:v>
                </c:pt>
                <c:pt idx="59">
                  <c:v>0.16653526326333715</c:v>
                </c:pt>
                <c:pt idx="60">
                  <c:v>0.17126328987833217</c:v>
                </c:pt>
                <c:pt idx="61">
                  <c:v>0.16850947572657388</c:v>
                </c:pt>
                <c:pt idx="62">
                  <c:v>0.16845309873383374</c:v>
                </c:pt>
                <c:pt idx="63">
                  <c:v>0.15881107118044518</c:v>
                </c:pt>
                <c:pt idx="64">
                  <c:v>0.15188166026615857</c:v>
                </c:pt>
                <c:pt idx="65">
                  <c:v>0.17494881188010847</c:v>
                </c:pt>
                <c:pt idx="66">
                  <c:v>0.17900805220568664</c:v>
                </c:pt>
                <c:pt idx="67">
                  <c:v>0.16307382874969045</c:v>
                </c:pt>
                <c:pt idx="68">
                  <c:v>0.25762613262540407</c:v>
                </c:pt>
                <c:pt idx="69">
                  <c:v>0.26556606586760589</c:v>
                </c:pt>
                <c:pt idx="70">
                  <c:v>0.2893904372941617</c:v>
                </c:pt>
                <c:pt idx="71">
                  <c:v>0.31364974173788057</c:v>
                </c:pt>
                <c:pt idx="72">
                  <c:v>0.31197208671278914</c:v>
                </c:pt>
                <c:pt idx="73">
                  <c:v>0.3147081732961472</c:v>
                </c:pt>
                <c:pt idx="74">
                  <c:v>0.29486082748596038</c:v>
                </c:pt>
                <c:pt idx="75">
                  <c:v>0.31430330933685169</c:v>
                </c:pt>
                <c:pt idx="76">
                  <c:v>0.29464516235981303</c:v>
                </c:pt>
                <c:pt idx="77">
                  <c:v>0.29306550425677236</c:v>
                </c:pt>
                <c:pt idx="78">
                  <c:v>0.2636588699626175</c:v>
                </c:pt>
                <c:pt idx="79">
                  <c:v>0.25260990021270696</c:v>
                </c:pt>
                <c:pt idx="80">
                  <c:v>0.20019609583997353</c:v>
                </c:pt>
                <c:pt idx="81">
                  <c:v>0.18766824395938497</c:v>
                </c:pt>
                <c:pt idx="82">
                  <c:v>0.18259190589398808</c:v>
                </c:pt>
                <c:pt idx="83">
                  <c:v>0.18861547361873846</c:v>
                </c:pt>
                <c:pt idx="84">
                  <c:v>0.17649611936265988</c:v>
                </c:pt>
                <c:pt idx="85">
                  <c:v>0.20062528375706842</c:v>
                </c:pt>
                <c:pt idx="86">
                  <c:v>0.19833209581103178</c:v>
                </c:pt>
                <c:pt idx="87">
                  <c:v>0.22973839977344135</c:v>
                </c:pt>
                <c:pt idx="88">
                  <c:v>0.22248005231646467</c:v>
                </c:pt>
                <c:pt idx="89">
                  <c:v>0.22283635637415847</c:v>
                </c:pt>
                <c:pt idx="90">
                  <c:v>0.25210561855909563</c:v>
                </c:pt>
                <c:pt idx="91">
                  <c:v>0.26567483125296198</c:v>
                </c:pt>
                <c:pt idx="92">
                  <c:v>0.2849681168220235</c:v>
                </c:pt>
                <c:pt idx="93">
                  <c:v>0.29751513529642981</c:v>
                </c:pt>
                <c:pt idx="94">
                  <c:v>0.27651357784325931</c:v>
                </c:pt>
                <c:pt idx="95">
                  <c:v>0.22588877805518612</c:v>
                </c:pt>
                <c:pt idx="96">
                  <c:v>0.20496269033685452</c:v>
                </c:pt>
                <c:pt idx="97">
                  <c:v>0.20300248181408165</c:v>
                </c:pt>
                <c:pt idx="98">
                  <c:v>0.19552881456953161</c:v>
                </c:pt>
                <c:pt idx="99">
                  <c:v>0.18297890237426698</c:v>
                </c:pt>
                <c:pt idx="100">
                  <c:v>0.18409267721554551</c:v>
                </c:pt>
                <c:pt idx="101">
                  <c:v>0.19115750005590462</c:v>
                </c:pt>
                <c:pt idx="102">
                  <c:v>0.18656541268320062</c:v>
                </c:pt>
                <c:pt idx="103">
                  <c:v>0.18883853697161412</c:v>
                </c:pt>
                <c:pt idx="104">
                  <c:v>0.1888962472232153</c:v>
                </c:pt>
                <c:pt idx="105">
                  <c:v>0.19683257580568708</c:v>
                </c:pt>
                <c:pt idx="106">
                  <c:v>0.20114853779139433</c:v>
                </c:pt>
                <c:pt idx="107">
                  <c:v>0.18795009467911475</c:v>
                </c:pt>
                <c:pt idx="108">
                  <c:v>0.15646728351510092</c:v>
                </c:pt>
                <c:pt idx="109">
                  <c:v>0.17181784828953844</c:v>
                </c:pt>
                <c:pt idx="110">
                  <c:v>0.1788272678492174</c:v>
                </c:pt>
                <c:pt idx="111">
                  <c:v>0.18067440953461286</c:v>
                </c:pt>
                <c:pt idx="112">
                  <c:v>0.18085777945686374</c:v>
                </c:pt>
                <c:pt idx="113">
                  <c:v>0.18430513769696111</c:v>
                </c:pt>
                <c:pt idx="114">
                  <c:v>0.21101928532330438</c:v>
                </c:pt>
                <c:pt idx="115">
                  <c:v>0.20416760994560884</c:v>
                </c:pt>
                <c:pt idx="116">
                  <c:v>0.20276388967996406</c:v>
                </c:pt>
                <c:pt idx="117">
                  <c:v>0.22341637695936406</c:v>
                </c:pt>
                <c:pt idx="118">
                  <c:v>0.23826129241665561</c:v>
                </c:pt>
                <c:pt idx="119">
                  <c:v>0.23860060775456252</c:v>
                </c:pt>
                <c:pt idx="120">
                  <c:v>0.22402490153258037</c:v>
                </c:pt>
                <c:pt idx="121">
                  <c:v>0.21985560464383105</c:v>
                </c:pt>
                <c:pt idx="122">
                  <c:v>0.23736549400067067</c:v>
                </c:pt>
                <c:pt idx="123">
                  <c:v>0.23689295043860711</c:v>
                </c:pt>
                <c:pt idx="124">
                  <c:v>0.25997736816745759</c:v>
                </c:pt>
                <c:pt idx="125">
                  <c:v>0.2533096905571493</c:v>
                </c:pt>
                <c:pt idx="126">
                  <c:v>0.28246164546945568</c:v>
                </c:pt>
                <c:pt idx="127">
                  <c:v>0.25382432181349052</c:v>
                </c:pt>
                <c:pt idx="128">
                  <c:v>0.29702297864142385</c:v>
                </c:pt>
                <c:pt idx="129">
                  <c:v>0.30055408504847175</c:v>
                </c:pt>
                <c:pt idx="130">
                  <c:v>0.35577874239058876</c:v>
                </c:pt>
                <c:pt idx="131">
                  <c:v>0.33938254528056561</c:v>
                </c:pt>
                <c:pt idx="132">
                  <c:v>0.31581838262395595</c:v>
                </c:pt>
                <c:pt idx="133">
                  <c:v>0.30292343451313458</c:v>
                </c:pt>
                <c:pt idx="134">
                  <c:v>0.30194213134633724</c:v>
                </c:pt>
                <c:pt idx="135">
                  <c:v>0.29196485585391047</c:v>
                </c:pt>
                <c:pt idx="136">
                  <c:v>0.2877865188223348</c:v>
                </c:pt>
                <c:pt idx="137">
                  <c:v>0.32148700808554237</c:v>
                </c:pt>
                <c:pt idx="138">
                  <c:v>0.31248830079847545</c:v>
                </c:pt>
                <c:pt idx="139">
                  <c:v>0.35289218992771132</c:v>
                </c:pt>
                <c:pt idx="140">
                  <c:v>0.3674228671784257</c:v>
                </c:pt>
                <c:pt idx="141">
                  <c:v>0.35050788105602287</c:v>
                </c:pt>
                <c:pt idx="142">
                  <c:v>0.33830941228564504</c:v>
                </c:pt>
                <c:pt idx="143">
                  <c:v>0.36255373294468629</c:v>
                </c:pt>
                <c:pt idx="144">
                  <c:v>0.33383710176426062</c:v>
                </c:pt>
                <c:pt idx="145">
                  <c:v>0.36712446020911332</c:v>
                </c:pt>
                <c:pt idx="146">
                  <c:v>0.34262860721754218</c:v>
                </c:pt>
                <c:pt idx="147">
                  <c:v>0.3427366338928941</c:v>
                </c:pt>
                <c:pt idx="148">
                  <c:v>0.34346277874886727</c:v>
                </c:pt>
                <c:pt idx="149">
                  <c:v>0.35311746477261757</c:v>
                </c:pt>
                <c:pt idx="150">
                  <c:v>0.35033195917678805</c:v>
                </c:pt>
                <c:pt idx="151">
                  <c:v>0.3426794034406575</c:v>
                </c:pt>
                <c:pt idx="152">
                  <c:v>0.354110101500135</c:v>
                </c:pt>
                <c:pt idx="153">
                  <c:v>0.35970166188958363</c:v>
                </c:pt>
                <c:pt idx="154">
                  <c:v>0.35802760747100898</c:v>
                </c:pt>
                <c:pt idx="155">
                  <c:v>0.36639945761512294</c:v>
                </c:pt>
                <c:pt idx="156">
                  <c:v>0.36696905644332756</c:v>
                </c:pt>
                <c:pt idx="157">
                  <c:v>0.3550615083363815</c:v>
                </c:pt>
                <c:pt idx="158">
                  <c:v>0.36635612078363533</c:v>
                </c:pt>
                <c:pt idx="159">
                  <c:v>0.36206353474493569</c:v>
                </c:pt>
                <c:pt idx="160">
                  <c:v>0.3519430122114619</c:v>
                </c:pt>
                <c:pt idx="161">
                  <c:v>0.34246148977995611</c:v>
                </c:pt>
                <c:pt idx="162">
                  <c:v>0.32904429400752355</c:v>
                </c:pt>
                <c:pt idx="163">
                  <c:v>0.34161195550209433</c:v>
                </c:pt>
                <c:pt idx="164">
                  <c:v>0.34975809165063526</c:v>
                </c:pt>
                <c:pt idx="165">
                  <c:v>0.34722573345523766</c:v>
                </c:pt>
                <c:pt idx="166">
                  <c:v>0.34212626166201154</c:v>
                </c:pt>
                <c:pt idx="167">
                  <c:v>0.31809484290241835</c:v>
                </c:pt>
                <c:pt idx="168">
                  <c:v>0.3262730627384845</c:v>
                </c:pt>
                <c:pt idx="169">
                  <c:v>0.3183253085043552</c:v>
                </c:pt>
                <c:pt idx="170">
                  <c:v>0.31295600854876965</c:v>
                </c:pt>
                <c:pt idx="171">
                  <c:v>0.30541348962502918</c:v>
                </c:pt>
                <c:pt idx="172">
                  <c:v>0.30050482647361237</c:v>
                </c:pt>
                <c:pt idx="173">
                  <c:v>0.310388502051194</c:v>
                </c:pt>
                <c:pt idx="174">
                  <c:v>0.28876282863142172</c:v>
                </c:pt>
                <c:pt idx="175">
                  <c:v>0.27277839254086422</c:v>
                </c:pt>
                <c:pt idx="176">
                  <c:v>0.26995180902884708</c:v>
                </c:pt>
                <c:pt idx="177">
                  <c:v>0.25915545411514007</c:v>
                </c:pt>
                <c:pt idx="178">
                  <c:v>0.24011905721850624</c:v>
                </c:pt>
                <c:pt idx="179">
                  <c:v>0.2223092272085968</c:v>
                </c:pt>
                <c:pt idx="180">
                  <c:v>0.21842765778644818</c:v>
                </c:pt>
                <c:pt idx="181">
                  <c:v>0.21903370449044868</c:v>
                </c:pt>
                <c:pt idx="182">
                  <c:v>0.22296379857826909</c:v>
                </c:pt>
                <c:pt idx="183">
                  <c:v>0.21359887105467001</c:v>
                </c:pt>
                <c:pt idx="184">
                  <c:v>0.20395188536957193</c:v>
                </c:pt>
                <c:pt idx="185">
                  <c:v>0.20993795613378119</c:v>
                </c:pt>
                <c:pt idx="186">
                  <c:v>0.21102061908486042</c:v>
                </c:pt>
                <c:pt idx="187">
                  <c:v>0.22311544838132863</c:v>
                </c:pt>
                <c:pt idx="188">
                  <c:v>0.23446859841017004</c:v>
                </c:pt>
                <c:pt idx="189">
                  <c:v>0.23123667657719651</c:v>
                </c:pt>
                <c:pt idx="190">
                  <c:v>0.21961637842074025</c:v>
                </c:pt>
                <c:pt idx="191">
                  <c:v>0.21666892968725168</c:v>
                </c:pt>
                <c:pt idx="192">
                  <c:v>0.21998716160537055</c:v>
                </c:pt>
                <c:pt idx="193">
                  <c:v>0.22628637964908055</c:v>
                </c:pt>
                <c:pt idx="194">
                  <c:v>0.23148143662329959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BA-4542-8355-0FC18ADDF1F4}"/>
            </c:ext>
          </c:extLst>
        </c:ser>
        <c:ser>
          <c:idx val="6"/>
          <c:order val="6"/>
          <c:tx>
            <c:strRef>
              <c:f>熊市组合!$H$1</c:f>
              <c:strCache>
                <c:ptCount val="1"/>
                <c:pt idx="0">
                  <c:v>全指医药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熊市组合!$H$2:$H$196</c:f>
              <c:numCache>
                <c:formatCode>0.00%</c:formatCode>
                <c:ptCount val="195"/>
                <c:pt idx="0">
                  <c:v>8.8812094913186512E-5</c:v>
                </c:pt>
                <c:pt idx="1">
                  <c:v>5.3750605154236548E-5</c:v>
                </c:pt>
                <c:pt idx="2">
                  <c:v>6.3120365187388649E-5</c:v>
                </c:pt>
                <c:pt idx="3">
                  <c:v>4.0514542383663067E-5</c:v>
                </c:pt>
                <c:pt idx="4">
                  <c:v>6.5666895817126836E-5</c:v>
                </c:pt>
                <c:pt idx="5">
                  <c:v>7.0262699173803556E-5</c:v>
                </c:pt>
                <c:pt idx="6">
                  <c:v>5.9252228984105956E-5</c:v>
                </c:pt>
                <c:pt idx="7">
                  <c:v>8.7465432382240246E-3</c:v>
                </c:pt>
                <c:pt idx="8">
                  <c:v>1.0384009963684455E-2</c:v>
                </c:pt>
                <c:pt idx="9">
                  <c:v>7.5181726207219438E-5</c:v>
                </c:pt>
                <c:pt idx="10">
                  <c:v>8.2886744006384556E-5</c:v>
                </c:pt>
                <c:pt idx="11">
                  <c:v>1.486739734297037E-5</c:v>
                </c:pt>
                <c:pt idx="12">
                  <c:v>2.1657908532655715E-2</c:v>
                </c:pt>
                <c:pt idx="13">
                  <c:v>2.6216899823640479E-5</c:v>
                </c:pt>
                <c:pt idx="14">
                  <c:v>8.4655071723630231E-5</c:v>
                </c:pt>
                <c:pt idx="15">
                  <c:v>1.1025573933006124E-2</c:v>
                </c:pt>
                <c:pt idx="16">
                  <c:v>1.5174858193631492E-2</c:v>
                </c:pt>
                <c:pt idx="17">
                  <c:v>4.9413660978544341E-2</c:v>
                </c:pt>
                <c:pt idx="18">
                  <c:v>5.1760523100700333E-2</c:v>
                </c:pt>
                <c:pt idx="19">
                  <c:v>4.2768872335292592E-2</c:v>
                </c:pt>
                <c:pt idx="20">
                  <c:v>4.501470838507711E-2</c:v>
                </c:pt>
                <c:pt idx="21">
                  <c:v>2.628713707075175E-2</c:v>
                </c:pt>
                <c:pt idx="22">
                  <c:v>2.8969347918681655E-2</c:v>
                </c:pt>
                <c:pt idx="23">
                  <c:v>3.0092833086736694E-2</c:v>
                </c:pt>
                <c:pt idx="24">
                  <c:v>2.7109145458336172E-2</c:v>
                </c:pt>
                <c:pt idx="25">
                  <c:v>7.3063887528808005E-2</c:v>
                </c:pt>
                <c:pt idx="26">
                  <c:v>6.4682315090218503E-2</c:v>
                </c:pt>
                <c:pt idx="27">
                  <c:v>6.2086221702822159E-2</c:v>
                </c:pt>
                <c:pt idx="28">
                  <c:v>0.10080887603517065</c:v>
                </c:pt>
                <c:pt idx="29">
                  <c:v>0.10730458822047165</c:v>
                </c:pt>
                <c:pt idx="30">
                  <c:v>0.12199943702218044</c:v>
                </c:pt>
                <c:pt idx="31">
                  <c:v>0.12051036545004166</c:v>
                </c:pt>
                <c:pt idx="32">
                  <c:v>0.14387562866032227</c:v>
                </c:pt>
                <c:pt idx="33">
                  <c:v>0.14676803809575167</c:v>
                </c:pt>
                <c:pt idx="34">
                  <c:v>0.14400252427010024</c:v>
                </c:pt>
                <c:pt idx="35">
                  <c:v>0.15402711027209434</c:v>
                </c:pt>
                <c:pt idx="36">
                  <c:v>0.16239909680867731</c:v>
                </c:pt>
                <c:pt idx="37">
                  <c:v>0.17480651035526079</c:v>
                </c:pt>
                <c:pt idx="38">
                  <c:v>0.1711085997787086</c:v>
                </c:pt>
                <c:pt idx="39">
                  <c:v>0.17400257778047781</c:v>
                </c:pt>
                <c:pt idx="40">
                  <c:v>0.26776407509095335</c:v>
                </c:pt>
                <c:pt idx="41">
                  <c:v>0.27519634806791377</c:v>
                </c:pt>
                <c:pt idx="42">
                  <c:v>0.28205133703941582</c:v>
                </c:pt>
                <c:pt idx="43">
                  <c:v>0.31445065954343376</c:v>
                </c:pt>
                <c:pt idx="44">
                  <c:v>0.32526071016917874</c:v>
                </c:pt>
                <c:pt idx="45">
                  <c:v>0.33878452172363915</c:v>
                </c:pt>
                <c:pt idx="46">
                  <c:v>0.3574218286058915</c:v>
                </c:pt>
                <c:pt idx="47">
                  <c:v>0.35207882138557978</c:v>
                </c:pt>
                <c:pt idx="48">
                  <c:v>0.36834440462742341</c:v>
                </c:pt>
                <c:pt idx="49">
                  <c:v>0.37672328650658055</c:v>
                </c:pt>
                <c:pt idx="50">
                  <c:v>0.40149795558957146</c:v>
                </c:pt>
                <c:pt idx="51">
                  <c:v>0.42195557719645987</c:v>
                </c:pt>
                <c:pt idx="52">
                  <c:v>0.40898603431591068</c:v>
                </c:pt>
                <c:pt idx="53">
                  <c:v>0.36322895316126691</c:v>
                </c:pt>
                <c:pt idx="54">
                  <c:v>0.25267135340398145</c:v>
                </c:pt>
                <c:pt idx="55">
                  <c:v>0.22701987984653998</c:v>
                </c:pt>
                <c:pt idx="56">
                  <c:v>0.22623496460564518</c:v>
                </c:pt>
                <c:pt idx="57">
                  <c:v>0.21288529498917344</c:v>
                </c:pt>
                <c:pt idx="58">
                  <c:v>0.20918537829601447</c:v>
                </c:pt>
                <c:pt idx="59">
                  <c:v>0.20530888011766671</c:v>
                </c:pt>
                <c:pt idx="60">
                  <c:v>0.20558291479848914</c:v>
                </c:pt>
                <c:pt idx="61">
                  <c:v>0.22766577603066271</c:v>
                </c:pt>
                <c:pt idx="62">
                  <c:v>0.22760365641084498</c:v>
                </c:pt>
                <c:pt idx="63">
                  <c:v>0.21664084226549746</c:v>
                </c:pt>
                <c:pt idx="64">
                  <c:v>0.21550524313039623</c:v>
                </c:pt>
                <c:pt idx="65">
                  <c:v>0.16805296999321429</c:v>
                </c:pt>
                <c:pt idx="66">
                  <c:v>0.17973019019126066</c:v>
                </c:pt>
                <c:pt idx="67">
                  <c:v>0.19338784790641542</c:v>
                </c:pt>
                <c:pt idx="68">
                  <c:v>0.17686862277404508</c:v>
                </c:pt>
                <c:pt idx="69">
                  <c:v>0.19542556285618179</c:v>
                </c:pt>
                <c:pt idx="70">
                  <c:v>0.18078925974383472</c:v>
                </c:pt>
                <c:pt idx="71">
                  <c:v>0.16666568620580546</c:v>
                </c:pt>
                <c:pt idx="72">
                  <c:v>0.15004465953618887</c:v>
                </c:pt>
                <c:pt idx="73">
                  <c:v>0.1522053016736564</c:v>
                </c:pt>
                <c:pt idx="74">
                  <c:v>0.15787297931241021</c:v>
                </c:pt>
                <c:pt idx="75">
                  <c:v>0.18044653775823527</c:v>
                </c:pt>
                <c:pt idx="76">
                  <c:v>0.17870617178029294</c:v>
                </c:pt>
                <c:pt idx="77">
                  <c:v>0.17949920322987425</c:v>
                </c:pt>
                <c:pt idx="78">
                  <c:v>0.19417291891794938</c:v>
                </c:pt>
                <c:pt idx="79">
                  <c:v>0.19439177851542777</c:v>
                </c:pt>
                <c:pt idx="80">
                  <c:v>0.12256633009139874</c:v>
                </c:pt>
                <c:pt idx="81">
                  <c:v>0.12717943919858601</c:v>
                </c:pt>
                <c:pt idx="82">
                  <c:v>0.12201269341461141</c:v>
                </c:pt>
                <c:pt idx="83">
                  <c:v>7.6126758249903601E-2</c:v>
                </c:pt>
                <c:pt idx="84">
                  <c:v>4.9631973674250512E-2</c:v>
                </c:pt>
                <c:pt idx="85">
                  <c:v>6.0048079507869639E-2</c:v>
                </c:pt>
                <c:pt idx="86">
                  <c:v>7.2342018450739856E-2</c:v>
                </c:pt>
                <c:pt idx="87">
                  <c:v>6.105352820957647E-2</c:v>
                </c:pt>
                <c:pt idx="88">
                  <c:v>6.177229390295319E-2</c:v>
                </c:pt>
                <c:pt idx="89">
                  <c:v>6.2338471612698662E-2</c:v>
                </c:pt>
                <c:pt idx="90">
                  <c:v>6.1349697819379649E-2</c:v>
                </c:pt>
                <c:pt idx="91">
                  <c:v>7.528753093576751E-2</c:v>
                </c:pt>
                <c:pt idx="92">
                  <c:v>6.6863329549988318E-2</c:v>
                </c:pt>
                <c:pt idx="93">
                  <c:v>0.11498627738225092</c:v>
                </c:pt>
                <c:pt idx="94">
                  <c:v>0.15579117285942884</c:v>
                </c:pt>
                <c:pt idx="95">
                  <c:v>0.23931850808064739</c:v>
                </c:pt>
                <c:pt idx="96">
                  <c:v>0.28375366599046442</c:v>
                </c:pt>
                <c:pt idx="97">
                  <c:v>0.26742720262863789</c:v>
                </c:pt>
                <c:pt idx="98">
                  <c:v>0.28640442399143451</c:v>
                </c:pt>
                <c:pt idx="99">
                  <c:v>0.28914980392293838</c:v>
                </c:pt>
                <c:pt idx="100">
                  <c:v>0.28543431740111963</c:v>
                </c:pt>
                <c:pt idx="101">
                  <c:v>0.29584481272101104</c:v>
                </c:pt>
                <c:pt idx="102">
                  <c:v>0.29685659755960669</c:v>
                </c:pt>
                <c:pt idx="103">
                  <c:v>0.30860134336100203</c:v>
                </c:pt>
                <c:pt idx="104">
                  <c:v>0.30761344596074142</c:v>
                </c:pt>
                <c:pt idx="105">
                  <c:v>0.30727056983144158</c:v>
                </c:pt>
                <c:pt idx="106">
                  <c:v>0.3062693429897908</c:v>
                </c:pt>
                <c:pt idx="107">
                  <c:v>0.29603784478662076</c:v>
                </c:pt>
                <c:pt idx="108">
                  <c:v>0.3376660909822965</c:v>
                </c:pt>
                <c:pt idx="109">
                  <c:v>0.32202664653572655</c:v>
                </c:pt>
                <c:pt idx="110">
                  <c:v>0.30862239010537246</c:v>
                </c:pt>
                <c:pt idx="111">
                  <c:v>0.29585989081289782</c:v>
                </c:pt>
                <c:pt idx="112">
                  <c:v>0.29864886629445209</c:v>
                </c:pt>
                <c:pt idx="113">
                  <c:v>0.29461160962746974</c:v>
                </c:pt>
                <c:pt idx="114">
                  <c:v>0.24319006373287327</c:v>
                </c:pt>
                <c:pt idx="115">
                  <c:v>0.25533329690047646</c:v>
                </c:pt>
                <c:pt idx="116">
                  <c:v>0.25618018840433721</c:v>
                </c:pt>
                <c:pt idx="117">
                  <c:v>0.23868428065684363</c:v>
                </c:pt>
                <c:pt idx="118">
                  <c:v>0.22159874420334461</c:v>
                </c:pt>
                <c:pt idx="119">
                  <c:v>0.22245402765612199</c:v>
                </c:pt>
                <c:pt idx="120">
                  <c:v>0.23017208180885973</c:v>
                </c:pt>
                <c:pt idx="121">
                  <c:v>0.22772945142408657</c:v>
                </c:pt>
                <c:pt idx="122">
                  <c:v>0.21878561034781893</c:v>
                </c:pt>
                <c:pt idx="123">
                  <c:v>0.21235331532720186</c:v>
                </c:pt>
                <c:pt idx="124">
                  <c:v>0.20931424774436064</c:v>
                </c:pt>
                <c:pt idx="125">
                  <c:v>0.21403874031978062</c:v>
                </c:pt>
                <c:pt idx="126">
                  <c:v>0.23581136524156349</c:v>
                </c:pt>
                <c:pt idx="127">
                  <c:v>0.24467496277581466</c:v>
                </c:pt>
                <c:pt idx="128">
                  <c:v>0.17233923302924062</c:v>
                </c:pt>
                <c:pt idx="129">
                  <c:v>0.17611109587219251</c:v>
                </c:pt>
                <c:pt idx="130">
                  <c:v>0.21537226729650996</c:v>
                </c:pt>
                <c:pt idx="131">
                  <c:v>0.21180809576661302</c:v>
                </c:pt>
                <c:pt idx="132">
                  <c:v>0.22404554013939618</c:v>
                </c:pt>
                <c:pt idx="133">
                  <c:v>0.25969105007338145</c:v>
                </c:pt>
                <c:pt idx="134">
                  <c:v>0.24919099689900467</c:v>
                </c:pt>
                <c:pt idx="135">
                  <c:v>0.25878734686844007</c:v>
                </c:pt>
                <c:pt idx="136">
                  <c:v>0.26119793565766919</c:v>
                </c:pt>
                <c:pt idx="137">
                  <c:v>0.25301588404730713</c:v>
                </c:pt>
                <c:pt idx="138">
                  <c:v>0.24565746126174626</c:v>
                </c:pt>
                <c:pt idx="139">
                  <c:v>0.21650132397949379</c:v>
                </c:pt>
                <c:pt idx="140">
                  <c:v>0.20365040743764851</c:v>
                </c:pt>
                <c:pt idx="141">
                  <c:v>0.16785954799442687</c:v>
                </c:pt>
                <c:pt idx="142">
                  <c:v>0.1640651327432408</c:v>
                </c:pt>
                <c:pt idx="143">
                  <c:v>0.14624712247371932</c:v>
                </c:pt>
                <c:pt idx="144">
                  <c:v>0.19795477066156072</c:v>
                </c:pt>
                <c:pt idx="145">
                  <c:v>0.15415685712513447</c:v>
                </c:pt>
                <c:pt idx="146">
                  <c:v>0.15356327239647127</c:v>
                </c:pt>
                <c:pt idx="147">
                  <c:v>0.14797050465899184</c:v>
                </c:pt>
                <c:pt idx="148">
                  <c:v>0.14743495658061423</c:v>
                </c:pt>
                <c:pt idx="149">
                  <c:v>0.13686456302007569</c:v>
                </c:pt>
                <c:pt idx="150">
                  <c:v>0.1399052007693844</c:v>
                </c:pt>
                <c:pt idx="151">
                  <c:v>0.15228966727923643</c:v>
                </c:pt>
                <c:pt idx="152">
                  <c:v>0.13740577091837464</c:v>
                </c:pt>
                <c:pt idx="153">
                  <c:v>0.13496040221860781</c:v>
                </c:pt>
                <c:pt idx="154">
                  <c:v>0.11932969743824509</c:v>
                </c:pt>
                <c:pt idx="155">
                  <c:v>0.11037292671932399</c:v>
                </c:pt>
                <c:pt idx="156">
                  <c:v>0.11022459771798243</c:v>
                </c:pt>
                <c:pt idx="157">
                  <c:v>0.1226127122997899</c:v>
                </c:pt>
                <c:pt idx="158">
                  <c:v>9.2017135500051361E-2</c:v>
                </c:pt>
                <c:pt idx="159">
                  <c:v>8.1677651987387939E-2</c:v>
                </c:pt>
                <c:pt idx="160">
                  <c:v>8.5913171797069476E-2</c:v>
                </c:pt>
                <c:pt idx="161">
                  <c:v>0.10202082817636626</c:v>
                </c:pt>
                <c:pt idx="162">
                  <c:v>0.11838614768653059</c:v>
                </c:pt>
                <c:pt idx="163">
                  <c:v>0.12292370193624588</c:v>
                </c:pt>
                <c:pt idx="164">
                  <c:v>0.12651001990892205</c:v>
                </c:pt>
                <c:pt idx="165">
                  <c:v>0.12504776715503227</c:v>
                </c:pt>
                <c:pt idx="166">
                  <c:v>8.8658896198736833E-2</c:v>
                </c:pt>
                <c:pt idx="167">
                  <c:v>0.13830113200052319</c:v>
                </c:pt>
                <c:pt idx="168">
                  <c:v>0.10924976600300335</c:v>
                </c:pt>
                <c:pt idx="169">
                  <c:v>8.6011756916783588E-2</c:v>
                </c:pt>
                <c:pt idx="170">
                  <c:v>8.90041237610626E-5</c:v>
                </c:pt>
                <c:pt idx="171">
                  <c:v>6.2718076675192622E-2</c:v>
                </c:pt>
                <c:pt idx="172">
                  <c:v>8.3930095062144397E-2</c:v>
                </c:pt>
                <c:pt idx="173">
                  <c:v>7.1324905725638821E-2</c:v>
                </c:pt>
                <c:pt idx="174">
                  <c:v>0.11798378347591486</c:v>
                </c:pt>
                <c:pt idx="175">
                  <c:v>0.15916188711670123</c:v>
                </c:pt>
                <c:pt idx="176">
                  <c:v>0.16841926210399411</c:v>
                </c:pt>
                <c:pt idx="177">
                  <c:v>0.16473140649082207</c:v>
                </c:pt>
                <c:pt idx="178">
                  <c:v>0.22273165856369209</c:v>
                </c:pt>
                <c:pt idx="179">
                  <c:v>0.23920228854114595</c:v>
                </c:pt>
                <c:pt idx="180">
                  <c:v>0.24194252116234211</c:v>
                </c:pt>
                <c:pt idx="181">
                  <c:v>0.2425858244880281</c:v>
                </c:pt>
                <c:pt idx="182">
                  <c:v>0.22754399354849947</c:v>
                </c:pt>
                <c:pt idx="183">
                  <c:v>0.23708626439219299</c:v>
                </c:pt>
                <c:pt idx="184">
                  <c:v>0.2373776173901056</c:v>
                </c:pt>
                <c:pt idx="185">
                  <c:v>0.22057727022944953</c:v>
                </c:pt>
                <c:pt idx="186">
                  <c:v>0.20582028638109159</c:v>
                </c:pt>
                <c:pt idx="187">
                  <c:v>0.18433048977244185</c:v>
                </c:pt>
                <c:pt idx="188">
                  <c:v>0.19128966884117146</c:v>
                </c:pt>
                <c:pt idx="189">
                  <c:v>0.16290018492460479</c:v>
                </c:pt>
                <c:pt idx="190">
                  <c:v>0.20366267199025118</c:v>
                </c:pt>
                <c:pt idx="191">
                  <c:v>0.20478914378066199</c:v>
                </c:pt>
                <c:pt idx="192">
                  <c:v>0.20111997367394693</c:v>
                </c:pt>
                <c:pt idx="193">
                  <c:v>0.21016467903186564</c:v>
                </c:pt>
                <c:pt idx="194">
                  <c:v>0.19563569597453462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BA-4542-8355-0FC18ADDF1F4}"/>
            </c:ext>
          </c:extLst>
        </c:ser>
        <c:ser>
          <c:idx val="7"/>
          <c:order val="7"/>
          <c:tx>
            <c:strRef>
              <c:f>熊市组合!$I$1</c:f>
              <c:strCache>
                <c:ptCount val="1"/>
                <c:pt idx="0">
                  <c:v>全指能源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熊市组合!$I$2:$I$196</c:f>
              <c:numCache>
                <c:formatCode>0.00%</c:formatCode>
                <c:ptCount val="195"/>
                <c:pt idx="0">
                  <c:v>6.8494054710465445E-6</c:v>
                </c:pt>
                <c:pt idx="1">
                  <c:v>8.8148584147343544E-5</c:v>
                </c:pt>
                <c:pt idx="2">
                  <c:v>8.5230591844156876E-5</c:v>
                </c:pt>
                <c:pt idx="3">
                  <c:v>4.8515518034426762E-5</c:v>
                </c:pt>
                <c:pt idx="4">
                  <c:v>3.3901119335620676E-5</c:v>
                </c:pt>
                <c:pt idx="5">
                  <c:v>3.2854602186001999E-5</c:v>
                </c:pt>
                <c:pt idx="6">
                  <c:v>8.7085206354676142E-5</c:v>
                </c:pt>
                <c:pt idx="7">
                  <c:v>6.426278823881108E-3</c:v>
                </c:pt>
                <c:pt idx="8">
                  <c:v>2.5722689168265585E-2</c:v>
                </c:pt>
                <c:pt idx="9">
                  <c:v>9.742785604080012E-3</c:v>
                </c:pt>
                <c:pt idx="10">
                  <c:v>1.7683023412903613E-2</c:v>
                </c:pt>
                <c:pt idx="11">
                  <c:v>2.2421396128337202E-2</c:v>
                </c:pt>
                <c:pt idx="12">
                  <c:v>1.4448258898647126E-5</c:v>
                </c:pt>
                <c:pt idx="13">
                  <c:v>6.822718232274419E-2</c:v>
                </c:pt>
                <c:pt idx="14">
                  <c:v>4.873872469779339E-2</c:v>
                </c:pt>
                <c:pt idx="15">
                  <c:v>4.2118109229130417E-2</c:v>
                </c:pt>
                <c:pt idx="16">
                  <c:v>4.8210433262855935E-2</c:v>
                </c:pt>
                <c:pt idx="17">
                  <c:v>7.0191444405883985E-2</c:v>
                </c:pt>
                <c:pt idx="18">
                  <c:v>7.4964714461732279E-2</c:v>
                </c:pt>
                <c:pt idx="19">
                  <c:v>8.6047006733895676E-2</c:v>
                </c:pt>
                <c:pt idx="20">
                  <c:v>8.7460637608917008E-2</c:v>
                </c:pt>
                <c:pt idx="21">
                  <c:v>9.1168991594831161E-2</c:v>
                </c:pt>
                <c:pt idx="22">
                  <c:v>9.2890033952036849E-2</c:v>
                </c:pt>
                <c:pt idx="23">
                  <c:v>9.2876336785175803E-2</c:v>
                </c:pt>
                <c:pt idx="24">
                  <c:v>0.10304708438735798</c:v>
                </c:pt>
                <c:pt idx="25">
                  <c:v>8.5172981308850967E-2</c:v>
                </c:pt>
                <c:pt idx="26">
                  <c:v>8.7863020072289119E-2</c:v>
                </c:pt>
                <c:pt idx="27">
                  <c:v>8.2208073217535219E-2</c:v>
                </c:pt>
                <c:pt idx="28">
                  <c:v>7.1072866254988709E-2</c:v>
                </c:pt>
                <c:pt idx="29">
                  <c:v>6.7617198570459877E-2</c:v>
                </c:pt>
                <c:pt idx="30">
                  <c:v>6.7706310426026678E-2</c:v>
                </c:pt>
                <c:pt idx="31">
                  <c:v>7.3106676434130269E-2</c:v>
                </c:pt>
                <c:pt idx="32">
                  <c:v>7.406967925416913E-2</c:v>
                </c:pt>
                <c:pt idx="33">
                  <c:v>7.5143282762020397E-2</c:v>
                </c:pt>
                <c:pt idx="34">
                  <c:v>5.0076711205268881E-2</c:v>
                </c:pt>
                <c:pt idx="35">
                  <c:v>5.556020235227966E-2</c:v>
                </c:pt>
                <c:pt idx="36">
                  <c:v>5.4445420002117793E-2</c:v>
                </c:pt>
                <c:pt idx="37">
                  <c:v>5.3808632639493079E-2</c:v>
                </c:pt>
                <c:pt idx="38">
                  <c:v>5.3807493602391683E-2</c:v>
                </c:pt>
                <c:pt idx="39">
                  <c:v>6.8445123771811001E-2</c:v>
                </c:pt>
                <c:pt idx="40">
                  <c:v>3.5975463080731844E-2</c:v>
                </c:pt>
                <c:pt idx="41">
                  <c:v>2.8186052814331421E-2</c:v>
                </c:pt>
                <c:pt idx="42">
                  <c:v>3.0405161745551204E-2</c:v>
                </c:pt>
                <c:pt idx="43">
                  <c:v>4.0085186678903137E-2</c:v>
                </c:pt>
                <c:pt idx="44">
                  <c:v>3.4533821941238857E-2</c:v>
                </c:pt>
                <c:pt idx="45">
                  <c:v>5.0948957894885134E-2</c:v>
                </c:pt>
                <c:pt idx="46">
                  <c:v>2.246422643085901E-3</c:v>
                </c:pt>
                <c:pt idx="47">
                  <c:v>1.1252444584193933E-4</c:v>
                </c:pt>
                <c:pt idx="48">
                  <c:v>8.8548394559002014E-5</c:v>
                </c:pt>
                <c:pt idx="49">
                  <c:v>1.8015120018722068E-2</c:v>
                </c:pt>
                <c:pt idx="50">
                  <c:v>1.8848404015582014E-2</c:v>
                </c:pt>
                <c:pt idx="51">
                  <c:v>1.5970743058707968E-2</c:v>
                </c:pt>
                <c:pt idx="52">
                  <c:v>2.6300380565250442E-2</c:v>
                </c:pt>
                <c:pt idx="53">
                  <c:v>5.3934834270431332E-5</c:v>
                </c:pt>
                <c:pt idx="54">
                  <c:v>4.7204577978855474E-5</c:v>
                </c:pt>
                <c:pt idx="55">
                  <c:v>9.3798783288584441E-6</c:v>
                </c:pt>
                <c:pt idx="56">
                  <c:v>1.293784105602224E-5</c:v>
                </c:pt>
                <c:pt idx="57">
                  <c:v>2.2751572097121713E-6</c:v>
                </c:pt>
                <c:pt idx="58">
                  <c:v>4.3289277969899258E-7</c:v>
                </c:pt>
                <c:pt idx="59">
                  <c:v>4.8614605040318235E-7</c:v>
                </c:pt>
                <c:pt idx="60">
                  <c:v>3.9779415554884511E-7</c:v>
                </c:pt>
                <c:pt idx="61">
                  <c:v>1.1168479784601788E-5</c:v>
                </c:pt>
                <c:pt idx="62">
                  <c:v>1.1168684401473917E-5</c:v>
                </c:pt>
                <c:pt idx="63">
                  <c:v>1.7098914035204403E-6</c:v>
                </c:pt>
                <c:pt idx="64">
                  <c:v>1.1568418868845588E-6</c:v>
                </c:pt>
                <c:pt idx="65">
                  <c:v>1.5529967120119767E-2</c:v>
                </c:pt>
                <c:pt idx="66">
                  <c:v>9.9997756539268699E-3</c:v>
                </c:pt>
                <c:pt idx="67">
                  <c:v>9.002889389817189E-3</c:v>
                </c:pt>
                <c:pt idx="68">
                  <c:v>9.7401242563350032E-2</c:v>
                </c:pt>
                <c:pt idx="69">
                  <c:v>9.1451036434816196E-2</c:v>
                </c:pt>
                <c:pt idx="70">
                  <c:v>9.0217873372681973E-2</c:v>
                </c:pt>
                <c:pt idx="71">
                  <c:v>7.4408003386775723E-2</c:v>
                </c:pt>
                <c:pt idx="72">
                  <c:v>7.2857430662999767E-2</c:v>
                </c:pt>
                <c:pt idx="73">
                  <c:v>7.7626819257224353E-2</c:v>
                </c:pt>
                <c:pt idx="74">
                  <c:v>7.5708922125604178E-2</c:v>
                </c:pt>
                <c:pt idx="75">
                  <c:v>8.5779389834584427E-2</c:v>
                </c:pt>
                <c:pt idx="76">
                  <c:v>9.334187462277746E-2</c:v>
                </c:pt>
                <c:pt idx="77">
                  <c:v>9.3037525004086657E-2</c:v>
                </c:pt>
                <c:pt idx="78">
                  <c:v>0.10254782434850555</c:v>
                </c:pt>
                <c:pt idx="79">
                  <c:v>0.11308474525083327</c:v>
                </c:pt>
                <c:pt idx="80">
                  <c:v>0.1151052657065551</c:v>
                </c:pt>
                <c:pt idx="81">
                  <c:v>0.10524869023779634</c:v>
                </c:pt>
                <c:pt idx="82">
                  <c:v>0.10298068778493503</c:v>
                </c:pt>
                <c:pt idx="83">
                  <c:v>8.5500783192983848E-2</c:v>
                </c:pt>
                <c:pt idx="84">
                  <c:v>8.9230554230982653E-2</c:v>
                </c:pt>
                <c:pt idx="85">
                  <c:v>6.961490202882642E-2</c:v>
                </c:pt>
                <c:pt idx="86">
                  <c:v>0.11271280301620927</c:v>
                </c:pt>
                <c:pt idx="87">
                  <c:v>9.6506360958302145E-2</c:v>
                </c:pt>
                <c:pt idx="88">
                  <c:v>9.990564222773686E-2</c:v>
                </c:pt>
                <c:pt idx="89">
                  <c:v>0.10018386173667562</c:v>
                </c:pt>
                <c:pt idx="90">
                  <c:v>9.2955178040396533E-2</c:v>
                </c:pt>
                <c:pt idx="91">
                  <c:v>0.12495933948465698</c:v>
                </c:pt>
                <c:pt idx="92">
                  <c:v>0.12367512309216654</c:v>
                </c:pt>
                <c:pt idx="93">
                  <c:v>0.12251805834915772</c:v>
                </c:pt>
                <c:pt idx="94">
                  <c:v>0.11894939631298639</c:v>
                </c:pt>
                <c:pt idx="95">
                  <c:v>0.12964876853361171</c:v>
                </c:pt>
                <c:pt idx="96">
                  <c:v>0.12013184094703887</c:v>
                </c:pt>
                <c:pt idx="97">
                  <c:v>0.11653332653521439</c:v>
                </c:pt>
                <c:pt idx="98">
                  <c:v>0.11701275502003074</c:v>
                </c:pt>
                <c:pt idx="99">
                  <c:v>0.10699206431508099</c:v>
                </c:pt>
                <c:pt idx="100">
                  <c:v>0.11322189616922784</c:v>
                </c:pt>
                <c:pt idx="101">
                  <c:v>0.1316254306693776</c:v>
                </c:pt>
                <c:pt idx="102">
                  <c:v>0.13079709261252528</c:v>
                </c:pt>
                <c:pt idx="103">
                  <c:v>0.1299606474047903</c:v>
                </c:pt>
                <c:pt idx="104">
                  <c:v>0.13012097344726947</c:v>
                </c:pt>
                <c:pt idx="105">
                  <c:v>0.12995644731559652</c:v>
                </c:pt>
                <c:pt idx="106">
                  <c:v>0.14377125225384138</c:v>
                </c:pt>
                <c:pt idx="107">
                  <c:v>0.13877852749042718</c:v>
                </c:pt>
                <c:pt idx="108">
                  <c:v>4.3738989365420845E-2</c:v>
                </c:pt>
                <c:pt idx="109">
                  <c:v>8.8004260492796207E-2</c:v>
                </c:pt>
                <c:pt idx="110">
                  <c:v>9.3864260266989186E-2</c:v>
                </c:pt>
                <c:pt idx="111">
                  <c:v>0.10213561159017731</c:v>
                </c:pt>
                <c:pt idx="112">
                  <c:v>9.2312741764990852E-2</c:v>
                </c:pt>
                <c:pt idx="113">
                  <c:v>9.1163815807256479E-2</c:v>
                </c:pt>
                <c:pt idx="114">
                  <c:v>0.10939719491308822</c:v>
                </c:pt>
                <c:pt idx="115">
                  <c:v>9.5563771003923173E-2</c:v>
                </c:pt>
                <c:pt idx="116">
                  <c:v>9.5258830092866204E-2</c:v>
                </c:pt>
                <c:pt idx="117">
                  <c:v>9.9397601734244334E-2</c:v>
                </c:pt>
                <c:pt idx="118">
                  <c:v>8.6596214499627372E-2</c:v>
                </c:pt>
                <c:pt idx="119">
                  <c:v>8.7324996926719328E-2</c:v>
                </c:pt>
                <c:pt idx="120">
                  <c:v>8.235347935174385E-2</c:v>
                </c:pt>
                <c:pt idx="121">
                  <c:v>9.4161614821401923E-2</c:v>
                </c:pt>
                <c:pt idx="122">
                  <c:v>8.2209948921313961E-2</c:v>
                </c:pt>
                <c:pt idx="123">
                  <c:v>7.528871602829075E-2</c:v>
                </c:pt>
                <c:pt idx="124">
                  <c:v>5.3261311402256019E-2</c:v>
                </c:pt>
                <c:pt idx="125">
                  <c:v>5.5354481775188175E-2</c:v>
                </c:pt>
                <c:pt idx="126">
                  <c:v>6.5107560829626154E-2</c:v>
                </c:pt>
                <c:pt idx="127">
                  <c:v>9.3742817795989891E-2</c:v>
                </c:pt>
                <c:pt idx="128">
                  <c:v>3.8540600675607675E-2</c:v>
                </c:pt>
                <c:pt idx="129">
                  <c:v>3.0392901925365763E-2</c:v>
                </c:pt>
                <c:pt idx="130">
                  <c:v>1.1366661250419387E-2</c:v>
                </c:pt>
                <c:pt idx="131">
                  <c:v>8.8804894424810338E-5</c:v>
                </c:pt>
                <c:pt idx="132">
                  <c:v>7.9269238730578125E-3</c:v>
                </c:pt>
                <c:pt idx="133">
                  <c:v>2.0676932956416646E-2</c:v>
                </c:pt>
                <c:pt idx="134">
                  <c:v>9.4660754084217539E-3</c:v>
                </c:pt>
                <c:pt idx="135">
                  <c:v>2.4986313940798491E-2</c:v>
                </c:pt>
                <c:pt idx="136">
                  <c:v>2.4089783176867781E-2</c:v>
                </c:pt>
                <c:pt idx="137">
                  <c:v>3.6378720149635888E-6</c:v>
                </c:pt>
                <c:pt idx="138">
                  <c:v>1.3015780314261006E-5</c:v>
                </c:pt>
                <c:pt idx="139">
                  <c:v>5.8747030196694719E-6</c:v>
                </c:pt>
                <c:pt idx="140">
                  <c:v>2.3761757673363914E-7</c:v>
                </c:pt>
                <c:pt idx="141">
                  <c:v>1.1370073938040818E-5</c:v>
                </c:pt>
                <c:pt idx="142">
                  <c:v>2.0727465029336378E-5</c:v>
                </c:pt>
                <c:pt idx="143">
                  <c:v>3.1034806463251683E-5</c:v>
                </c:pt>
                <c:pt idx="144">
                  <c:v>7.6211652608477922E-3</c:v>
                </c:pt>
                <c:pt idx="145">
                  <c:v>2.3007469535938845E-2</c:v>
                </c:pt>
                <c:pt idx="146">
                  <c:v>1.6270729101465344E-2</c:v>
                </c:pt>
                <c:pt idx="147">
                  <c:v>1.9542550058660072E-2</c:v>
                </c:pt>
                <c:pt idx="148">
                  <c:v>1.981596296423567E-2</c:v>
                </c:pt>
                <c:pt idx="149">
                  <c:v>3.6289960505292956E-2</c:v>
                </c:pt>
                <c:pt idx="150">
                  <c:v>3.61563845099638E-2</c:v>
                </c:pt>
                <c:pt idx="151">
                  <c:v>4.3806718557722467E-2</c:v>
                </c:pt>
                <c:pt idx="152">
                  <c:v>5.1069260206861859E-2</c:v>
                </c:pt>
                <c:pt idx="153">
                  <c:v>4.9773820234331113E-2</c:v>
                </c:pt>
                <c:pt idx="154">
                  <c:v>5.7735892480278536E-2</c:v>
                </c:pt>
                <c:pt idx="155">
                  <c:v>7.0056403245792681E-2</c:v>
                </c:pt>
                <c:pt idx="156">
                  <c:v>6.8294943711242867E-2</c:v>
                </c:pt>
                <c:pt idx="157">
                  <c:v>6.3154792025696682E-2</c:v>
                </c:pt>
                <c:pt idx="158">
                  <c:v>7.2970336450483397E-2</c:v>
                </c:pt>
                <c:pt idx="159">
                  <c:v>8.3233195127557974E-2</c:v>
                </c:pt>
                <c:pt idx="160">
                  <c:v>8.4281871238371067E-2</c:v>
                </c:pt>
                <c:pt idx="161">
                  <c:v>7.4156523812436301E-2</c:v>
                </c:pt>
                <c:pt idx="162">
                  <c:v>7.6168694455850686E-2</c:v>
                </c:pt>
                <c:pt idx="163">
                  <c:v>8.7431783454593334E-2</c:v>
                </c:pt>
                <c:pt idx="164">
                  <c:v>0.11260537618963988</c:v>
                </c:pt>
                <c:pt idx="165">
                  <c:v>0.11301323683403093</c:v>
                </c:pt>
                <c:pt idx="166">
                  <c:v>7.1771921404561928E-2</c:v>
                </c:pt>
                <c:pt idx="167">
                  <c:v>4.018087205198393E-2</c:v>
                </c:pt>
                <c:pt idx="168">
                  <c:v>6.354071659934582E-2</c:v>
                </c:pt>
                <c:pt idx="169">
                  <c:v>9.0028210337565237E-2</c:v>
                </c:pt>
                <c:pt idx="170">
                  <c:v>0.16348857460654059</c:v>
                </c:pt>
                <c:pt idx="171">
                  <c:v>0.1924846839867253</c:v>
                </c:pt>
                <c:pt idx="172">
                  <c:v>0.17140229598572743</c:v>
                </c:pt>
                <c:pt idx="173">
                  <c:v>0.16325822869196491</c:v>
                </c:pt>
                <c:pt idx="174">
                  <c:v>0.17393338434631145</c:v>
                </c:pt>
                <c:pt idx="175">
                  <c:v>0.17688580268323092</c:v>
                </c:pt>
                <c:pt idx="176">
                  <c:v>0.18212081596478891</c:v>
                </c:pt>
                <c:pt idx="177">
                  <c:v>0.19660944085727025</c:v>
                </c:pt>
                <c:pt idx="178">
                  <c:v>0.18160133514124899</c:v>
                </c:pt>
                <c:pt idx="179">
                  <c:v>0.20458042120711917</c:v>
                </c:pt>
                <c:pt idx="180">
                  <c:v>0.20456339130684106</c:v>
                </c:pt>
                <c:pt idx="181">
                  <c:v>0.20555810488438195</c:v>
                </c:pt>
                <c:pt idx="182">
                  <c:v>0.20681345617156133</c:v>
                </c:pt>
                <c:pt idx="183">
                  <c:v>0.20441353306696725</c:v>
                </c:pt>
                <c:pt idx="184">
                  <c:v>0.20111129045889331</c:v>
                </c:pt>
                <c:pt idx="185">
                  <c:v>0.1502008253147411</c:v>
                </c:pt>
                <c:pt idx="186">
                  <c:v>0.15709935649832971</c:v>
                </c:pt>
                <c:pt idx="187">
                  <c:v>0.15830038738701843</c:v>
                </c:pt>
                <c:pt idx="188">
                  <c:v>0.13913330709970029</c:v>
                </c:pt>
                <c:pt idx="189">
                  <c:v>0.13832881654024476</c:v>
                </c:pt>
                <c:pt idx="190">
                  <c:v>0.14368752505024934</c:v>
                </c:pt>
                <c:pt idx="191">
                  <c:v>0.1527618106721764</c:v>
                </c:pt>
                <c:pt idx="192">
                  <c:v>0.15019177713757195</c:v>
                </c:pt>
                <c:pt idx="193">
                  <c:v>0.13777096494989882</c:v>
                </c:pt>
                <c:pt idx="194">
                  <c:v>0.13651506794796164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BA-4542-8355-0FC18ADDF1F4}"/>
            </c:ext>
          </c:extLst>
        </c:ser>
        <c:ser>
          <c:idx val="8"/>
          <c:order val="8"/>
          <c:tx>
            <c:strRef>
              <c:f>熊市组合!$J$1</c:f>
              <c:strCache>
                <c:ptCount val="1"/>
                <c:pt idx="0">
                  <c:v>全指公用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熊市组合!$J$2:$J$196</c:f>
              <c:numCache>
                <c:formatCode>0.00%</c:formatCode>
                <c:ptCount val="195"/>
                <c:pt idx="0">
                  <c:v>1.797744366323646E-6</c:v>
                </c:pt>
                <c:pt idx="1">
                  <c:v>9.1906337102095825E-6</c:v>
                </c:pt>
                <c:pt idx="2">
                  <c:v>1.3990128721038719E-5</c:v>
                </c:pt>
                <c:pt idx="3">
                  <c:v>1.2149701646413223E-5</c:v>
                </c:pt>
                <c:pt idx="4">
                  <c:v>1.1518997342178835E-5</c:v>
                </c:pt>
                <c:pt idx="5">
                  <c:v>9.5061340057749029E-6</c:v>
                </c:pt>
                <c:pt idx="6">
                  <c:v>1.8193147372362295E-6</c:v>
                </c:pt>
                <c:pt idx="7">
                  <c:v>5.288305766690424E-6</c:v>
                </c:pt>
                <c:pt idx="8">
                  <c:v>1.0120988679292174E-5</c:v>
                </c:pt>
                <c:pt idx="9">
                  <c:v>9.529361909866704E-6</c:v>
                </c:pt>
                <c:pt idx="10">
                  <c:v>3.8018609132661514E-5</c:v>
                </c:pt>
                <c:pt idx="11">
                  <c:v>2.8629099245913118E-3</c:v>
                </c:pt>
                <c:pt idx="12">
                  <c:v>1.8171057559489309E-5</c:v>
                </c:pt>
                <c:pt idx="13">
                  <c:v>2.9457629162747203E-6</c:v>
                </c:pt>
                <c:pt idx="14">
                  <c:v>8.7229472665437088E-6</c:v>
                </c:pt>
                <c:pt idx="15">
                  <c:v>6.0804121430340405E-6</c:v>
                </c:pt>
                <c:pt idx="16">
                  <c:v>6.018387471865072E-6</c:v>
                </c:pt>
                <c:pt idx="17">
                  <c:v>1.7586587831202257E-5</c:v>
                </c:pt>
                <c:pt idx="18">
                  <c:v>1.8305114293466322E-5</c:v>
                </c:pt>
                <c:pt idx="19">
                  <c:v>1.9963024176312887E-5</c:v>
                </c:pt>
                <c:pt idx="20">
                  <c:v>1.3053884400054464E-5</c:v>
                </c:pt>
                <c:pt idx="21">
                  <c:v>1.2287949658119044E-5</c:v>
                </c:pt>
                <c:pt idx="22">
                  <c:v>1.2841596091728574E-5</c:v>
                </c:pt>
                <c:pt idx="23">
                  <c:v>1.5624978898218322E-5</c:v>
                </c:pt>
                <c:pt idx="24">
                  <c:v>1.1117056552955126E-5</c:v>
                </c:pt>
                <c:pt idx="25">
                  <c:v>1.0992608391347965E-5</c:v>
                </c:pt>
                <c:pt idx="26">
                  <c:v>1.1310914310458904E-5</c:v>
                </c:pt>
                <c:pt idx="27">
                  <c:v>1.00756687376815E-5</c:v>
                </c:pt>
                <c:pt idx="28">
                  <c:v>7.8102024471972031E-6</c:v>
                </c:pt>
                <c:pt idx="29">
                  <c:v>1.105830361039859E-5</c:v>
                </c:pt>
                <c:pt idx="30">
                  <c:v>1.6071666849024546E-5</c:v>
                </c:pt>
                <c:pt idx="31">
                  <c:v>1.3595445691443698E-5</c:v>
                </c:pt>
                <c:pt idx="32">
                  <c:v>1.4011474331650785E-5</c:v>
                </c:pt>
                <c:pt idx="33">
                  <c:v>1.6851215423238555E-5</c:v>
                </c:pt>
                <c:pt idx="34">
                  <c:v>1.3479537713029585E-5</c:v>
                </c:pt>
                <c:pt idx="35">
                  <c:v>2.0346600158295919E-5</c:v>
                </c:pt>
                <c:pt idx="36">
                  <c:v>2.7302561893356408E-5</c:v>
                </c:pt>
                <c:pt idx="37">
                  <c:v>3.3919928974624397E-5</c:v>
                </c:pt>
                <c:pt idx="38">
                  <c:v>2.7738268193574165E-5</c:v>
                </c:pt>
                <c:pt idx="39">
                  <c:v>2.0689311848246798E-5</c:v>
                </c:pt>
                <c:pt idx="40">
                  <c:v>8.3322776220898314E-6</c:v>
                </c:pt>
                <c:pt idx="41">
                  <c:v>7.9493566205733899E-6</c:v>
                </c:pt>
                <c:pt idx="42">
                  <c:v>7.3714084050136086E-6</c:v>
                </c:pt>
                <c:pt idx="43">
                  <c:v>3.9801516251224435E-5</c:v>
                </c:pt>
                <c:pt idx="44">
                  <c:v>1.6538276365540173E-5</c:v>
                </c:pt>
                <c:pt idx="45">
                  <c:v>2.9620755843310274E-5</c:v>
                </c:pt>
                <c:pt idx="46">
                  <c:v>6.9261832832994019E-6</c:v>
                </c:pt>
                <c:pt idx="47">
                  <c:v>1.5094754127051264E-6</c:v>
                </c:pt>
                <c:pt idx="48">
                  <c:v>8.8550291184540477E-6</c:v>
                </c:pt>
                <c:pt idx="49">
                  <c:v>4.3141782475880842E-5</c:v>
                </c:pt>
                <c:pt idx="50">
                  <c:v>2.9594702466267479E-5</c:v>
                </c:pt>
                <c:pt idx="51">
                  <c:v>1.0331138066747488E-5</c:v>
                </c:pt>
                <c:pt idx="52">
                  <c:v>8.1068804323983685E-6</c:v>
                </c:pt>
                <c:pt idx="53">
                  <c:v>2.3027483503722057E-5</c:v>
                </c:pt>
                <c:pt idx="54">
                  <c:v>8.5861120403065966E-6</c:v>
                </c:pt>
                <c:pt idx="55">
                  <c:v>3.1689119701936227E-6</c:v>
                </c:pt>
                <c:pt idx="56">
                  <c:v>5.1988042807861189E-6</c:v>
                </c:pt>
                <c:pt idx="57">
                  <c:v>7.499819900368504E-7</c:v>
                </c:pt>
                <c:pt idx="58">
                  <c:v>1.5356191045523214E-7</c:v>
                </c:pt>
                <c:pt idx="59">
                  <c:v>1.8667645441766718E-7</c:v>
                </c:pt>
                <c:pt idx="60">
                  <c:v>1.594154539533867E-7</c:v>
                </c:pt>
                <c:pt idx="61">
                  <c:v>4.023031007638173E-6</c:v>
                </c:pt>
                <c:pt idx="62">
                  <c:v>4.0264896053790284E-6</c:v>
                </c:pt>
                <c:pt idx="63">
                  <c:v>8.9470386638240269E-7</c:v>
                </c:pt>
                <c:pt idx="64">
                  <c:v>7.0936537112102067E-7</c:v>
                </c:pt>
                <c:pt idx="65">
                  <c:v>1.0670177497194188E-5</c:v>
                </c:pt>
                <c:pt idx="66">
                  <c:v>1.2547740804528515E-5</c:v>
                </c:pt>
                <c:pt idx="67">
                  <c:v>9.0502119388485594E-6</c:v>
                </c:pt>
                <c:pt idx="68">
                  <c:v>1.3202448703052283E-5</c:v>
                </c:pt>
                <c:pt idx="69">
                  <c:v>1.231574867479601E-6</c:v>
                </c:pt>
                <c:pt idx="70">
                  <c:v>4.2679148296269239E-7</c:v>
                </c:pt>
                <c:pt idx="71">
                  <c:v>2.2520195729884401E-7</c:v>
                </c:pt>
                <c:pt idx="72">
                  <c:v>2.9603597346600402E-6</c:v>
                </c:pt>
                <c:pt idx="73">
                  <c:v>1.1440916590246824E-6</c:v>
                </c:pt>
                <c:pt idx="74">
                  <c:v>3.5622534505023796E-6</c:v>
                </c:pt>
                <c:pt idx="75">
                  <c:v>8.8625214458105157E-6</c:v>
                </c:pt>
                <c:pt idx="76">
                  <c:v>8.1320663385062649E-6</c:v>
                </c:pt>
                <c:pt idx="77">
                  <c:v>8.047487135528292E-6</c:v>
                </c:pt>
                <c:pt idx="78">
                  <c:v>7.6811840365031761E-6</c:v>
                </c:pt>
                <c:pt idx="79">
                  <c:v>7.0374551687338075E-6</c:v>
                </c:pt>
                <c:pt idx="80">
                  <c:v>7.3495859259440855E-6</c:v>
                </c:pt>
                <c:pt idx="81">
                  <c:v>8.9521456914474266E-6</c:v>
                </c:pt>
                <c:pt idx="82">
                  <c:v>1.5228187967052907E-5</c:v>
                </c:pt>
                <c:pt idx="83">
                  <c:v>1.6634812611857009E-5</c:v>
                </c:pt>
                <c:pt idx="84">
                  <c:v>1.2943808094411407E-5</c:v>
                </c:pt>
                <c:pt idx="85">
                  <c:v>1.2126306213780722E-5</c:v>
                </c:pt>
                <c:pt idx="86">
                  <c:v>2.7740282954852053E-6</c:v>
                </c:pt>
                <c:pt idx="87">
                  <c:v>8.6733312684894664E-6</c:v>
                </c:pt>
                <c:pt idx="88">
                  <c:v>8.5315197659967189E-6</c:v>
                </c:pt>
                <c:pt idx="89">
                  <c:v>6.9226679083083199E-6</c:v>
                </c:pt>
                <c:pt idx="90">
                  <c:v>8.4487103722673279E-6</c:v>
                </c:pt>
                <c:pt idx="91">
                  <c:v>4.5520062902687573E-7</c:v>
                </c:pt>
                <c:pt idx="92">
                  <c:v>2.6702327267649485E-6</c:v>
                </c:pt>
                <c:pt idx="93">
                  <c:v>3.6904372768007853E-6</c:v>
                </c:pt>
                <c:pt idx="94">
                  <c:v>2.21251416081248E-6</c:v>
                </c:pt>
                <c:pt idx="95">
                  <c:v>4.2181413934786854E-6</c:v>
                </c:pt>
                <c:pt idx="96">
                  <c:v>1.0393813918092509E-5</c:v>
                </c:pt>
                <c:pt idx="97">
                  <c:v>1.3555457980955465E-5</c:v>
                </c:pt>
                <c:pt idx="98">
                  <c:v>1.5773676060343524E-5</c:v>
                </c:pt>
                <c:pt idx="99">
                  <c:v>1.5317247847440111E-5</c:v>
                </c:pt>
                <c:pt idx="100">
                  <c:v>1.452753566422703E-5</c:v>
                </c:pt>
                <c:pt idx="101">
                  <c:v>1.3860319155722835E-5</c:v>
                </c:pt>
                <c:pt idx="102">
                  <c:v>1.4001655538458081E-5</c:v>
                </c:pt>
                <c:pt idx="103">
                  <c:v>1.3099083504263467E-5</c:v>
                </c:pt>
                <c:pt idx="104">
                  <c:v>1.3105848733504727E-5</c:v>
                </c:pt>
                <c:pt idx="105">
                  <c:v>1.1793795985281787E-5</c:v>
                </c:pt>
                <c:pt idx="106">
                  <c:v>1.2142783699642033E-5</c:v>
                </c:pt>
                <c:pt idx="107">
                  <c:v>1.4483031311705617E-5</c:v>
                </c:pt>
                <c:pt idx="108">
                  <c:v>3.138930671077993E-5</c:v>
                </c:pt>
                <c:pt idx="109">
                  <c:v>4.5920839613863882E-5</c:v>
                </c:pt>
                <c:pt idx="110">
                  <c:v>2.0187619022245204E-5</c:v>
                </c:pt>
                <c:pt idx="111">
                  <c:v>3.1818198693704772E-5</c:v>
                </c:pt>
                <c:pt idx="112">
                  <c:v>3.4977088143584642E-5</c:v>
                </c:pt>
                <c:pt idx="113">
                  <c:v>4.0007448458198743E-5</c:v>
                </c:pt>
                <c:pt idx="114">
                  <c:v>2.9593163759208048E-6</c:v>
                </c:pt>
                <c:pt idx="115">
                  <c:v>5.2003776918049531E-7</c:v>
                </c:pt>
                <c:pt idx="116">
                  <c:v>4.7182812825449655E-7</c:v>
                </c:pt>
                <c:pt idx="117">
                  <c:v>1.0621745278327401E-6</c:v>
                </c:pt>
                <c:pt idx="118">
                  <c:v>6.2210819673453874E-7</c:v>
                </c:pt>
                <c:pt idx="119">
                  <c:v>1.3167285612655601E-6</c:v>
                </c:pt>
                <c:pt idx="120">
                  <c:v>7.341556910811755E-7</c:v>
                </c:pt>
                <c:pt idx="121">
                  <c:v>5.6405597369951039E-6</c:v>
                </c:pt>
                <c:pt idx="122">
                  <c:v>1.5420006806539095E-5</c:v>
                </c:pt>
                <c:pt idx="123">
                  <c:v>6.2218800432402349E-6</c:v>
                </c:pt>
                <c:pt idx="124">
                  <c:v>3.8666484859771609E-6</c:v>
                </c:pt>
                <c:pt idx="125">
                  <c:v>6.3661224516048333E-6</c:v>
                </c:pt>
                <c:pt idx="126">
                  <c:v>6.8556735708349177E-6</c:v>
                </c:pt>
                <c:pt idx="127">
                  <c:v>1.2611062291383645E-5</c:v>
                </c:pt>
                <c:pt idx="128">
                  <c:v>3.8319926738233152E-2</c:v>
                </c:pt>
                <c:pt idx="129">
                  <c:v>8.119579094611952E-2</c:v>
                </c:pt>
                <c:pt idx="130">
                  <c:v>8.7693715396065143E-5</c:v>
                </c:pt>
                <c:pt idx="131">
                  <c:v>2.3533469749853639E-5</c:v>
                </c:pt>
                <c:pt idx="132">
                  <c:v>5.5973126654544047E-6</c:v>
                </c:pt>
                <c:pt idx="133">
                  <c:v>1.1686616230315627E-5</c:v>
                </c:pt>
                <c:pt idx="134">
                  <c:v>1.6851423117150678E-6</c:v>
                </c:pt>
                <c:pt idx="135">
                  <c:v>1.9549478486182403E-5</c:v>
                </c:pt>
                <c:pt idx="136">
                  <c:v>4.1747620255959936E-6</c:v>
                </c:pt>
                <c:pt idx="137">
                  <c:v>4.9160308585342195E-3</c:v>
                </c:pt>
                <c:pt idx="138">
                  <c:v>3.4023940398791334E-3</c:v>
                </c:pt>
                <c:pt idx="139">
                  <c:v>6.0395737798299562E-3</c:v>
                </c:pt>
                <c:pt idx="140">
                  <c:v>9.5710802414874373E-6</c:v>
                </c:pt>
                <c:pt idx="141">
                  <c:v>4.4778120858561803E-5</c:v>
                </c:pt>
                <c:pt idx="142">
                  <c:v>9.7162883927242559E-3</c:v>
                </c:pt>
                <c:pt idx="143">
                  <c:v>2.1630319313009634E-2</c:v>
                </c:pt>
                <c:pt idx="144">
                  <c:v>2.2280203532126706E-2</c:v>
                </c:pt>
                <c:pt idx="145">
                  <c:v>2.8221781932735248E-2</c:v>
                </c:pt>
                <c:pt idx="146">
                  <c:v>2.2578406614520704E-2</c:v>
                </c:pt>
                <c:pt idx="147">
                  <c:v>2.0878366689801465E-2</c:v>
                </c:pt>
                <c:pt idx="148">
                  <c:v>2.0251755748915641E-2</c:v>
                </c:pt>
                <c:pt idx="149">
                  <c:v>2.3464452477070661E-2</c:v>
                </c:pt>
                <c:pt idx="150">
                  <c:v>2.1790604142650088E-2</c:v>
                </c:pt>
                <c:pt idx="151">
                  <c:v>1.8631879702977774E-2</c:v>
                </c:pt>
                <c:pt idx="152">
                  <c:v>1.150781777673216E-2</c:v>
                </c:pt>
                <c:pt idx="153">
                  <c:v>7.3947001683548185E-3</c:v>
                </c:pt>
                <c:pt idx="154">
                  <c:v>8.6698794260869574E-5</c:v>
                </c:pt>
                <c:pt idx="155">
                  <c:v>8.6453891039269082E-5</c:v>
                </c:pt>
                <c:pt idx="156">
                  <c:v>9.0686027520188255E-5</c:v>
                </c:pt>
                <c:pt idx="157">
                  <c:v>8.6491231399870506E-5</c:v>
                </c:pt>
                <c:pt idx="158">
                  <c:v>1.4452892390877983E-4</c:v>
                </c:pt>
                <c:pt idx="159">
                  <c:v>8.864204624927677E-5</c:v>
                </c:pt>
                <c:pt idx="160">
                  <c:v>8.7131026378786176E-5</c:v>
                </c:pt>
                <c:pt idx="161">
                  <c:v>8.566279307913697E-5</c:v>
                </c:pt>
                <c:pt idx="162">
                  <c:v>8.8013773107484524E-5</c:v>
                </c:pt>
                <c:pt idx="163">
                  <c:v>7.3471876943100332E-5</c:v>
                </c:pt>
                <c:pt idx="164">
                  <c:v>1.8524528437566275E-5</c:v>
                </c:pt>
                <c:pt idx="165">
                  <c:v>2.1418040554226122E-5</c:v>
                </c:pt>
                <c:pt idx="166">
                  <c:v>5.0137145835812349E-6</c:v>
                </c:pt>
                <c:pt idx="167">
                  <c:v>9.0549075471953519E-5</c:v>
                </c:pt>
                <c:pt idx="168">
                  <c:v>7.6084923155505203E-5</c:v>
                </c:pt>
                <c:pt idx="169">
                  <c:v>4.8164458562586525E-5</c:v>
                </c:pt>
                <c:pt idx="170">
                  <c:v>9.6601500726656819E-6</c:v>
                </c:pt>
                <c:pt idx="171">
                  <c:v>5.0341759320113947E-6</c:v>
                </c:pt>
                <c:pt idx="172">
                  <c:v>7.7289722081898091E-6</c:v>
                </c:pt>
                <c:pt idx="173">
                  <c:v>1.3515518280863591E-5</c:v>
                </c:pt>
                <c:pt idx="174">
                  <c:v>2.4298362771559205E-5</c:v>
                </c:pt>
                <c:pt idx="175">
                  <c:v>2.7122850067613023E-5</c:v>
                </c:pt>
                <c:pt idx="176">
                  <c:v>2.7642970869127013E-5</c:v>
                </c:pt>
                <c:pt idx="177">
                  <c:v>3.8896009013173998E-5</c:v>
                </c:pt>
                <c:pt idx="178">
                  <c:v>2.4152215961633473E-5</c:v>
                </c:pt>
                <c:pt idx="179">
                  <c:v>2.5790637803633264E-5</c:v>
                </c:pt>
                <c:pt idx="180">
                  <c:v>2.1014095986068343E-5</c:v>
                </c:pt>
                <c:pt idx="181">
                  <c:v>2.0883893461674111E-5</c:v>
                </c:pt>
                <c:pt idx="182">
                  <c:v>5.0950593476816021E-6</c:v>
                </c:pt>
                <c:pt idx="183">
                  <c:v>6.4304361723754167E-6</c:v>
                </c:pt>
                <c:pt idx="184">
                  <c:v>1.2620943947505074E-5</c:v>
                </c:pt>
                <c:pt idx="185">
                  <c:v>1.3215936522727447E-5</c:v>
                </c:pt>
                <c:pt idx="186">
                  <c:v>4.6316369729381864E-5</c:v>
                </c:pt>
                <c:pt idx="187">
                  <c:v>5.2973872494778482E-5</c:v>
                </c:pt>
                <c:pt idx="188">
                  <c:v>4.368267896037606E-5</c:v>
                </c:pt>
                <c:pt idx="189">
                  <c:v>3.8555365772980697E-5</c:v>
                </c:pt>
                <c:pt idx="190">
                  <c:v>2.7527008944403187E-5</c:v>
                </c:pt>
                <c:pt idx="191">
                  <c:v>3.7972472978280566E-5</c:v>
                </c:pt>
                <c:pt idx="192">
                  <c:v>3.9611372819729472E-5</c:v>
                </c:pt>
                <c:pt idx="193">
                  <c:v>4.2619989868527918E-5</c:v>
                </c:pt>
                <c:pt idx="194">
                  <c:v>5.4055206478034814E-5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BA-4542-8355-0FC18ADDF1F4}"/>
            </c:ext>
          </c:extLst>
        </c:ser>
        <c:ser>
          <c:idx val="9"/>
          <c:order val="9"/>
          <c:tx>
            <c:strRef>
              <c:f>熊市组合!$K$1</c:f>
              <c:strCache>
                <c:ptCount val="1"/>
                <c:pt idx="0">
                  <c:v>全指电信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熊市组合!$K$2:$K$196</c:f>
              <c:numCache>
                <c:formatCode>0.00%</c:formatCode>
                <c:ptCount val="195"/>
                <c:pt idx="0">
                  <c:v>2.0966562523611913E-6</c:v>
                </c:pt>
                <c:pt idx="1">
                  <c:v>1.0390541044779383E-5</c:v>
                </c:pt>
                <c:pt idx="2">
                  <c:v>1.6067334296738692E-5</c:v>
                </c:pt>
                <c:pt idx="3">
                  <c:v>1.5643212923971839E-5</c:v>
                </c:pt>
                <c:pt idx="4">
                  <c:v>1.5301415179211067E-5</c:v>
                </c:pt>
                <c:pt idx="5">
                  <c:v>1.1009931892534074E-5</c:v>
                </c:pt>
                <c:pt idx="6">
                  <c:v>2.3084202472330891E-6</c:v>
                </c:pt>
                <c:pt idx="7">
                  <c:v>6.3819029797271225E-6</c:v>
                </c:pt>
                <c:pt idx="8">
                  <c:v>1.1780001211524051E-5</c:v>
                </c:pt>
                <c:pt idx="9">
                  <c:v>1.7405010944077696E-5</c:v>
                </c:pt>
                <c:pt idx="10">
                  <c:v>3.0527439034084872E-5</c:v>
                </c:pt>
                <c:pt idx="11">
                  <c:v>8.7246463466177822E-3</c:v>
                </c:pt>
                <c:pt idx="12">
                  <c:v>3.4869876110467748E-3</c:v>
                </c:pt>
                <c:pt idx="13">
                  <c:v>3.4332232426524744E-6</c:v>
                </c:pt>
                <c:pt idx="14">
                  <c:v>8.0978634128323639E-6</c:v>
                </c:pt>
                <c:pt idx="15">
                  <c:v>8.7774025333315378E-6</c:v>
                </c:pt>
                <c:pt idx="16">
                  <c:v>9.7154465625128296E-6</c:v>
                </c:pt>
                <c:pt idx="17">
                  <c:v>1.5766381094312426E-5</c:v>
                </c:pt>
                <c:pt idx="18">
                  <c:v>1.5619696985423272E-5</c:v>
                </c:pt>
                <c:pt idx="19">
                  <c:v>1.7611778331524667E-5</c:v>
                </c:pt>
                <c:pt idx="20">
                  <c:v>1.4659991705504537E-5</c:v>
                </c:pt>
                <c:pt idx="21">
                  <c:v>1.5395151788101603E-5</c:v>
                </c:pt>
                <c:pt idx="22">
                  <c:v>1.7910945858405721E-5</c:v>
                </c:pt>
                <c:pt idx="23">
                  <c:v>2.0003579830234497E-5</c:v>
                </c:pt>
                <c:pt idx="24">
                  <c:v>1.800124754898937E-5</c:v>
                </c:pt>
                <c:pt idx="25">
                  <c:v>1.525298816792243E-5</c:v>
                </c:pt>
                <c:pt idx="26">
                  <c:v>1.5134647478725513E-5</c:v>
                </c:pt>
                <c:pt idx="27">
                  <c:v>1.4701198529734116E-5</c:v>
                </c:pt>
                <c:pt idx="28">
                  <c:v>1.2463030223097139E-5</c:v>
                </c:pt>
                <c:pt idx="29">
                  <c:v>1.7039980803972467E-5</c:v>
                </c:pt>
                <c:pt idx="30">
                  <c:v>2.1117297912774492E-5</c:v>
                </c:pt>
                <c:pt idx="31">
                  <c:v>1.7736241105219239E-5</c:v>
                </c:pt>
                <c:pt idx="32">
                  <c:v>2.1898265752983214E-5</c:v>
                </c:pt>
                <c:pt idx="33">
                  <c:v>3.422648116958762E-5</c:v>
                </c:pt>
                <c:pt idx="34">
                  <c:v>3.0345983884645581E-5</c:v>
                </c:pt>
                <c:pt idx="35">
                  <c:v>4.8690507106236251E-5</c:v>
                </c:pt>
                <c:pt idx="36">
                  <c:v>8.4990401736078226E-5</c:v>
                </c:pt>
                <c:pt idx="37">
                  <c:v>8.8148389250215065E-5</c:v>
                </c:pt>
                <c:pt idx="38">
                  <c:v>8.899528690972357E-5</c:v>
                </c:pt>
                <c:pt idx="39">
                  <c:v>8.8890610650442604E-5</c:v>
                </c:pt>
                <c:pt idx="40">
                  <c:v>5.5270019953608709E-2</c:v>
                </c:pt>
                <c:pt idx="41">
                  <c:v>7.7408122584338754E-2</c:v>
                </c:pt>
                <c:pt idx="42">
                  <c:v>6.9842759380193756E-2</c:v>
                </c:pt>
                <c:pt idx="43">
                  <c:v>5.2005240656651811E-2</c:v>
                </c:pt>
                <c:pt idx="44">
                  <c:v>5.9152501869192499E-2</c:v>
                </c:pt>
                <c:pt idx="45">
                  <c:v>3.9931031126213552E-2</c:v>
                </c:pt>
                <c:pt idx="46">
                  <c:v>6.6826902169929814E-2</c:v>
                </c:pt>
                <c:pt idx="47">
                  <c:v>6.5817397952311577E-2</c:v>
                </c:pt>
                <c:pt idx="48">
                  <c:v>4.0865797672007785E-2</c:v>
                </c:pt>
                <c:pt idx="49">
                  <c:v>4.2330229962440256E-2</c:v>
                </c:pt>
                <c:pt idx="50">
                  <c:v>5.4262109466564762E-2</c:v>
                </c:pt>
                <c:pt idx="51">
                  <c:v>3.4816279808148214E-2</c:v>
                </c:pt>
                <c:pt idx="52">
                  <c:v>2.6279516997667139E-2</c:v>
                </c:pt>
                <c:pt idx="53">
                  <c:v>5.8585901351179394E-2</c:v>
                </c:pt>
                <c:pt idx="54">
                  <c:v>2.2828615340188887E-2</c:v>
                </c:pt>
                <c:pt idx="55">
                  <c:v>1.4507879310604186E-2</c:v>
                </c:pt>
                <c:pt idx="56">
                  <c:v>1.0441613194311958E-2</c:v>
                </c:pt>
                <c:pt idx="57">
                  <c:v>1.2635764935854292E-2</c:v>
                </c:pt>
                <c:pt idx="58">
                  <c:v>1.4795657266500188E-2</c:v>
                </c:pt>
                <c:pt idx="59">
                  <c:v>1.9315418589051801E-2</c:v>
                </c:pt>
                <c:pt idx="60">
                  <c:v>1.6085124536330153E-2</c:v>
                </c:pt>
                <c:pt idx="61">
                  <c:v>6.9312145986835376E-5</c:v>
                </c:pt>
                <c:pt idx="62">
                  <c:v>6.8985985532290465E-5</c:v>
                </c:pt>
                <c:pt idx="63">
                  <c:v>1.0336892439661414E-5</c:v>
                </c:pt>
                <c:pt idx="64">
                  <c:v>8.2533250472213299E-3</c:v>
                </c:pt>
                <c:pt idx="65">
                  <c:v>7.6654914942511948E-2</c:v>
                </c:pt>
                <c:pt idx="66">
                  <c:v>5.6388244359202533E-2</c:v>
                </c:pt>
                <c:pt idx="67">
                  <c:v>4.4561521866752329E-2</c:v>
                </c:pt>
                <c:pt idx="68">
                  <c:v>3.08892753366301E-2</c:v>
                </c:pt>
                <c:pt idx="69">
                  <c:v>8.7652752794044461E-5</c:v>
                </c:pt>
                <c:pt idx="70">
                  <c:v>1.0752922722427163E-3</c:v>
                </c:pt>
                <c:pt idx="71">
                  <c:v>1.0845353726221443E-4</c:v>
                </c:pt>
                <c:pt idx="72">
                  <c:v>5.883953707103394E-3</c:v>
                </c:pt>
                <c:pt idx="73">
                  <c:v>2.4307573192342133E-3</c:v>
                </c:pt>
                <c:pt idx="74">
                  <c:v>1.7475310532537643E-5</c:v>
                </c:pt>
                <c:pt idx="75">
                  <c:v>4.2701373051872511E-5</c:v>
                </c:pt>
                <c:pt idx="76">
                  <c:v>3.8100566976727833E-5</c:v>
                </c:pt>
                <c:pt idx="77">
                  <c:v>3.84853381912914E-5</c:v>
                </c:pt>
                <c:pt idx="78">
                  <c:v>4.0275891456616346E-5</c:v>
                </c:pt>
                <c:pt idx="79">
                  <c:v>4.170341641985528E-5</c:v>
                </c:pt>
                <c:pt idx="80">
                  <c:v>3.0210017830366626E-5</c:v>
                </c:pt>
                <c:pt idx="81">
                  <c:v>1.870422248239886E-5</c:v>
                </c:pt>
                <c:pt idx="82">
                  <c:v>3.1608822091330218E-5</c:v>
                </c:pt>
                <c:pt idx="83">
                  <c:v>4.561853752073417E-5</c:v>
                </c:pt>
                <c:pt idx="84">
                  <c:v>3.3228814878333269E-5</c:v>
                </c:pt>
                <c:pt idx="85">
                  <c:v>3.6719677725202068E-5</c:v>
                </c:pt>
                <c:pt idx="86">
                  <c:v>6.8736628696904799E-6</c:v>
                </c:pt>
                <c:pt idx="87">
                  <c:v>3.0003158768183243E-5</c:v>
                </c:pt>
                <c:pt idx="88">
                  <c:v>3.2930425068258896E-5</c:v>
                </c:pt>
                <c:pt idx="89">
                  <c:v>2.640337662441983E-5</c:v>
                </c:pt>
                <c:pt idx="90">
                  <c:v>1.7734390211891516E-5</c:v>
                </c:pt>
                <c:pt idx="91">
                  <c:v>9.8610386076069847E-7</c:v>
                </c:pt>
                <c:pt idx="92">
                  <c:v>4.1000783715526893E-6</c:v>
                </c:pt>
                <c:pt idx="93">
                  <c:v>4.6818970626803298E-6</c:v>
                </c:pt>
                <c:pt idx="94">
                  <c:v>3.6107374944263971E-6</c:v>
                </c:pt>
                <c:pt idx="95">
                  <c:v>9.3232473280989924E-6</c:v>
                </c:pt>
                <c:pt idx="96">
                  <c:v>2.7957258147928696E-5</c:v>
                </c:pt>
                <c:pt idx="97">
                  <c:v>3.151661910304345E-5</c:v>
                </c:pt>
                <c:pt idx="98">
                  <c:v>3.1001088981467834E-5</c:v>
                </c:pt>
                <c:pt idx="99">
                  <c:v>3.7016353529962743E-5</c:v>
                </c:pt>
                <c:pt idx="100">
                  <c:v>4.489553415959785E-5</c:v>
                </c:pt>
                <c:pt idx="101">
                  <c:v>3.1196708846530908E-5</c:v>
                </c:pt>
                <c:pt idx="102">
                  <c:v>2.9979632904684972E-5</c:v>
                </c:pt>
                <c:pt idx="103">
                  <c:v>2.2496109958820884E-5</c:v>
                </c:pt>
                <c:pt idx="104">
                  <c:v>2.184735657659116E-5</c:v>
                </c:pt>
                <c:pt idx="105">
                  <c:v>1.9462248050021784E-5</c:v>
                </c:pt>
                <c:pt idx="106">
                  <c:v>2.3715850485695615E-5</c:v>
                </c:pt>
                <c:pt idx="107">
                  <c:v>3.1729599211973118E-5</c:v>
                </c:pt>
                <c:pt idx="108">
                  <c:v>3.482060305002695E-5</c:v>
                </c:pt>
                <c:pt idx="109">
                  <c:v>8.5825176913684425E-5</c:v>
                </c:pt>
                <c:pt idx="110">
                  <c:v>8.7744203142600891E-5</c:v>
                </c:pt>
                <c:pt idx="111">
                  <c:v>4.3706753600862761E-5</c:v>
                </c:pt>
                <c:pt idx="112">
                  <c:v>8.4745121341907431E-5</c:v>
                </c:pt>
                <c:pt idx="113">
                  <c:v>8.3392834846365924E-5</c:v>
                </c:pt>
                <c:pt idx="114">
                  <c:v>1.7835799720705755E-2</c:v>
                </c:pt>
                <c:pt idx="115">
                  <c:v>1.8816685457569031E-2</c:v>
                </c:pt>
                <c:pt idx="116">
                  <c:v>1.7574854322541775E-2</c:v>
                </c:pt>
                <c:pt idx="117">
                  <c:v>2.6055385322629201E-3</c:v>
                </c:pt>
                <c:pt idx="118">
                  <c:v>1.3338715542037777E-4</c:v>
                </c:pt>
                <c:pt idx="119">
                  <c:v>9.6460881475759051E-5</c:v>
                </c:pt>
                <c:pt idx="120">
                  <c:v>3.6819350269843656E-3</c:v>
                </c:pt>
                <c:pt idx="121">
                  <c:v>3.5529977379714106E-3</c:v>
                </c:pt>
                <c:pt idx="122">
                  <c:v>1.050290406326268E-2</c:v>
                </c:pt>
                <c:pt idx="123">
                  <c:v>1.1321935364787412E-2</c:v>
                </c:pt>
                <c:pt idx="124">
                  <c:v>3.284724733007939E-2</c:v>
                </c:pt>
                <c:pt idx="125">
                  <c:v>3.3647622447814565E-2</c:v>
                </c:pt>
                <c:pt idx="126">
                  <c:v>2.1603714034408722E-2</c:v>
                </c:pt>
                <c:pt idx="127">
                  <c:v>3.9572038557205277E-3</c:v>
                </c:pt>
                <c:pt idx="128">
                  <c:v>2.7914889008504915E-7</c:v>
                </c:pt>
                <c:pt idx="129">
                  <c:v>6.6149780244769423E-6</c:v>
                </c:pt>
                <c:pt idx="130">
                  <c:v>5.8311787611305766E-6</c:v>
                </c:pt>
                <c:pt idx="131">
                  <c:v>2.5875965488375078E-6</c:v>
                </c:pt>
                <c:pt idx="132">
                  <c:v>1.0011412547661586E-6</c:v>
                </c:pt>
                <c:pt idx="133">
                  <c:v>2.6517564846934547E-6</c:v>
                </c:pt>
                <c:pt idx="134">
                  <c:v>9.6197836267377969E-7</c:v>
                </c:pt>
                <c:pt idx="135">
                  <c:v>3.9942657594744977E-6</c:v>
                </c:pt>
                <c:pt idx="136">
                  <c:v>8.6553430556962325E-7</c:v>
                </c:pt>
                <c:pt idx="137">
                  <c:v>2.2135874454499049E-6</c:v>
                </c:pt>
                <c:pt idx="138">
                  <c:v>6.4680648472153302E-6</c:v>
                </c:pt>
                <c:pt idx="139">
                  <c:v>8.6642733929723644E-6</c:v>
                </c:pt>
                <c:pt idx="140">
                  <c:v>3.4878752639056929E-7</c:v>
                </c:pt>
                <c:pt idx="141">
                  <c:v>2.5765243570770383E-5</c:v>
                </c:pt>
                <c:pt idx="142">
                  <c:v>2.3553688083089926E-5</c:v>
                </c:pt>
                <c:pt idx="143">
                  <c:v>9.0884695839923312E-5</c:v>
                </c:pt>
                <c:pt idx="144">
                  <c:v>2.0373893920053805E-3</c:v>
                </c:pt>
                <c:pt idx="145">
                  <c:v>3.4280572666053706E-3</c:v>
                </c:pt>
                <c:pt idx="146">
                  <c:v>6.5434862404691765E-5</c:v>
                </c:pt>
                <c:pt idx="147">
                  <c:v>5.8865534844649885E-5</c:v>
                </c:pt>
                <c:pt idx="148">
                  <c:v>5.8899728248814652E-5</c:v>
                </c:pt>
                <c:pt idx="149">
                  <c:v>3.6114759543752133E-5</c:v>
                </c:pt>
                <c:pt idx="150">
                  <c:v>3.5167190190971781E-5</c:v>
                </c:pt>
                <c:pt idx="151">
                  <c:v>6.2351331179408197E-5</c:v>
                </c:pt>
                <c:pt idx="152">
                  <c:v>2.9969813710396895E-5</c:v>
                </c:pt>
                <c:pt idx="153">
                  <c:v>9.9984693473001977E-6</c:v>
                </c:pt>
                <c:pt idx="154">
                  <c:v>9.6039615730290881E-6</c:v>
                </c:pt>
                <c:pt idx="155">
                  <c:v>1.2636887513546567E-5</c:v>
                </c:pt>
                <c:pt idx="156">
                  <c:v>4.9390315329817452E-6</c:v>
                </c:pt>
                <c:pt idx="157">
                  <c:v>5.8322681887620819E-5</c:v>
                </c:pt>
                <c:pt idx="158">
                  <c:v>2.6016989841297789E-2</c:v>
                </c:pt>
                <c:pt idx="159">
                  <c:v>1.6427710061589756E-2</c:v>
                </c:pt>
                <c:pt idx="160">
                  <c:v>2.1734059682990799E-2</c:v>
                </c:pt>
                <c:pt idx="161">
                  <c:v>1.6533707826750822E-2</c:v>
                </c:pt>
                <c:pt idx="162">
                  <c:v>2.0656684249127512E-2</c:v>
                </c:pt>
                <c:pt idx="163">
                  <c:v>1.4666923844210209E-2</c:v>
                </c:pt>
                <c:pt idx="164">
                  <c:v>3.8623431297330675E-3</c:v>
                </c:pt>
                <c:pt idx="165">
                  <c:v>8.4070866164460956E-5</c:v>
                </c:pt>
                <c:pt idx="166">
                  <c:v>9.5441882936741322E-5</c:v>
                </c:pt>
                <c:pt idx="167">
                  <c:v>5.0102181623247602E-2</c:v>
                </c:pt>
                <c:pt idx="168">
                  <c:v>4.5770639716934292E-2</c:v>
                </c:pt>
                <c:pt idx="169">
                  <c:v>2.4893419658972439E-2</c:v>
                </c:pt>
                <c:pt idx="170">
                  <c:v>7.2167010605887047E-5</c:v>
                </c:pt>
                <c:pt idx="171">
                  <c:v>1.4049913470242121E-3</c:v>
                </c:pt>
                <c:pt idx="172">
                  <c:v>9.1099906286845188E-5</c:v>
                </c:pt>
                <c:pt idx="173">
                  <c:v>8.9259068293673892E-5</c:v>
                </c:pt>
                <c:pt idx="174">
                  <c:v>1.238654581395123E-2</c:v>
                </c:pt>
                <c:pt idx="175">
                  <c:v>9.971061710742626E-3</c:v>
                </c:pt>
                <c:pt idx="176">
                  <c:v>1.8707100817098476E-2</c:v>
                </c:pt>
                <c:pt idx="177">
                  <c:v>2.5467607138687835E-2</c:v>
                </c:pt>
                <c:pt idx="178">
                  <c:v>4.0195788664865971E-2</c:v>
                </c:pt>
                <c:pt idx="179">
                  <c:v>3.9228004694936251E-2</c:v>
                </c:pt>
                <c:pt idx="180">
                  <c:v>3.9966048266924695E-2</c:v>
                </c:pt>
                <c:pt idx="181">
                  <c:v>3.9706591009890622E-2</c:v>
                </c:pt>
                <c:pt idx="182">
                  <c:v>3.8436339059285209E-2</c:v>
                </c:pt>
                <c:pt idx="183">
                  <c:v>3.5075696371294748E-2</c:v>
                </c:pt>
                <c:pt idx="184">
                  <c:v>3.6235347054232668E-2</c:v>
                </c:pt>
                <c:pt idx="185">
                  <c:v>3.3933148195076014E-2</c:v>
                </c:pt>
                <c:pt idx="186">
                  <c:v>2.9495453164832566E-2</c:v>
                </c:pt>
                <c:pt idx="187">
                  <c:v>2.5341425437757668E-2</c:v>
                </c:pt>
                <c:pt idx="188">
                  <c:v>2.0666834921734118E-2</c:v>
                </c:pt>
                <c:pt idx="189">
                  <c:v>8.7214347214324345E-5</c:v>
                </c:pt>
                <c:pt idx="190">
                  <c:v>4.5314497544204276E-5</c:v>
                </c:pt>
                <c:pt idx="191">
                  <c:v>6.0689959395951824E-5</c:v>
                </c:pt>
                <c:pt idx="192">
                  <c:v>6.3226030207196967E-5</c:v>
                </c:pt>
                <c:pt idx="193">
                  <c:v>6.0219240394942018E-5</c:v>
                </c:pt>
                <c:pt idx="194">
                  <c:v>6.7665577051316842E-5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BA-4542-8355-0FC18ADDF1F4}"/>
            </c:ext>
          </c:extLst>
        </c:ser>
        <c:ser>
          <c:idx val="10"/>
          <c:order val="10"/>
          <c:tx>
            <c:strRef>
              <c:f>熊市组合!$L$1</c:f>
              <c:strCache>
                <c:ptCount val="1"/>
                <c:pt idx="0">
                  <c:v>现金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熊市组合!$A$2:$A$196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熊市组合!$L$2:$L$196</c:f>
              <c:numCache>
                <c:formatCode>0.00%</c:formatCode>
                <c:ptCount val="195"/>
                <c:pt idx="0">
                  <c:v>0.19837175039234081</c:v>
                </c:pt>
                <c:pt idx="1">
                  <c:v>0.19470590662987283</c:v>
                </c:pt>
                <c:pt idx="2">
                  <c:v>0.19610722093986654</c:v>
                </c:pt>
                <c:pt idx="3">
                  <c:v>0.19607708421184147</c:v>
                </c:pt>
                <c:pt idx="4">
                  <c:v>0.19899772681789141</c:v>
                </c:pt>
                <c:pt idx="5">
                  <c:v>0.20311931003571232</c:v>
                </c:pt>
                <c:pt idx="6">
                  <c:v>0.19789198025765561</c:v>
                </c:pt>
                <c:pt idx="7">
                  <c:v>0.19596022028392751</c:v>
                </c:pt>
                <c:pt idx="8">
                  <c:v>0.20386140528497163</c:v>
                </c:pt>
                <c:pt idx="9">
                  <c:v>0.19299426338489375</c:v>
                </c:pt>
                <c:pt idx="10">
                  <c:v>0.19952583675599997</c:v>
                </c:pt>
                <c:pt idx="11">
                  <c:v>0.19528054376107887</c:v>
                </c:pt>
                <c:pt idx="12">
                  <c:v>0.20699339393955957</c:v>
                </c:pt>
                <c:pt idx="13">
                  <c:v>0.18301257487825001</c:v>
                </c:pt>
                <c:pt idx="14">
                  <c:v>0.1759738722760652</c:v>
                </c:pt>
                <c:pt idx="15">
                  <c:v>0.17274368305869853</c:v>
                </c:pt>
                <c:pt idx="16">
                  <c:v>0.17504854278775003</c:v>
                </c:pt>
                <c:pt idx="17">
                  <c:v>0.15706477063637161</c:v>
                </c:pt>
                <c:pt idx="18">
                  <c:v>0.16040850095946424</c:v>
                </c:pt>
                <c:pt idx="19">
                  <c:v>0.16334041535460744</c:v>
                </c:pt>
                <c:pt idx="20">
                  <c:v>0.16584736105253708</c:v>
                </c:pt>
                <c:pt idx="21">
                  <c:v>0.17286624814481349</c:v>
                </c:pt>
                <c:pt idx="22">
                  <c:v>0.17676676430272545</c:v>
                </c:pt>
                <c:pt idx="23">
                  <c:v>0.1756610540736856</c:v>
                </c:pt>
                <c:pt idx="24">
                  <c:v>0.15340453555649319</c:v>
                </c:pt>
                <c:pt idx="25">
                  <c:v>0.12917403397202584</c:v>
                </c:pt>
                <c:pt idx="26">
                  <c:v>0.13201219242371362</c:v>
                </c:pt>
                <c:pt idx="27">
                  <c:v>0.13391041651743496</c:v>
                </c:pt>
                <c:pt idx="28">
                  <c:v>0.14893610856818232</c:v>
                </c:pt>
                <c:pt idx="29">
                  <c:v>0.15244098141313336</c:v>
                </c:pt>
                <c:pt idx="30">
                  <c:v>0.14575085077097633</c:v>
                </c:pt>
                <c:pt idx="31">
                  <c:v>0.1502985512255931</c:v>
                </c:pt>
                <c:pt idx="32">
                  <c:v>0.12578133792381332</c:v>
                </c:pt>
                <c:pt idx="33">
                  <c:v>0.12627041722745791</c:v>
                </c:pt>
                <c:pt idx="34">
                  <c:v>0.14006098571025505</c:v>
                </c:pt>
                <c:pt idx="35">
                  <c:v>0.15627643362219631</c:v>
                </c:pt>
                <c:pt idx="36">
                  <c:v>0.13676147424415364</c:v>
                </c:pt>
                <c:pt idx="37">
                  <c:v>0.1383753323328539</c:v>
                </c:pt>
                <c:pt idx="38">
                  <c:v>0.13777300874168305</c:v>
                </c:pt>
                <c:pt idx="39">
                  <c:v>0.14001734718139536</c:v>
                </c:pt>
                <c:pt idx="40">
                  <c:v>0.13127965070811709</c:v>
                </c:pt>
                <c:pt idx="41">
                  <c:v>0.13225263828861003</c:v>
                </c:pt>
                <c:pt idx="42">
                  <c:v>0.13077713216996015</c:v>
                </c:pt>
                <c:pt idx="43">
                  <c:v>0.12416305489886242</c:v>
                </c:pt>
                <c:pt idx="44">
                  <c:v>0.12577990413642881</c:v>
                </c:pt>
                <c:pt idx="45">
                  <c:v>0.11675299321682488</c:v>
                </c:pt>
                <c:pt idx="46">
                  <c:v>0.11959419766836478</c:v>
                </c:pt>
                <c:pt idx="47">
                  <c:v>0.11843295198804218</c:v>
                </c:pt>
                <c:pt idx="48">
                  <c:v>0.12625805051925917</c:v>
                </c:pt>
                <c:pt idx="49">
                  <c:v>0.12671719093865624</c:v>
                </c:pt>
                <c:pt idx="50">
                  <c:v>0.12369460274173383</c:v>
                </c:pt>
                <c:pt idx="51">
                  <c:v>0.13308624482444362</c:v>
                </c:pt>
                <c:pt idx="52">
                  <c:v>0.14079994710000285</c:v>
                </c:pt>
                <c:pt idx="53">
                  <c:v>0.14335674734400131</c:v>
                </c:pt>
                <c:pt idx="54">
                  <c:v>0.15506033249937123</c:v>
                </c:pt>
                <c:pt idx="55">
                  <c:v>0.15844664102368494</c:v>
                </c:pt>
                <c:pt idx="56">
                  <c:v>0.15944474247277551</c:v>
                </c:pt>
                <c:pt idx="57">
                  <c:v>0.16163817651055379</c:v>
                </c:pt>
                <c:pt idx="58">
                  <c:v>0.16085264161936308</c:v>
                </c:pt>
                <c:pt idx="59">
                  <c:v>0.16135554600562188</c:v>
                </c:pt>
                <c:pt idx="60">
                  <c:v>0.15904696114397879</c:v>
                </c:pt>
                <c:pt idx="61">
                  <c:v>0.15969341104169629</c:v>
                </c:pt>
                <c:pt idx="62">
                  <c:v>0.15971692246887717</c:v>
                </c:pt>
                <c:pt idx="63">
                  <c:v>0.16003754434038883</c:v>
                </c:pt>
                <c:pt idx="64">
                  <c:v>0.1613641082639771</c:v>
                </c:pt>
                <c:pt idx="65">
                  <c:v>0.17669003755193954</c:v>
                </c:pt>
                <c:pt idx="66">
                  <c:v>0.17494723390411504</c:v>
                </c:pt>
                <c:pt idx="67">
                  <c:v>0.17547205568157917</c:v>
                </c:pt>
                <c:pt idx="68">
                  <c:v>0.17680339250029853</c:v>
                </c:pt>
                <c:pt idx="69">
                  <c:v>0.17552532237415297</c:v>
                </c:pt>
                <c:pt idx="70">
                  <c:v>0.17476638048105991</c:v>
                </c:pt>
                <c:pt idx="71">
                  <c:v>0.17555409497922217</c:v>
                </c:pt>
                <c:pt idx="72">
                  <c:v>0.1794788203298826</c:v>
                </c:pt>
                <c:pt idx="73">
                  <c:v>0.17847093385258547</c:v>
                </c:pt>
                <c:pt idx="74">
                  <c:v>0.17601352240973983</c:v>
                </c:pt>
                <c:pt idx="75">
                  <c:v>0.16721202539969304</c:v>
                </c:pt>
                <c:pt idx="76">
                  <c:v>0.17823713575476088</c:v>
                </c:pt>
                <c:pt idx="77">
                  <c:v>0.17800793870154966</c:v>
                </c:pt>
                <c:pt idx="78">
                  <c:v>0.17853951569682894</c:v>
                </c:pt>
                <c:pt idx="79">
                  <c:v>0.18748558756563086</c:v>
                </c:pt>
                <c:pt idx="80">
                  <c:v>0.19849398805143431</c:v>
                </c:pt>
                <c:pt idx="81">
                  <c:v>0.19892167630873464</c:v>
                </c:pt>
                <c:pt idx="82">
                  <c:v>0.2015649421867742</c:v>
                </c:pt>
                <c:pt idx="83">
                  <c:v>0.20996955712482682</c:v>
                </c:pt>
                <c:pt idx="84">
                  <c:v>0.20909495128505093</c:v>
                </c:pt>
                <c:pt idx="85">
                  <c:v>0.24034592773882288</c:v>
                </c:pt>
                <c:pt idx="86">
                  <c:v>0.22947947125599283</c:v>
                </c:pt>
                <c:pt idx="87">
                  <c:v>0.23117985879238159</c:v>
                </c:pt>
                <c:pt idx="88">
                  <c:v>0.23260081249722103</c:v>
                </c:pt>
                <c:pt idx="89">
                  <c:v>0.2322749157834183</c:v>
                </c:pt>
                <c:pt idx="90">
                  <c:v>0.22776037582130462</c:v>
                </c:pt>
                <c:pt idx="91">
                  <c:v>0.21569290386829437</c:v>
                </c:pt>
                <c:pt idx="92">
                  <c:v>0.21383463317070461</c:v>
                </c:pt>
                <c:pt idx="93">
                  <c:v>0.20815687366834693</c:v>
                </c:pt>
                <c:pt idx="94">
                  <c:v>0.206450632045209</c:v>
                </c:pt>
                <c:pt idx="95">
                  <c:v>0.19873570555989767</c:v>
                </c:pt>
                <c:pt idx="96">
                  <c:v>0.20635447130428441</c:v>
                </c:pt>
                <c:pt idx="97">
                  <c:v>0.20806654687385978</c:v>
                </c:pt>
                <c:pt idx="98">
                  <c:v>0.20786586611018676</c:v>
                </c:pt>
                <c:pt idx="99">
                  <c:v>0.21217815749309746</c:v>
                </c:pt>
                <c:pt idx="100">
                  <c:v>0.20965552463701681</c:v>
                </c:pt>
                <c:pt idx="101">
                  <c:v>0.19853427079428401</c:v>
                </c:pt>
                <c:pt idx="102">
                  <c:v>0.20224925105251398</c:v>
                </c:pt>
                <c:pt idx="103">
                  <c:v>0.20090593536468851</c:v>
                </c:pt>
                <c:pt idx="104">
                  <c:v>0.20037779249450138</c:v>
                </c:pt>
                <c:pt idx="105">
                  <c:v>0.19659698439895437</c:v>
                </c:pt>
                <c:pt idx="106">
                  <c:v>0.18308819961160552</c:v>
                </c:pt>
                <c:pt idx="107">
                  <c:v>0.18367544037522518</c:v>
                </c:pt>
                <c:pt idx="108">
                  <c:v>9.8967008677638524E-2</c:v>
                </c:pt>
                <c:pt idx="109">
                  <c:v>0.10411812649973839</c:v>
                </c:pt>
                <c:pt idx="110">
                  <c:v>0.10118413395373785</c:v>
                </c:pt>
                <c:pt idx="111">
                  <c:v>0.10743134522051789</c:v>
                </c:pt>
                <c:pt idx="112">
                  <c:v>9.3160208504545691E-2</c:v>
                </c:pt>
                <c:pt idx="113">
                  <c:v>8.9850332966343746E-2</c:v>
                </c:pt>
                <c:pt idx="114">
                  <c:v>0.12294640961494099</c:v>
                </c:pt>
                <c:pt idx="115">
                  <c:v>0.12239158616420936</c:v>
                </c:pt>
                <c:pt idx="116">
                  <c:v>0.12287471174025252</c:v>
                </c:pt>
                <c:pt idx="117">
                  <c:v>0.11866378744493614</c:v>
                </c:pt>
                <c:pt idx="118">
                  <c:v>0.13126323409744345</c:v>
                </c:pt>
                <c:pt idx="119">
                  <c:v>0.1296330001838128</c:v>
                </c:pt>
                <c:pt idx="120">
                  <c:v>0.1269045057932506</c:v>
                </c:pt>
                <c:pt idx="121">
                  <c:v>0.12521948668920402</c:v>
                </c:pt>
                <c:pt idx="122">
                  <c:v>0.12736912081950247</c:v>
                </c:pt>
                <c:pt idx="123">
                  <c:v>0.13298047359236206</c:v>
                </c:pt>
                <c:pt idx="124">
                  <c:v>0.12672522304120976</c:v>
                </c:pt>
                <c:pt idx="125">
                  <c:v>0.12965173748764547</c:v>
                </c:pt>
                <c:pt idx="126">
                  <c:v>0.11746256246800492</c:v>
                </c:pt>
                <c:pt idx="127">
                  <c:v>0.12491577094369595</c:v>
                </c:pt>
                <c:pt idx="128">
                  <c:v>9.7040101119047831E-2</c:v>
                </c:pt>
                <c:pt idx="129">
                  <c:v>7.8657231148785325E-2</c:v>
                </c:pt>
                <c:pt idx="130">
                  <c:v>0.10358796800445276</c:v>
                </c:pt>
                <c:pt idx="131">
                  <c:v>0.11759129695600062</c:v>
                </c:pt>
                <c:pt idx="132">
                  <c:v>0.1211977315641185</c:v>
                </c:pt>
                <c:pt idx="133">
                  <c:v>0.12142543954776203</c:v>
                </c:pt>
                <c:pt idx="134">
                  <c:v>0.12549184912686037</c:v>
                </c:pt>
                <c:pt idx="135">
                  <c:v>0.11890674618734309</c:v>
                </c:pt>
                <c:pt idx="136">
                  <c:v>0.1154516957340473</c:v>
                </c:pt>
                <c:pt idx="137">
                  <c:v>9.0190716736699331E-2</c:v>
                </c:pt>
                <c:pt idx="138">
                  <c:v>9.2660979247321404E-2</c:v>
                </c:pt>
                <c:pt idx="139">
                  <c:v>8.4679141335891633E-2</c:v>
                </c:pt>
                <c:pt idx="140">
                  <c:v>0.10017891772593847</c:v>
                </c:pt>
                <c:pt idx="141">
                  <c:v>0.11714014528842284</c:v>
                </c:pt>
                <c:pt idx="142">
                  <c:v>0.11860443320556056</c:v>
                </c:pt>
                <c:pt idx="143">
                  <c:v>0.11093177643856958</c:v>
                </c:pt>
                <c:pt idx="144">
                  <c:v>0.10515660650082162</c:v>
                </c:pt>
                <c:pt idx="145">
                  <c:v>0.10250894211369188</c:v>
                </c:pt>
                <c:pt idx="146">
                  <c:v>9.9718533767013617E-2</c:v>
                </c:pt>
                <c:pt idx="147">
                  <c:v>0.1063138481716924</c:v>
                </c:pt>
                <c:pt idx="148">
                  <c:v>0.10660284016932661</c:v>
                </c:pt>
                <c:pt idx="149">
                  <c:v>8.6227572106292602E-2</c:v>
                </c:pt>
                <c:pt idx="150">
                  <c:v>8.6572592101747545E-2</c:v>
                </c:pt>
                <c:pt idx="151">
                  <c:v>8.8466845568853175E-2</c:v>
                </c:pt>
                <c:pt idx="152">
                  <c:v>0.11318363491073868</c:v>
                </c:pt>
                <c:pt idx="153">
                  <c:v>0.11316972303050171</c:v>
                </c:pt>
                <c:pt idx="154">
                  <c:v>0.12649084315251097</c:v>
                </c:pt>
                <c:pt idx="155">
                  <c:v>0.12245899387701019</c:v>
                </c:pt>
                <c:pt idx="156">
                  <c:v>0.12504125187045351</c:v>
                </c:pt>
                <c:pt idx="157">
                  <c:v>0.12576578475031849</c:v>
                </c:pt>
                <c:pt idx="158">
                  <c:v>0.11213106070966189</c:v>
                </c:pt>
                <c:pt idx="159">
                  <c:v>0.1122140359435756</c:v>
                </c:pt>
                <c:pt idx="160">
                  <c:v>0.11476941571622247</c:v>
                </c:pt>
                <c:pt idx="161">
                  <c:v>0.12371557524895334</c:v>
                </c:pt>
                <c:pt idx="162">
                  <c:v>0.11474730217537554</c:v>
                </c:pt>
                <c:pt idx="163">
                  <c:v>0.1051933675575156</c:v>
                </c:pt>
                <c:pt idx="164">
                  <c:v>9.5568116949802509E-2</c:v>
                </c:pt>
                <c:pt idx="165">
                  <c:v>9.620410093021349E-2</c:v>
                </c:pt>
                <c:pt idx="166">
                  <c:v>0.14069638781203775</c:v>
                </c:pt>
                <c:pt idx="167">
                  <c:v>0.12921164224770032</c:v>
                </c:pt>
                <c:pt idx="168">
                  <c:v>0.16154321487498891</c:v>
                </c:pt>
                <c:pt idx="169">
                  <c:v>0.14954552156693263</c:v>
                </c:pt>
                <c:pt idx="170">
                  <c:v>0.19353091318840504</c:v>
                </c:pt>
                <c:pt idx="171">
                  <c:v>0.11443819810935545</c:v>
                </c:pt>
                <c:pt idx="172">
                  <c:v>9.1851762127577299E-2</c:v>
                </c:pt>
                <c:pt idx="173">
                  <c:v>8.845649522100818E-2</c:v>
                </c:pt>
                <c:pt idx="174">
                  <c:v>7.4430749419055378E-2</c:v>
                </c:pt>
                <c:pt idx="175">
                  <c:v>6.2169041203209929E-2</c:v>
                </c:pt>
                <c:pt idx="176">
                  <c:v>5.6777989577971394E-2</c:v>
                </c:pt>
                <c:pt idx="177">
                  <c:v>6.3652256927421463E-2</c:v>
                </c:pt>
                <c:pt idx="178">
                  <c:v>4.5265774280336658E-2</c:v>
                </c:pt>
                <c:pt idx="179">
                  <c:v>4.8625245955824584E-2</c:v>
                </c:pt>
                <c:pt idx="180">
                  <c:v>4.6550137842058525E-2</c:v>
                </c:pt>
                <c:pt idx="181">
                  <c:v>4.7251389747393076E-2</c:v>
                </c:pt>
                <c:pt idx="182">
                  <c:v>5.0536154535258185E-2</c:v>
                </c:pt>
                <c:pt idx="183">
                  <c:v>4.8507043749340568E-2</c:v>
                </c:pt>
                <c:pt idx="184">
                  <c:v>5.4995903270798702E-2</c:v>
                </c:pt>
                <c:pt idx="185">
                  <c:v>5.9373968442802155E-2</c:v>
                </c:pt>
                <c:pt idx="186">
                  <c:v>6.039065528262498E-2</c:v>
                </c:pt>
                <c:pt idx="187">
                  <c:v>6.7302040473454866E-2</c:v>
                </c:pt>
                <c:pt idx="188">
                  <c:v>6.5493112943703052E-2</c:v>
                </c:pt>
                <c:pt idx="189">
                  <c:v>7.628962690717371E-2</c:v>
                </c:pt>
                <c:pt idx="190">
                  <c:v>8.7927427110208609E-2</c:v>
                </c:pt>
                <c:pt idx="191">
                  <c:v>8.9036473451388751E-2</c:v>
                </c:pt>
                <c:pt idx="192">
                  <c:v>9.2136964893546794E-2</c:v>
                </c:pt>
                <c:pt idx="193">
                  <c:v>8.5890255973839327E-2</c:v>
                </c:pt>
                <c:pt idx="194">
                  <c:v>8.8874239960058637E-2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BA-4542-8355-0FC18ADDF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102336"/>
        <c:axId val="966104416"/>
      </c:areaChart>
      <c:dateAx>
        <c:axId val="966102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104416"/>
        <c:crosses val="autoZero"/>
        <c:auto val="1"/>
        <c:lblOffset val="100"/>
        <c:baseTimeUnit val="days"/>
      </c:dateAx>
      <c:valAx>
        <c:axId val="96610441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10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震荡市组合</a:t>
            </a:r>
            <a:endParaRPr lang="en-US" alt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震荡市组合!$B$1</c:f>
              <c:strCache>
                <c:ptCount val="1"/>
                <c:pt idx="0">
                  <c:v>全指金融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震荡市组合!$B$2:$B$196</c:f>
              <c:numCache>
                <c:formatCode>0.00%</c:formatCode>
                <c:ptCount val="195"/>
                <c:pt idx="0">
                  <c:v>8.867331758736009E-6</c:v>
                </c:pt>
                <c:pt idx="1">
                  <c:v>6.3174933561751919E-6</c:v>
                </c:pt>
                <c:pt idx="2">
                  <c:v>8.0214508314815757E-6</c:v>
                </c:pt>
                <c:pt idx="3">
                  <c:v>6.4831963741103216E-6</c:v>
                </c:pt>
                <c:pt idx="4">
                  <c:v>4.3774158337128917E-6</c:v>
                </c:pt>
                <c:pt idx="5">
                  <c:v>2.7032647159329234E-6</c:v>
                </c:pt>
                <c:pt idx="6">
                  <c:v>1.9561012247077413E-6</c:v>
                </c:pt>
                <c:pt idx="7">
                  <c:v>2.4527938213632196E-6</c:v>
                </c:pt>
                <c:pt idx="8">
                  <c:v>1.9187413939433086E-5</c:v>
                </c:pt>
                <c:pt idx="9">
                  <c:v>7.38059837543306E-3</c:v>
                </c:pt>
                <c:pt idx="10">
                  <c:v>3.4913082530562709E-5</c:v>
                </c:pt>
                <c:pt idx="11">
                  <c:v>9.12090103794614E-3</c:v>
                </c:pt>
                <c:pt idx="12">
                  <c:v>4.090313965132495E-2</c:v>
                </c:pt>
                <c:pt idx="13">
                  <c:v>4.1723966397467602E-2</c:v>
                </c:pt>
                <c:pt idx="14">
                  <c:v>4.1782418403873221E-2</c:v>
                </c:pt>
                <c:pt idx="15">
                  <c:v>4.3294968026155664E-2</c:v>
                </c:pt>
                <c:pt idx="16">
                  <c:v>5.5544225369720132E-2</c:v>
                </c:pt>
                <c:pt idx="17">
                  <c:v>5.2041560101619783E-2</c:v>
                </c:pt>
                <c:pt idx="18">
                  <c:v>5.2080840526828737E-2</c:v>
                </c:pt>
                <c:pt idx="19">
                  <c:v>5.2877483283814593E-2</c:v>
                </c:pt>
                <c:pt idx="20">
                  <c:v>5.5001759686584849E-2</c:v>
                </c:pt>
                <c:pt idx="21">
                  <c:v>5.3074195816958519E-2</c:v>
                </c:pt>
                <c:pt idx="22">
                  <c:v>5.4468412649265108E-2</c:v>
                </c:pt>
                <c:pt idx="23">
                  <c:v>5.2023154180773953E-2</c:v>
                </c:pt>
                <c:pt idx="24">
                  <c:v>4.8140078992246184E-2</c:v>
                </c:pt>
                <c:pt idx="25">
                  <c:v>5.2433877476334517E-2</c:v>
                </c:pt>
                <c:pt idx="26">
                  <c:v>5.6317953419355499E-2</c:v>
                </c:pt>
                <c:pt idx="27">
                  <c:v>5.8410753988433831E-2</c:v>
                </c:pt>
                <c:pt idx="28">
                  <c:v>6.7694315022122392E-2</c:v>
                </c:pt>
                <c:pt idx="29">
                  <c:v>6.6229851441193116E-2</c:v>
                </c:pt>
                <c:pt idx="30">
                  <c:v>6.6453586494345074E-2</c:v>
                </c:pt>
                <c:pt idx="31">
                  <c:v>6.0886961041530303E-2</c:v>
                </c:pt>
                <c:pt idx="32">
                  <c:v>6.4759013648043165E-2</c:v>
                </c:pt>
                <c:pt idx="33">
                  <c:v>6.695355007269875E-2</c:v>
                </c:pt>
                <c:pt idx="34">
                  <c:v>6.6793018670317547E-2</c:v>
                </c:pt>
                <c:pt idx="35">
                  <c:v>6.7108627872775869E-2</c:v>
                </c:pt>
                <c:pt idx="36">
                  <c:v>7.3761844418708589E-2</c:v>
                </c:pt>
                <c:pt idx="37">
                  <c:v>7.5225428950915885E-2</c:v>
                </c:pt>
                <c:pt idx="38">
                  <c:v>5.3449553737685999E-2</c:v>
                </c:pt>
                <c:pt idx="39">
                  <c:v>4.034311888286473E-2</c:v>
                </c:pt>
                <c:pt idx="40">
                  <c:v>3.6164687686172703E-2</c:v>
                </c:pt>
                <c:pt idx="41">
                  <c:v>4.3497779940234245E-2</c:v>
                </c:pt>
                <c:pt idx="42">
                  <c:v>4.8059267153994202E-2</c:v>
                </c:pt>
                <c:pt idx="43">
                  <c:v>4.470732824716199E-2</c:v>
                </c:pt>
                <c:pt idx="44">
                  <c:v>4.8627782889275543E-2</c:v>
                </c:pt>
                <c:pt idx="45">
                  <c:v>5.1553904864917365E-2</c:v>
                </c:pt>
                <c:pt idx="46">
                  <c:v>5.34174721374501E-2</c:v>
                </c:pt>
                <c:pt idx="47">
                  <c:v>5.0587196410670492E-2</c:v>
                </c:pt>
                <c:pt idx="48">
                  <c:v>6.9414390671625109E-2</c:v>
                </c:pt>
                <c:pt idx="49">
                  <c:v>6.8424675704477078E-2</c:v>
                </c:pt>
                <c:pt idx="50">
                  <c:v>5.2024066710773732E-2</c:v>
                </c:pt>
                <c:pt idx="51">
                  <c:v>3.7500662027013285E-2</c:v>
                </c:pt>
                <c:pt idx="52">
                  <c:v>1.1869924537795024E-2</c:v>
                </c:pt>
                <c:pt idx="53">
                  <c:v>8.9350151872815935E-5</c:v>
                </c:pt>
                <c:pt idx="54">
                  <c:v>3.3168244469413204E-5</c:v>
                </c:pt>
                <c:pt idx="55">
                  <c:v>2.3485201615903839E-5</c:v>
                </c:pt>
                <c:pt idx="56">
                  <c:v>2.2461291454753673E-5</c:v>
                </c:pt>
                <c:pt idx="57">
                  <c:v>3.1498801465509521E-5</c:v>
                </c:pt>
                <c:pt idx="58">
                  <c:v>3.6303940858368633E-5</c:v>
                </c:pt>
                <c:pt idx="59">
                  <c:v>2.7049357755880662E-6</c:v>
                </c:pt>
                <c:pt idx="60">
                  <c:v>1.9445909936137531E-6</c:v>
                </c:pt>
                <c:pt idx="61">
                  <c:v>1.8123573453388191E-6</c:v>
                </c:pt>
                <c:pt idx="62">
                  <c:v>8.938416562990867E-5</c:v>
                </c:pt>
                <c:pt idx="63">
                  <c:v>9.0993390701064127E-5</c:v>
                </c:pt>
                <c:pt idx="64">
                  <c:v>1.651070121944505E-3</c:v>
                </c:pt>
                <c:pt idx="65">
                  <c:v>9.0650174896328209E-5</c:v>
                </c:pt>
                <c:pt idx="66">
                  <c:v>6.9934854089467436E-6</c:v>
                </c:pt>
                <c:pt idx="67">
                  <c:v>7.1189232268519761E-6</c:v>
                </c:pt>
                <c:pt idx="68">
                  <c:v>7.0517917467367894E-6</c:v>
                </c:pt>
                <c:pt idx="69">
                  <c:v>5.0656479546737566E-6</c:v>
                </c:pt>
                <c:pt idx="70">
                  <c:v>6.7494068747170552E-6</c:v>
                </c:pt>
                <c:pt idx="71">
                  <c:v>6.4198258428974012E-6</c:v>
                </c:pt>
                <c:pt idx="72">
                  <c:v>7.3187198335427425E-6</c:v>
                </c:pt>
                <c:pt idx="73">
                  <c:v>6.2072454816449544E-6</c:v>
                </c:pt>
                <c:pt idx="74">
                  <c:v>5.6883750378313828E-6</c:v>
                </c:pt>
                <c:pt idx="75">
                  <c:v>5.2555298523199466E-6</c:v>
                </c:pt>
                <c:pt idx="76">
                  <c:v>5.2474156112678741E-6</c:v>
                </c:pt>
                <c:pt idx="77">
                  <c:v>5.4502196014142239E-6</c:v>
                </c:pt>
                <c:pt idx="78">
                  <c:v>8.2840392509731558E-6</c:v>
                </c:pt>
                <c:pt idx="79">
                  <c:v>1.1518021985228373E-5</c:v>
                </c:pt>
                <c:pt idx="80">
                  <c:v>1.6717141694666098E-5</c:v>
                </c:pt>
                <c:pt idx="81">
                  <c:v>1.7642611780464529E-5</c:v>
                </c:pt>
                <c:pt idx="82">
                  <c:v>2.5306626189749397E-5</c:v>
                </c:pt>
                <c:pt idx="83">
                  <c:v>1.028509083504014E-5</c:v>
                </c:pt>
                <c:pt idx="84">
                  <c:v>1.0121184513987519E-6</c:v>
                </c:pt>
                <c:pt idx="85">
                  <c:v>1.7579010815229299E-5</c:v>
                </c:pt>
                <c:pt idx="86">
                  <c:v>2.5149828054883789E-5</c:v>
                </c:pt>
                <c:pt idx="87">
                  <c:v>4.876457028392703E-3</c:v>
                </c:pt>
                <c:pt idx="88">
                  <c:v>3.366738324966187E-3</c:v>
                </c:pt>
                <c:pt idx="89">
                  <c:v>2.0186500717576508E-5</c:v>
                </c:pt>
                <c:pt idx="90">
                  <c:v>8.3403000660080481E-6</c:v>
                </c:pt>
                <c:pt idx="91">
                  <c:v>3.4407981643006483E-6</c:v>
                </c:pt>
                <c:pt idx="92">
                  <c:v>1.7353394373610657E-5</c:v>
                </c:pt>
                <c:pt idx="93">
                  <c:v>1.8898674596647099E-5</c:v>
                </c:pt>
                <c:pt idx="94">
                  <c:v>2.5155872737424459E-5</c:v>
                </c:pt>
                <c:pt idx="95">
                  <c:v>4.1179632771860571E-5</c:v>
                </c:pt>
                <c:pt idx="96">
                  <c:v>1.9267091229365998E-5</c:v>
                </c:pt>
                <c:pt idx="97">
                  <c:v>1.5052160529059191E-5</c:v>
                </c:pt>
                <c:pt idx="98">
                  <c:v>9.328159699481974E-6</c:v>
                </c:pt>
                <c:pt idx="99">
                  <c:v>5.9889326538683597E-6</c:v>
                </c:pt>
                <c:pt idx="100">
                  <c:v>2.309985549146428E-5</c:v>
                </c:pt>
                <c:pt idx="101">
                  <c:v>1.7769003539313023E-5</c:v>
                </c:pt>
                <c:pt idx="102">
                  <c:v>2.8521874883511997E-6</c:v>
                </c:pt>
                <c:pt idx="103">
                  <c:v>8.7474937876882889E-6</c:v>
                </c:pt>
                <c:pt idx="104">
                  <c:v>4.4899459625583392E-6</c:v>
                </c:pt>
                <c:pt idx="105">
                  <c:v>1.2813591865953156E-6</c:v>
                </c:pt>
                <c:pt idx="106">
                  <c:v>1.3192395071343355E-6</c:v>
                </c:pt>
                <c:pt idx="107">
                  <c:v>4.5577897139717976E-6</c:v>
                </c:pt>
                <c:pt idx="108">
                  <c:v>3.2286998818180538E-6</c:v>
                </c:pt>
                <c:pt idx="109">
                  <c:v>3.7280264843019869E-7</c:v>
                </c:pt>
                <c:pt idx="110">
                  <c:v>2.8260975426140016E-6</c:v>
                </c:pt>
                <c:pt idx="111">
                  <c:v>1.0369022173418184E-5</c:v>
                </c:pt>
                <c:pt idx="112">
                  <c:v>8.8973590695010863E-6</c:v>
                </c:pt>
                <c:pt idx="113">
                  <c:v>5.3090986656232522E-6</c:v>
                </c:pt>
                <c:pt idx="114">
                  <c:v>8.1428951960543621E-6</c:v>
                </c:pt>
                <c:pt idx="115">
                  <c:v>9.8471196530015583E-7</c:v>
                </c:pt>
                <c:pt idx="116">
                  <c:v>7.7015319427749582E-7</c:v>
                </c:pt>
                <c:pt idx="117">
                  <c:v>1.2170265884570895E-6</c:v>
                </c:pt>
                <c:pt idx="118">
                  <c:v>3.9046004544301115E-6</c:v>
                </c:pt>
                <c:pt idx="119">
                  <c:v>6.7445393426356069E-7</c:v>
                </c:pt>
                <c:pt idx="120">
                  <c:v>1.3686261296665895E-5</c:v>
                </c:pt>
                <c:pt idx="121">
                  <c:v>1.086188044871753E-5</c:v>
                </c:pt>
                <c:pt idx="122">
                  <c:v>1.7510201573948057E-6</c:v>
                </c:pt>
                <c:pt idx="123">
                  <c:v>2.230421489581323E-7</c:v>
                </c:pt>
                <c:pt idx="124">
                  <c:v>6.0312096013142216E-6</c:v>
                </c:pt>
                <c:pt idx="125">
                  <c:v>9.6798264020948049E-6</c:v>
                </c:pt>
                <c:pt idx="126">
                  <c:v>1.1052908666202008E-5</c:v>
                </c:pt>
                <c:pt idx="127">
                  <c:v>1.2900387663230796E-5</c:v>
                </c:pt>
                <c:pt idx="128">
                  <c:v>2.0419612773708635E-5</c:v>
                </c:pt>
                <c:pt idx="129">
                  <c:v>2.3564289960522583E-5</c:v>
                </c:pt>
                <c:pt idx="130">
                  <c:v>2.4130570667156343E-5</c:v>
                </c:pt>
                <c:pt idx="131">
                  <c:v>2.128672666681886E-5</c:v>
                </c:pt>
                <c:pt idx="132">
                  <c:v>9.5961404559988765E-6</c:v>
                </c:pt>
                <c:pt idx="133">
                  <c:v>8.9351911246509042E-5</c:v>
                </c:pt>
                <c:pt idx="134">
                  <c:v>1.6065431907702384E-2</c:v>
                </c:pt>
                <c:pt idx="135">
                  <c:v>1.5059072558132084E-2</c:v>
                </c:pt>
                <c:pt idx="136">
                  <c:v>1.6565163782195344E-2</c:v>
                </c:pt>
                <c:pt idx="137">
                  <c:v>1.5765959310746272E-2</c:v>
                </c:pt>
                <c:pt idx="138">
                  <c:v>1.8426552113908139E-2</c:v>
                </c:pt>
                <c:pt idx="139">
                  <c:v>3.6046535849283717E-2</c:v>
                </c:pt>
                <c:pt idx="140">
                  <c:v>3.6323012793727322E-2</c:v>
                </c:pt>
                <c:pt idx="141">
                  <c:v>2.9793790792010267E-2</c:v>
                </c:pt>
                <c:pt idx="142">
                  <c:v>4.454125313787715E-2</c:v>
                </c:pt>
                <c:pt idx="143">
                  <c:v>4.3105696085401539E-2</c:v>
                </c:pt>
                <c:pt idx="144">
                  <c:v>4.4712654810183793E-2</c:v>
                </c:pt>
                <c:pt idx="145">
                  <c:v>4.6878747198660593E-2</c:v>
                </c:pt>
                <c:pt idx="146">
                  <c:v>5.26319018819928E-2</c:v>
                </c:pt>
                <c:pt idx="147">
                  <c:v>4.2505950547768477E-2</c:v>
                </c:pt>
                <c:pt idx="148">
                  <c:v>4.6953095150237517E-2</c:v>
                </c:pt>
                <c:pt idx="149">
                  <c:v>5.561997178112843E-2</c:v>
                </c:pt>
                <c:pt idx="150">
                  <c:v>5.8872329993315216E-2</c:v>
                </c:pt>
                <c:pt idx="151">
                  <c:v>6.5941872197262427E-2</c:v>
                </c:pt>
                <c:pt idx="152">
                  <c:v>6.0401871323607706E-2</c:v>
                </c:pt>
                <c:pt idx="153">
                  <c:v>6.6527221458000232E-2</c:v>
                </c:pt>
                <c:pt idx="154">
                  <c:v>6.3326004305863187E-2</c:v>
                </c:pt>
                <c:pt idx="155">
                  <c:v>6.5109928153667063E-2</c:v>
                </c:pt>
                <c:pt idx="156">
                  <c:v>8.2557375707755634E-2</c:v>
                </c:pt>
                <c:pt idx="157">
                  <c:v>8.2536761365785916E-2</c:v>
                </c:pt>
                <c:pt idx="158">
                  <c:v>8.870915502650592E-2</c:v>
                </c:pt>
                <c:pt idx="159">
                  <c:v>0.10409068813361423</c:v>
                </c:pt>
                <c:pt idx="160">
                  <c:v>9.7109632446328017E-2</c:v>
                </c:pt>
                <c:pt idx="161">
                  <c:v>0.11258812357155304</c:v>
                </c:pt>
                <c:pt idx="162">
                  <c:v>0.11385316027849854</c:v>
                </c:pt>
                <c:pt idx="163">
                  <c:v>0.12165286174301773</c:v>
                </c:pt>
                <c:pt idx="164">
                  <c:v>0.11988181512089867</c:v>
                </c:pt>
                <c:pt idx="165">
                  <c:v>0.1194889189544743</c:v>
                </c:pt>
                <c:pt idx="166">
                  <c:v>0.11841034559310366</c:v>
                </c:pt>
                <c:pt idx="167">
                  <c:v>0.10679468035025866</c:v>
                </c:pt>
                <c:pt idx="168">
                  <c:v>0.12383885769714197</c:v>
                </c:pt>
                <c:pt idx="169">
                  <c:v>0.13167801167991286</c:v>
                </c:pt>
                <c:pt idx="170">
                  <c:v>8.3783717617109135E-2</c:v>
                </c:pt>
                <c:pt idx="171">
                  <c:v>0.10265199037010951</c:v>
                </c:pt>
                <c:pt idx="172">
                  <c:v>0.1033711389073378</c:v>
                </c:pt>
                <c:pt idx="173">
                  <c:v>0.10466741864098678</c:v>
                </c:pt>
                <c:pt idx="174">
                  <c:v>9.1516459226128014E-2</c:v>
                </c:pt>
                <c:pt idx="175">
                  <c:v>0.12019266525940249</c:v>
                </c:pt>
                <c:pt idx="176">
                  <c:v>0.11775833643560352</c:v>
                </c:pt>
                <c:pt idx="177">
                  <c:v>0.11998097647345517</c:v>
                </c:pt>
                <c:pt idx="178">
                  <c:v>0.12951291132811649</c:v>
                </c:pt>
                <c:pt idx="179">
                  <c:v>0.1318611184350133</c:v>
                </c:pt>
                <c:pt idx="180">
                  <c:v>0.13140577208796464</c:v>
                </c:pt>
                <c:pt idx="181">
                  <c:v>0.1330703920479672</c:v>
                </c:pt>
                <c:pt idx="182">
                  <c:v>0.1348053716615378</c:v>
                </c:pt>
                <c:pt idx="183">
                  <c:v>0.13151990018195195</c:v>
                </c:pt>
                <c:pt idx="184">
                  <c:v>0.14390837528256081</c:v>
                </c:pt>
                <c:pt idx="185">
                  <c:v>0.16189736646814248</c:v>
                </c:pt>
                <c:pt idx="186">
                  <c:v>0.16183288519067565</c:v>
                </c:pt>
                <c:pt idx="187">
                  <c:v>0.16871438915751732</c:v>
                </c:pt>
                <c:pt idx="188">
                  <c:v>0.17822663483529735</c:v>
                </c:pt>
                <c:pt idx="189">
                  <c:v>0.18797651594646056</c:v>
                </c:pt>
                <c:pt idx="190">
                  <c:v>0.17767205637609645</c:v>
                </c:pt>
                <c:pt idx="191">
                  <c:v>0.16463023235250651</c:v>
                </c:pt>
                <c:pt idx="192">
                  <c:v>0.16641238625488949</c:v>
                </c:pt>
                <c:pt idx="193">
                  <c:v>0.17123903024973391</c:v>
                </c:pt>
                <c:pt idx="194">
                  <c:v>0.17764362612650555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D4-4F82-AFC6-25F18ED6EA2C}"/>
            </c:ext>
          </c:extLst>
        </c:ser>
        <c:ser>
          <c:idx val="1"/>
          <c:order val="1"/>
          <c:tx>
            <c:strRef>
              <c:f>震荡市组合!$C$1</c:f>
              <c:strCache>
                <c:ptCount val="1"/>
                <c:pt idx="0">
                  <c:v>全指工业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震荡市组合!$C$2:$C$196</c:f>
              <c:numCache>
                <c:formatCode>0.00%</c:formatCode>
                <c:ptCount val="195"/>
                <c:pt idx="0">
                  <c:v>2.6644912540565526E-5</c:v>
                </c:pt>
                <c:pt idx="1">
                  <c:v>2.8452974249363012E-5</c:v>
                </c:pt>
                <c:pt idx="2">
                  <c:v>3.5598640241131284E-5</c:v>
                </c:pt>
                <c:pt idx="3">
                  <c:v>2.754211800808448E-5</c:v>
                </c:pt>
                <c:pt idx="4">
                  <c:v>4.0612942249517868E-5</c:v>
                </c:pt>
                <c:pt idx="5">
                  <c:v>4.7047355250668304E-5</c:v>
                </c:pt>
                <c:pt idx="6">
                  <c:v>6.5809305268608656E-5</c:v>
                </c:pt>
                <c:pt idx="7">
                  <c:v>5.4870904502350914E-3</c:v>
                </c:pt>
                <c:pt idx="8">
                  <c:v>2.5454377954480405E-2</c:v>
                </c:pt>
                <c:pt idx="9">
                  <c:v>6.2841606386224847E-5</c:v>
                </c:pt>
                <c:pt idx="10">
                  <c:v>0.10312261432279343</c:v>
                </c:pt>
                <c:pt idx="11">
                  <c:v>6.3305471948916694E-3</c:v>
                </c:pt>
                <c:pt idx="12">
                  <c:v>3.9547458315893902E-2</c:v>
                </c:pt>
                <c:pt idx="13">
                  <c:v>3.7800296303219329E-2</c:v>
                </c:pt>
                <c:pt idx="14">
                  <c:v>4.3489206304580343E-2</c:v>
                </c:pt>
                <c:pt idx="15">
                  <c:v>6.4374863635444465E-2</c:v>
                </c:pt>
                <c:pt idx="16">
                  <c:v>0.10521288014481746</c:v>
                </c:pt>
                <c:pt idx="17">
                  <c:v>9.8616314366276311E-2</c:v>
                </c:pt>
                <c:pt idx="18">
                  <c:v>8.695619647596671E-2</c:v>
                </c:pt>
                <c:pt idx="19">
                  <c:v>8.7720400616003155E-2</c:v>
                </c:pt>
                <c:pt idx="20">
                  <c:v>0.10247039136378149</c:v>
                </c:pt>
                <c:pt idx="21">
                  <c:v>0.10785946136980294</c:v>
                </c:pt>
                <c:pt idx="22">
                  <c:v>0.10902166315146779</c:v>
                </c:pt>
                <c:pt idx="23">
                  <c:v>9.7072007098888108E-2</c:v>
                </c:pt>
                <c:pt idx="24">
                  <c:v>0.15698620189311221</c:v>
                </c:pt>
                <c:pt idx="25">
                  <c:v>0.16202383489028721</c:v>
                </c:pt>
                <c:pt idx="26">
                  <c:v>0.16460372159492292</c:v>
                </c:pt>
                <c:pt idx="27">
                  <c:v>7.1446675245041294E-2</c:v>
                </c:pt>
                <c:pt idx="28">
                  <c:v>0.10745931603564088</c:v>
                </c:pt>
                <c:pt idx="29">
                  <c:v>0.10778633556242123</c:v>
                </c:pt>
                <c:pt idx="30">
                  <c:v>8.6583409478604753E-2</c:v>
                </c:pt>
                <c:pt idx="31">
                  <c:v>6.9213365293773366E-2</c:v>
                </c:pt>
                <c:pt idx="32">
                  <c:v>4.203366207449985E-2</c:v>
                </c:pt>
                <c:pt idx="33">
                  <c:v>5.1396910920533966E-2</c:v>
                </c:pt>
                <c:pt idx="34">
                  <c:v>5.485232098446631E-2</c:v>
                </c:pt>
                <c:pt idx="35">
                  <c:v>6.6066740677420299E-2</c:v>
                </c:pt>
                <c:pt idx="36">
                  <c:v>7.6988874715955447E-2</c:v>
                </c:pt>
                <c:pt idx="37">
                  <c:v>6.7331826311753953E-2</c:v>
                </c:pt>
                <c:pt idx="38">
                  <c:v>6.8800460289724655E-2</c:v>
                </c:pt>
                <c:pt idx="39">
                  <c:v>2.9321082001610575E-2</c:v>
                </c:pt>
                <c:pt idx="40">
                  <c:v>2.3886442560140345E-2</c:v>
                </c:pt>
                <c:pt idx="41">
                  <c:v>3.7872778571812302E-2</c:v>
                </c:pt>
                <c:pt idx="42">
                  <c:v>3.7118409124730439E-2</c:v>
                </c:pt>
                <c:pt idx="43">
                  <c:v>3.2466681016301235E-2</c:v>
                </c:pt>
                <c:pt idx="44">
                  <c:v>2.1984099913109911E-2</c:v>
                </c:pt>
                <c:pt idx="45">
                  <c:v>2.5199269720480814E-2</c:v>
                </c:pt>
                <c:pt idx="46">
                  <c:v>2.2704910286158834E-2</c:v>
                </c:pt>
                <c:pt idx="47">
                  <c:v>2.9683278473687888E-2</c:v>
                </c:pt>
                <c:pt idx="48">
                  <c:v>9.7574685330257677E-3</c:v>
                </c:pt>
                <c:pt idx="49">
                  <c:v>1.5439232274966864E-2</c:v>
                </c:pt>
                <c:pt idx="50">
                  <c:v>5.1199754352596036E-5</c:v>
                </c:pt>
                <c:pt idx="51">
                  <c:v>8.6780395169987911E-5</c:v>
                </c:pt>
                <c:pt idx="52">
                  <c:v>1.8119836861150457E-2</c:v>
                </c:pt>
                <c:pt idx="53">
                  <c:v>2.6457648321023396E-2</c:v>
                </c:pt>
                <c:pt idx="54">
                  <c:v>7.9814924643146989E-2</c:v>
                </c:pt>
                <c:pt idx="55">
                  <c:v>8.8711303608316222E-2</c:v>
                </c:pt>
                <c:pt idx="56">
                  <c:v>8.9984946841940028E-2</c:v>
                </c:pt>
                <c:pt idx="57">
                  <c:v>7.8379880669362953E-2</c:v>
                </c:pt>
                <c:pt idx="58">
                  <c:v>7.8194077472269891E-2</c:v>
                </c:pt>
                <c:pt idx="59">
                  <c:v>6.7414945727127792E-2</c:v>
                </c:pt>
                <c:pt idx="60">
                  <c:v>7.182377373714148E-2</c:v>
                </c:pt>
                <c:pt idx="61">
                  <c:v>7.8956707171128682E-2</c:v>
                </c:pt>
                <c:pt idx="62">
                  <c:v>6.5976892790190325E-2</c:v>
                </c:pt>
                <c:pt idx="63">
                  <c:v>7.1519570678297797E-2</c:v>
                </c:pt>
                <c:pt idx="64">
                  <c:v>7.0386477942796719E-2</c:v>
                </c:pt>
                <c:pt idx="65">
                  <c:v>7.4570434061461771E-2</c:v>
                </c:pt>
                <c:pt idx="66">
                  <c:v>8.3520397646736785E-2</c:v>
                </c:pt>
                <c:pt idx="67">
                  <c:v>9.843599418088668E-2</c:v>
                </c:pt>
                <c:pt idx="68">
                  <c:v>5.007140245423645E-5</c:v>
                </c:pt>
                <c:pt idx="69">
                  <c:v>4.6647850503012367E-5</c:v>
                </c:pt>
                <c:pt idx="70">
                  <c:v>4.0148322384641419E-5</c:v>
                </c:pt>
                <c:pt idx="71">
                  <c:v>3.738242767732435E-5</c:v>
                </c:pt>
                <c:pt idx="72">
                  <c:v>3.9519315316372424E-5</c:v>
                </c:pt>
                <c:pt idx="73">
                  <c:v>3.6995341975761776E-5</c:v>
                </c:pt>
                <c:pt idx="74">
                  <c:v>3.7083332206662811E-5</c:v>
                </c:pt>
                <c:pt idx="75">
                  <c:v>2.697207123280319E-5</c:v>
                </c:pt>
                <c:pt idx="76">
                  <c:v>2.5780324021765349E-5</c:v>
                </c:pt>
                <c:pt idx="77">
                  <c:v>2.4991856541046191E-5</c:v>
                </c:pt>
                <c:pt idx="78">
                  <c:v>2.2602385282292789E-5</c:v>
                </c:pt>
                <c:pt idx="79">
                  <c:v>2.4177356871839648E-5</c:v>
                </c:pt>
                <c:pt idx="80">
                  <c:v>1.9659949539514876E-5</c:v>
                </c:pt>
                <c:pt idx="81">
                  <c:v>1.6194066337830253E-6</c:v>
                </c:pt>
                <c:pt idx="82">
                  <c:v>1.1108391747946988E-5</c:v>
                </c:pt>
                <c:pt idx="83">
                  <c:v>4.9297042167846173E-6</c:v>
                </c:pt>
                <c:pt idx="84">
                  <c:v>7.8468129835409387E-7</c:v>
                </c:pt>
                <c:pt idx="85">
                  <c:v>1.9137571979795657E-5</c:v>
                </c:pt>
                <c:pt idx="86">
                  <c:v>1.6308654011953386E-5</c:v>
                </c:pt>
                <c:pt idx="87">
                  <c:v>9.740636735872966E-6</c:v>
                </c:pt>
                <c:pt idx="88">
                  <c:v>1.2817751482334156E-5</c:v>
                </c:pt>
                <c:pt idx="89">
                  <c:v>5.6032190868418923E-6</c:v>
                </c:pt>
                <c:pt idx="90">
                  <c:v>1.1637190047115685E-5</c:v>
                </c:pt>
                <c:pt idx="91">
                  <c:v>6.3918200291653858E-6</c:v>
                </c:pt>
                <c:pt idx="92">
                  <c:v>2.8309806639970892E-5</c:v>
                </c:pt>
                <c:pt idx="93">
                  <c:v>4.060471660567746E-5</c:v>
                </c:pt>
                <c:pt idx="94">
                  <c:v>3.9290923138918523E-5</c:v>
                </c:pt>
                <c:pt idx="95">
                  <c:v>2.6792988986986703E-5</c:v>
                </c:pt>
                <c:pt idx="96">
                  <c:v>5.4690617053344354E-5</c:v>
                </c:pt>
                <c:pt idx="97">
                  <c:v>6.0983959246663027E-5</c:v>
                </c:pt>
                <c:pt idx="98">
                  <c:v>5.4001274041131537E-5</c:v>
                </c:pt>
                <c:pt idx="99">
                  <c:v>1.1289357148346078E-2</c:v>
                </c:pt>
                <c:pt idx="100">
                  <c:v>6.6203319611806154E-5</c:v>
                </c:pt>
                <c:pt idx="101">
                  <c:v>2.1284995102666858E-5</c:v>
                </c:pt>
                <c:pt idx="102">
                  <c:v>9.3599480924067151E-6</c:v>
                </c:pt>
                <c:pt idx="103">
                  <c:v>1.3960349486329745E-5</c:v>
                </c:pt>
                <c:pt idx="104">
                  <c:v>8.2243361053132092E-6</c:v>
                </c:pt>
                <c:pt idx="105">
                  <c:v>6.6502054961842516E-6</c:v>
                </c:pt>
                <c:pt idx="106">
                  <c:v>6.4157290882696367E-6</c:v>
                </c:pt>
                <c:pt idx="107">
                  <c:v>1.3497580804915414E-5</c:v>
                </c:pt>
                <c:pt idx="108">
                  <c:v>2.5843656246267715E-5</c:v>
                </c:pt>
                <c:pt idx="109">
                  <c:v>1.0656168945071059E-3</c:v>
                </c:pt>
                <c:pt idx="110">
                  <c:v>8.4414002468832696E-5</c:v>
                </c:pt>
                <c:pt idx="111">
                  <c:v>4.9322576566772271E-5</c:v>
                </c:pt>
                <c:pt idx="112">
                  <c:v>3.2484919857401162E-5</c:v>
                </c:pt>
                <c:pt idx="113">
                  <c:v>5.9001343967616522E-5</c:v>
                </c:pt>
                <c:pt idx="114">
                  <c:v>2.8106317926587111E-2</c:v>
                </c:pt>
                <c:pt idx="115">
                  <c:v>2.6349551722339407E-3</c:v>
                </c:pt>
                <c:pt idx="116">
                  <c:v>9.0988913302415781E-5</c:v>
                </c:pt>
                <c:pt idx="117">
                  <c:v>8.361959785709662E-5</c:v>
                </c:pt>
                <c:pt idx="118">
                  <c:v>1.4380859551866285E-2</c:v>
                </c:pt>
                <c:pt idx="119">
                  <c:v>2.5415251690560896E-3</c:v>
                </c:pt>
                <c:pt idx="120">
                  <c:v>3.3389562423599251E-2</c:v>
                </c:pt>
                <c:pt idx="121">
                  <c:v>3.6510246025683528E-2</c:v>
                </c:pt>
                <c:pt idx="122">
                  <c:v>5.0439878626922972E-2</c:v>
                </c:pt>
                <c:pt idx="123">
                  <c:v>3.0626944560873375E-2</c:v>
                </c:pt>
                <c:pt idx="124">
                  <c:v>4.0507587877992433E-2</c:v>
                </c:pt>
                <c:pt idx="125">
                  <c:v>1.7208490783264727E-2</c:v>
                </c:pt>
                <c:pt idx="126">
                  <c:v>3.0067808137418359E-2</c:v>
                </c:pt>
                <c:pt idx="127">
                  <c:v>1.7064764036095682E-2</c:v>
                </c:pt>
                <c:pt idx="128">
                  <c:v>5.1726810107448042E-2</c:v>
                </c:pt>
                <c:pt idx="129">
                  <c:v>7.6170023693797606E-2</c:v>
                </c:pt>
                <c:pt idx="130">
                  <c:v>7.9823073027727412E-2</c:v>
                </c:pt>
                <c:pt idx="131">
                  <c:v>4.6724483457386459E-2</c:v>
                </c:pt>
                <c:pt idx="132">
                  <c:v>3.8511054912191811E-2</c:v>
                </c:pt>
                <c:pt idx="133">
                  <c:v>1.4690417742716573E-2</c:v>
                </c:pt>
                <c:pt idx="134">
                  <c:v>5.2737231871128193E-2</c:v>
                </c:pt>
                <c:pt idx="135">
                  <c:v>6.0296420763110217E-2</c:v>
                </c:pt>
                <c:pt idx="136">
                  <c:v>6.8521509605923958E-2</c:v>
                </c:pt>
                <c:pt idx="137">
                  <c:v>6.1437668605071515E-2</c:v>
                </c:pt>
                <c:pt idx="138">
                  <c:v>7.3651814593372861E-2</c:v>
                </c:pt>
                <c:pt idx="139">
                  <c:v>6.6303215293926146E-2</c:v>
                </c:pt>
                <c:pt idx="140">
                  <c:v>7.4107618241048223E-2</c:v>
                </c:pt>
                <c:pt idx="141">
                  <c:v>4.2524123680307571E-2</c:v>
                </c:pt>
                <c:pt idx="142">
                  <c:v>4.2331553085771988E-2</c:v>
                </c:pt>
                <c:pt idx="143">
                  <c:v>3.3859179191694636E-2</c:v>
                </c:pt>
                <c:pt idx="144">
                  <c:v>5.2821352107848288E-2</c:v>
                </c:pt>
                <c:pt idx="145">
                  <c:v>6.5141717726102624E-2</c:v>
                </c:pt>
                <c:pt idx="146">
                  <c:v>6.9850723620115102E-2</c:v>
                </c:pt>
                <c:pt idx="147">
                  <c:v>4.9148968582827732E-2</c:v>
                </c:pt>
                <c:pt idx="148">
                  <c:v>4.0991832277669102E-2</c:v>
                </c:pt>
                <c:pt idx="149">
                  <c:v>4.4267154317541017E-2</c:v>
                </c:pt>
                <c:pt idx="150">
                  <c:v>7.3121884486096148E-2</c:v>
                </c:pt>
                <c:pt idx="151">
                  <c:v>8.46373183170534E-2</c:v>
                </c:pt>
                <c:pt idx="152">
                  <c:v>9.5402485745515422E-2</c:v>
                </c:pt>
                <c:pt idx="153">
                  <c:v>5.4573138555645571E-2</c:v>
                </c:pt>
                <c:pt idx="154">
                  <c:v>5.466700178083346E-2</c:v>
                </c:pt>
                <c:pt idx="155">
                  <c:v>6.8472621715488957E-2</c:v>
                </c:pt>
                <c:pt idx="156">
                  <c:v>7.4356167504339238E-2</c:v>
                </c:pt>
                <c:pt idx="157">
                  <c:v>7.3617065083815242E-2</c:v>
                </c:pt>
                <c:pt idx="158">
                  <c:v>5.1798782122571212E-2</c:v>
                </c:pt>
                <c:pt idx="159">
                  <c:v>2.3633196038163259E-2</c:v>
                </c:pt>
                <c:pt idx="160">
                  <c:v>4.9691425284082817E-3</c:v>
                </c:pt>
                <c:pt idx="161">
                  <c:v>1.8647194834085903E-2</c:v>
                </c:pt>
                <c:pt idx="162">
                  <c:v>1.6547657185982799E-2</c:v>
                </c:pt>
                <c:pt idx="163">
                  <c:v>2.1387834932294875E-2</c:v>
                </c:pt>
                <c:pt idx="164">
                  <c:v>2.8500480005159146E-2</c:v>
                </c:pt>
                <c:pt idx="165">
                  <c:v>2.8152220838769577E-2</c:v>
                </c:pt>
                <c:pt idx="166">
                  <c:v>1.7054129502288704E-5</c:v>
                </c:pt>
                <c:pt idx="167">
                  <c:v>1.5661291318030537E-2</c:v>
                </c:pt>
                <c:pt idx="168">
                  <c:v>8.1779385062476294E-5</c:v>
                </c:pt>
                <c:pt idx="169">
                  <c:v>3.1910600436936549E-3</c:v>
                </c:pt>
                <c:pt idx="170">
                  <c:v>1.4788051689319908E-5</c:v>
                </c:pt>
                <c:pt idx="171">
                  <c:v>8.7948118045052254E-5</c:v>
                </c:pt>
                <c:pt idx="172">
                  <c:v>8.2062591967011246E-5</c:v>
                </c:pt>
                <c:pt idx="173">
                  <c:v>8.8020389009574161E-5</c:v>
                </c:pt>
                <c:pt idx="174">
                  <c:v>8.3207808740346845E-5</c:v>
                </c:pt>
                <c:pt idx="175">
                  <c:v>2.839847751033332E-6</c:v>
                </c:pt>
                <c:pt idx="176">
                  <c:v>1.3399616419058183E-6</c:v>
                </c:pt>
                <c:pt idx="177">
                  <c:v>7.0604052195237094E-7</c:v>
                </c:pt>
                <c:pt idx="178">
                  <c:v>3.7008566370909335E-5</c:v>
                </c:pt>
                <c:pt idx="179">
                  <c:v>9.9569254751466698E-7</c:v>
                </c:pt>
                <c:pt idx="180">
                  <c:v>4.6650962292857222E-6</c:v>
                </c:pt>
                <c:pt idx="181">
                  <c:v>1.0201902913807121E-5</c:v>
                </c:pt>
                <c:pt idx="182">
                  <c:v>6.8952049596019841E-6</c:v>
                </c:pt>
                <c:pt idx="183">
                  <c:v>7.4861683754159607E-6</c:v>
                </c:pt>
                <c:pt idx="184">
                  <c:v>7.9970471362170621E-6</c:v>
                </c:pt>
                <c:pt idx="185">
                  <c:v>5.4268699966872011E-5</c:v>
                </c:pt>
                <c:pt idx="186">
                  <c:v>2.135130790392465E-5</c:v>
                </c:pt>
                <c:pt idx="187">
                  <c:v>2.6672547722491065E-5</c:v>
                </c:pt>
                <c:pt idx="188">
                  <c:v>4.0298361941028797E-5</c:v>
                </c:pt>
                <c:pt idx="189">
                  <c:v>2.7343361659997278E-5</c:v>
                </c:pt>
                <c:pt idx="190">
                  <c:v>8.6770026170194603E-5</c:v>
                </c:pt>
                <c:pt idx="191">
                  <c:v>4.1818238853153881E-5</c:v>
                </c:pt>
                <c:pt idx="192">
                  <c:v>1.634190332642589E-5</c:v>
                </c:pt>
                <c:pt idx="193">
                  <c:v>3.1802978027825476E-6</c:v>
                </c:pt>
                <c:pt idx="194">
                  <c:v>2.5145450198932532E-6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D4-4F82-AFC6-25F18ED6EA2C}"/>
            </c:ext>
          </c:extLst>
        </c:ser>
        <c:ser>
          <c:idx val="2"/>
          <c:order val="2"/>
          <c:tx>
            <c:strRef>
              <c:f>震荡市组合!$D$1</c:f>
              <c:strCache>
                <c:ptCount val="1"/>
                <c:pt idx="0">
                  <c:v>全指可选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震荡市组合!$D$2:$D$196</c:f>
              <c:numCache>
                <c:formatCode>0.00%</c:formatCode>
                <c:ptCount val="195"/>
                <c:pt idx="0">
                  <c:v>0.25052316046038609</c:v>
                </c:pt>
                <c:pt idx="1">
                  <c:v>0.25933698403192229</c:v>
                </c:pt>
                <c:pt idx="2">
                  <c:v>0.25801787141109828</c:v>
                </c:pt>
                <c:pt idx="3">
                  <c:v>0.24044837570756092</c:v>
                </c:pt>
                <c:pt idx="4">
                  <c:v>0.25562170506440535</c:v>
                </c:pt>
                <c:pt idx="5">
                  <c:v>0.26003430326840188</c:v>
                </c:pt>
                <c:pt idx="6">
                  <c:v>0.26149906725331201</c:v>
                </c:pt>
                <c:pt idx="7">
                  <c:v>0.26420359975735386</c:v>
                </c:pt>
                <c:pt idx="8">
                  <c:v>0.22366291793737397</c:v>
                </c:pt>
                <c:pt idx="9">
                  <c:v>0.2070187492330286</c:v>
                </c:pt>
                <c:pt idx="10">
                  <c:v>9.6445154235815761E-2</c:v>
                </c:pt>
                <c:pt idx="11">
                  <c:v>0.10604936529730263</c:v>
                </c:pt>
                <c:pt idx="12">
                  <c:v>3.172362638204454E-2</c:v>
                </c:pt>
                <c:pt idx="13">
                  <c:v>1.0760847038269421E-4</c:v>
                </c:pt>
                <c:pt idx="14">
                  <c:v>6.3968557035411766E-3</c:v>
                </c:pt>
                <c:pt idx="15">
                  <c:v>9.7667569790119599E-5</c:v>
                </c:pt>
                <c:pt idx="16">
                  <c:v>8.9598394876959017E-5</c:v>
                </c:pt>
                <c:pt idx="17">
                  <c:v>8.7428111093453708E-5</c:v>
                </c:pt>
                <c:pt idx="18">
                  <c:v>7.4971188248508766E-5</c:v>
                </c:pt>
                <c:pt idx="19">
                  <c:v>8.8170233927343931E-5</c:v>
                </c:pt>
                <c:pt idx="20">
                  <c:v>1.8263956278422821E-2</c:v>
                </c:pt>
                <c:pt idx="21">
                  <c:v>1.4962055266367154E-2</c:v>
                </c:pt>
                <c:pt idx="22">
                  <c:v>1.6034587649031724E-2</c:v>
                </c:pt>
                <c:pt idx="23">
                  <c:v>4.686219456560931E-5</c:v>
                </c:pt>
                <c:pt idx="24">
                  <c:v>2.5912520846037082E-5</c:v>
                </c:pt>
                <c:pt idx="25">
                  <c:v>5.0789847207276077E-3</c:v>
                </c:pt>
                <c:pt idx="26">
                  <c:v>2.0563914493975982E-6</c:v>
                </c:pt>
                <c:pt idx="27">
                  <c:v>7.0722961693924587E-5</c:v>
                </c:pt>
                <c:pt idx="28">
                  <c:v>1.8280154697990764E-5</c:v>
                </c:pt>
                <c:pt idx="29">
                  <c:v>8.890109436443031E-6</c:v>
                </c:pt>
                <c:pt idx="30">
                  <c:v>5.9858216146140061E-7</c:v>
                </c:pt>
                <c:pt idx="31">
                  <c:v>1.4160647361199955E-5</c:v>
                </c:pt>
                <c:pt idx="32">
                  <c:v>3.1689023368030344E-5</c:v>
                </c:pt>
                <c:pt idx="33">
                  <c:v>2.8546091824033078E-5</c:v>
                </c:pt>
                <c:pt idx="34">
                  <c:v>2.5443422882635813E-5</c:v>
                </c:pt>
                <c:pt idx="35">
                  <c:v>2.4389530485590724E-5</c:v>
                </c:pt>
                <c:pt idx="36">
                  <c:v>2.2244099215788457E-5</c:v>
                </c:pt>
                <c:pt idx="37">
                  <c:v>1.1270682542891335E-5</c:v>
                </c:pt>
                <c:pt idx="38">
                  <c:v>1.6878301838729419E-5</c:v>
                </c:pt>
                <c:pt idx="39">
                  <c:v>1.0392593078511264E-5</c:v>
                </c:pt>
                <c:pt idx="40">
                  <c:v>1.6428352685134538E-5</c:v>
                </c:pt>
                <c:pt idx="41">
                  <c:v>2.244427599540661E-5</c:v>
                </c:pt>
                <c:pt idx="42">
                  <c:v>6.0614837031191235E-6</c:v>
                </c:pt>
                <c:pt idx="43">
                  <c:v>2.3224146225389138E-5</c:v>
                </c:pt>
                <c:pt idx="44">
                  <c:v>1.9454892226989787E-5</c:v>
                </c:pt>
                <c:pt idx="45">
                  <c:v>2.3534858526496268E-5</c:v>
                </c:pt>
                <c:pt idx="46">
                  <c:v>1.1337313779959511E-5</c:v>
                </c:pt>
                <c:pt idx="47">
                  <c:v>1.1811383481884706E-5</c:v>
                </c:pt>
                <c:pt idx="48">
                  <c:v>1.1076324489582919E-5</c:v>
                </c:pt>
                <c:pt idx="49">
                  <c:v>1.3737246260073905E-5</c:v>
                </c:pt>
                <c:pt idx="50">
                  <c:v>1.7808083849506622E-5</c:v>
                </c:pt>
                <c:pt idx="51">
                  <c:v>1.2289252199471803E-5</c:v>
                </c:pt>
                <c:pt idx="52">
                  <c:v>2.3136219169337518E-5</c:v>
                </c:pt>
                <c:pt idx="53">
                  <c:v>8.2555603257826747E-6</c:v>
                </c:pt>
                <c:pt idx="54">
                  <c:v>2.9435478821032772E-5</c:v>
                </c:pt>
                <c:pt idx="55">
                  <c:v>3.254149294732742E-5</c:v>
                </c:pt>
                <c:pt idx="56">
                  <c:v>2.2267414157879306E-5</c:v>
                </c:pt>
                <c:pt idx="57">
                  <c:v>3.23217750685198E-5</c:v>
                </c:pt>
                <c:pt idx="58">
                  <c:v>2.1798750819206199E-5</c:v>
                </c:pt>
                <c:pt idx="59">
                  <c:v>2.2496043544666672E-6</c:v>
                </c:pt>
                <c:pt idx="60">
                  <c:v>1.7893815289892994E-6</c:v>
                </c:pt>
                <c:pt idx="61">
                  <c:v>2.6511029963038538E-6</c:v>
                </c:pt>
                <c:pt idx="62">
                  <c:v>2.7115063516628142E-5</c:v>
                </c:pt>
                <c:pt idx="63">
                  <c:v>1.3874778394184163E-5</c:v>
                </c:pt>
                <c:pt idx="64">
                  <c:v>1.0823198862699172E-5</c:v>
                </c:pt>
                <c:pt idx="65">
                  <c:v>2.2493374559957909E-5</c:v>
                </c:pt>
                <c:pt idx="66">
                  <c:v>1.2003007649992842E-5</c:v>
                </c:pt>
                <c:pt idx="67">
                  <c:v>1.3398416602924151E-5</c:v>
                </c:pt>
                <c:pt idx="68">
                  <c:v>3.2908529485685579E-5</c:v>
                </c:pt>
                <c:pt idx="69">
                  <c:v>3.7971632080019448E-5</c:v>
                </c:pt>
                <c:pt idx="70">
                  <c:v>4.5850459261639071E-5</c:v>
                </c:pt>
                <c:pt idx="71">
                  <c:v>4.7440198359982099E-5</c:v>
                </c:pt>
                <c:pt idx="72">
                  <c:v>4.8733098064387186E-5</c:v>
                </c:pt>
                <c:pt idx="73">
                  <c:v>4.5450230394208615E-5</c:v>
                </c:pt>
                <c:pt idx="74">
                  <c:v>5.4049245032346989E-5</c:v>
                </c:pt>
                <c:pt idx="75">
                  <c:v>6.1776290545991847E-5</c:v>
                </c:pt>
                <c:pt idx="76">
                  <c:v>5.0748612419830407E-5</c:v>
                </c:pt>
                <c:pt idx="77">
                  <c:v>5.6342622407029843E-5</c:v>
                </c:pt>
                <c:pt idx="78">
                  <c:v>7.2269012307447008E-5</c:v>
                </c:pt>
                <c:pt idx="79">
                  <c:v>4.5607422428474964E-5</c:v>
                </c:pt>
                <c:pt idx="80">
                  <c:v>6.2306844402889932E-5</c:v>
                </c:pt>
                <c:pt idx="81">
                  <c:v>6.5859888534016345E-6</c:v>
                </c:pt>
                <c:pt idx="82">
                  <c:v>2.3100140083806679E-2</c:v>
                </c:pt>
                <c:pt idx="83">
                  <c:v>3.8096865880868525E-2</c:v>
                </c:pt>
                <c:pt idx="84">
                  <c:v>0.10514026813208624</c:v>
                </c:pt>
                <c:pt idx="85">
                  <c:v>0.13542485013855723</c:v>
                </c:pt>
                <c:pt idx="86">
                  <c:v>5.6188331737673708E-2</c:v>
                </c:pt>
                <c:pt idx="87">
                  <c:v>4.059923899049861E-2</c:v>
                </c:pt>
                <c:pt idx="88">
                  <c:v>7.3492154525578793E-2</c:v>
                </c:pt>
                <c:pt idx="89">
                  <c:v>0.108611388722712</c:v>
                </c:pt>
                <c:pt idx="90">
                  <c:v>1.62343441707491E-2</c:v>
                </c:pt>
                <c:pt idx="91">
                  <c:v>8.4874749386772892E-5</c:v>
                </c:pt>
                <c:pt idx="92">
                  <c:v>8.265319988759806E-5</c:v>
                </c:pt>
                <c:pt idx="93">
                  <c:v>6.6300021599852033E-5</c:v>
                </c:pt>
                <c:pt idx="94">
                  <c:v>6.3073324571162858E-5</c:v>
                </c:pt>
                <c:pt idx="95">
                  <c:v>4.0479492252416966E-5</c:v>
                </c:pt>
                <c:pt idx="96">
                  <c:v>6.5269568609890687E-5</c:v>
                </c:pt>
                <c:pt idx="97">
                  <c:v>5.284568011760488E-5</c:v>
                </c:pt>
                <c:pt idx="98">
                  <c:v>4.2779414076850104E-5</c:v>
                </c:pt>
                <c:pt idx="99">
                  <c:v>2.0220186625084038E-5</c:v>
                </c:pt>
                <c:pt idx="100">
                  <c:v>9.0519575972572715E-5</c:v>
                </c:pt>
                <c:pt idx="101">
                  <c:v>8.5741038680757617E-5</c:v>
                </c:pt>
                <c:pt idx="102">
                  <c:v>5.1496216765552728E-3</c:v>
                </c:pt>
                <c:pt idx="103">
                  <c:v>2.5841634738303157E-2</c:v>
                </c:pt>
                <c:pt idx="104">
                  <c:v>1.9666223597779999E-2</c:v>
                </c:pt>
                <c:pt idx="105">
                  <c:v>8.3727480450898297E-5</c:v>
                </c:pt>
                <c:pt idx="106">
                  <c:v>9.0888779341253683E-5</c:v>
                </c:pt>
                <c:pt idx="107">
                  <c:v>1.3236786684611352E-2</c:v>
                </c:pt>
                <c:pt idx="108">
                  <c:v>0.12850640694138071</c:v>
                </c:pt>
                <c:pt idx="109">
                  <c:v>0.10599120422398667</c:v>
                </c:pt>
                <c:pt idx="110">
                  <c:v>9.9050307460018555E-2</c:v>
                </c:pt>
                <c:pt idx="111">
                  <c:v>0.11038376511203757</c:v>
                </c:pt>
                <c:pt idx="112">
                  <c:v>0.11639150597970882</c:v>
                </c:pt>
                <c:pt idx="113">
                  <c:v>0.11438083081615599</c:v>
                </c:pt>
                <c:pt idx="114">
                  <c:v>7.2830064747006124E-2</c:v>
                </c:pt>
                <c:pt idx="115">
                  <c:v>3.6137596519256195E-2</c:v>
                </c:pt>
                <c:pt idx="116">
                  <c:v>3.860858643781085E-2</c:v>
                </c:pt>
                <c:pt idx="117">
                  <c:v>4.2430317885663545E-2</c:v>
                </c:pt>
                <c:pt idx="118">
                  <c:v>4.0939874786041171E-2</c:v>
                </c:pt>
                <c:pt idx="119">
                  <c:v>4.1919779691485581E-2</c:v>
                </c:pt>
                <c:pt idx="120">
                  <c:v>2.0370477811715842E-2</c:v>
                </c:pt>
                <c:pt idx="121">
                  <c:v>2.6008434630604722E-2</c:v>
                </c:pt>
                <c:pt idx="122">
                  <c:v>4.5677865865435254E-3</c:v>
                </c:pt>
                <c:pt idx="123">
                  <c:v>1.0294598940813342E-4</c:v>
                </c:pt>
                <c:pt idx="124">
                  <c:v>8.2080137733528332E-5</c:v>
                </c:pt>
                <c:pt idx="125">
                  <c:v>5.7885900163986603E-5</c:v>
                </c:pt>
                <c:pt idx="126">
                  <c:v>5.7496350878093256E-5</c:v>
                </c:pt>
                <c:pt idx="127">
                  <c:v>5.0502149895310925E-5</c:v>
                </c:pt>
                <c:pt idx="128">
                  <c:v>7.91645628042584E-5</c:v>
                </c:pt>
                <c:pt idx="129">
                  <c:v>8.9343296417302855E-5</c:v>
                </c:pt>
                <c:pt idx="130">
                  <c:v>8.3432605456830867E-5</c:v>
                </c:pt>
                <c:pt idx="131">
                  <c:v>8.4217081283497277E-5</c:v>
                </c:pt>
                <c:pt idx="132">
                  <c:v>2.7306217684310663E-5</c:v>
                </c:pt>
                <c:pt idx="133">
                  <c:v>1.3186889052010227E-5</c:v>
                </c:pt>
                <c:pt idx="134">
                  <c:v>8.7743930233828121E-5</c:v>
                </c:pt>
                <c:pt idx="135">
                  <c:v>1.8249359925043621E-5</c:v>
                </c:pt>
                <c:pt idx="136">
                  <c:v>2.413292341291691E-5</c:v>
                </c:pt>
                <c:pt idx="137">
                  <c:v>8.8751540170128223E-5</c:v>
                </c:pt>
                <c:pt idx="138">
                  <c:v>8.5215459882930026E-5</c:v>
                </c:pt>
                <c:pt idx="139">
                  <c:v>8.1624647177584435E-5</c:v>
                </c:pt>
                <c:pt idx="140">
                  <c:v>8.5147243475026588E-5</c:v>
                </c:pt>
                <c:pt idx="141">
                  <c:v>8.7766471311791677E-5</c:v>
                </c:pt>
                <c:pt idx="142">
                  <c:v>8.2084405437540754E-5</c:v>
                </c:pt>
                <c:pt idx="143">
                  <c:v>8.4451989484317678E-5</c:v>
                </c:pt>
                <c:pt idx="144">
                  <c:v>8.8832001436678297E-5</c:v>
                </c:pt>
                <c:pt idx="145">
                  <c:v>8.6698253833346231E-5</c:v>
                </c:pt>
                <c:pt idx="146">
                  <c:v>9.5306807894260295E-4</c:v>
                </c:pt>
                <c:pt idx="147">
                  <c:v>5.3935525873398053E-2</c:v>
                </c:pt>
                <c:pt idx="148">
                  <c:v>6.1647836587456102E-2</c:v>
                </c:pt>
                <c:pt idx="149">
                  <c:v>6.9053285931530248E-2</c:v>
                </c:pt>
                <c:pt idx="150">
                  <c:v>3.4698524228391397E-2</c:v>
                </c:pt>
                <c:pt idx="151">
                  <c:v>2.8052242035239783E-3</c:v>
                </c:pt>
                <c:pt idx="152">
                  <c:v>8.7520666482310614E-5</c:v>
                </c:pt>
                <c:pt idx="153">
                  <c:v>4.5898430278488694E-2</c:v>
                </c:pt>
                <c:pt idx="154">
                  <c:v>5.0605691685317922E-2</c:v>
                </c:pt>
                <c:pt idx="155">
                  <c:v>3.4880226061589942E-2</c:v>
                </c:pt>
                <c:pt idx="156">
                  <c:v>1.0245424141491541E-4</c:v>
                </c:pt>
                <c:pt idx="157">
                  <c:v>1.7483901152746942E-5</c:v>
                </c:pt>
                <c:pt idx="158">
                  <c:v>8.8703911177981056E-5</c:v>
                </c:pt>
                <c:pt idx="159">
                  <c:v>1.793737596760265E-5</c:v>
                </c:pt>
                <c:pt idx="160">
                  <c:v>2.1636909463508756E-5</c:v>
                </c:pt>
                <c:pt idx="161">
                  <c:v>8.6158769143358173E-5</c:v>
                </c:pt>
                <c:pt idx="162">
                  <c:v>8.6994910060285026E-5</c:v>
                </c:pt>
                <c:pt idx="163">
                  <c:v>1.7316010536067185E-5</c:v>
                </c:pt>
                <c:pt idx="164">
                  <c:v>3.9906906485511153E-5</c:v>
                </c:pt>
                <c:pt idx="165">
                  <c:v>4.5160452812448895E-5</c:v>
                </c:pt>
                <c:pt idx="166">
                  <c:v>1.9118275442154687E-6</c:v>
                </c:pt>
                <c:pt idx="167">
                  <c:v>1.3642149791560499E-5</c:v>
                </c:pt>
                <c:pt idx="168">
                  <c:v>1.2886795944117932E-5</c:v>
                </c:pt>
                <c:pt idx="169">
                  <c:v>1.8241839282956962E-5</c:v>
                </c:pt>
                <c:pt idx="170">
                  <c:v>6.2336598410990506E-2</c:v>
                </c:pt>
                <c:pt idx="171">
                  <c:v>7.0325660560735082E-2</c:v>
                </c:pt>
                <c:pt idx="172">
                  <c:v>7.3036692980115919E-2</c:v>
                </c:pt>
                <c:pt idx="173">
                  <c:v>6.6931064326706202E-2</c:v>
                </c:pt>
                <c:pt idx="174">
                  <c:v>4.7261646656732652E-2</c:v>
                </c:pt>
                <c:pt idx="175">
                  <c:v>4.6432900665508314E-2</c:v>
                </c:pt>
                <c:pt idx="176">
                  <c:v>5.4777267138717591E-2</c:v>
                </c:pt>
                <c:pt idx="177">
                  <c:v>7.3809858629942299E-2</c:v>
                </c:pt>
                <c:pt idx="178">
                  <c:v>3.0747589323097332E-2</c:v>
                </c:pt>
                <c:pt idx="179">
                  <c:v>7.545832422272844E-2</c:v>
                </c:pt>
                <c:pt idx="180">
                  <c:v>7.3303756732307726E-2</c:v>
                </c:pt>
                <c:pt idx="181">
                  <c:v>8.4235608603531895E-2</c:v>
                </c:pt>
                <c:pt idx="182">
                  <c:v>8.3112698108656638E-2</c:v>
                </c:pt>
                <c:pt idx="183">
                  <c:v>7.4610460492712041E-2</c:v>
                </c:pt>
                <c:pt idx="184">
                  <c:v>6.8384408065198618E-2</c:v>
                </c:pt>
                <c:pt idx="185">
                  <c:v>5.9834268594950758E-2</c:v>
                </c:pt>
                <c:pt idx="186">
                  <c:v>6.4678098615301563E-2</c:v>
                </c:pt>
                <c:pt idx="187">
                  <c:v>4.3992575868190394E-2</c:v>
                </c:pt>
                <c:pt idx="188">
                  <c:v>4.019095625528496E-2</c:v>
                </c:pt>
                <c:pt idx="189">
                  <c:v>7.1460767925825605E-2</c:v>
                </c:pt>
                <c:pt idx="190">
                  <c:v>8.4082183384637021E-2</c:v>
                </c:pt>
                <c:pt idx="191">
                  <c:v>8.0411398236835629E-2</c:v>
                </c:pt>
                <c:pt idx="192">
                  <c:v>7.4076792057918284E-2</c:v>
                </c:pt>
                <c:pt idx="193">
                  <c:v>8.1126613216385406E-3</c:v>
                </c:pt>
                <c:pt idx="194">
                  <c:v>8.8250158050674006E-5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D4-4F82-AFC6-25F18ED6EA2C}"/>
            </c:ext>
          </c:extLst>
        </c:ser>
        <c:ser>
          <c:idx val="3"/>
          <c:order val="3"/>
          <c:tx>
            <c:strRef>
              <c:f>震荡市组合!$E$1</c:f>
              <c:strCache>
                <c:ptCount val="1"/>
                <c:pt idx="0">
                  <c:v>全指材料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震荡市组合!$E$2:$E$196</c:f>
              <c:numCache>
                <c:formatCode>0.00%</c:formatCode>
                <c:ptCount val="195"/>
                <c:pt idx="0">
                  <c:v>2.415152935245891E-5</c:v>
                </c:pt>
                <c:pt idx="1">
                  <c:v>3.8938001797950425E-5</c:v>
                </c:pt>
                <c:pt idx="2">
                  <c:v>3.1526682872395426E-5</c:v>
                </c:pt>
                <c:pt idx="3">
                  <c:v>2.6194038604664262E-5</c:v>
                </c:pt>
                <c:pt idx="4">
                  <c:v>1.8167756635236464E-5</c:v>
                </c:pt>
                <c:pt idx="5">
                  <c:v>1.5487180917792414E-5</c:v>
                </c:pt>
                <c:pt idx="6">
                  <c:v>1.308868466830238E-5</c:v>
                </c:pt>
                <c:pt idx="7">
                  <c:v>1.5242674464956176E-5</c:v>
                </c:pt>
                <c:pt idx="8">
                  <c:v>5.7237064646343984E-5</c:v>
                </c:pt>
                <c:pt idx="9">
                  <c:v>4.0913542229358303E-5</c:v>
                </c:pt>
                <c:pt idx="10">
                  <c:v>1.1758577117277646E-5</c:v>
                </c:pt>
                <c:pt idx="11">
                  <c:v>1.0644613699852437E-5</c:v>
                </c:pt>
                <c:pt idx="12">
                  <c:v>9.2119950130372742E-6</c:v>
                </c:pt>
                <c:pt idx="13">
                  <c:v>9.1179661970548772E-7</c:v>
                </c:pt>
                <c:pt idx="14">
                  <c:v>7.6595924244729518E-6</c:v>
                </c:pt>
                <c:pt idx="15">
                  <c:v>3.9879198494380167E-6</c:v>
                </c:pt>
                <c:pt idx="16">
                  <c:v>1.0104088495924588E-5</c:v>
                </c:pt>
                <c:pt idx="17">
                  <c:v>1.8087180140783561E-5</c:v>
                </c:pt>
                <c:pt idx="18">
                  <c:v>4.476440012197427E-5</c:v>
                </c:pt>
                <c:pt idx="19">
                  <c:v>2.2857965265732143E-5</c:v>
                </c:pt>
                <c:pt idx="20">
                  <c:v>6.7570620989626859E-5</c:v>
                </c:pt>
                <c:pt idx="21">
                  <c:v>7.944094430782246E-5</c:v>
                </c:pt>
                <c:pt idx="22">
                  <c:v>8.8420798317962541E-5</c:v>
                </c:pt>
                <c:pt idx="23">
                  <c:v>9.827368841583306E-3</c:v>
                </c:pt>
                <c:pt idx="24">
                  <c:v>4.2398390437329572E-5</c:v>
                </c:pt>
                <c:pt idx="25">
                  <c:v>8.376455692046201E-4</c:v>
                </c:pt>
                <c:pt idx="26">
                  <c:v>3.4510542250171733E-6</c:v>
                </c:pt>
                <c:pt idx="27">
                  <c:v>6.5155875510344824E-2</c:v>
                </c:pt>
                <c:pt idx="28">
                  <c:v>1.4969523231901241E-2</c:v>
                </c:pt>
                <c:pt idx="29">
                  <c:v>3.1254595478100488E-3</c:v>
                </c:pt>
                <c:pt idx="30">
                  <c:v>8.1178593823504468E-7</c:v>
                </c:pt>
                <c:pt idx="31">
                  <c:v>2.5562274964282144E-5</c:v>
                </c:pt>
                <c:pt idx="32">
                  <c:v>3.2348807215750076E-5</c:v>
                </c:pt>
                <c:pt idx="33">
                  <c:v>2.4751039317572809E-5</c:v>
                </c:pt>
                <c:pt idx="34">
                  <c:v>2.134449338214096E-5</c:v>
                </c:pt>
                <c:pt idx="35">
                  <c:v>2.3450351327370652E-5</c:v>
                </c:pt>
                <c:pt idx="36">
                  <c:v>2.4458483699569061E-5</c:v>
                </c:pt>
                <c:pt idx="37">
                  <c:v>1.2419705940538049E-5</c:v>
                </c:pt>
                <c:pt idx="38">
                  <c:v>8.155393316622601E-5</c:v>
                </c:pt>
                <c:pt idx="39">
                  <c:v>8.0947284735058661E-5</c:v>
                </c:pt>
                <c:pt idx="40">
                  <c:v>3.7769836730460963E-5</c:v>
                </c:pt>
                <c:pt idx="41">
                  <c:v>4.6870652754584106E-5</c:v>
                </c:pt>
                <c:pt idx="42">
                  <c:v>1.4383774673540886E-5</c:v>
                </c:pt>
                <c:pt idx="43">
                  <c:v>6.4185956864348277E-5</c:v>
                </c:pt>
                <c:pt idx="44">
                  <c:v>5.7588141053582997E-5</c:v>
                </c:pt>
                <c:pt idx="45">
                  <c:v>5.8804377562454081E-5</c:v>
                </c:pt>
                <c:pt idx="46">
                  <c:v>1.3970865215077094E-5</c:v>
                </c:pt>
                <c:pt idx="47">
                  <c:v>1.669593433688231E-5</c:v>
                </c:pt>
                <c:pt idx="48">
                  <c:v>1.7642363211396884E-5</c:v>
                </c:pt>
                <c:pt idx="49">
                  <c:v>1.8698424904579759E-5</c:v>
                </c:pt>
                <c:pt idx="50">
                  <c:v>1.9996265847478329E-5</c:v>
                </c:pt>
                <c:pt idx="51">
                  <c:v>1.1588448455520487E-5</c:v>
                </c:pt>
                <c:pt idx="52">
                  <c:v>1.4805362124749252E-5</c:v>
                </c:pt>
                <c:pt idx="53">
                  <c:v>3.7227171988992854E-6</c:v>
                </c:pt>
                <c:pt idx="54">
                  <c:v>1.2795470624342166E-5</c:v>
                </c:pt>
                <c:pt idx="55">
                  <c:v>1.4407351484617181E-5</c:v>
                </c:pt>
                <c:pt idx="56">
                  <c:v>8.4731885316281703E-6</c:v>
                </c:pt>
                <c:pt idx="57">
                  <c:v>1.2480834625783693E-5</c:v>
                </c:pt>
                <c:pt idx="58">
                  <c:v>7.7749198492071836E-6</c:v>
                </c:pt>
                <c:pt idx="59">
                  <c:v>6.6200049073824486E-7</c:v>
                </c:pt>
                <c:pt idx="60">
                  <c:v>5.878053761821983E-7</c:v>
                </c:pt>
                <c:pt idx="61">
                  <c:v>1.0446935355640275E-6</c:v>
                </c:pt>
                <c:pt idx="62">
                  <c:v>9.262298243774133E-6</c:v>
                </c:pt>
                <c:pt idx="63">
                  <c:v>4.8494763303232034E-6</c:v>
                </c:pt>
                <c:pt idx="64">
                  <c:v>3.6851279666210442E-6</c:v>
                </c:pt>
                <c:pt idx="65">
                  <c:v>6.8668684498897773E-6</c:v>
                </c:pt>
                <c:pt idx="66">
                  <c:v>2.6649443615922437E-6</c:v>
                </c:pt>
                <c:pt idx="67">
                  <c:v>3.3479046110812038E-6</c:v>
                </c:pt>
                <c:pt idx="68">
                  <c:v>9.867384543457602E-6</c:v>
                </c:pt>
                <c:pt idx="69">
                  <c:v>1.1290278046044825E-5</c:v>
                </c:pt>
                <c:pt idx="70">
                  <c:v>1.3718300373232441E-5</c:v>
                </c:pt>
                <c:pt idx="71">
                  <c:v>1.6112780962897945E-5</c:v>
                </c:pt>
                <c:pt idx="72">
                  <c:v>1.8702614981321606E-5</c:v>
                </c:pt>
                <c:pt idx="73">
                  <c:v>2.0381088196357207E-5</c:v>
                </c:pt>
                <c:pt idx="74">
                  <c:v>2.165400365338473E-5</c:v>
                </c:pt>
                <c:pt idx="75">
                  <c:v>1.984184336930105E-5</c:v>
                </c:pt>
                <c:pt idx="76">
                  <c:v>1.959788918938292E-5</c:v>
                </c:pt>
                <c:pt idx="77">
                  <c:v>2.0173754989384445E-5</c:v>
                </c:pt>
                <c:pt idx="78">
                  <c:v>2.0996338745657996E-5</c:v>
                </c:pt>
                <c:pt idx="79">
                  <c:v>1.526430542604449E-5</c:v>
                </c:pt>
                <c:pt idx="80">
                  <c:v>1.3135304187618666E-5</c:v>
                </c:pt>
                <c:pt idx="81">
                  <c:v>1.6894211172952148E-6</c:v>
                </c:pt>
                <c:pt idx="82">
                  <c:v>1.1122931632142187E-5</c:v>
                </c:pt>
                <c:pt idx="83">
                  <c:v>3.9433262425734431E-6</c:v>
                </c:pt>
                <c:pt idx="84">
                  <c:v>6.2343061378567771E-7</c:v>
                </c:pt>
                <c:pt idx="85">
                  <c:v>1.6790990364407548E-5</c:v>
                </c:pt>
                <c:pt idx="86">
                  <c:v>4.9328334743137431E-5</c:v>
                </c:pt>
                <c:pt idx="87">
                  <c:v>7.527550565817294E-5</c:v>
                </c:pt>
                <c:pt idx="88">
                  <c:v>3.202863303857133E-5</c:v>
                </c:pt>
                <c:pt idx="89">
                  <c:v>7.5731101392059893E-5</c:v>
                </c:pt>
                <c:pt idx="90">
                  <c:v>5.5618993825078525E-2</c:v>
                </c:pt>
                <c:pt idx="91">
                  <c:v>7.7476481439680014E-2</c:v>
                </c:pt>
                <c:pt idx="92">
                  <c:v>8.2729701909773787E-2</c:v>
                </c:pt>
                <c:pt idx="93">
                  <c:v>7.599884602345125E-2</c:v>
                </c:pt>
                <c:pt idx="94">
                  <c:v>7.6507812637976041E-2</c:v>
                </c:pt>
                <c:pt idx="95">
                  <c:v>7.7474176267595604E-2</c:v>
                </c:pt>
                <c:pt idx="96">
                  <c:v>6.6589608648301366E-2</c:v>
                </c:pt>
                <c:pt idx="97">
                  <c:v>4.5728381745039966E-2</c:v>
                </c:pt>
                <c:pt idx="98">
                  <c:v>5.3763347626981838E-2</c:v>
                </c:pt>
                <c:pt idx="99">
                  <c:v>4.2184213930261387E-2</c:v>
                </c:pt>
                <c:pt idx="100">
                  <c:v>6.8929638091978579E-2</c:v>
                </c:pt>
                <c:pt idx="101">
                  <c:v>6.2713315181397666E-2</c:v>
                </c:pt>
                <c:pt idx="102">
                  <c:v>9.0163936792985955E-2</c:v>
                </c:pt>
                <c:pt idx="103">
                  <c:v>8.1013540116947697E-2</c:v>
                </c:pt>
                <c:pt idx="104">
                  <c:v>7.9554225997674657E-2</c:v>
                </c:pt>
                <c:pt idx="105">
                  <c:v>8.5072467734192039E-2</c:v>
                </c:pt>
                <c:pt idx="106">
                  <c:v>8.7809785519863751E-2</c:v>
                </c:pt>
                <c:pt idx="107">
                  <c:v>8.0045243024007243E-2</c:v>
                </c:pt>
                <c:pt idx="108">
                  <c:v>0.12723467682211656</c:v>
                </c:pt>
                <c:pt idx="109">
                  <c:v>0.11707771114176448</c:v>
                </c:pt>
                <c:pt idx="110">
                  <c:v>0.1256769253681827</c:v>
                </c:pt>
                <c:pt idx="111">
                  <c:v>0.14268641901129325</c:v>
                </c:pt>
                <c:pt idx="112">
                  <c:v>0.15632364667421586</c:v>
                </c:pt>
                <c:pt idx="113">
                  <c:v>0.15945936595215826</c:v>
                </c:pt>
                <c:pt idx="114">
                  <c:v>0.15635666633986847</c:v>
                </c:pt>
                <c:pt idx="115">
                  <c:v>0.17509278472803952</c:v>
                </c:pt>
                <c:pt idx="116">
                  <c:v>0.16068047566714766</c:v>
                </c:pt>
                <c:pt idx="117">
                  <c:v>0.15951476412288884</c:v>
                </c:pt>
                <c:pt idx="118">
                  <c:v>0.15627604034731446</c:v>
                </c:pt>
                <c:pt idx="119">
                  <c:v>0.16090271331614939</c:v>
                </c:pt>
                <c:pt idx="120">
                  <c:v>0.16703139092156846</c:v>
                </c:pt>
                <c:pt idx="121">
                  <c:v>0.16686882688659521</c:v>
                </c:pt>
                <c:pt idx="122">
                  <c:v>0.15284531269824361</c:v>
                </c:pt>
                <c:pt idx="123">
                  <c:v>0.16563821293062772</c:v>
                </c:pt>
                <c:pt idx="124">
                  <c:v>0.1638220138149189</c:v>
                </c:pt>
                <c:pt idx="125">
                  <c:v>0.15917943677527696</c:v>
                </c:pt>
                <c:pt idx="126">
                  <c:v>0.1334188694265549</c:v>
                </c:pt>
                <c:pt idx="127">
                  <c:v>0.15350407962749818</c:v>
                </c:pt>
                <c:pt idx="128">
                  <c:v>0.15565990438198563</c:v>
                </c:pt>
                <c:pt idx="129">
                  <c:v>0.15593260606590298</c:v>
                </c:pt>
                <c:pt idx="130">
                  <c:v>9.3182648284288599E-2</c:v>
                </c:pt>
                <c:pt idx="131">
                  <c:v>0.10473639048178746</c:v>
                </c:pt>
                <c:pt idx="132">
                  <c:v>0.11144807004875804</c:v>
                </c:pt>
                <c:pt idx="133">
                  <c:v>0.11571985874549925</c:v>
                </c:pt>
                <c:pt idx="134">
                  <c:v>0.11792590714557721</c:v>
                </c:pt>
                <c:pt idx="135">
                  <c:v>0.11245472932518251</c:v>
                </c:pt>
                <c:pt idx="136">
                  <c:v>0.110995504496264</c:v>
                </c:pt>
                <c:pt idx="137">
                  <c:v>0.10317355753384852</c:v>
                </c:pt>
                <c:pt idx="138">
                  <c:v>9.0761822462972208E-2</c:v>
                </c:pt>
                <c:pt idx="139">
                  <c:v>7.9514066262721922E-2</c:v>
                </c:pt>
                <c:pt idx="140">
                  <c:v>7.0939964064567138E-2</c:v>
                </c:pt>
                <c:pt idx="141">
                  <c:v>0.10557895205742185</c:v>
                </c:pt>
                <c:pt idx="142">
                  <c:v>0.11574249262839728</c:v>
                </c:pt>
                <c:pt idx="143">
                  <c:v>0.12876191995002911</c:v>
                </c:pt>
                <c:pt idx="144">
                  <c:v>0.12769135927114555</c:v>
                </c:pt>
                <c:pt idx="145">
                  <c:v>0.11029074789365843</c:v>
                </c:pt>
                <c:pt idx="146">
                  <c:v>0.11053704956237212</c:v>
                </c:pt>
                <c:pt idx="147">
                  <c:v>0.14880694938092445</c:v>
                </c:pt>
                <c:pt idx="148">
                  <c:v>0.15096907755716588</c:v>
                </c:pt>
                <c:pt idx="149">
                  <c:v>0.15359305850242647</c:v>
                </c:pt>
                <c:pt idx="150">
                  <c:v>0.12901664837797547</c:v>
                </c:pt>
                <c:pt idx="151">
                  <c:v>0.12234857254946498</c:v>
                </c:pt>
                <c:pt idx="152">
                  <c:v>0.12457921969048162</c:v>
                </c:pt>
                <c:pt idx="153">
                  <c:v>0.13886016686787822</c:v>
                </c:pt>
                <c:pt idx="154">
                  <c:v>0.13857586049518192</c:v>
                </c:pt>
                <c:pt idx="155">
                  <c:v>0.13652164278213685</c:v>
                </c:pt>
                <c:pt idx="156">
                  <c:v>0.12426637062807869</c:v>
                </c:pt>
                <c:pt idx="157">
                  <c:v>0.11740106388682538</c:v>
                </c:pt>
                <c:pt idx="158">
                  <c:v>0.10316089307731319</c:v>
                </c:pt>
                <c:pt idx="159">
                  <c:v>0.11206757149323328</c:v>
                </c:pt>
                <c:pt idx="160">
                  <c:v>0.11155179410615462</c:v>
                </c:pt>
                <c:pt idx="161">
                  <c:v>8.6026109024930547E-2</c:v>
                </c:pt>
                <c:pt idx="162">
                  <c:v>8.5399253135669442E-2</c:v>
                </c:pt>
                <c:pt idx="163">
                  <c:v>8.1044994266529544E-2</c:v>
                </c:pt>
                <c:pt idx="164">
                  <c:v>6.2946073397286403E-2</c:v>
                </c:pt>
                <c:pt idx="165">
                  <c:v>6.1560497885092581E-2</c:v>
                </c:pt>
                <c:pt idx="166">
                  <c:v>8.5121960724882983E-2</c:v>
                </c:pt>
                <c:pt idx="167">
                  <c:v>8.0724945979498502E-2</c:v>
                </c:pt>
                <c:pt idx="168">
                  <c:v>8.1958558850722091E-2</c:v>
                </c:pt>
                <c:pt idx="169">
                  <c:v>7.6606360027077158E-2</c:v>
                </c:pt>
                <c:pt idx="170">
                  <c:v>5.8509976707559492E-3</c:v>
                </c:pt>
                <c:pt idx="171">
                  <c:v>1.5255297862213779E-2</c:v>
                </c:pt>
                <c:pt idx="172">
                  <c:v>3.0616116581522201E-2</c:v>
                </c:pt>
                <c:pt idx="173">
                  <c:v>3.5623831719752759E-2</c:v>
                </c:pt>
                <c:pt idx="174">
                  <c:v>1.5378758909160697E-2</c:v>
                </c:pt>
                <c:pt idx="175">
                  <c:v>8.9324749109340139E-5</c:v>
                </c:pt>
                <c:pt idx="176">
                  <c:v>5.1501197286291317E-4</c:v>
                </c:pt>
                <c:pt idx="177">
                  <c:v>2.4311881003760143E-4</c:v>
                </c:pt>
                <c:pt idx="178">
                  <c:v>1.4062860126825477E-2</c:v>
                </c:pt>
                <c:pt idx="179">
                  <c:v>6.6386827066750975E-4</c:v>
                </c:pt>
                <c:pt idx="180">
                  <c:v>3.4014294767800348E-3</c:v>
                </c:pt>
                <c:pt idx="181">
                  <c:v>8.3186824890281894E-5</c:v>
                </c:pt>
                <c:pt idx="182">
                  <c:v>9.1083482002964812E-5</c:v>
                </c:pt>
                <c:pt idx="183">
                  <c:v>5.7327448658377016E-3</c:v>
                </c:pt>
                <c:pt idx="184">
                  <c:v>6.7623153781912037E-3</c:v>
                </c:pt>
                <c:pt idx="185">
                  <c:v>4.0444074152900709E-2</c:v>
                </c:pt>
                <c:pt idx="186">
                  <c:v>5.9310001441383951E-2</c:v>
                </c:pt>
                <c:pt idx="187">
                  <c:v>7.2544822977992807E-2</c:v>
                </c:pt>
                <c:pt idx="188">
                  <c:v>7.9790539555346429E-2</c:v>
                </c:pt>
                <c:pt idx="189">
                  <c:v>6.5551293526563345E-2</c:v>
                </c:pt>
                <c:pt idx="190">
                  <c:v>6.3707143176317579E-2</c:v>
                </c:pt>
                <c:pt idx="191">
                  <c:v>2.9516230132202358E-2</c:v>
                </c:pt>
                <c:pt idx="192">
                  <c:v>1.8853177043905947E-2</c:v>
                </c:pt>
                <c:pt idx="193">
                  <c:v>9.0617267131508791E-2</c:v>
                </c:pt>
                <c:pt idx="194">
                  <c:v>8.7647557727064784E-2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D4-4F82-AFC6-25F18ED6EA2C}"/>
            </c:ext>
          </c:extLst>
        </c:ser>
        <c:ser>
          <c:idx val="4"/>
          <c:order val="4"/>
          <c:tx>
            <c:strRef>
              <c:f>震荡市组合!$F$1</c:f>
              <c:strCache>
                <c:ptCount val="1"/>
                <c:pt idx="0">
                  <c:v>全指信息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震荡市组合!$F$2:$F$196</c:f>
              <c:numCache>
                <c:formatCode>0.00%</c:formatCode>
                <c:ptCount val="195"/>
                <c:pt idx="0">
                  <c:v>0.33311419897135947</c:v>
                </c:pt>
                <c:pt idx="1">
                  <c:v>0.32790114442917379</c:v>
                </c:pt>
                <c:pt idx="2">
                  <c:v>0.31124796517309222</c:v>
                </c:pt>
                <c:pt idx="3">
                  <c:v>0.30554892058129773</c:v>
                </c:pt>
                <c:pt idx="4">
                  <c:v>0.31461384439939416</c:v>
                </c:pt>
                <c:pt idx="5">
                  <c:v>0.32613194469561696</c:v>
                </c:pt>
                <c:pt idx="6">
                  <c:v>0.32238500954815347</c:v>
                </c:pt>
                <c:pt idx="7">
                  <c:v>0.32897631662764437</c:v>
                </c:pt>
                <c:pt idx="8">
                  <c:v>0.33601305997353131</c:v>
                </c:pt>
                <c:pt idx="9">
                  <c:v>0.36684011007080503</c:v>
                </c:pt>
                <c:pt idx="10">
                  <c:v>0.37358704012849625</c:v>
                </c:pt>
                <c:pt idx="11">
                  <c:v>0.35249977223238216</c:v>
                </c:pt>
                <c:pt idx="12">
                  <c:v>0.32530720715532563</c:v>
                </c:pt>
                <c:pt idx="13">
                  <c:v>0.31724031425209154</c:v>
                </c:pt>
                <c:pt idx="14">
                  <c:v>0.26983082986676216</c:v>
                </c:pt>
                <c:pt idx="15">
                  <c:v>0.25939639182111895</c:v>
                </c:pt>
                <c:pt idx="16">
                  <c:v>0.24768572831594146</c:v>
                </c:pt>
                <c:pt idx="17">
                  <c:v>0.22931610440282854</c:v>
                </c:pt>
                <c:pt idx="18">
                  <c:v>0.23408017806118356</c:v>
                </c:pt>
                <c:pt idx="19">
                  <c:v>0.23065951241627752</c:v>
                </c:pt>
                <c:pt idx="20">
                  <c:v>0.21798779371285398</c:v>
                </c:pt>
                <c:pt idx="21">
                  <c:v>0.22025980485319099</c:v>
                </c:pt>
                <c:pt idx="22">
                  <c:v>0.21441208705614437</c:v>
                </c:pt>
                <c:pt idx="23">
                  <c:v>0.24519885058037388</c:v>
                </c:pt>
                <c:pt idx="24">
                  <c:v>0.24598506716189816</c:v>
                </c:pt>
                <c:pt idx="25">
                  <c:v>0.24444704806474524</c:v>
                </c:pt>
                <c:pt idx="26">
                  <c:v>0.23772256313867696</c:v>
                </c:pt>
                <c:pt idx="27">
                  <c:v>0.27736462381489518</c:v>
                </c:pt>
                <c:pt idx="28">
                  <c:v>0.2746011455718797</c:v>
                </c:pt>
                <c:pt idx="29">
                  <c:v>0.28925664797983786</c:v>
                </c:pt>
                <c:pt idx="30">
                  <c:v>0.31600395584653096</c:v>
                </c:pt>
                <c:pt idx="31">
                  <c:v>0.31494962993182279</c:v>
                </c:pt>
                <c:pt idx="32">
                  <c:v>0.2855154773000394</c:v>
                </c:pt>
                <c:pt idx="33">
                  <c:v>0.29666908845036782</c:v>
                </c:pt>
                <c:pt idx="34">
                  <c:v>0.29847856460155225</c:v>
                </c:pt>
                <c:pt idx="35">
                  <c:v>0.30045015514579876</c:v>
                </c:pt>
                <c:pt idx="36">
                  <c:v>0.29887932272464912</c:v>
                </c:pt>
                <c:pt idx="37">
                  <c:v>0.29760261258463744</c:v>
                </c:pt>
                <c:pt idx="38">
                  <c:v>0.29329617968977212</c:v>
                </c:pt>
                <c:pt idx="39">
                  <c:v>0.27698865455198723</c:v>
                </c:pt>
                <c:pt idx="40">
                  <c:v>0.24426798449398399</c:v>
                </c:pt>
                <c:pt idx="41">
                  <c:v>0.20583587064123809</c:v>
                </c:pt>
                <c:pt idx="42">
                  <c:v>0.2022415782520702</c:v>
                </c:pt>
                <c:pt idx="43">
                  <c:v>0.20896433502971329</c:v>
                </c:pt>
                <c:pt idx="44">
                  <c:v>0.19311258281992755</c:v>
                </c:pt>
                <c:pt idx="45">
                  <c:v>0.19535123282851291</c:v>
                </c:pt>
                <c:pt idx="46">
                  <c:v>0.16800751304219863</c:v>
                </c:pt>
                <c:pt idx="47">
                  <c:v>0.18565833592542128</c:v>
                </c:pt>
                <c:pt idx="48">
                  <c:v>0.19031998367322397</c:v>
                </c:pt>
                <c:pt idx="49">
                  <c:v>0.19799648448518786</c:v>
                </c:pt>
                <c:pt idx="50">
                  <c:v>0.17963741572708797</c:v>
                </c:pt>
                <c:pt idx="51">
                  <c:v>0.19640848848735498</c:v>
                </c:pt>
                <c:pt idx="52">
                  <c:v>0.21754022188873232</c:v>
                </c:pt>
                <c:pt idx="53">
                  <c:v>0.22994621608030036</c:v>
                </c:pt>
                <c:pt idx="54">
                  <c:v>0.30219783631443736</c:v>
                </c:pt>
                <c:pt idx="55">
                  <c:v>0.32249245723987902</c:v>
                </c:pt>
                <c:pt idx="56">
                  <c:v>0.33503612408254363</c:v>
                </c:pt>
                <c:pt idx="57">
                  <c:v>0.35924542655171948</c:v>
                </c:pt>
                <c:pt idx="58">
                  <c:v>0.36362443882308149</c:v>
                </c:pt>
                <c:pt idx="59">
                  <c:v>0.35907879880794036</c:v>
                </c:pt>
                <c:pt idx="60">
                  <c:v>0.3581481735400906</c:v>
                </c:pt>
                <c:pt idx="61">
                  <c:v>0.35940295508203957</c:v>
                </c:pt>
                <c:pt idx="62">
                  <c:v>0.36036233666814205</c:v>
                </c:pt>
                <c:pt idx="63">
                  <c:v>0.36504693210510691</c:v>
                </c:pt>
                <c:pt idx="64">
                  <c:v>0.36460541083489556</c:v>
                </c:pt>
                <c:pt idx="65">
                  <c:v>0.37767591614326623</c:v>
                </c:pt>
                <c:pt idx="66">
                  <c:v>0.39450926535328235</c:v>
                </c:pt>
                <c:pt idx="67">
                  <c:v>0.3847663038113035</c:v>
                </c:pt>
                <c:pt idx="68">
                  <c:v>0.43089611410755607</c:v>
                </c:pt>
                <c:pt idx="69">
                  <c:v>0.43898730529865454</c:v>
                </c:pt>
                <c:pt idx="70">
                  <c:v>0.44448339701857292</c:v>
                </c:pt>
                <c:pt idx="71">
                  <c:v>0.44814405595584472</c:v>
                </c:pt>
                <c:pt idx="72">
                  <c:v>0.44509002667594955</c:v>
                </c:pt>
                <c:pt idx="73">
                  <c:v>0.42737160436222804</c:v>
                </c:pt>
                <c:pt idx="74">
                  <c:v>0.43024013630686764</c:v>
                </c:pt>
                <c:pt idx="75">
                  <c:v>0.42277380107689055</c:v>
                </c:pt>
                <c:pt idx="76">
                  <c:v>0.41768578833458614</c:v>
                </c:pt>
                <c:pt idx="77">
                  <c:v>0.42003160611477086</c:v>
                </c:pt>
                <c:pt idx="78">
                  <c:v>0.43171662730339194</c:v>
                </c:pt>
                <c:pt idx="79">
                  <c:v>0.42066055494358912</c:v>
                </c:pt>
                <c:pt idx="80">
                  <c:v>0.44049986925191598</c:v>
                </c:pt>
                <c:pt idx="81">
                  <c:v>0.49317097333443033</c:v>
                </c:pt>
                <c:pt idx="82">
                  <c:v>0.49095033940427085</c:v>
                </c:pt>
                <c:pt idx="83">
                  <c:v>0.48500055151808269</c:v>
                </c:pt>
                <c:pt idx="84">
                  <c:v>0.46594726016980498</c:v>
                </c:pt>
                <c:pt idx="85">
                  <c:v>0.44777324792904405</c:v>
                </c:pt>
                <c:pt idx="86">
                  <c:v>0.48179807454900614</c:v>
                </c:pt>
                <c:pt idx="87">
                  <c:v>0.47871272604991649</c:v>
                </c:pt>
                <c:pt idx="88">
                  <c:v>0.46014690436846362</c:v>
                </c:pt>
                <c:pt idx="89">
                  <c:v>0.43859965110891808</c:v>
                </c:pt>
                <c:pt idx="90">
                  <c:v>0.46874879886185639</c:v>
                </c:pt>
                <c:pt idx="91">
                  <c:v>0.45770273952469254</c:v>
                </c:pt>
                <c:pt idx="92">
                  <c:v>0.45489466354885555</c:v>
                </c:pt>
                <c:pt idx="93">
                  <c:v>0.4767812460311569</c:v>
                </c:pt>
                <c:pt idx="94">
                  <c:v>0.47172654387193008</c:v>
                </c:pt>
                <c:pt idx="95">
                  <c:v>0.42373058191631469</c:v>
                </c:pt>
                <c:pt idx="96">
                  <c:v>0.39210294364439918</c:v>
                </c:pt>
                <c:pt idx="97">
                  <c:v>0.40017762522700923</c:v>
                </c:pt>
                <c:pt idx="98">
                  <c:v>0.38909127344128014</c:v>
                </c:pt>
                <c:pt idx="99">
                  <c:v>0.38272445307491459</c:v>
                </c:pt>
                <c:pt idx="100">
                  <c:v>0.37725902741865069</c:v>
                </c:pt>
                <c:pt idx="101">
                  <c:v>0.3689503550757906</c:v>
                </c:pt>
                <c:pt idx="102">
                  <c:v>0.38468248509488157</c:v>
                </c:pt>
                <c:pt idx="103">
                  <c:v>0.36354157453567459</c:v>
                </c:pt>
                <c:pt idx="104">
                  <c:v>0.36784095307905884</c:v>
                </c:pt>
                <c:pt idx="105">
                  <c:v>0.38137045344252146</c:v>
                </c:pt>
                <c:pt idx="106">
                  <c:v>0.38041004969299663</c:v>
                </c:pt>
                <c:pt idx="107">
                  <c:v>0.37566133800046192</c:v>
                </c:pt>
                <c:pt idx="108">
                  <c:v>0.29437141848871895</c:v>
                </c:pt>
                <c:pt idx="109">
                  <c:v>0.2907065491484862</c:v>
                </c:pt>
                <c:pt idx="110">
                  <c:v>0.30076784470843021</c:v>
                </c:pt>
                <c:pt idx="111">
                  <c:v>0.2953418197066156</c:v>
                </c:pt>
                <c:pt idx="112">
                  <c:v>0.27876846798318711</c:v>
                </c:pt>
                <c:pt idx="113">
                  <c:v>0.26530182332616942</c:v>
                </c:pt>
                <c:pt idx="114">
                  <c:v>0.23367044156105735</c:v>
                </c:pt>
                <c:pt idx="115">
                  <c:v>0.23229637614718909</c:v>
                </c:pt>
                <c:pt idx="116">
                  <c:v>0.23537561869909832</c:v>
                </c:pt>
                <c:pt idx="117">
                  <c:v>0.23806334729546832</c:v>
                </c:pt>
                <c:pt idx="118">
                  <c:v>0.24151449036798228</c:v>
                </c:pt>
                <c:pt idx="119">
                  <c:v>0.2395696944807468</c:v>
                </c:pt>
                <c:pt idx="120">
                  <c:v>0.23606669876062017</c:v>
                </c:pt>
                <c:pt idx="121">
                  <c:v>0.23615723835785538</c:v>
                </c:pt>
                <c:pt idx="122">
                  <c:v>0.23838460319665289</c:v>
                </c:pt>
                <c:pt idx="123">
                  <c:v>0.25720517915007757</c:v>
                </c:pt>
                <c:pt idx="124">
                  <c:v>0.24716692007790403</c:v>
                </c:pt>
                <c:pt idx="125">
                  <c:v>0.28941806765421885</c:v>
                </c:pt>
                <c:pt idx="126">
                  <c:v>0.29462426751933279</c:v>
                </c:pt>
                <c:pt idx="127">
                  <c:v>0.27843226629016526</c:v>
                </c:pt>
                <c:pt idx="128">
                  <c:v>0.27920578015828812</c:v>
                </c:pt>
                <c:pt idx="129">
                  <c:v>0.26680430354514151</c:v>
                </c:pt>
                <c:pt idx="130">
                  <c:v>0.27639514454619318</c:v>
                </c:pt>
                <c:pt idx="131">
                  <c:v>0.29798884228912509</c:v>
                </c:pt>
                <c:pt idx="132">
                  <c:v>0.29418137417773116</c:v>
                </c:pt>
                <c:pt idx="133">
                  <c:v>0.22565500791381607</c:v>
                </c:pt>
                <c:pt idx="134">
                  <c:v>0.19524258575026129</c:v>
                </c:pt>
                <c:pt idx="135">
                  <c:v>0.20107230108891519</c:v>
                </c:pt>
                <c:pt idx="136">
                  <c:v>0.20690470966047289</c:v>
                </c:pt>
                <c:pt idx="137">
                  <c:v>0.22916467092444195</c:v>
                </c:pt>
                <c:pt idx="138">
                  <c:v>0.23643897827250399</c:v>
                </c:pt>
                <c:pt idx="139">
                  <c:v>0.2453738399652125</c:v>
                </c:pt>
                <c:pt idx="140">
                  <c:v>0.25001688611920808</c:v>
                </c:pt>
                <c:pt idx="141">
                  <c:v>0.26099398522564199</c:v>
                </c:pt>
                <c:pt idx="142">
                  <c:v>0.22502298190321962</c:v>
                </c:pt>
                <c:pt idx="143">
                  <c:v>0.22156848149626659</c:v>
                </c:pt>
                <c:pt idx="144">
                  <c:v>0.19718816088217861</c:v>
                </c:pt>
                <c:pt idx="145">
                  <c:v>0.20907131419880701</c:v>
                </c:pt>
                <c:pt idx="146">
                  <c:v>0.21025257962434021</c:v>
                </c:pt>
                <c:pt idx="147">
                  <c:v>0.14675639076949865</c:v>
                </c:pt>
                <c:pt idx="148">
                  <c:v>0.14203284023511678</c:v>
                </c:pt>
                <c:pt idx="149">
                  <c:v>0.14679585969849743</c:v>
                </c:pt>
                <c:pt idx="150">
                  <c:v>0.13236492602106051</c:v>
                </c:pt>
                <c:pt idx="151">
                  <c:v>0.13980344467201763</c:v>
                </c:pt>
                <c:pt idx="152">
                  <c:v>0.14817467975782597</c:v>
                </c:pt>
                <c:pt idx="153">
                  <c:v>0.16979639016081871</c:v>
                </c:pt>
                <c:pt idx="154">
                  <c:v>0.16911874133835764</c:v>
                </c:pt>
                <c:pt idx="155">
                  <c:v>0.15996511297608662</c:v>
                </c:pt>
                <c:pt idx="156">
                  <c:v>0.16938205176374868</c:v>
                </c:pt>
                <c:pt idx="157">
                  <c:v>0.17872477483049881</c:v>
                </c:pt>
                <c:pt idx="158">
                  <c:v>0.19182474343926886</c:v>
                </c:pt>
                <c:pt idx="159">
                  <c:v>0.17739257488650451</c:v>
                </c:pt>
                <c:pt idx="160">
                  <c:v>0.20793665813412834</c:v>
                </c:pt>
                <c:pt idx="161">
                  <c:v>0.1877245709658234</c:v>
                </c:pt>
                <c:pt idx="162">
                  <c:v>0.19169208299911433</c:v>
                </c:pt>
                <c:pt idx="163">
                  <c:v>0.18537793437793942</c:v>
                </c:pt>
                <c:pt idx="164">
                  <c:v>0.17976363539536286</c:v>
                </c:pt>
                <c:pt idx="165">
                  <c:v>0.18213749719886971</c:v>
                </c:pt>
                <c:pt idx="166">
                  <c:v>0.19534985673145971</c:v>
                </c:pt>
                <c:pt idx="167">
                  <c:v>0.1644537069003813</c:v>
                </c:pt>
                <c:pt idx="168">
                  <c:v>0.16095979375384561</c:v>
                </c:pt>
                <c:pt idx="169">
                  <c:v>0.18560962729635208</c:v>
                </c:pt>
                <c:pt idx="170">
                  <c:v>0.17636298803077266</c:v>
                </c:pt>
                <c:pt idx="171">
                  <c:v>0.10955515582377473</c:v>
                </c:pt>
                <c:pt idx="172">
                  <c:v>9.3703864376835019E-2</c:v>
                </c:pt>
                <c:pt idx="173">
                  <c:v>9.3706915508008193E-2</c:v>
                </c:pt>
                <c:pt idx="174">
                  <c:v>9.8477654166951242E-2</c:v>
                </c:pt>
                <c:pt idx="175">
                  <c:v>0.10238087917320986</c:v>
                </c:pt>
                <c:pt idx="176">
                  <c:v>9.8983411078809577E-2</c:v>
                </c:pt>
                <c:pt idx="177">
                  <c:v>9.8428935999313821E-2</c:v>
                </c:pt>
                <c:pt idx="178">
                  <c:v>0.10980724123522517</c:v>
                </c:pt>
                <c:pt idx="179">
                  <c:v>9.8804507123454011E-2</c:v>
                </c:pt>
                <c:pt idx="180">
                  <c:v>9.6292318707209626E-2</c:v>
                </c:pt>
                <c:pt idx="181">
                  <c:v>8.6605275392459713E-2</c:v>
                </c:pt>
                <c:pt idx="182">
                  <c:v>7.9792100377109237E-2</c:v>
                </c:pt>
                <c:pt idx="183">
                  <c:v>7.6235947832361997E-2</c:v>
                </c:pt>
                <c:pt idx="184">
                  <c:v>8.9911699852834412E-2</c:v>
                </c:pt>
                <c:pt idx="185">
                  <c:v>9.4230728626705465E-2</c:v>
                </c:pt>
                <c:pt idx="186">
                  <c:v>7.1205413891561486E-2</c:v>
                </c:pt>
                <c:pt idx="187">
                  <c:v>6.9758200160562056E-2</c:v>
                </c:pt>
                <c:pt idx="188">
                  <c:v>6.9464346841531119E-2</c:v>
                </c:pt>
                <c:pt idx="189">
                  <c:v>7.6047530848998679E-2</c:v>
                </c:pt>
                <c:pt idx="190">
                  <c:v>6.0364535104945681E-2</c:v>
                </c:pt>
                <c:pt idx="191">
                  <c:v>9.5905809363772285E-2</c:v>
                </c:pt>
                <c:pt idx="192">
                  <c:v>8.9732383247003861E-2</c:v>
                </c:pt>
                <c:pt idx="193">
                  <c:v>8.7641063731722063E-2</c:v>
                </c:pt>
                <c:pt idx="194">
                  <c:v>8.9930499692676066E-2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D4-4F82-AFC6-25F18ED6EA2C}"/>
            </c:ext>
          </c:extLst>
        </c:ser>
        <c:ser>
          <c:idx val="5"/>
          <c:order val="5"/>
          <c:tx>
            <c:strRef>
              <c:f>震荡市组合!$G$1</c:f>
              <c:strCache>
                <c:ptCount val="1"/>
                <c:pt idx="0">
                  <c:v>全指消费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震荡市组合!$G$2:$G$196</c:f>
              <c:numCache>
                <c:formatCode>0.00%</c:formatCode>
                <c:ptCount val="195"/>
                <c:pt idx="0">
                  <c:v>4.587502077991621E-2</c:v>
                </c:pt>
                <c:pt idx="1">
                  <c:v>5.851678025382636E-2</c:v>
                </c:pt>
                <c:pt idx="2">
                  <c:v>6.462831276536618E-2</c:v>
                </c:pt>
                <c:pt idx="3">
                  <c:v>6.9112183441268751E-2</c:v>
                </c:pt>
                <c:pt idx="4">
                  <c:v>5.6011529792254024E-2</c:v>
                </c:pt>
                <c:pt idx="5">
                  <c:v>3.1264399787785092E-2</c:v>
                </c:pt>
                <c:pt idx="6">
                  <c:v>3.3334781004007739E-2</c:v>
                </c:pt>
                <c:pt idx="7">
                  <c:v>3.4779221802269861E-2</c:v>
                </c:pt>
                <c:pt idx="8">
                  <c:v>4.1478004860397009E-2</c:v>
                </c:pt>
                <c:pt idx="9">
                  <c:v>2.0132762177357672E-2</c:v>
                </c:pt>
                <c:pt idx="10">
                  <c:v>6.3241758689230594E-5</c:v>
                </c:pt>
                <c:pt idx="11">
                  <c:v>2.3410605577245787E-5</c:v>
                </c:pt>
                <c:pt idx="12">
                  <c:v>8.853523420962689E-5</c:v>
                </c:pt>
                <c:pt idx="13">
                  <c:v>3.056139455031839E-6</c:v>
                </c:pt>
                <c:pt idx="14">
                  <c:v>9.4845661038340674E-5</c:v>
                </c:pt>
                <c:pt idx="15">
                  <c:v>1.1403004141643635E-5</c:v>
                </c:pt>
                <c:pt idx="16">
                  <c:v>1.3327930132183315E-5</c:v>
                </c:pt>
                <c:pt idx="17">
                  <c:v>1.9049666933605198E-5</c:v>
                </c:pt>
                <c:pt idx="18">
                  <c:v>4.7590046328259829E-5</c:v>
                </c:pt>
                <c:pt idx="19">
                  <c:v>1.8416325885807788E-5</c:v>
                </c:pt>
                <c:pt idx="20">
                  <c:v>5.0587278725052413E-5</c:v>
                </c:pt>
                <c:pt idx="21">
                  <c:v>4.0222780232868286E-5</c:v>
                </c:pt>
                <c:pt idx="22">
                  <c:v>6.8291798309531138E-5</c:v>
                </c:pt>
                <c:pt idx="23">
                  <c:v>8.4810211251247109E-5</c:v>
                </c:pt>
                <c:pt idx="24">
                  <c:v>2.5834413978624196E-2</c:v>
                </c:pt>
                <c:pt idx="25">
                  <c:v>4.5775799450382821E-5</c:v>
                </c:pt>
                <c:pt idx="26">
                  <c:v>2.9350355663260245E-4</c:v>
                </c:pt>
                <c:pt idx="27">
                  <c:v>8.9376681707455574E-5</c:v>
                </c:pt>
                <c:pt idx="28">
                  <c:v>7.6774409334177716E-6</c:v>
                </c:pt>
                <c:pt idx="29">
                  <c:v>3.9010333858881639E-6</c:v>
                </c:pt>
                <c:pt idx="30">
                  <c:v>6.2669812166186523E-7</c:v>
                </c:pt>
                <c:pt idx="31">
                  <c:v>2.0742255956404548E-5</c:v>
                </c:pt>
                <c:pt idx="32">
                  <c:v>5.9489490709419217E-5</c:v>
                </c:pt>
                <c:pt idx="33">
                  <c:v>6.9180011859934555E-5</c:v>
                </c:pt>
                <c:pt idx="34">
                  <c:v>6.9819488349454615E-5</c:v>
                </c:pt>
                <c:pt idx="35">
                  <c:v>5.832635637590128E-5</c:v>
                </c:pt>
                <c:pt idx="36">
                  <c:v>1.2885064072334569E-2</c:v>
                </c:pt>
                <c:pt idx="37">
                  <c:v>8.1852686699250023E-5</c:v>
                </c:pt>
                <c:pt idx="38">
                  <c:v>3.1161466738817051E-2</c:v>
                </c:pt>
                <c:pt idx="39">
                  <c:v>3.2457633318668244E-5</c:v>
                </c:pt>
                <c:pt idx="40">
                  <c:v>2.7905258310584258E-5</c:v>
                </c:pt>
                <c:pt idx="41">
                  <c:v>3.9849218199770458E-5</c:v>
                </c:pt>
                <c:pt idx="42">
                  <c:v>1.0523190614842172E-5</c:v>
                </c:pt>
                <c:pt idx="43">
                  <c:v>3.2613361254396868E-5</c:v>
                </c:pt>
                <c:pt idx="44">
                  <c:v>3.056606655634225E-5</c:v>
                </c:pt>
                <c:pt idx="45">
                  <c:v>3.6733197483849222E-5</c:v>
                </c:pt>
                <c:pt idx="46">
                  <c:v>1.6301224399607185E-5</c:v>
                </c:pt>
                <c:pt idx="47">
                  <c:v>2.062567295489965E-5</c:v>
                </c:pt>
                <c:pt idx="48">
                  <c:v>1.6372447909034547E-5</c:v>
                </c:pt>
                <c:pt idx="49">
                  <c:v>2.3703445462315547E-5</c:v>
                </c:pt>
                <c:pt idx="50">
                  <c:v>3.4367235707498405E-5</c:v>
                </c:pt>
                <c:pt idx="51">
                  <c:v>1.7774245570421707E-5</c:v>
                </c:pt>
                <c:pt idx="52">
                  <c:v>3.17749636518752E-5</c:v>
                </c:pt>
                <c:pt idx="53">
                  <c:v>1.0673778060100925E-5</c:v>
                </c:pt>
                <c:pt idx="54">
                  <c:v>5.4191226316621175E-5</c:v>
                </c:pt>
                <c:pt idx="55">
                  <c:v>8.209516229518904E-5</c:v>
                </c:pt>
                <c:pt idx="56">
                  <c:v>8.9520382747740142E-5</c:v>
                </c:pt>
                <c:pt idx="57">
                  <c:v>7.1576385112552329E-5</c:v>
                </c:pt>
                <c:pt idx="58">
                  <c:v>8.7420136474013812E-5</c:v>
                </c:pt>
                <c:pt idx="59">
                  <c:v>1.1562481118366236E-3</c:v>
                </c:pt>
                <c:pt idx="60">
                  <c:v>9.3004983614496377E-5</c:v>
                </c:pt>
                <c:pt idx="61">
                  <c:v>1.6718372087654487E-3</c:v>
                </c:pt>
                <c:pt idx="62">
                  <c:v>2.8947907554897016E-2</c:v>
                </c:pt>
                <c:pt idx="63">
                  <c:v>2.3707270488085054E-2</c:v>
                </c:pt>
                <c:pt idx="64">
                  <c:v>2.2565467332331376E-2</c:v>
                </c:pt>
                <c:pt idx="65">
                  <c:v>2.3098366500328694E-2</c:v>
                </c:pt>
                <c:pt idx="66">
                  <c:v>4.7334971529395132E-3</c:v>
                </c:pt>
                <c:pt idx="67">
                  <c:v>8.9949432685490588E-5</c:v>
                </c:pt>
                <c:pt idx="68">
                  <c:v>0.12116805201570865</c:v>
                </c:pt>
                <c:pt idx="69">
                  <c:v>0.12071069104979616</c:v>
                </c:pt>
                <c:pt idx="70">
                  <c:v>0.11783599155047429</c:v>
                </c:pt>
                <c:pt idx="71">
                  <c:v>0.12205057280807717</c:v>
                </c:pt>
                <c:pt idx="72">
                  <c:v>0.13173827442101668</c:v>
                </c:pt>
                <c:pt idx="73">
                  <c:v>0.11819808574661454</c:v>
                </c:pt>
                <c:pt idx="74">
                  <c:v>0.11272804922233008</c:v>
                </c:pt>
                <c:pt idx="75">
                  <c:v>0.12283266207052819</c:v>
                </c:pt>
                <c:pt idx="76">
                  <c:v>0.12882630141270468</c:v>
                </c:pt>
                <c:pt idx="77">
                  <c:v>0.12522128193540186</c:v>
                </c:pt>
                <c:pt idx="78">
                  <c:v>8.7051299020473566E-2</c:v>
                </c:pt>
                <c:pt idx="79">
                  <c:v>0.13505717646976656</c:v>
                </c:pt>
                <c:pt idx="80">
                  <c:v>0.1628621152378745</c:v>
                </c:pt>
                <c:pt idx="81">
                  <c:v>0.17516857420624671</c:v>
                </c:pt>
                <c:pt idx="82">
                  <c:v>0.15519346367501571</c:v>
                </c:pt>
                <c:pt idx="83">
                  <c:v>0.16021399123374688</c:v>
                </c:pt>
                <c:pt idx="84">
                  <c:v>0.1374146726152625</c:v>
                </c:pt>
                <c:pt idx="85">
                  <c:v>7.522908951805829E-2</c:v>
                </c:pt>
                <c:pt idx="86">
                  <c:v>9.9494713422640366E-2</c:v>
                </c:pt>
                <c:pt idx="87">
                  <c:v>0.103264667000411</c:v>
                </c:pt>
                <c:pt idx="88">
                  <c:v>0.11165249548607631</c:v>
                </c:pt>
                <c:pt idx="89">
                  <c:v>9.9758907708884625E-2</c:v>
                </c:pt>
                <c:pt idx="90">
                  <c:v>0.12120644264568546</c:v>
                </c:pt>
                <c:pt idx="91">
                  <c:v>0.11809450813288075</c:v>
                </c:pt>
                <c:pt idx="92">
                  <c:v>0.11695130835851587</c:v>
                </c:pt>
                <c:pt idx="93">
                  <c:v>0.13845106326692011</c:v>
                </c:pt>
                <c:pt idx="94">
                  <c:v>0.13128233279085266</c:v>
                </c:pt>
                <c:pt idx="95">
                  <c:v>8.7797707557839597E-2</c:v>
                </c:pt>
                <c:pt idx="96">
                  <c:v>6.9374059573998406E-2</c:v>
                </c:pt>
                <c:pt idx="97">
                  <c:v>0.10125104774327447</c:v>
                </c:pt>
                <c:pt idx="98">
                  <c:v>8.0409250102486479E-2</c:v>
                </c:pt>
                <c:pt idx="99">
                  <c:v>6.2707809921050572E-2</c:v>
                </c:pt>
                <c:pt idx="100">
                  <c:v>5.1284038392687484E-2</c:v>
                </c:pt>
                <c:pt idx="101">
                  <c:v>4.6546492662218129E-2</c:v>
                </c:pt>
                <c:pt idx="102">
                  <c:v>1.9184281733087054E-2</c:v>
                </c:pt>
                <c:pt idx="103">
                  <c:v>2.0032276046817579E-2</c:v>
                </c:pt>
                <c:pt idx="104">
                  <c:v>2.1735765294671715E-2</c:v>
                </c:pt>
                <c:pt idx="105">
                  <c:v>1.9531923652814271E-2</c:v>
                </c:pt>
                <c:pt idx="106">
                  <c:v>1.8053749935603488E-2</c:v>
                </c:pt>
                <c:pt idx="107">
                  <c:v>1.9911455229745183E-2</c:v>
                </c:pt>
                <c:pt idx="108">
                  <c:v>3.7621022720767667E-3</c:v>
                </c:pt>
                <c:pt idx="109">
                  <c:v>2.0772430449339008E-2</c:v>
                </c:pt>
                <c:pt idx="110">
                  <c:v>1.9538603080228516E-2</c:v>
                </c:pt>
                <c:pt idx="111">
                  <c:v>2.4512691218043649E-2</c:v>
                </c:pt>
                <c:pt idx="112">
                  <c:v>4.3056774588148349E-2</c:v>
                </c:pt>
                <c:pt idx="113">
                  <c:v>3.2191571191012867E-2</c:v>
                </c:pt>
                <c:pt idx="114">
                  <c:v>6.2693092248931742E-2</c:v>
                </c:pt>
                <c:pt idx="115">
                  <c:v>2.9419082159425094E-2</c:v>
                </c:pt>
                <c:pt idx="116">
                  <c:v>5.2256161175862008E-2</c:v>
                </c:pt>
                <c:pt idx="117">
                  <c:v>5.3602561331035754E-2</c:v>
                </c:pt>
                <c:pt idx="118">
                  <c:v>6.224667382064776E-2</c:v>
                </c:pt>
                <c:pt idx="119">
                  <c:v>6.6565211971670618E-2</c:v>
                </c:pt>
                <c:pt idx="120">
                  <c:v>5.8230304919795507E-2</c:v>
                </c:pt>
                <c:pt idx="121">
                  <c:v>6.1830571687946492E-2</c:v>
                </c:pt>
                <c:pt idx="122">
                  <c:v>8.3821781255949773E-2</c:v>
                </c:pt>
                <c:pt idx="123">
                  <c:v>7.0867931087123998E-2</c:v>
                </c:pt>
                <c:pt idx="124">
                  <c:v>7.1824303258059163E-2</c:v>
                </c:pt>
                <c:pt idx="125">
                  <c:v>0.11377130353882429</c:v>
                </c:pt>
                <c:pt idx="126">
                  <c:v>0.13354701101486649</c:v>
                </c:pt>
                <c:pt idx="127">
                  <c:v>0.13036756680631742</c:v>
                </c:pt>
                <c:pt idx="128">
                  <c:v>0.12431120503577991</c:v>
                </c:pt>
                <c:pt idx="129">
                  <c:v>0.1170622102420065</c:v>
                </c:pt>
                <c:pt idx="130">
                  <c:v>0.14019380208900831</c:v>
                </c:pt>
                <c:pt idx="131">
                  <c:v>0.13755495670500681</c:v>
                </c:pt>
                <c:pt idx="132">
                  <c:v>0.13268406785326087</c:v>
                </c:pt>
                <c:pt idx="133">
                  <c:v>0.10075601065053694</c:v>
                </c:pt>
                <c:pt idx="134">
                  <c:v>9.1853366734695449E-2</c:v>
                </c:pt>
                <c:pt idx="135">
                  <c:v>9.1192212348506704E-2</c:v>
                </c:pt>
                <c:pt idx="136">
                  <c:v>8.5612337843863295E-2</c:v>
                </c:pt>
                <c:pt idx="137">
                  <c:v>0.11726867927359201</c:v>
                </c:pt>
                <c:pt idx="138">
                  <c:v>0.12390586575216243</c:v>
                </c:pt>
                <c:pt idx="139">
                  <c:v>0.15116781011075681</c:v>
                </c:pt>
                <c:pt idx="140">
                  <c:v>0.15416084401668634</c:v>
                </c:pt>
                <c:pt idx="141">
                  <c:v>0.1469915756219333</c:v>
                </c:pt>
                <c:pt idx="142">
                  <c:v>0.15906835933898023</c:v>
                </c:pt>
                <c:pt idx="143">
                  <c:v>0.16596621596202885</c:v>
                </c:pt>
                <c:pt idx="144">
                  <c:v>0.14828614013112809</c:v>
                </c:pt>
                <c:pt idx="145">
                  <c:v>0.1585582835568119</c:v>
                </c:pt>
                <c:pt idx="146">
                  <c:v>0.15016463307923161</c:v>
                </c:pt>
                <c:pt idx="147">
                  <c:v>0.13716022033938327</c:v>
                </c:pt>
                <c:pt idx="148">
                  <c:v>0.13336874853077071</c:v>
                </c:pt>
                <c:pt idx="149">
                  <c:v>0.14390829263925711</c:v>
                </c:pt>
                <c:pt idx="150">
                  <c:v>0.18941655237989755</c:v>
                </c:pt>
                <c:pt idx="151">
                  <c:v>0.170727172998968</c:v>
                </c:pt>
                <c:pt idx="152">
                  <c:v>0.17428143017685149</c:v>
                </c:pt>
                <c:pt idx="153">
                  <c:v>0.17794141827385654</c:v>
                </c:pt>
                <c:pt idx="154">
                  <c:v>0.17317905247430876</c:v>
                </c:pt>
                <c:pt idx="155">
                  <c:v>0.19049537195817284</c:v>
                </c:pt>
                <c:pt idx="156">
                  <c:v>0.21699736500111019</c:v>
                </c:pt>
                <c:pt idx="157">
                  <c:v>0.22758340595802548</c:v>
                </c:pt>
                <c:pt idx="158">
                  <c:v>0.24518986867153209</c:v>
                </c:pt>
                <c:pt idx="159">
                  <c:v>0.24798039381521181</c:v>
                </c:pt>
                <c:pt idx="160">
                  <c:v>0.27647463301512359</c:v>
                </c:pt>
                <c:pt idx="161">
                  <c:v>0.30117515454850607</c:v>
                </c:pt>
                <c:pt idx="162">
                  <c:v>0.30448724672990707</c:v>
                </c:pt>
                <c:pt idx="163">
                  <c:v>0.30080422847560268</c:v>
                </c:pt>
                <c:pt idx="164">
                  <c:v>0.31706554909832663</c:v>
                </c:pt>
                <c:pt idx="165">
                  <c:v>0.31858308888347214</c:v>
                </c:pt>
                <c:pt idx="166">
                  <c:v>0.30739717860760718</c:v>
                </c:pt>
                <c:pt idx="167">
                  <c:v>0.28826572344726381</c:v>
                </c:pt>
                <c:pt idx="168">
                  <c:v>0.27989366887589995</c:v>
                </c:pt>
                <c:pt idx="169">
                  <c:v>0.28346216618405534</c:v>
                </c:pt>
                <c:pt idx="170">
                  <c:v>0.29139229923755877</c:v>
                </c:pt>
                <c:pt idx="171">
                  <c:v>0.2708035627673146</c:v>
                </c:pt>
                <c:pt idx="172">
                  <c:v>0.26507392628332166</c:v>
                </c:pt>
                <c:pt idx="173">
                  <c:v>0.26820252134403683</c:v>
                </c:pt>
                <c:pt idx="174">
                  <c:v>0.2727311122499344</c:v>
                </c:pt>
                <c:pt idx="175">
                  <c:v>0.27812653553717009</c:v>
                </c:pt>
                <c:pt idx="176">
                  <c:v>0.27741711508737366</c:v>
                </c:pt>
                <c:pt idx="177">
                  <c:v>0.2718112262095117</c:v>
                </c:pt>
                <c:pt idx="178">
                  <c:v>0.25789531076871941</c:v>
                </c:pt>
                <c:pt idx="179">
                  <c:v>0.21221129862568275</c:v>
                </c:pt>
                <c:pt idx="180">
                  <c:v>0.21172970957038589</c:v>
                </c:pt>
                <c:pt idx="181">
                  <c:v>0.20891073101417063</c:v>
                </c:pt>
                <c:pt idx="182">
                  <c:v>0.2065685460343811</c:v>
                </c:pt>
                <c:pt idx="183">
                  <c:v>0.212012429511584</c:v>
                </c:pt>
                <c:pt idx="184">
                  <c:v>0.19188340311666341</c:v>
                </c:pt>
                <c:pt idx="185">
                  <c:v>0.19375852614107841</c:v>
                </c:pt>
                <c:pt idx="186">
                  <c:v>0.18480316258158117</c:v>
                </c:pt>
                <c:pt idx="187">
                  <c:v>0.17017704822659069</c:v>
                </c:pt>
                <c:pt idx="188">
                  <c:v>0.17019352063553544</c:v>
                </c:pt>
                <c:pt idx="189">
                  <c:v>0.15688217230669757</c:v>
                </c:pt>
                <c:pt idx="190">
                  <c:v>0.1447728816800638</c:v>
                </c:pt>
                <c:pt idx="191">
                  <c:v>0.14034720568594738</c:v>
                </c:pt>
                <c:pt idx="192">
                  <c:v>0.14628431676049569</c:v>
                </c:pt>
                <c:pt idx="193">
                  <c:v>0.17596780620504077</c:v>
                </c:pt>
                <c:pt idx="194">
                  <c:v>0.1769032192345508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D4-4F82-AFC6-25F18ED6EA2C}"/>
            </c:ext>
          </c:extLst>
        </c:ser>
        <c:ser>
          <c:idx val="6"/>
          <c:order val="6"/>
          <c:tx>
            <c:strRef>
              <c:f>震荡市组合!$H$1</c:f>
              <c:strCache>
                <c:ptCount val="1"/>
                <c:pt idx="0">
                  <c:v>全指医药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震荡市组合!$H$2:$H$196</c:f>
              <c:numCache>
                <c:formatCode>0.00%</c:formatCode>
                <c:ptCount val="195"/>
                <c:pt idx="0">
                  <c:v>5.0553157747692243E-2</c:v>
                </c:pt>
                <c:pt idx="1">
                  <c:v>3.048878890229809E-2</c:v>
                </c:pt>
                <c:pt idx="2">
                  <c:v>3.5046885026520362E-2</c:v>
                </c:pt>
                <c:pt idx="3">
                  <c:v>4.2854063118554372E-2</c:v>
                </c:pt>
                <c:pt idx="4">
                  <c:v>3.6223080165938219E-2</c:v>
                </c:pt>
                <c:pt idx="5">
                  <c:v>5.0363969850380261E-2</c:v>
                </c:pt>
                <c:pt idx="6">
                  <c:v>5.3757455082529278E-2</c:v>
                </c:pt>
                <c:pt idx="7">
                  <c:v>4.5964241988239979E-2</c:v>
                </c:pt>
                <c:pt idx="8">
                  <c:v>4.0490286021102356E-2</c:v>
                </c:pt>
                <c:pt idx="9">
                  <c:v>6.4221004199164336E-2</c:v>
                </c:pt>
                <c:pt idx="10">
                  <c:v>4.768835663570388E-2</c:v>
                </c:pt>
                <c:pt idx="11">
                  <c:v>6.2026466355479919E-2</c:v>
                </c:pt>
                <c:pt idx="12">
                  <c:v>0.12904818422430864</c:v>
                </c:pt>
                <c:pt idx="13">
                  <c:v>0.14481779989499532</c:v>
                </c:pt>
                <c:pt idx="14">
                  <c:v>0.15254563233764029</c:v>
                </c:pt>
                <c:pt idx="15">
                  <c:v>0.16217434353799456</c:v>
                </c:pt>
                <c:pt idx="16">
                  <c:v>0.14164454422497291</c:v>
                </c:pt>
                <c:pt idx="17">
                  <c:v>0.16838634407966052</c:v>
                </c:pt>
                <c:pt idx="18">
                  <c:v>0.17083203636122468</c:v>
                </c:pt>
                <c:pt idx="19">
                  <c:v>0.16304668918488996</c:v>
                </c:pt>
                <c:pt idx="20">
                  <c:v>0.16146756627095279</c:v>
                </c:pt>
                <c:pt idx="21">
                  <c:v>0.17380105887162503</c:v>
                </c:pt>
                <c:pt idx="22">
                  <c:v>0.17059495395220575</c:v>
                </c:pt>
                <c:pt idx="23">
                  <c:v>0.18253061270267892</c:v>
                </c:pt>
                <c:pt idx="24">
                  <c:v>0.16992578825874058</c:v>
                </c:pt>
                <c:pt idx="25">
                  <c:v>0.21672811879685017</c:v>
                </c:pt>
                <c:pt idx="26">
                  <c:v>0.24312676309512229</c:v>
                </c:pt>
                <c:pt idx="27">
                  <c:v>0.21734484417074912</c:v>
                </c:pt>
                <c:pt idx="28">
                  <c:v>0.24202499886856418</c:v>
                </c:pt>
                <c:pt idx="29">
                  <c:v>0.24225203935261078</c:v>
                </c:pt>
                <c:pt idx="30">
                  <c:v>0.26483728099581144</c:v>
                </c:pt>
                <c:pt idx="31">
                  <c:v>0.28066666384629624</c:v>
                </c:pt>
                <c:pt idx="32">
                  <c:v>0.33605143868156223</c:v>
                </c:pt>
                <c:pt idx="33">
                  <c:v>0.3395039746522896</c:v>
                </c:pt>
                <c:pt idx="34">
                  <c:v>0.33813230732226135</c:v>
                </c:pt>
                <c:pt idx="35">
                  <c:v>0.33009656395475545</c:v>
                </c:pt>
                <c:pt idx="36">
                  <c:v>0.33631476803141502</c:v>
                </c:pt>
                <c:pt idx="37">
                  <c:v>0.36170060510405999</c:v>
                </c:pt>
                <c:pt idx="38">
                  <c:v>0.29693291187216625</c:v>
                </c:pt>
                <c:pt idx="39">
                  <c:v>0.28439516654170177</c:v>
                </c:pt>
                <c:pt idx="40">
                  <c:v>0.32818712554448226</c:v>
                </c:pt>
                <c:pt idx="41">
                  <c:v>0.29522704478193357</c:v>
                </c:pt>
                <c:pt idx="42">
                  <c:v>0.30532530531451652</c:v>
                </c:pt>
                <c:pt idx="43">
                  <c:v>0.31295699132080412</c:v>
                </c:pt>
                <c:pt idx="44">
                  <c:v>0.3326819827379674</c:v>
                </c:pt>
                <c:pt idx="45">
                  <c:v>0.33773592130671631</c:v>
                </c:pt>
                <c:pt idx="46">
                  <c:v>0.35981233764278814</c:v>
                </c:pt>
                <c:pt idx="47">
                  <c:v>0.35099125893947791</c:v>
                </c:pt>
                <c:pt idx="48">
                  <c:v>0.33168099888246361</c:v>
                </c:pt>
                <c:pt idx="49">
                  <c:v>0.32325254417630261</c:v>
                </c:pt>
                <c:pt idx="50">
                  <c:v>0.37772160157647389</c:v>
                </c:pt>
                <c:pt idx="51">
                  <c:v>0.38698255588425357</c:v>
                </c:pt>
                <c:pt idx="52">
                  <c:v>0.36330940618653734</c:v>
                </c:pt>
                <c:pt idx="53">
                  <c:v>0.37451327859305406</c:v>
                </c:pt>
                <c:pt idx="54">
                  <c:v>0.28879975984629691</c:v>
                </c:pt>
                <c:pt idx="55">
                  <c:v>0.26195796015638578</c:v>
                </c:pt>
                <c:pt idx="56">
                  <c:v>0.24963653982419609</c:v>
                </c:pt>
                <c:pt idx="57">
                  <c:v>0.23479397600107757</c:v>
                </c:pt>
                <c:pt idx="58">
                  <c:v>0.22854621609602968</c:v>
                </c:pt>
                <c:pt idx="59">
                  <c:v>0.22446178292314781</c:v>
                </c:pt>
                <c:pt idx="60">
                  <c:v>0.2194873083772774</c:v>
                </c:pt>
                <c:pt idx="61">
                  <c:v>0.22320448916672159</c:v>
                </c:pt>
                <c:pt idx="62">
                  <c:v>0.2165583990000185</c:v>
                </c:pt>
                <c:pt idx="63">
                  <c:v>0.21297080431391568</c:v>
                </c:pt>
                <c:pt idx="64">
                  <c:v>0.21714356716469951</c:v>
                </c:pt>
                <c:pt idx="65">
                  <c:v>0.22640297920036415</c:v>
                </c:pt>
                <c:pt idx="66">
                  <c:v>0.22408179437857767</c:v>
                </c:pt>
                <c:pt idx="67">
                  <c:v>0.22629415055859131</c:v>
                </c:pt>
                <c:pt idx="68">
                  <c:v>0.11914242263707518</c:v>
                </c:pt>
                <c:pt idx="69">
                  <c:v>0.13818447550323107</c:v>
                </c:pt>
                <c:pt idx="70">
                  <c:v>0.13710395174809176</c:v>
                </c:pt>
                <c:pt idx="71">
                  <c:v>0.13120676445177046</c:v>
                </c:pt>
                <c:pt idx="72">
                  <c:v>0.12244905674533073</c:v>
                </c:pt>
                <c:pt idx="73">
                  <c:v>0.12941233999442092</c:v>
                </c:pt>
                <c:pt idx="74">
                  <c:v>0.13983031384005318</c:v>
                </c:pt>
                <c:pt idx="75">
                  <c:v>0.14165055161020204</c:v>
                </c:pt>
                <c:pt idx="76">
                  <c:v>0.14309830053581368</c:v>
                </c:pt>
                <c:pt idx="77">
                  <c:v>0.14624188432002902</c:v>
                </c:pt>
                <c:pt idx="78">
                  <c:v>0.17446180353004817</c:v>
                </c:pt>
                <c:pt idx="79">
                  <c:v>0.17655852045718548</c:v>
                </c:pt>
                <c:pt idx="80">
                  <c:v>0.14041088857316453</c:v>
                </c:pt>
                <c:pt idx="81">
                  <c:v>0.19212647167322844</c:v>
                </c:pt>
                <c:pt idx="82">
                  <c:v>0.17979936552202563</c:v>
                </c:pt>
                <c:pt idx="83">
                  <c:v>0.16478829912325055</c:v>
                </c:pt>
                <c:pt idx="84">
                  <c:v>0.13949328061047223</c:v>
                </c:pt>
                <c:pt idx="85">
                  <c:v>0.15135942597971341</c:v>
                </c:pt>
                <c:pt idx="86">
                  <c:v>0.14252868909293684</c:v>
                </c:pt>
                <c:pt idx="87">
                  <c:v>0.14969130418782173</c:v>
                </c:pt>
                <c:pt idx="88">
                  <c:v>0.14342424732355805</c:v>
                </c:pt>
                <c:pt idx="89">
                  <c:v>0.13634503625953734</c:v>
                </c:pt>
                <c:pt idx="90">
                  <c:v>0.16357796971412619</c:v>
                </c:pt>
                <c:pt idx="91">
                  <c:v>0.16941045551633008</c:v>
                </c:pt>
                <c:pt idx="92">
                  <c:v>0.17324431556237294</c:v>
                </c:pt>
                <c:pt idx="93">
                  <c:v>0.14348702606458083</c:v>
                </c:pt>
                <c:pt idx="94">
                  <c:v>0.15211505037976492</c:v>
                </c:pt>
                <c:pt idx="95">
                  <c:v>0.22764589194350868</c:v>
                </c:pt>
                <c:pt idx="96">
                  <c:v>0.27533698534742157</c:v>
                </c:pt>
                <c:pt idx="97">
                  <c:v>0.25357617230938723</c:v>
                </c:pt>
                <c:pt idx="98">
                  <c:v>0.29120096009856394</c:v>
                </c:pt>
                <c:pt idx="99">
                  <c:v>0.30913346764012195</c:v>
                </c:pt>
                <c:pt idx="100">
                  <c:v>0.33593097288398943</c:v>
                </c:pt>
                <c:pt idx="101">
                  <c:v>0.34788067560665104</c:v>
                </c:pt>
                <c:pt idx="102">
                  <c:v>0.34019384646061296</c:v>
                </c:pt>
                <c:pt idx="103">
                  <c:v>0.35588315332265941</c:v>
                </c:pt>
                <c:pt idx="104">
                  <c:v>0.35616754729761674</c:v>
                </c:pt>
                <c:pt idx="105">
                  <c:v>0.31109212682023812</c:v>
                </c:pt>
                <c:pt idx="106">
                  <c:v>0.31173183731000709</c:v>
                </c:pt>
                <c:pt idx="107">
                  <c:v>0.31023194643743007</c:v>
                </c:pt>
                <c:pt idx="108">
                  <c:v>0.30966202642913937</c:v>
                </c:pt>
                <c:pt idx="109">
                  <c:v>0.27823847496917953</c:v>
                </c:pt>
                <c:pt idx="110">
                  <c:v>0.2796681774067199</c:v>
                </c:pt>
                <c:pt idx="111">
                  <c:v>0.2574093719285403</c:v>
                </c:pt>
                <c:pt idx="112">
                  <c:v>0.22896903386785536</c:v>
                </c:pt>
                <c:pt idx="113">
                  <c:v>0.24259560286785845</c:v>
                </c:pt>
                <c:pt idx="114">
                  <c:v>0.19663307269458175</c:v>
                </c:pt>
                <c:pt idx="115">
                  <c:v>0.24452367381586015</c:v>
                </c:pt>
                <c:pt idx="116">
                  <c:v>0.23352686648226401</c:v>
                </c:pt>
                <c:pt idx="117">
                  <c:v>0.23356967399188622</c:v>
                </c:pt>
                <c:pt idx="118">
                  <c:v>0.22151768515412962</c:v>
                </c:pt>
                <c:pt idx="119">
                  <c:v>0.20678781505555802</c:v>
                </c:pt>
                <c:pt idx="120">
                  <c:v>0.20581178582713086</c:v>
                </c:pt>
                <c:pt idx="121">
                  <c:v>0.20237556564513492</c:v>
                </c:pt>
                <c:pt idx="122">
                  <c:v>0.19286219716398734</c:v>
                </c:pt>
                <c:pt idx="123">
                  <c:v>0.19813857579454228</c:v>
                </c:pt>
                <c:pt idx="124">
                  <c:v>0.20579911815249041</c:v>
                </c:pt>
                <c:pt idx="125">
                  <c:v>0.18206573995878247</c:v>
                </c:pt>
                <c:pt idx="126">
                  <c:v>0.18867925579375527</c:v>
                </c:pt>
                <c:pt idx="127">
                  <c:v>0.18659270090217631</c:v>
                </c:pt>
                <c:pt idx="128">
                  <c:v>0.17531892175736294</c:v>
                </c:pt>
                <c:pt idx="129">
                  <c:v>0.17983146055177229</c:v>
                </c:pt>
                <c:pt idx="130">
                  <c:v>0.19796009093696651</c:v>
                </c:pt>
                <c:pt idx="131">
                  <c:v>0.19972151351603928</c:v>
                </c:pt>
                <c:pt idx="132">
                  <c:v>0.20510334504979003</c:v>
                </c:pt>
                <c:pt idx="133">
                  <c:v>0.3046923308805688</c:v>
                </c:pt>
                <c:pt idx="134">
                  <c:v>0.30779806132172716</c:v>
                </c:pt>
                <c:pt idx="135">
                  <c:v>0.3049901444030389</c:v>
                </c:pt>
                <c:pt idx="136">
                  <c:v>0.30848327800754805</c:v>
                </c:pt>
                <c:pt idx="137">
                  <c:v>0.29235112697971066</c:v>
                </c:pt>
                <c:pt idx="138">
                  <c:v>0.2867134977086484</c:v>
                </c:pt>
                <c:pt idx="139">
                  <c:v>0.25757538491368831</c:v>
                </c:pt>
                <c:pt idx="140">
                  <c:v>0.24652792801273768</c:v>
                </c:pt>
                <c:pt idx="141">
                  <c:v>0.20801149196713989</c:v>
                </c:pt>
                <c:pt idx="142">
                  <c:v>0.20397741842070666</c:v>
                </c:pt>
                <c:pt idx="143">
                  <c:v>0.19792538932291945</c:v>
                </c:pt>
                <c:pt idx="144">
                  <c:v>0.22117568851601177</c:v>
                </c:pt>
                <c:pt idx="145">
                  <c:v>0.2003736403602259</c:v>
                </c:pt>
                <c:pt idx="146">
                  <c:v>0.19482203346579244</c:v>
                </c:pt>
                <c:pt idx="147">
                  <c:v>0.2252078659987331</c:v>
                </c:pt>
                <c:pt idx="148">
                  <c:v>0.22361091040891051</c:v>
                </c:pt>
                <c:pt idx="149">
                  <c:v>0.21767998908877512</c:v>
                </c:pt>
                <c:pt idx="150">
                  <c:v>0.14898912105858725</c:v>
                </c:pt>
                <c:pt idx="151">
                  <c:v>0.17002882886529411</c:v>
                </c:pt>
                <c:pt idx="152">
                  <c:v>0.17452125427586004</c:v>
                </c:pt>
                <c:pt idx="153">
                  <c:v>0.1746427740410926</c:v>
                </c:pt>
                <c:pt idx="154">
                  <c:v>0.16218231295532023</c:v>
                </c:pt>
                <c:pt idx="155">
                  <c:v>0.16872533213041294</c:v>
                </c:pt>
                <c:pt idx="156">
                  <c:v>0.15799801564336924</c:v>
                </c:pt>
                <c:pt idx="157">
                  <c:v>0.14179986836170699</c:v>
                </c:pt>
                <c:pt idx="158">
                  <c:v>0.10711921067406682</c:v>
                </c:pt>
                <c:pt idx="159">
                  <c:v>0.1185437503616365</c:v>
                </c:pt>
                <c:pt idx="160">
                  <c:v>0.11174716883148748</c:v>
                </c:pt>
                <c:pt idx="161">
                  <c:v>8.2829602156266224E-2</c:v>
                </c:pt>
                <c:pt idx="162">
                  <c:v>8.2101454553561118E-2</c:v>
                </c:pt>
                <c:pt idx="163">
                  <c:v>9.5847506016194711E-2</c:v>
                </c:pt>
                <c:pt idx="164">
                  <c:v>9.2507303175423591E-2</c:v>
                </c:pt>
                <c:pt idx="165">
                  <c:v>8.9146289771334972E-2</c:v>
                </c:pt>
                <c:pt idx="166">
                  <c:v>8.0926001852924437E-2</c:v>
                </c:pt>
                <c:pt idx="167">
                  <c:v>8.9575364809247909E-2</c:v>
                </c:pt>
                <c:pt idx="168">
                  <c:v>0.10649663449950555</c:v>
                </c:pt>
                <c:pt idx="169">
                  <c:v>0.10227162787817397</c:v>
                </c:pt>
                <c:pt idx="170">
                  <c:v>1.8209110674972873E-2</c:v>
                </c:pt>
                <c:pt idx="171">
                  <c:v>0.12614907076913867</c:v>
                </c:pt>
                <c:pt idx="172">
                  <c:v>0.1477919745552862</c:v>
                </c:pt>
                <c:pt idx="173">
                  <c:v>0.14831443926836094</c:v>
                </c:pt>
                <c:pt idx="174">
                  <c:v>0.16754779688999785</c:v>
                </c:pt>
                <c:pt idx="175">
                  <c:v>0.14188594535193538</c:v>
                </c:pt>
                <c:pt idx="176">
                  <c:v>0.14023889587224106</c:v>
                </c:pt>
                <c:pt idx="177">
                  <c:v>0.10655461878572293</c:v>
                </c:pt>
                <c:pt idx="178">
                  <c:v>0.14643698970595442</c:v>
                </c:pt>
                <c:pt idx="179">
                  <c:v>0.1594125153605245</c:v>
                </c:pt>
                <c:pt idx="180">
                  <c:v>0.16355164428665575</c:v>
                </c:pt>
                <c:pt idx="181">
                  <c:v>0.17473782755537515</c:v>
                </c:pt>
                <c:pt idx="182">
                  <c:v>0.18229572993646553</c:v>
                </c:pt>
                <c:pt idx="183">
                  <c:v>0.18273940986505283</c:v>
                </c:pt>
                <c:pt idx="184">
                  <c:v>0.17970076095601062</c:v>
                </c:pt>
                <c:pt idx="185">
                  <c:v>0.1640436846188848</c:v>
                </c:pt>
                <c:pt idx="186">
                  <c:v>0.1851254797551036</c:v>
                </c:pt>
                <c:pt idx="187">
                  <c:v>0.20832793634757049</c:v>
                </c:pt>
                <c:pt idx="188">
                  <c:v>0.20750421011632686</c:v>
                </c:pt>
                <c:pt idx="189">
                  <c:v>0.20039009202238076</c:v>
                </c:pt>
                <c:pt idx="190">
                  <c:v>0.2375787872112082</c:v>
                </c:pt>
                <c:pt idx="191">
                  <c:v>0.22791536827332481</c:v>
                </c:pt>
                <c:pt idx="192">
                  <c:v>0.21394090816148284</c:v>
                </c:pt>
                <c:pt idx="193">
                  <c:v>0.23853941245556445</c:v>
                </c:pt>
                <c:pt idx="194">
                  <c:v>0.22784889718632936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D4-4F82-AFC6-25F18ED6EA2C}"/>
            </c:ext>
          </c:extLst>
        </c:ser>
        <c:ser>
          <c:idx val="7"/>
          <c:order val="7"/>
          <c:tx>
            <c:strRef>
              <c:f>震荡市组合!$I$1</c:f>
              <c:strCache>
                <c:ptCount val="1"/>
                <c:pt idx="0">
                  <c:v>全指能源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震荡市组合!$I$2:$I$196</c:f>
              <c:numCache>
                <c:formatCode>0.00%</c:formatCode>
                <c:ptCount val="195"/>
                <c:pt idx="0">
                  <c:v>9.47397403248638E-6</c:v>
                </c:pt>
                <c:pt idx="1">
                  <c:v>8.9230104865495771E-6</c:v>
                </c:pt>
                <c:pt idx="2">
                  <c:v>1.334869084218702E-5</c:v>
                </c:pt>
                <c:pt idx="3">
                  <c:v>1.1436226956851235E-5</c:v>
                </c:pt>
                <c:pt idx="4">
                  <c:v>6.456994284206124E-6</c:v>
                </c:pt>
                <c:pt idx="5">
                  <c:v>4.7361061461932907E-6</c:v>
                </c:pt>
                <c:pt idx="6">
                  <c:v>3.4617080459976232E-6</c:v>
                </c:pt>
                <c:pt idx="7">
                  <c:v>3.2921014264990253E-6</c:v>
                </c:pt>
                <c:pt idx="8">
                  <c:v>1.5161296035855129E-5</c:v>
                </c:pt>
                <c:pt idx="9">
                  <c:v>1.7098691310404167E-3</c:v>
                </c:pt>
                <c:pt idx="10">
                  <c:v>3.7600918196382775E-2</c:v>
                </c:pt>
                <c:pt idx="11">
                  <c:v>2.277455439675068E-2</c:v>
                </c:pt>
                <c:pt idx="12">
                  <c:v>5.1770434434431531E-6</c:v>
                </c:pt>
                <c:pt idx="13">
                  <c:v>3.3107015403047131E-7</c:v>
                </c:pt>
                <c:pt idx="14">
                  <c:v>2.9706717072043647E-6</c:v>
                </c:pt>
                <c:pt idx="15">
                  <c:v>5.9497318037575666E-7</c:v>
                </c:pt>
                <c:pt idx="16">
                  <c:v>4.794928705103531E-6</c:v>
                </c:pt>
                <c:pt idx="17">
                  <c:v>1.5722856864771126E-5</c:v>
                </c:pt>
                <c:pt idx="18">
                  <c:v>3.1117770792621882E-5</c:v>
                </c:pt>
                <c:pt idx="19">
                  <c:v>2.0127927034269321E-5</c:v>
                </c:pt>
                <c:pt idx="20">
                  <c:v>4.6281920538714841E-5</c:v>
                </c:pt>
                <c:pt idx="21">
                  <c:v>3.1929232803455806E-5</c:v>
                </c:pt>
                <c:pt idx="22">
                  <c:v>1.7299015129371959E-5</c:v>
                </c:pt>
                <c:pt idx="23">
                  <c:v>9.6742433424307895E-6</c:v>
                </c:pt>
                <c:pt idx="24">
                  <c:v>4.7938959840961829E-6</c:v>
                </c:pt>
                <c:pt idx="25">
                  <c:v>5.6777152579792127E-7</c:v>
                </c:pt>
                <c:pt idx="26">
                  <c:v>4.2702778221274914E-7</c:v>
                </c:pt>
                <c:pt idx="27">
                  <c:v>8.8550435059372772E-6</c:v>
                </c:pt>
                <c:pt idx="28">
                  <c:v>1.4666103698259034E-6</c:v>
                </c:pt>
                <c:pt idx="29">
                  <c:v>8.7184501730602389E-7</c:v>
                </c:pt>
                <c:pt idx="30">
                  <c:v>1.0803970422100746E-7</c:v>
                </c:pt>
                <c:pt idx="31">
                  <c:v>2.7154189678212321E-6</c:v>
                </c:pt>
                <c:pt idx="32">
                  <c:v>6.2818351833396068E-6</c:v>
                </c:pt>
                <c:pt idx="33">
                  <c:v>4.7849511024811797E-6</c:v>
                </c:pt>
                <c:pt idx="34">
                  <c:v>4.1281681886484977E-6</c:v>
                </c:pt>
                <c:pt idx="35">
                  <c:v>4.4349299747261014E-6</c:v>
                </c:pt>
                <c:pt idx="36">
                  <c:v>5.4901557909217136E-6</c:v>
                </c:pt>
                <c:pt idx="37">
                  <c:v>2.3802989605725404E-6</c:v>
                </c:pt>
                <c:pt idx="38">
                  <c:v>4.4767618603325919E-6</c:v>
                </c:pt>
                <c:pt idx="39">
                  <c:v>5.6127278069722658E-6</c:v>
                </c:pt>
                <c:pt idx="40">
                  <c:v>8.4232203861695482E-6</c:v>
                </c:pt>
                <c:pt idx="41">
                  <c:v>1.0557873418461797E-5</c:v>
                </c:pt>
                <c:pt idx="42">
                  <c:v>3.5023164889811716E-6</c:v>
                </c:pt>
                <c:pt idx="43">
                  <c:v>1.4219135780764074E-5</c:v>
                </c:pt>
                <c:pt idx="44">
                  <c:v>1.240654457789706E-5</c:v>
                </c:pt>
                <c:pt idx="45">
                  <c:v>1.5464279468724383E-5</c:v>
                </c:pt>
                <c:pt idx="46">
                  <c:v>3.8974330593917594E-6</c:v>
                </c:pt>
                <c:pt idx="47">
                  <c:v>3.7422860141430673E-6</c:v>
                </c:pt>
                <c:pt idx="48">
                  <c:v>4.011002775958781E-6</c:v>
                </c:pt>
                <c:pt idx="49">
                  <c:v>5.4519707209938129E-6</c:v>
                </c:pt>
                <c:pt idx="50">
                  <c:v>6.0414036874279522E-6</c:v>
                </c:pt>
                <c:pt idx="51">
                  <c:v>4.0900842079710818E-6</c:v>
                </c:pt>
                <c:pt idx="52">
                  <c:v>6.8651432385932331E-6</c:v>
                </c:pt>
                <c:pt idx="53">
                  <c:v>2.7004081188413989E-6</c:v>
                </c:pt>
                <c:pt idx="54">
                  <c:v>8.9883091361354957E-6</c:v>
                </c:pt>
                <c:pt idx="55">
                  <c:v>7.3209546390550361E-6</c:v>
                </c:pt>
                <c:pt idx="56">
                  <c:v>3.5960730242987694E-6</c:v>
                </c:pt>
                <c:pt idx="57">
                  <c:v>5.3345433999523961E-6</c:v>
                </c:pt>
                <c:pt idx="58">
                  <c:v>3.3705841593376661E-6</c:v>
                </c:pt>
                <c:pt idx="59">
                  <c:v>2.4810749654487135E-7</c:v>
                </c:pt>
                <c:pt idx="60">
                  <c:v>2.2211650147134821E-7</c:v>
                </c:pt>
                <c:pt idx="61">
                  <c:v>3.8494859622005969E-7</c:v>
                </c:pt>
                <c:pt idx="62">
                  <c:v>3.9280721096061301E-6</c:v>
                </c:pt>
                <c:pt idx="63">
                  <c:v>2.0422678151444324E-6</c:v>
                </c:pt>
                <c:pt idx="64">
                  <c:v>1.5121660818018643E-6</c:v>
                </c:pt>
                <c:pt idx="65">
                  <c:v>2.4818519994307115E-6</c:v>
                </c:pt>
                <c:pt idx="66">
                  <c:v>8.5961190416286504E-7</c:v>
                </c:pt>
                <c:pt idx="67">
                  <c:v>1.1705274250368367E-6</c:v>
                </c:pt>
                <c:pt idx="68">
                  <c:v>5.4321409056510792E-6</c:v>
                </c:pt>
                <c:pt idx="69">
                  <c:v>4.451005113870442E-6</c:v>
                </c:pt>
                <c:pt idx="70">
                  <c:v>5.8866847553318834E-6</c:v>
                </c:pt>
                <c:pt idx="71">
                  <c:v>5.798618377215065E-6</c:v>
                </c:pt>
                <c:pt idx="72">
                  <c:v>6.3733392922225107E-6</c:v>
                </c:pt>
                <c:pt idx="73">
                  <c:v>5.853922951113648E-6</c:v>
                </c:pt>
                <c:pt idx="74">
                  <c:v>5.9836196380819175E-6</c:v>
                </c:pt>
                <c:pt idx="75">
                  <c:v>5.6822128696642733E-6</c:v>
                </c:pt>
                <c:pt idx="76">
                  <c:v>5.7744700751215479E-6</c:v>
                </c:pt>
                <c:pt idx="77">
                  <c:v>5.7965189035559712E-6</c:v>
                </c:pt>
                <c:pt idx="78">
                  <c:v>8.268674582528505E-6</c:v>
                </c:pt>
                <c:pt idx="79">
                  <c:v>6.9628004835903648E-6</c:v>
                </c:pt>
                <c:pt idx="80">
                  <c:v>6.8822333025526668E-6</c:v>
                </c:pt>
                <c:pt idx="81">
                  <c:v>1.2626347562280406E-6</c:v>
                </c:pt>
                <c:pt idx="82">
                  <c:v>4.987444800645959E-6</c:v>
                </c:pt>
                <c:pt idx="83">
                  <c:v>2.0869375946068708E-6</c:v>
                </c:pt>
                <c:pt idx="84">
                  <c:v>3.4257830055905918E-7</c:v>
                </c:pt>
                <c:pt idx="85">
                  <c:v>5.940376110123521E-6</c:v>
                </c:pt>
                <c:pt idx="86">
                  <c:v>1.5086109879820445E-5</c:v>
                </c:pt>
                <c:pt idx="87">
                  <c:v>6.3226405252008169E-6</c:v>
                </c:pt>
                <c:pt idx="88">
                  <c:v>5.228655443258106E-6</c:v>
                </c:pt>
                <c:pt idx="89">
                  <c:v>2.435363046666529E-6</c:v>
                </c:pt>
                <c:pt idx="90">
                  <c:v>4.1781807914087658E-6</c:v>
                </c:pt>
                <c:pt idx="91">
                  <c:v>1.8636370103517485E-6</c:v>
                </c:pt>
                <c:pt idx="92">
                  <c:v>1.0416839009340203E-5</c:v>
                </c:pt>
                <c:pt idx="93">
                  <c:v>2.5601737887087503E-5</c:v>
                </c:pt>
                <c:pt idx="94">
                  <c:v>2.5413444746092559E-5</c:v>
                </c:pt>
                <c:pt idx="95">
                  <c:v>3.5901608836022431E-5</c:v>
                </c:pt>
                <c:pt idx="96">
                  <c:v>3.6710406950778711E-5</c:v>
                </c:pt>
                <c:pt idx="97">
                  <c:v>5.342983152727311E-5</c:v>
                </c:pt>
                <c:pt idx="98">
                  <c:v>4.6375532794111085E-5</c:v>
                </c:pt>
                <c:pt idx="99">
                  <c:v>1.2948915230717874E-2</c:v>
                </c:pt>
                <c:pt idx="100">
                  <c:v>1.1560018575091272E-2</c:v>
                </c:pt>
                <c:pt idx="101">
                  <c:v>9.632678796907948E-3</c:v>
                </c:pt>
                <c:pt idx="102">
                  <c:v>5.3949954572437488E-5</c:v>
                </c:pt>
                <c:pt idx="103">
                  <c:v>4.4103232844372629E-5</c:v>
                </c:pt>
                <c:pt idx="104">
                  <c:v>3.142832040362877E-5</c:v>
                </c:pt>
                <c:pt idx="105">
                  <c:v>2.8265832475073187E-2</c:v>
                </c:pt>
                <c:pt idx="106">
                  <c:v>2.4648939658742462E-2</c:v>
                </c:pt>
                <c:pt idx="107">
                  <c:v>2.2635671011877738E-2</c:v>
                </c:pt>
                <c:pt idx="108">
                  <c:v>2.6645092764331001E-6</c:v>
                </c:pt>
                <c:pt idx="109">
                  <c:v>6.515385876130198E-7</c:v>
                </c:pt>
                <c:pt idx="110">
                  <c:v>6.7281487219018733E-6</c:v>
                </c:pt>
                <c:pt idx="111">
                  <c:v>3.1763547629040274E-5</c:v>
                </c:pt>
                <c:pt idx="112">
                  <c:v>5.7775430364523642E-5</c:v>
                </c:pt>
                <c:pt idx="113">
                  <c:v>4.7897806975160915E-5</c:v>
                </c:pt>
                <c:pt idx="114">
                  <c:v>1.1537577008172656E-2</c:v>
                </c:pt>
                <c:pt idx="115">
                  <c:v>3.0874977206368164E-2</c:v>
                </c:pt>
                <c:pt idx="116">
                  <c:v>2.3243175292670133E-2</c:v>
                </c:pt>
                <c:pt idx="117">
                  <c:v>2.3452782453636401E-2</c:v>
                </c:pt>
                <c:pt idx="118">
                  <c:v>9.393875232745914E-3</c:v>
                </c:pt>
                <c:pt idx="119">
                  <c:v>1.4660421664291596E-2</c:v>
                </c:pt>
                <c:pt idx="120">
                  <c:v>1.5675745625876751E-2</c:v>
                </c:pt>
                <c:pt idx="121">
                  <c:v>7.2516225769311618E-3</c:v>
                </c:pt>
                <c:pt idx="122">
                  <c:v>4.2538519935248912E-3</c:v>
                </c:pt>
                <c:pt idx="123">
                  <c:v>6.9095811186964864E-3</c:v>
                </c:pt>
                <c:pt idx="124">
                  <c:v>7.2370014972351869E-3</c:v>
                </c:pt>
                <c:pt idx="125">
                  <c:v>9.2046122756596696E-5</c:v>
                </c:pt>
                <c:pt idx="126">
                  <c:v>9.1020523464574088E-5</c:v>
                </c:pt>
                <c:pt idx="127">
                  <c:v>5.7152067277509353E-5</c:v>
                </c:pt>
                <c:pt idx="128">
                  <c:v>8.3865321413163795E-5</c:v>
                </c:pt>
                <c:pt idx="129">
                  <c:v>7.6878350437302201E-5</c:v>
                </c:pt>
                <c:pt idx="130">
                  <c:v>4.5111035530708369E-5</c:v>
                </c:pt>
                <c:pt idx="131">
                  <c:v>8.2746439541801865E-5</c:v>
                </c:pt>
                <c:pt idx="132">
                  <c:v>9.0485692230631349E-5</c:v>
                </c:pt>
                <c:pt idx="133">
                  <c:v>2.3598301549399351E-2</c:v>
                </c:pt>
                <c:pt idx="134">
                  <c:v>7.5443250045678271E-5</c:v>
                </c:pt>
                <c:pt idx="135">
                  <c:v>8.8520844775942368E-5</c:v>
                </c:pt>
                <c:pt idx="136">
                  <c:v>8.7130010587707673E-5</c:v>
                </c:pt>
                <c:pt idx="137">
                  <c:v>2.1595106737195121E-5</c:v>
                </c:pt>
                <c:pt idx="138">
                  <c:v>2.6070440766904535E-5</c:v>
                </c:pt>
                <c:pt idx="139">
                  <c:v>1.1517115839020239E-5</c:v>
                </c:pt>
                <c:pt idx="140">
                  <c:v>1.1278889056877359E-5</c:v>
                </c:pt>
                <c:pt idx="141">
                  <c:v>1.9745505187238032E-5</c:v>
                </c:pt>
                <c:pt idx="142">
                  <c:v>1.432565407811975E-5</c:v>
                </c:pt>
                <c:pt idx="143">
                  <c:v>1.4913560857251717E-5</c:v>
                </c:pt>
                <c:pt idx="144">
                  <c:v>8.1506999283283611E-6</c:v>
                </c:pt>
                <c:pt idx="145">
                  <c:v>6.0901552238722547E-6</c:v>
                </c:pt>
                <c:pt idx="146">
                  <c:v>2.3103290743115667E-7</c:v>
                </c:pt>
                <c:pt idx="147">
                  <c:v>4.4811665076329948E-5</c:v>
                </c:pt>
                <c:pt idx="148">
                  <c:v>6.348699694060263E-5</c:v>
                </c:pt>
                <c:pt idx="149">
                  <c:v>8.2045587604776053E-5</c:v>
                </c:pt>
                <c:pt idx="150">
                  <c:v>1.7907590081655874E-5</c:v>
                </c:pt>
                <c:pt idx="151">
                  <c:v>2.1080009364256099E-6</c:v>
                </c:pt>
                <c:pt idx="152">
                  <c:v>4.8613489753328634E-6</c:v>
                </c:pt>
                <c:pt idx="153">
                  <c:v>4.6819641425847664E-5</c:v>
                </c:pt>
                <c:pt idx="154">
                  <c:v>6.7155705827903764E-5</c:v>
                </c:pt>
                <c:pt idx="155">
                  <c:v>7.3248557075175229E-5</c:v>
                </c:pt>
                <c:pt idx="156">
                  <c:v>1.4498434553588784E-6</c:v>
                </c:pt>
                <c:pt idx="157">
                  <c:v>9.4060356254041137E-5</c:v>
                </c:pt>
                <c:pt idx="158">
                  <c:v>3.7390540769464244E-3</c:v>
                </c:pt>
                <c:pt idx="159">
                  <c:v>3.6675500524312003E-5</c:v>
                </c:pt>
                <c:pt idx="160">
                  <c:v>2.169665872317503E-5</c:v>
                </c:pt>
                <c:pt idx="161">
                  <c:v>7.9521063392820534E-5</c:v>
                </c:pt>
                <c:pt idx="162">
                  <c:v>7.3954703462417865E-5</c:v>
                </c:pt>
                <c:pt idx="163">
                  <c:v>5.4693035919475119E-3</c:v>
                </c:pt>
                <c:pt idx="164">
                  <c:v>3.2436247749375327E-2</c:v>
                </c:pt>
                <c:pt idx="165">
                  <c:v>3.3093402935507207E-2</c:v>
                </c:pt>
                <c:pt idx="166">
                  <c:v>1.4804436964019666E-4</c:v>
                </c:pt>
                <c:pt idx="167">
                  <c:v>3.3783197098869193E-5</c:v>
                </c:pt>
                <c:pt idx="168">
                  <c:v>2.9873619680545728E-5</c:v>
                </c:pt>
                <c:pt idx="169">
                  <c:v>6.0534479617013704E-3</c:v>
                </c:pt>
                <c:pt idx="170">
                  <c:v>0.10232914781105466</c:v>
                </c:pt>
                <c:pt idx="171">
                  <c:v>0.13607477521435718</c:v>
                </c:pt>
                <c:pt idx="172">
                  <c:v>0.12622855535880509</c:v>
                </c:pt>
                <c:pt idx="173">
                  <c:v>0.12499051956230765</c:v>
                </c:pt>
                <c:pt idx="174">
                  <c:v>0.15047719350590133</c:v>
                </c:pt>
                <c:pt idx="175">
                  <c:v>0.15037137654378635</c:v>
                </c:pt>
                <c:pt idx="176">
                  <c:v>0.14946396998641753</c:v>
                </c:pt>
                <c:pt idx="177">
                  <c:v>0.1532293861041665</c:v>
                </c:pt>
                <c:pt idx="178">
                  <c:v>0.14438201585591734</c:v>
                </c:pt>
                <c:pt idx="179">
                  <c:v>0.15640281884395621</c:v>
                </c:pt>
                <c:pt idx="180">
                  <c:v>0.15650806582337987</c:v>
                </c:pt>
                <c:pt idx="181">
                  <c:v>0.15127561717453891</c:v>
                </c:pt>
                <c:pt idx="182">
                  <c:v>0.15069308408488227</c:v>
                </c:pt>
                <c:pt idx="183">
                  <c:v>0.15406571498713881</c:v>
                </c:pt>
                <c:pt idx="184">
                  <c:v>0.13820186240841309</c:v>
                </c:pt>
                <c:pt idx="185">
                  <c:v>0.10284189548087806</c:v>
                </c:pt>
                <c:pt idx="186">
                  <c:v>8.7168769432844601E-2</c:v>
                </c:pt>
                <c:pt idx="187">
                  <c:v>8.6982926068560576E-2</c:v>
                </c:pt>
                <c:pt idx="188">
                  <c:v>7.866369356846091E-2</c:v>
                </c:pt>
                <c:pt idx="189">
                  <c:v>7.539324420376943E-2</c:v>
                </c:pt>
                <c:pt idx="190">
                  <c:v>7.6596445184548001E-2</c:v>
                </c:pt>
                <c:pt idx="191">
                  <c:v>0.10355127518678504</c:v>
                </c:pt>
                <c:pt idx="192">
                  <c:v>0.10231406534219205</c:v>
                </c:pt>
                <c:pt idx="193">
                  <c:v>6.6749767884787578E-2</c:v>
                </c:pt>
                <c:pt idx="194">
                  <c:v>6.7643924875511519E-2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D4-4F82-AFC6-25F18ED6EA2C}"/>
            </c:ext>
          </c:extLst>
        </c:ser>
        <c:ser>
          <c:idx val="8"/>
          <c:order val="8"/>
          <c:tx>
            <c:strRef>
              <c:f>震荡市组合!$J$1</c:f>
              <c:strCache>
                <c:ptCount val="1"/>
                <c:pt idx="0">
                  <c:v>全指公用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震荡市组合!$J$2:$J$196</c:f>
              <c:numCache>
                <c:formatCode>0.00%</c:formatCode>
                <c:ptCount val="195"/>
                <c:pt idx="0">
                  <c:v>1.512004695221202E-5</c:v>
                </c:pt>
                <c:pt idx="1">
                  <c:v>1.6998753520691839E-5</c:v>
                </c:pt>
                <c:pt idx="2">
                  <c:v>2.0979666745898598E-5</c:v>
                </c:pt>
                <c:pt idx="3">
                  <c:v>1.5009699153906409E-5</c:v>
                </c:pt>
                <c:pt idx="4">
                  <c:v>1.2528793089936305E-5</c:v>
                </c:pt>
                <c:pt idx="5">
                  <c:v>8.8348245711461386E-6</c:v>
                </c:pt>
                <c:pt idx="6">
                  <c:v>6.5595220799667939E-6</c:v>
                </c:pt>
                <c:pt idx="7">
                  <c:v>5.9045143774218748E-6</c:v>
                </c:pt>
                <c:pt idx="8">
                  <c:v>4.0471298069439871E-5</c:v>
                </c:pt>
                <c:pt idx="9">
                  <c:v>4.5648460040679838E-3</c:v>
                </c:pt>
                <c:pt idx="10">
                  <c:v>3.8877943522992714E-5</c:v>
                </c:pt>
                <c:pt idx="11">
                  <c:v>8.0801658831246098E-2</c:v>
                </c:pt>
                <c:pt idx="12">
                  <c:v>6.9609875671420518E-2</c:v>
                </c:pt>
                <c:pt idx="13">
                  <c:v>8.0567115147534743E-2</c:v>
                </c:pt>
                <c:pt idx="14">
                  <c:v>7.5665293629559066E-2</c:v>
                </c:pt>
                <c:pt idx="15">
                  <c:v>5.1896994917983677E-2</c:v>
                </c:pt>
                <c:pt idx="16">
                  <c:v>8.8022621241002161E-3</c:v>
                </c:pt>
                <c:pt idx="17">
                  <c:v>2.8171498950945312E-2</c:v>
                </c:pt>
                <c:pt idx="18">
                  <c:v>3.6987526475043289E-2</c:v>
                </c:pt>
                <c:pt idx="19">
                  <c:v>3.5174639111988988E-2</c:v>
                </c:pt>
                <c:pt idx="20">
                  <c:v>1.7211639177563548E-2</c:v>
                </c:pt>
                <c:pt idx="21">
                  <c:v>1.5470638180394462E-2</c:v>
                </c:pt>
                <c:pt idx="22">
                  <c:v>1.2263788536024643E-2</c:v>
                </c:pt>
                <c:pt idx="23">
                  <c:v>3.7281397822292679E-2</c:v>
                </c:pt>
                <c:pt idx="24">
                  <c:v>6.393307222088174E-5</c:v>
                </c:pt>
                <c:pt idx="25">
                  <c:v>5.3876533892747679E-3</c:v>
                </c:pt>
                <c:pt idx="26">
                  <c:v>9.8380258484801419E-4</c:v>
                </c:pt>
                <c:pt idx="27">
                  <c:v>1.6685981446332102E-2</c:v>
                </c:pt>
                <c:pt idx="28">
                  <c:v>9.2201260689967111E-5</c:v>
                </c:pt>
                <c:pt idx="29">
                  <c:v>1.1136846939797107E-2</c:v>
                </c:pt>
                <c:pt idx="30">
                  <c:v>1.8940291220709518E-2</c:v>
                </c:pt>
                <c:pt idx="31">
                  <c:v>3.417772608337049E-2</c:v>
                </c:pt>
                <c:pt idx="32">
                  <c:v>3.8584564459828004E-2</c:v>
                </c:pt>
                <c:pt idx="33">
                  <c:v>3.5567684305034555E-2</c:v>
                </c:pt>
                <c:pt idx="34">
                  <c:v>3.3061511450436544E-2</c:v>
                </c:pt>
                <c:pt idx="35">
                  <c:v>2.5945251386722629E-2</c:v>
                </c:pt>
                <c:pt idx="36">
                  <c:v>6.9866259215530333E-3</c:v>
                </c:pt>
                <c:pt idx="37">
                  <c:v>1.2329868336129051E-2</c:v>
                </c:pt>
                <c:pt idx="38">
                  <c:v>4.6170323254136406E-2</c:v>
                </c:pt>
                <c:pt idx="39">
                  <c:v>5.8581427744285659E-2</c:v>
                </c:pt>
                <c:pt idx="40">
                  <c:v>4.4871025240663137E-2</c:v>
                </c:pt>
                <c:pt idx="41">
                  <c:v>1.2218194788605535E-2</c:v>
                </c:pt>
                <c:pt idx="42">
                  <c:v>5.6727998384076186E-3</c:v>
                </c:pt>
                <c:pt idx="43">
                  <c:v>2.1916942138206063E-2</c:v>
                </c:pt>
                <c:pt idx="44">
                  <c:v>1.4085343715106976E-2</c:v>
                </c:pt>
                <c:pt idx="45">
                  <c:v>1.3734790869381055E-2</c:v>
                </c:pt>
                <c:pt idx="46">
                  <c:v>6.4218634414518055E-3</c:v>
                </c:pt>
                <c:pt idx="47">
                  <c:v>8.9443871194432313E-5</c:v>
                </c:pt>
                <c:pt idx="48">
                  <c:v>4.1484050963323593E-5</c:v>
                </c:pt>
                <c:pt idx="49">
                  <c:v>2.9352599372351128E-5</c:v>
                </c:pt>
                <c:pt idx="50">
                  <c:v>1.8213613160453207E-5</c:v>
                </c:pt>
                <c:pt idx="51">
                  <c:v>8.8951062245394917E-6</c:v>
                </c:pt>
                <c:pt idx="52">
                  <c:v>1.4087537515848833E-5</c:v>
                </c:pt>
                <c:pt idx="53">
                  <c:v>3.1466096548079578E-6</c:v>
                </c:pt>
                <c:pt idx="54">
                  <c:v>8.9738058300025374E-6</c:v>
                </c:pt>
                <c:pt idx="55">
                  <c:v>8.091815003973664E-6</c:v>
                </c:pt>
                <c:pt idx="56">
                  <c:v>5.0896689953465907E-6</c:v>
                </c:pt>
                <c:pt idx="57">
                  <c:v>6.9159997587059779E-6</c:v>
                </c:pt>
                <c:pt idx="58">
                  <c:v>4.4772565739700918E-6</c:v>
                </c:pt>
                <c:pt idx="59">
                  <c:v>3.4882783190380396E-7</c:v>
                </c:pt>
                <c:pt idx="60">
                  <c:v>3.0886420777238832E-7</c:v>
                </c:pt>
                <c:pt idx="61">
                  <c:v>5.2905657177992544E-7</c:v>
                </c:pt>
                <c:pt idx="62">
                  <c:v>4.9232353177384999E-6</c:v>
                </c:pt>
                <c:pt idx="63">
                  <c:v>2.6721642796949475E-6</c:v>
                </c:pt>
                <c:pt idx="64">
                  <c:v>2.0404898073881636E-6</c:v>
                </c:pt>
                <c:pt idx="65">
                  <c:v>4.1868593017647532E-6</c:v>
                </c:pt>
                <c:pt idx="66">
                  <c:v>1.7565617765010535E-6</c:v>
                </c:pt>
                <c:pt idx="67">
                  <c:v>2.3713693563751688E-6</c:v>
                </c:pt>
                <c:pt idx="68">
                  <c:v>6.2983446411441285E-6</c:v>
                </c:pt>
                <c:pt idx="69">
                  <c:v>5.5330291095844161E-6</c:v>
                </c:pt>
                <c:pt idx="70">
                  <c:v>7.3854753017011501E-6</c:v>
                </c:pt>
                <c:pt idx="71">
                  <c:v>8.2423023369787219E-6</c:v>
                </c:pt>
                <c:pt idx="72">
                  <c:v>8.985584973487196E-6</c:v>
                </c:pt>
                <c:pt idx="73">
                  <c:v>9.2121374217465092E-6</c:v>
                </c:pt>
                <c:pt idx="74">
                  <c:v>9.81591971069217E-6</c:v>
                </c:pt>
                <c:pt idx="75">
                  <c:v>9.3330961042369633E-6</c:v>
                </c:pt>
                <c:pt idx="76">
                  <c:v>8.8625966803089429E-6</c:v>
                </c:pt>
                <c:pt idx="77">
                  <c:v>8.6886803106125593E-6</c:v>
                </c:pt>
                <c:pt idx="78">
                  <c:v>7.5496080916207095E-6</c:v>
                </c:pt>
                <c:pt idx="79">
                  <c:v>6.3640205548746956E-6</c:v>
                </c:pt>
                <c:pt idx="80">
                  <c:v>4.7495075534099976E-6</c:v>
                </c:pt>
                <c:pt idx="81">
                  <c:v>3.9071944807316517E-7</c:v>
                </c:pt>
                <c:pt idx="82">
                  <c:v>2.2212129801312788E-6</c:v>
                </c:pt>
                <c:pt idx="83">
                  <c:v>1.1039368151022989E-6</c:v>
                </c:pt>
                <c:pt idx="84">
                  <c:v>1.9070287081702343E-7</c:v>
                </c:pt>
                <c:pt idx="85">
                  <c:v>4.2093805949859713E-6</c:v>
                </c:pt>
                <c:pt idx="86">
                  <c:v>3.110301899002657E-6</c:v>
                </c:pt>
                <c:pt idx="87">
                  <c:v>1.4949639352888747E-6</c:v>
                </c:pt>
                <c:pt idx="88">
                  <c:v>1.6711236228813927E-6</c:v>
                </c:pt>
                <c:pt idx="89">
                  <c:v>1.0568543932174709E-6</c:v>
                </c:pt>
                <c:pt idx="90">
                  <c:v>2.3226009629684813E-6</c:v>
                </c:pt>
                <c:pt idx="91">
                  <c:v>7.508029742437878E-7</c:v>
                </c:pt>
                <c:pt idx="92">
                  <c:v>3.9987873336149945E-6</c:v>
                </c:pt>
                <c:pt idx="93">
                  <c:v>5.738740112795389E-6</c:v>
                </c:pt>
                <c:pt idx="94">
                  <c:v>6.21812496458886E-6</c:v>
                </c:pt>
                <c:pt idx="95">
                  <c:v>5.7244059034039548E-6</c:v>
                </c:pt>
                <c:pt idx="96">
                  <c:v>1.1656404623960385E-5</c:v>
                </c:pt>
                <c:pt idx="97">
                  <c:v>7.9366664982581002E-6</c:v>
                </c:pt>
                <c:pt idx="98">
                  <c:v>4.9034207090187829E-6</c:v>
                </c:pt>
                <c:pt idx="99">
                  <c:v>2.8354598435308393E-6</c:v>
                </c:pt>
                <c:pt idx="100">
                  <c:v>5.1481947417418827E-6</c:v>
                </c:pt>
                <c:pt idx="101">
                  <c:v>2.2092202754175101E-6</c:v>
                </c:pt>
                <c:pt idx="102">
                  <c:v>8.5957283612290642E-7</c:v>
                </c:pt>
                <c:pt idx="103">
                  <c:v>1.9228779687845841E-6</c:v>
                </c:pt>
                <c:pt idx="104">
                  <c:v>1.1458547087966372E-6</c:v>
                </c:pt>
                <c:pt idx="105">
                  <c:v>8.2983901411869456E-7</c:v>
                </c:pt>
                <c:pt idx="106">
                  <c:v>8.1756873088707757E-7</c:v>
                </c:pt>
                <c:pt idx="107">
                  <c:v>2.6513435159571086E-6</c:v>
                </c:pt>
                <c:pt idx="108">
                  <c:v>6.1810174125412852E-6</c:v>
                </c:pt>
                <c:pt idx="109">
                  <c:v>8.5246250061636789E-7</c:v>
                </c:pt>
                <c:pt idx="110">
                  <c:v>6.1533195683507985E-6</c:v>
                </c:pt>
                <c:pt idx="111">
                  <c:v>2.1589572838019345E-5</c:v>
                </c:pt>
                <c:pt idx="112">
                  <c:v>1.4895846374082174E-5</c:v>
                </c:pt>
                <c:pt idx="113">
                  <c:v>1.3405306802967813E-5</c:v>
                </c:pt>
                <c:pt idx="114">
                  <c:v>9.4228769100692004E-6</c:v>
                </c:pt>
                <c:pt idx="115">
                  <c:v>1.1877721201667145E-6</c:v>
                </c:pt>
                <c:pt idx="116">
                  <c:v>8.9365512187597898E-7</c:v>
                </c:pt>
                <c:pt idx="117">
                  <c:v>1.4170707863388442E-6</c:v>
                </c:pt>
                <c:pt idx="118">
                  <c:v>5.0968296385480576E-6</c:v>
                </c:pt>
                <c:pt idx="119">
                  <c:v>7.3784305949292529E-7</c:v>
                </c:pt>
                <c:pt idx="120">
                  <c:v>1.3764979592643043E-5</c:v>
                </c:pt>
                <c:pt idx="121">
                  <c:v>1.0806405270750532E-5</c:v>
                </c:pt>
                <c:pt idx="122">
                  <c:v>1.4853341393602466E-6</c:v>
                </c:pt>
                <c:pt idx="123">
                  <c:v>2.0383402444452141E-7</c:v>
                </c:pt>
                <c:pt idx="124">
                  <c:v>5.4658095749861399E-6</c:v>
                </c:pt>
                <c:pt idx="125">
                  <c:v>1.0415872934825938E-5</c:v>
                </c:pt>
                <c:pt idx="126">
                  <c:v>1.2146014553852012E-5</c:v>
                </c:pt>
                <c:pt idx="127">
                  <c:v>1.4404673481372624E-5</c:v>
                </c:pt>
                <c:pt idx="128">
                  <c:v>3.0891519837577721E-5</c:v>
                </c:pt>
                <c:pt idx="129">
                  <c:v>5.4754369498389525E-5</c:v>
                </c:pt>
                <c:pt idx="130">
                  <c:v>2.8661596704204665E-5</c:v>
                </c:pt>
                <c:pt idx="131">
                  <c:v>3.1376345102822694E-5</c:v>
                </c:pt>
                <c:pt idx="132">
                  <c:v>1.4540170475498311E-5</c:v>
                </c:pt>
                <c:pt idx="133">
                  <c:v>5.318758437374196E-5</c:v>
                </c:pt>
                <c:pt idx="134">
                  <c:v>3.5012269626963019E-5</c:v>
                </c:pt>
                <c:pt idx="135">
                  <c:v>1.3629187451356184E-5</c:v>
                </c:pt>
                <c:pt idx="136">
                  <c:v>1.4137901924035864E-5</c:v>
                </c:pt>
                <c:pt idx="137">
                  <c:v>2.7260100617241149E-5</c:v>
                </c:pt>
                <c:pt idx="138">
                  <c:v>3.3329583187259137E-5</c:v>
                </c:pt>
                <c:pt idx="139">
                  <c:v>2.7889063056811553E-5</c:v>
                </c:pt>
                <c:pt idx="140">
                  <c:v>2.9652339755767696E-5</c:v>
                </c:pt>
                <c:pt idx="141">
                  <c:v>6.4488219750268326E-5</c:v>
                </c:pt>
                <c:pt idx="142">
                  <c:v>3.092878093574184E-5</c:v>
                </c:pt>
                <c:pt idx="143">
                  <c:v>3.1223693029304478E-5</c:v>
                </c:pt>
                <c:pt idx="144">
                  <c:v>9.4582915341063379E-6</c:v>
                </c:pt>
                <c:pt idx="145">
                  <c:v>6.1289494199254425E-6</c:v>
                </c:pt>
                <c:pt idx="146">
                  <c:v>2.2388064659707533E-7</c:v>
                </c:pt>
                <c:pt idx="147">
                  <c:v>6.1230875371182951E-5</c:v>
                </c:pt>
                <c:pt idx="148">
                  <c:v>8.0407320288328646E-5</c:v>
                </c:pt>
                <c:pt idx="149">
                  <c:v>7.386075076417949E-5</c:v>
                </c:pt>
                <c:pt idx="150">
                  <c:v>3.257673438570584E-5</c:v>
                </c:pt>
                <c:pt idx="151">
                  <c:v>1.4230006658149546E-5</c:v>
                </c:pt>
                <c:pt idx="152">
                  <c:v>8.977691414264647E-6</c:v>
                </c:pt>
                <c:pt idx="153">
                  <c:v>7.7429787538535152E-5</c:v>
                </c:pt>
                <c:pt idx="154">
                  <c:v>4.8677490986340989E-5</c:v>
                </c:pt>
                <c:pt idx="155">
                  <c:v>1.7410121074159017E-5</c:v>
                </c:pt>
                <c:pt idx="156">
                  <c:v>9.1484749947911566E-7</c:v>
                </c:pt>
                <c:pt idx="157">
                  <c:v>8.696844440795312E-6</c:v>
                </c:pt>
                <c:pt idx="158">
                  <c:v>4.179483778574147E-5</c:v>
                </c:pt>
                <c:pt idx="159">
                  <c:v>8.3183140033098066E-5</c:v>
                </c:pt>
                <c:pt idx="160">
                  <c:v>2.7241129111570033E-5</c:v>
                </c:pt>
                <c:pt idx="161">
                  <c:v>2.5491562559820154E-2</c:v>
                </c:pt>
                <c:pt idx="162">
                  <c:v>2.3362830358033042E-2</c:v>
                </c:pt>
                <c:pt idx="163">
                  <c:v>2.366093352311071E-2</c:v>
                </c:pt>
                <c:pt idx="164">
                  <c:v>1.2343561188885485E-2</c:v>
                </c:pt>
                <c:pt idx="165">
                  <c:v>1.2374521910446924E-2</c:v>
                </c:pt>
                <c:pt idx="166">
                  <c:v>2.4029926093285612E-2</c:v>
                </c:pt>
                <c:pt idx="167">
                  <c:v>3.7112834223874618E-2</c:v>
                </c:pt>
                <c:pt idx="168">
                  <c:v>1.4981412856377383E-2</c:v>
                </c:pt>
                <c:pt idx="169">
                  <c:v>6.3553441585953255E-6</c:v>
                </c:pt>
                <c:pt idx="170">
                  <c:v>1.0439414994368749E-5</c:v>
                </c:pt>
                <c:pt idx="171">
                  <c:v>5.7807655427370791E-6</c:v>
                </c:pt>
                <c:pt idx="172">
                  <c:v>2.732693781065284E-5</c:v>
                </c:pt>
                <c:pt idx="173">
                  <c:v>2.5461672715236542E-5</c:v>
                </c:pt>
                <c:pt idx="174">
                  <c:v>5.4468797302706632E-5</c:v>
                </c:pt>
                <c:pt idx="175">
                  <c:v>2.1436108592745139E-6</c:v>
                </c:pt>
                <c:pt idx="176">
                  <c:v>1.0700611274883827E-6</c:v>
                </c:pt>
                <c:pt idx="177">
                  <c:v>7.9866833659980117E-7</c:v>
                </c:pt>
                <c:pt idx="178">
                  <c:v>3.5191129077264423E-5</c:v>
                </c:pt>
                <c:pt idx="179">
                  <c:v>1.3318703837307914E-6</c:v>
                </c:pt>
                <c:pt idx="180">
                  <c:v>5.8496657711352836E-6</c:v>
                </c:pt>
                <c:pt idx="181">
                  <c:v>1.5089942930708274E-5</c:v>
                </c:pt>
                <c:pt idx="182">
                  <c:v>9.7704539532981793E-6</c:v>
                </c:pt>
                <c:pt idx="183">
                  <c:v>1.2367379597019486E-5</c:v>
                </c:pt>
                <c:pt idx="184">
                  <c:v>1.868008134305872E-5</c:v>
                </c:pt>
                <c:pt idx="185">
                  <c:v>8.977179429433635E-5</c:v>
                </c:pt>
                <c:pt idx="186">
                  <c:v>8.5692765981142154E-5</c:v>
                </c:pt>
                <c:pt idx="187">
                  <c:v>8.3329181911524162E-5</c:v>
                </c:pt>
                <c:pt idx="188">
                  <c:v>8.2557805743205557E-5</c:v>
                </c:pt>
                <c:pt idx="189">
                  <c:v>8.3957093843329452E-5</c:v>
                </c:pt>
                <c:pt idx="190">
                  <c:v>8.7227386114173942E-5</c:v>
                </c:pt>
                <c:pt idx="191">
                  <c:v>3.7752890577367413E-5</c:v>
                </c:pt>
                <c:pt idx="192">
                  <c:v>1.8134987166840215E-5</c:v>
                </c:pt>
                <c:pt idx="193">
                  <c:v>4.0367239790548569E-6</c:v>
                </c:pt>
                <c:pt idx="194">
                  <c:v>4.7846567853425371E-6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D4-4F82-AFC6-25F18ED6EA2C}"/>
            </c:ext>
          </c:extLst>
        </c:ser>
        <c:ser>
          <c:idx val="9"/>
          <c:order val="9"/>
          <c:tx>
            <c:strRef>
              <c:f>震荡市组合!$K$1</c:f>
              <c:strCache>
                <c:ptCount val="1"/>
                <c:pt idx="0">
                  <c:v>全指电信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震荡市组合!$K$2:$K$196</c:f>
              <c:numCache>
                <c:formatCode>0.00%</c:formatCode>
                <c:ptCount val="195"/>
                <c:pt idx="0">
                  <c:v>3.3584764018912999E-2</c:v>
                </c:pt>
                <c:pt idx="1">
                  <c:v>4.4807508824978796E-2</c:v>
                </c:pt>
                <c:pt idx="2">
                  <c:v>5.2828855888005899E-2</c:v>
                </c:pt>
                <c:pt idx="3">
                  <c:v>5.9880719437179097E-2</c:v>
                </c:pt>
                <c:pt idx="4">
                  <c:v>5.1966533102122042E-2</c:v>
                </c:pt>
                <c:pt idx="5">
                  <c:v>4.6753562493877833E-2</c:v>
                </c:pt>
                <c:pt idx="6">
                  <c:v>4.6788990933777683E-2</c:v>
                </c:pt>
                <c:pt idx="7">
                  <c:v>4.0138579872511078E-2</c:v>
                </c:pt>
                <c:pt idx="8">
                  <c:v>4.335311905637905E-2</c:v>
                </c:pt>
                <c:pt idx="9">
                  <c:v>2.8968532191554035E-2</c:v>
                </c:pt>
                <c:pt idx="10">
                  <c:v>3.3359967317324879E-2</c:v>
                </c:pt>
                <c:pt idx="11">
                  <c:v>6.299815470328271E-2</c:v>
                </c:pt>
                <c:pt idx="12">
                  <c:v>5.7286921256345172E-2</c:v>
                </c:pt>
                <c:pt idx="13">
                  <c:v>6.9497635264982913E-2</c:v>
                </c:pt>
                <c:pt idx="14">
                  <c:v>0.10209326699033361</c:v>
                </c:pt>
                <c:pt idx="15">
                  <c:v>0.11289762351822144</c:v>
                </c:pt>
                <c:pt idx="16">
                  <c:v>0.11302986929307887</c:v>
                </c:pt>
                <c:pt idx="17">
                  <c:v>0.11170868824096762</c:v>
                </c:pt>
                <c:pt idx="18">
                  <c:v>0.11595076771599164</c:v>
                </c:pt>
                <c:pt idx="19">
                  <c:v>0.12883727044791254</c:v>
                </c:pt>
                <c:pt idx="20">
                  <c:v>0.12039802024929815</c:v>
                </c:pt>
                <c:pt idx="21">
                  <c:v>0.1108692992410282</c:v>
                </c:pt>
                <c:pt idx="22">
                  <c:v>0.11935768728807913</c:v>
                </c:pt>
                <c:pt idx="23">
                  <c:v>0.1022267127523903</c:v>
                </c:pt>
                <c:pt idx="24">
                  <c:v>8.5239054208778142E-2</c:v>
                </c:pt>
                <c:pt idx="25">
                  <c:v>6.4098037899261245E-2</c:v>
                </c:pt>
                <c:pt idx="26">
                  <c:v>6.1429246168895814E-2</c:v>
                </c:pt>
                <c:pt idx="27">
                  <c:v>5.9023748977205977E-2</c:v>
                </c:pt>
                <c:pt idx="28">
                  <c:v>4.0103448350381793E-2</c:v>
                </c:pt>
                <c:pt idx="29">
                  <c:v>2.6449988045914957E-2</c:v>
                </c:pt>
                <c:pt idx="30">
                  <c:v>3.5420300761679173E-4</c:v>
                </c:pt>
                <c:pt idx="31">
                  <c:v>1.0344398051135888E-2</c:v>
                </c:pt>
                <c:pt idx="32">
                  <c:v>4.6716297999456209E-2</c:v>
                </c:pt>
                <c:pt idx="33">
                  <c:v>2.1666108104180834E-2</c:v>
                </c:pt>
                <c:pt idx="34">
                  <c:v>1.8288569731423794E-2</c:v>
                </c:pt>
                <c:pt idx="35">
                  <c:v>1.8635658522316526E-2</c:v>
                </c:pt>
                <c:pt idx="36">
                  <c:v>2.0101851522378245E-2</c:v>
                </c:pt>
                <c:pt idx="37">
                  <c:v>1.9271151805241273E-2</c:v>
                </c:pt>
                <c:pt idx="38">
                  <c:v>7.162651237544336E-2</c:v>
                </c:pt>
                <c:pt idx="39">
                  <c:v>0.16125158700806816</c:v>
                </c:pt>
                <c:pt idx="40">
                  <c:v>0.18698692987126464</c:v>
                </c:pt>
                <c:pt idx="41">
                  <c:v>0.26249524197948737</c:v>
                </c:pt>
                <c:pt idx="42">
                  <c:v>0.26654198060479162</c:v>
                </c:pt>
                <c:pt idx="43">
                  <c:v>0.25029318661275057</c:v>
                </c:pt>
                <c:pt idx="44">
                  <c:v>0.26243661327613182</c:v>
                </c:pt>
                <c:pt idx="45">
                  <c:v>0.2566750821475583</c:v>
                </c:pt>
                <c:pt idx="46">
                  <c:v>0.26495327543777908</c:v>
                </c:pt>
                <c:pt idx="47">
                  <c:v>0.26038982589713605</c:v>
                </c:pt>
                <c:pt idx="48">
                  <c:v>0.28373007646698473</c:v>
                </c:pt>
                <c:pt idx="49">
                  <c:v>0.2759411809644241</c:v>
                </c:pt>
                <c:pt idx="50">
                  <c:v>0.27242412872545996</c:v>
                </c:pt>
                <c:pt idx="51">
                  <c:v>0.2568468943075225</c:v>
                </c:pt>
                <c:pt idx="52">
                  <c:v>0.24944963828197758</c:v>
                </c:pt>
                <c:pt idx="53">
                  <c:v>0.22797322346247514</c:v>
                </c:pt>
                <c:pt idx="54">
                  <c:v>0.17557580456561664</c:v>
                </c:pt>
                <c:pt idx="55">
                  <c:v>0.16866096047556781</c:v>
                </c:pt>
                <c:pt idx="56">
                  <c:v>0.16661251291131296</c:v>
                </c:pt>
                <c:pt idx="57">
                  <c:v>0.16428371024226454</c:v>
                </c:pt>
                <c:pt idx="58">
                  <c:v>0.16640933263316601</c:v>
                </c:pt>
                <c:pt idx="59">
                  <c:v>0.18116090239665647</c:v>
                </c:pt>
                <c:pt idx="60">
                  <c:v>0.18292189040390577</c:v>
                </c:pt>
                <c:pt idx="61">
                  <c:v>0.17194437022270187</c:v>
                </c:pt>
                <c:pt idx="62">
                  <c:v>0.17359003629616299</c:v>
                </c:pt>
                <c:pt idx="63">
                  <c:v>0.17110097518353742</c:v>
                </c:pt>
                <c:pt idx="64">
                  <c:v>0.16949171525174947</c:v>
                </c:pt>
                <c:pt idx="65">
                  <c:v>0.14971367405018934</c:v>
                </c:pt>
                <c:pt idx="66">
                  <c:v>0.13632368730591532</c:v>
                </c:pt>
                <c:pt idx="67">
                  <c:v>0.13458500129112863</c:v>
                </c:pt>
                <c:pt idx="68">
                  <c:v>0.17231670559124748</c:v>
                </c:pt>
                <c:pt idx="69">
                  <c:v>0.15148230846205496</c:v>
                </c:pt>
                <c:pt idx="70">
                  <c:v>0.14829731694710716</c:v>
                </c:pt>
                <c:pt idx="71">
                  <c:v>0.14762986720433735</c:v>
                </c:pt>
                <c:pt idx="72">
                  <c:v>0.1501122308867944</c:v>
                </c:pt>
                <c:pt idx="73">
                  <c:v>0.17239359636087268</c:v>
                </c:pt>
                <c:pt idx="74">
                  <c:v>0.17031147726695417</c:v>
                </c:pt>
                <c:pt idx="75">
                  <c:v>0.17031134975395221</c:v>
                </c:pt>
                <c:pt idx="76">
                  <c:v>0.1719470601974083</c:v>
                </c:pt>
                <c:pt idx="77">
                  <c:v>0.17078092135829953</c:v>
                </c:pt>
                <c:pt idx="78">
                  <c:v>0.1532085292551805</c:v>
                </c:pt>
                <c:pt idx="79">
                  <c:v>0.12977477460884956</c:v>
                </c:pt>
                <c:pt idx="80">
                  <c:v>0.11351674077873385</c:v>
                </c:pt>
                <c:pt idx="81">
                  <c:v>8.8213617380651882E-5</c:v>
                </c:pt>
                <c:pt idx="82">
                  <c:v>7.4383950446256226E-5</c:v>
                </c:pt>
                <c:pt idx="83">
                  <c:v>9.2423053992107205E-5</c:v>
                </c:pt>
                <c:pt idx="84">
                  <c:v>1.0115939406343905E-4</c:v>
                </c:pt>
                <c:pt idx="85">
                  <c:v>1.3061490230399219E-2</c:v>
                </c:pt>
                <c:pt idx="86">
                  <c:v>4.7215651468328332E-2</c:v>
                </c:pt>
                <c:pt idx="87">
                  <c:v>4.8649497502397804E-2</c:v>
                </c:pt>
                <c:pt idx="88">
                  <c:v>3.8070613998371028E-2</c:v>
                </c:pt>
                <c:pt idx="89">
                  <c:v>4.9217817083157138E-2</c:v>
                </c:pt>
                <c:pt idx="90">
                  <c:v>1.290562858389986E-2</c:v>
                </c:pt>
                <c:pt idx="91">
                  <c:v>1.6855118091475326E-2</c:v>
                </c:pt>
                <c:pt idx="92">
                  <c:v>1.499536562634632E-2</c:v>
                </c:pt>
                <c:pt idx="93">
                  <c:v>1.3758034410809326E-2</c:v>
                </c:pt>
                <c:pt idx="94">
                  <c:v>1.6865315411531481E-2</c:v>
                </c:pt>
                <c:pt idx="95">
                  <c:v>3.6361552998464421E-2</c:v>
                </c:pt>
                <c:pt idx="96">
                  <c:v>4.6896721433203899E-2</c:v>
                </c:pt>
                <c:pt idx="97">
                  <c:v>5.1719551586578025E-2</c:v>
                </c:pt>
                <c:pt idx="98">
                  <c:v>3.5908736998240418E-2</c:v>
                </c:pt>
                <c:pt idx="99">
                  <c:v>3.6704708425868378E-2</c:v>
                </c:pt>
                <c:pt idx="100">
                  <c:v>1.6618124329121998E-2</c:v>
                </c:pt>
                <c:pt idx="101">
                  <c:v>2.6033238370691568E-2</c:v>
                </c:pt>
                <c:pt idx="102">
                  <c:v>2.3807183358007055E-5</c:v>
                </c:pt>
                <c:pt idx="103">
                  <c:v>3.2573066160676284E-5</c:v>
                </c:pt>
                <c:pt idx="104">
                  <c:v>8.4708960066038743E-5</c:v>
                </c:pt>
                <c:pt idx="105">
                  <c:v>5.3279283861825622E-5</c:v>
                </c:pt>
                <c:pt idx="106">
                  <c:v>1.688898031709694E-5</c:v>
                </c:pt>
                <c:pt idx="107">
                  <c:v>2.4174280571003228E-5</c:v>
                </c:pt>
                <c:pt idx="108">
                  <c:v>2.719377790744994E-2</c:v>
                </c:pt>
                <c:pt idx="109">
                  <c:v>6.6503692359752245E-2</c:v>
                </c:pt>
                <c:pt idx="110">
                  <c:v>5.7604353148889079E-2</c:v>
                </c:pt>
                <c:pt idx="111">
                  <c:v>4.6122585644450528E-2</c:v>
                </c:pt>
                <c:pt idx="112">
                  <c:v>5.3739440131535171E-2</c:v>
                </c:pt>
                <c:pt idx="113">
                  <c:v>6.3190621616882742E-2</c:v>
                </c:pt>
                <c:pt idx="114">
                  <c:v>8.3603714682691621E-2</c:v>
                </c:pt>
                <c:pt idx="115">
                  <c:v>8.7242737199367842E-2</c:v>
                </c:pt>
                <c:pt idx="116">
                  <c:v>0.106215949916467</c:v>
                </c:pt>
                <c:pt idx="117">
                  <c:v>9.9354878986127923E-2</c:v>
                </c:pt>
                <c:pt idx="118">
                  <c:v>9.2802162864514412E-2</c:v>
                </c:pt>
                <c:pt idx="119">
                  <c:v>9.7018037557437237E-2</c:v>
                </c:pt>
                <c:pt idx="120">
                  <c:v>9.2521236312451391E-2</c:v>
                </c:pt>
                <c:pt idx="121">
                  <c:v>9.1636961899162109E-2</c:v>
                </c:pt>
                <c:pt idx="122">
                  <c:v>9.3357469855602296E-2</c:v>
                </c:pt>
                <c:pt idx="123">
                  <c:v>8.8042027041707119E-2</c:v>
                </c:pt>
                <c:pt idx="124">
                  <c:v>8.3139983415190952E-2</c:v>
                </c:pt>
                <c:pt idx="125">
                  <c:v>8.3670679498684911E-2</c:v>
                </c:pt>
                <c:pt idx="126">
                  <c:v>7.4898294339215785E-2</c:v>
                </c:pt>
                <c:pt idx="127">
                  <c:v>8.1694109141144958E-2</c:v>
                </c:pt>
                <c:pt idx="128">
                  <c:v>6.5486778652895025E-2</c:v>
                </c:pt>
                <c:pt idx="129">
                  <c:v>5.1539668172749194E-2</c:v>
                </c:pt>
                <c:pt idx="130">
                  <c:v>5.4663512194198856E-2</c:v>
                </c:pt>
                <c:pt idx="131">
                  <c:v>5.3682436331330866E-2</c:v>
                </c:pt>
                <c:pt idx="132">
                  <c:v>6.0742086937869505E-2</c:v>
                </c:pt>
                <c:pt idx="133">
                  <c:v>5.1574350352473965E-2</c:v>
                </c:pt>
                <c:pt idx="134">
                  <c:v>4.559175181009615E-2</c:v>
                </c:pt>
                <c:pt idx="135">
                  <c:v>4.7121225790013495E-2</c:v>
                </c:pt>
                <c:pt idx="136">
                  <c:v>4.1069960431714403E-2</c:v>
                </c:pt>
                <c:pt idx="137">
                  <c:v>3.6405827088231368E-2</c:v>
                </c:pt>
                <c:pt idx="138">
                  <c:v>2.7943420703578033E-2</c:v>
                </c:pt>
                <c:pt idx="139">
                  <c:v>2.9526889852021038E-2</c:v>
                </c:pt>
                <c:pt idx="140">
                  <c:v>2.9389932560198184E-2</c:v>
                </c:pt>
                <c:pt idx="141">
                  <c:v>4.6648398579483177E-2</c:v>
                </c:pt>
                <c:pt idx="142">
                  <c:v>5.5498296000725367E-2</c:v>
                </c:pt>
                <c:pt idx="143">
                  <c:v>5.0452591661101331E-2</c:v>
                </c:pt>
                <c:pt idx="144">
                  <c:v>5.167818026320159E-2</c:v>
                </c:pt>
                <c:pt idx="145">
                  <c:v>5.1859944871774331E-2</c:v>
                </c:pt>
                <c:pt idx="146">
                  <c:v>5.4406522720180241E-2</c:v>
                </c:pt>
                <c:pt idx="147">
                  <c:v>5.5580609826991839E-2</c:v>
                </c:pt>
                <c:pt idx="148">
                  <c:v>6.3316125045626656E-2</c:v>
                </c:pt>
                <c:pt idx="149">
                  <c:v>4.6312972558813351E-2</c:v>
                </c:pt>
                <c:pt idx="150">
                  <c:v>9.525193425288897E-2</c:v>
                </c:pt>
                <c:pt idx="151">
                  <c:v>0.10455192836112344</c:v>
                </c:pt>
                <c:pt idx="152">
                  <c:v>7.5430425607318802E-2</c:v>
                </c:pt>
                <c:pt idx="153">
                  <c:v>4.0206264190677368E-2</c:v>
                </c:pt>
                <c:pt idx="154">
                  <c:v>4.8486743184158333E-2</c:v>
                </c:pt>
                <c:pt idx="155">
                  <c:v>3.9778562354639287E-2</c:v>
                </c:pt>
                <c:pt idx="156">
                  <c:v>3.6079778650371007E-2</c:v>
                </c:pt>
                <c:pt idx="157">
                  <c:v>3.0780261010126403E-2</c:v>
                </c:pt>
                <c:pt idx="158">
                  <c:v>7.452928746717688E-2</c:v>
                </c:pt>
                <c:pt idx="159">
                  <c:v>8.2339948158063961E-2</c:v>
                </c:pt>
                <c:pt idx="160">
                  <c:v>4.9416655291065058E-2</c:v>
                </c:pt>
                <c:pt idx="161">
                  <c:v>7.0677307840396247E-2</c:v>
                </c:pt>
                <c:pt idx="162">
                  <c:v>6.8470643691144209E-2</c:v>
                </c:pt>
                <c:pt idx="163">
                  <c:v>6.7155742404479427E-2</c:v>
                </c:pt>
                <c:pt idx="164">
                  <c:v>6.4488604059327728E-2</c:v>
                </c:pt>
                <c:pt idx="165">
                  <c:v>6.3198044330172357E-2</c:v>
                </c:pt>
                <c:pt idx="166">
                  <c:v>6.9831756535623665E-2</c:v>
                </c:pt>
                <c:pt idx="167">
                  <c:v>9.9871659441711294E-2</c:v>
                </c:pt>
                <c:pt idx="168">
                  <c:v>0.10200552690213792</c:v>
                </c:pt>
                <c:pt idx="169">
                  <c:v>8.7902510699177747E-2</c:v>
                </c:pt>
                <c:pt idx="170">
                  <c:v>4.5919123414025854E-2</c:v>
                </c:pt>
                <c:pt idx="171">
                  <c:v>6.0187438377358654E-2</c:v>
                </c:pt>
                <c:pt idx="172">
                  <c:v>6.493169383655617E-2</c:v>
                </c:pt>
                <c:pt idx="173">
                  <c:v>6.5821517343494299E-2</c:v>
                </c:pt>
                <c:pt idx="174">
                  <c:v>7.2476752630727725E-2</c:v>
                </c:pt>
                <c:pt idx="175">
                  <c:v>7.1465515154019499E-2</c:v>
                </c:pt>
                <c:pt idx="176">
                  <c:v>6.9728995539536529E-2</c:v>
                </c:pt>
                <c:pt idx="177">
                  <c:v>8.542756508148594E-2</c:v>
                </c:pt>
                <c:pt idx="178">
                  <c:v>9.0205415535376782E-2</c:v>
                </c:pt>
                <c:pt idx="179">
                  <c:v>9.7199805646105392E-2</c:v>
                </c:pt>
                <c:pt idx="180">
                  <c:v>9.8186029680756959E-2</c:v>
                </c:pt>
                <c:pt idx="181">
                  <c:v>9.9310332327688045E-2</c:v>
                </c:pt>
                <c:pt idx="182">
                  <c:v>0.10269746210338145</c:v>
                </c:pt>
                <c:pt idx="183">
                  <c:v>0.10388855078211875</c:v>
                </c:pt>
                <c:pt idx="184">
                  <c:v>0.10475079793020069</c:v>
                </c:pt>
                <c:pt idx="185">
                  <c:v>0.10240556579914788</c:v>
                </c:pt>
                <c:pt idx="186">
                  <c:v>0.1085706844707422</c:v>
                </c:pt>
                <c:pt idx="187">
                  <c:v>0.11183655141338342</c:v>
                </c:pt>
                <c:pt idx="188">
                  <c:v>0.1114153589457013</c:v>
                </c:pt>
                <c:pt idx="189">
                  <c:v>9.5705094657954043E-2</c:v>
                </c:pt>
                <c:pt idx="190">
                  <c:v>7.5361241746102467E-2</c:v>
                </c:pt>
                <c:pt idx="191">
                  <c:v>6.8115755892687258E-2</c:v>
                </c:pt>
                <c:pt idx="192">
                  <c:v>8.8000666707554798E-2</c:v>
                </c:pt>
                <c:pt idx="193">
                  <c:v>7.7364586648456871E-2</c:v>
                </c:pt>
                <c:pt idx="194">
                  <c:v>8.6748696981766835E-2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D4-4F82-AFC6-25F18ED6EA2C}"/>
            </c:ext>
          </c:extLst>
        </c:ser>
        <c:ser>
          <c:idx val="10"/>
          <c:order val="10"/>
          <c:tx>
            <c:strRef>
              <c:f>震荡市组合!$L$1</c:f>
              <c:strCache>
                <c:ptCount val="1"/>
                <c:pt idx="0">
                  <c:v>现金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震荡市组合!$A$2:$A$196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震荡市组合!$L$2:$L$196</c:f>
              <c:numCache>
                <c:formatCode>0.00%</c:formatCode>
                <c:ptCount val="195"/>
                <c:pt idx="0">
                  <c:v>0.28626544022709649</c:v>
                </c:pt>
                <c:pt idx="1">
                  <c:v>0.27884916332438997</c:v>
                </c:pt>
                <c:pt idx="2">
                  <c:v>0.27812063460438391</c:v>
                </c:pt>
                <c:pt idx="3">
                  <c:v>0.28206907243504148</c:v>
                </c:pt>
                <c:pt idx="4">
                  <c:v>0.28548116357379361</c:v>
                </c:pt>
                <c:pt idx="5">
                  <c:v>0.28537301117233616</c:v>
                </c:pt>
                <c:pt idx="6">
                  <c:v>0.28214382085693229</c:v>
                </c:pt>
                <c:pt idx="7">
                  <c:v>0.28042405741765541</c:v>
                </c:pt>
                <c:pt idx="8">
                  <c:v>0.28941617712404483</c:v>
                </c:pt>
                <c:pt idx="9">
                  <c:v>0.29905977346893337</c:v>
                </c:pt>
                <c:pt idx="10">
                  <c:v>0.30804715780162301</c:v>
                </c:pt>
                <c:pt idx="11">
                  <c:v>0.29736452473144093</c:v>
                </c:pt>
                <c:pt idx="12">
                  <c:v>0.30647066307067067</c:v>
                </c:pt>
                <c:pt idx="13">
                  <c:v>0.30824096526309719</c:v>
                </c:pt>
                <c:pt idx="14">
                  <c:v>0.30809102083854023</c:v>
                </c:pt>
                <c:pt idx="15">
                  <c:v>0.30585116107611982</c:v>
                </c:pt>
                <c:pt idx="16">
                  <c:v>0.32796266518515882</c:v>
                </c:pt>
                <c:pt idx="17">
                  <c:v>0.31161920204266941</c:v>
                </c:pt>
                <c:pt idx="18">
                  <c:v>0.30291401097826992</c:v>
                </c:pt>
                <c:pt idx="19">
                  <c:v>0.30153443248700018</c:v>
                </c:pt>
                <c:pt idx="20">
                  <c:v>0.30703443344028902</c:v>
                </c:pt>
                <c:pt idx="21">
                  <c:v>0.30355189344328865</c:v>
                </c:pt>
                <c:pt idx="22">
                  <c:v>0.30367280810602465</c:v>
                </c:pt>
                <c:pt idx="23">
                  <c:v>0.27369854937185956</c:v>
                </c:pt>
                <c:pt idx="24">
                  <c:v>0.26775235762711219</c:v>
                </c:pt>
                <c:pt idx="25">
                  <c:v>0.24891845562233847</c:v>
                </c:pt>
                <c:pt idx="26">
                  <c:v>0.23551651196808929</c:v>
                </c:pt>
                <c:pt idx="27">
                  <c:v>0.23439854216009035</c:v>
                </c:pt>
                <c:pt idx="28">
                  <c:v>0.25302762745281865</c:v>
                </c:pt>
                <c:pt idx="29">
                  <c:v>0.25374916814257531</c:v>
                </c:pt>
                <c:pt idx="30">
                  <c:v>0.24682512785045593</c:v>
                </c:pt>
                <c:pt idx="31">
                  <c:v>0.22969807515482121</c:v>
                </c:pt>
                <c:pt idx="32">
                  <c:v>0.18620973668009452</c:v>
                </c:pt>
                <c:pt idx="33">
                  <c:v>0.18811542140079043</c:v>
                </c:pt>
                <c:pt idx="34">
                  <c:v>0.19027297166673937</c:v>
                </c:pt>
                <c:pt idx="35">
                  <c:v>0.19158640127204696</c:v>
                </c:pt>
                <c:pt idx="36">
                  <c:v>0.1740294558542998</c:v>
                </c:pt>
                <c:pt idx="37">
                  <c:v>0.16643058353311921</c:v>
                </c:pt>
                <c:pt idx="38">
                  <c:v>0.13845968304538897</c:v>
                </c:pt>
                <c:pt idx="39">
                  <c:v>0.14898955303054265</c:v>
                </c:pt>
                <c:pt idx="40">
                  <c:v>0.13554527793518059</c:v>
                </c:pt>
                <c:pt idx="41">
                  <c:v>0.14273336727632074</c:v>
                </c:pt>
                <c:pt idx="42">
                  <c:v>0.13500618894600885</c:v>
                </c:pt>
                <c:pt idx="43">
                  <c:v>0.12856029303493788</c:v>
                </c:pt>
                <c:pt idx="44">
                  <c:v>0.12695157900406592</c:v>
                </c:pt>
                <c:pt idx="45">
                  <c:v>0.11961526154939169</c:v>
                </c:pt>
                <c:pt idx="46">
                  <c:v>0.12463712117571944</c:v>
                </c:pt>
                <c:pt idx="47">
                  <c:v>0.12254778520562425</c:v>
                </c:pt>
                <c:pt idx="48">
                  <c:v>0.11500649558332748</c:v>
                </c:pt>
                <c:pt idx="49">
                  <c:v>0.11885493870792126</c:v>
                </c:pt>
                <c:pt idx="50">
                  <c:v>0.11804516090359954</c:v>
                </c:pt>
                <c:pt idx="51">
                  <c:v>0.12211998176202786</c:v>
                </c:pt>
                <c:pt idx="52">
                  <c:v>0.13962030301810693</c:v>
                </c:pt>
                <c:pt idx="53">
                  <c:v>0.14099178431791584</c:v>
                </c:pt>
                <c:pt idx="54">
                  <c:v>0.15346412209530452</c:v>
                </c:pt>
                <c:pt idx="55">
                  <c:v>0.1580093765418652</c:v>
                </c:pt>
                <c:pt idx="56">
                  <c:v>0.15857846832109565</c:v>
                </c:pt>
                <c:pt idx="57">
                  <c:v>0.16313687819614447</c:v>
                </c:pt>
                <c:pt idx="58">
                  <c:v>0.16306478938671887</c:v>
                </c:pt>
                <c:pt idx="59">
                  <c:v>0.16672110855734179</c:v>
                </c:pt>
                <c:pt idx="60">
                  <c:v>0.16752099619936223</c:v>
                </c:pt>
                <c:pt idx="61">
                  <c:v>0.16481321898959767</c:v>
                </c:pt>
                <c:pt idx="62">
                  <c:v>0.15442981485577151</c:v>
                </c:pt>
                <c:pt idx="63">
                  <c:v>0.15554001515353669</c:v>
                </c:pt>
                <c:pt idx="64">
                  <c:v>0.15413823036886434</c:v>
                </c:pt>
                <c:pt idx="65">
                  <c:v>0.14841195091518239</c:v>
                </c:pt>
                <c:pt idx="66">
                  <c:v>0.15680708055144724</c:v>
                </c:pt>
                <c:pt idx="67">
                  <c:v>0.15580119358418204</c:v>
                </c:pt>
                <c:pt idx="68">
                  <c:v>0.15636507605463568</c:v>
                </c:pt>
                <c:pt idx="69">
                  <c:v>0.15052426024345603</c:v>
                </c:pt>
                <c:pt idx="70">
                  <c:v>0.15215960408680262</c:v>
                </c:pt>
                <c:pt idx="71">
                  <c:v>0.15084734342641309</c:v>
                </c:pt>
                <c:pt idx="72">
                  <c:v>0.15048077859844736</c:v>
                </c:pt>
                <c:pt idx="73">
                  <c:v>0.15250027356944296</c:v>
                </c:pt>
                <c:pt idx="74">
                  <c:v>0.14675574886851583</c:v>
                </c:pt>
                <c:pt idx="75">
                  <c:v>0.14230277444445275</c:v>
                </c:pt>
                <c:pt idx="76">
                  <c:v>0.13832653821148949</c:v>
                </c:pt>
                <c:pt idx="77">
                  <c:v>0.1376028626187458</c:v>
                </c:pt>
                <c:pt idx="78">
                  <c:v>0.15342177083264533</c:v>
                </c:pt>
                <c:pt idx="79">
                  <c:v>0.13783907959285938</c:v>
                </c:pt>
                <c:pt idx="80">
                  <c:v>0.14258693517763044</c:v>
                </c:pt>
                <c:pt idx="81">
                  <c:v>0.13941657638612459</c:v>
                </c:pt>
                <c:pt idx="82">
                  <c:v>0.1508275607570842</c:v>
                </c:pt>
                <c:pt idx="83">
                  <c:v>0.15178552019435509</c:v>
                </c:pt>
                <c:pt idx="84">
                  <c:v>0.15190040556677573</c:v>
                </c:pt>
                <c:pt idx="85">
                  <c:v>0.17708823887436323</c:v>
                </c:pt>
                <c:pt idx="86">
                  <c:v>0.17266555650082588</c:v>
                </c:pt>
                <c:pt idx="87">
                  <c:v>0.1741132754937072</c:v>
                </c:pt>
                <c:pt idx="88">
                  <c:v>0.16979509980939894</c:v>
                </c:pt>
                <c:pt idx="89">
                  <c:v>0.16736218607815445</c:v>
                </c:pt>
                <c:pt idx="90">
                  <c:v>0.16168134392673697</c:v>
                </c:pt>
                <c:pt idx="91">
                  <c:v>0.16036337548737664</c:v>
                </c:pt>
                <c:pt idx="92">
                  <c:v>0.15704191296689143</c:v>
                </c:pt>
                <c:pt idx="93">
                  <c:v>0.15136664031227964</c:v>
                </c:pt>
                <c:pt idx="94">
                  <c:v>0.15134379321778657</c:v>
                </c:pt>
                <c:pt idx="95">
                  <c:v>0.14684001118752632</c:v>
                </c:pt>
                <c:pt idx="96">
                  <c:v>0.14951208726420825</c:v>
                </c:pt>
                <c:pt idx="97">
                  <c:v>0.14735697309079218</c:v>
                </c:pt>
                <c:pt idx="98">
                  <c:v>0.14946904393112667</c:v>
                </c:pt>
                <c:pt idx="99">
                  <c:v>0.14227803004959663</c:v>
                </c:pt>
                <c:pt idx="100">
                  <c:v>0.13823320936266287</c:v>
                </c:pt>
                <c:pt idx="101">
                  <c:v>0.13811624004874495</c:v>
                </c:pt>
                <c:pt idx="102">
                  <c:v>0.16053499939552995</c:v>
                </c:pt>
                <c:pt idx="103">
                  <c:v>0.1535865142193498</c:v>
                </c:pt>
                <c:pt idx="104">
                  <c:v>0.15490528731595185</c:v>
                </c:pt>
                <c:pt idx="105">
                  <c:v>0.17452142770715123</c:v>
                </c:pt>
                <c:pt idx="106">
                  <c:v>0.17722930758580191</c:v>
                </c:pt>
                <c:pt idx="107">
                  <c:v>0.17823267861726075</c:v>
                </c:pt>
                <c:pt idx="108">
                  <c:v>0.10923167325630061</c:v>
                </c:pt>
                <c:pt idx="109">
                  <c:v>0.11964244400924814</c:v>
                </c:pt>
                <c:pt idx="110">
                  <c:v>0.1175936672592294</c:v>
                </c:pt>
                <c:pt idx="111">
                  <c:v>0.12343030265981186</c:v>
                </c:pt>
                <c:pt idx="112">
                  <c:v>0.12263707721968377</c:v>
                </c:pt>
                <c:pt idx="113">
                  <c:v>0.12275457067335097</c:v>
                </c:pt>
                <c:pt idx="114">
                  <c:v>0.15455148701899707</c:v>
                </c:pt>
                <c:pt idx="115">
                  <c:v>0.16177564456817459</c:v>
                </c:pt>
                <c:pt idx="116">
                  <c:v>0.15000051360706143</c:v>
                </c:pt>
                <c:pt idx="117">
                  <c:v>0.1499254202380611</c:v>
                </c:pt>
                <c:pt idx="118">
                  <c:v>0.16091933644466516</c:v>
                </c:pt>
                <c:pt idx="119">
                  <c:v>0.17003338879661095</c:v>
                </c:pt>
                <c:pt idx="120">
                  <c:v>0.17087534615635247</c:v>
                </c:pt>
                <c:pt idx="121">
                  <c:v>0.17133886400436696</c:v>
                </c:pt>
                <c:pt idx="122">
                  <c:v>0.179463882268276</c:v>
                </c:pt>
                <c:pt idx="123">
                  <c:v>0.1824681754507699</c:v>
                </c:pt>
                <c:pt idx="124">
                  <c:v>0.18040949474929904</c:v>
                </c:pt>
                <c:pt idx="125">
                  <c:v>0.1545162540686903</c:v>
                </c:pt>
                <c:pt idx="126">
                  <c:v>0.14459277797129375</c:v>
                </c:pt>
                <c:pt idx="127">
                  <c:v>0.15220955391828472</c:v>
                </c:pt>
                <c:pt idx="128">
                  <c:v>0.14807625888941162</c:v>
                </c:pt>
                <c:pt idx="129">
                  <c:v>0.15241518742231649</c:v>
                </c:pt>
                <c:pt idx="130">
                  <c:v>0.15760039311325827</c:v>
                </c:pt>
                <c:pt idx="131">
                  <c:v>0.15937175062672906</c:v>
                </c:pt>
                <c:pt idx="132">
                  <c:v>0.15718807279955216</c:v>
                </c:pt>
                <c:pt idx="133">
                  <c:v>0.16315799578031681</c:v>
                </c:pt>
                <c:pt idx="134">
                  <c:v>0.17258746400890571</c:v>
                </c:pt>
                <c:pt idx="135">
                  <c:v>0.16769349433094863</c:v>
                </c:pt>
                <c:pt idx="136">
                  <c:v>0.16172213533609334</c:v>
                </c:pt>
                <c:pt idx="137">
                  <c:v>0.14429490353683311</c:v>
                </c:pt>
                <c:pt idx="138">
                  <c:v>0.14201343290901683</c:v>
                </c:pt>
                <c:pt idx="139">
                  <c:v>0.13437122692631615</c:v>
                </c:pt>
                <c:pt idx="140">
                  <c:v>0.13840773571953935</c:v>
                </c:pt>
                <c:pt idx="141">
                  <c:v>0.15928568187981262</c:v>
                </c:pt>
                <c:pt idx="142">
                  <c:v>0.15369030664387026</c:v>
                </c:pt>
                <c:pt idx="143">
                  <c:v>0.15822993708718763</c:v>
                </c:pt>
                <c:pt idx="144">
                  <c:v>0.15634002302540323</c:v>
                </c:pt>
                <c:pt idx="145">
                  <c:v>0.15772668683548202</c:v>
                </c:pt>
                <c:pt idx="146">
                  <c:v>0.15638103305347889</c:v>
                </c:pt>
                <c:pt idx="147">
                  <c:v>0.14079147614002688</c:v>
                </c:pt>
                <c:pt idx="148">
                  <c:v>0.13696563988981789</c:v>
                </c:pt>
                <c:pt idx="149">
                  <c:v>0.12261350914366193</c:v>
                </c:pt>
                <c:pt idx="150">
                  <c:v>0.13821759487732008</c:v>
                </c:pt>
                <c:pt idx="151">
                  <c:v>0.13913929982769752</c:v>
                </c:pt>
                <c:pt idx="152">
                  <c:v>0.14710727371566704</c:v>
                </c:pt>
                <c:pt idx="153">
                  <c:v>0.13142994674457761</c:v>
                </c:pt>
                <c:pt idx="154">
                  <c:v>0.13974275858384436</c:v>
                </c:pt>
                <c:pt idx="155">
                  <c:v>0.13596054318965614</c:v>
                </c:pt>
                <c:pt idx="156">
                  <c:v>0.13825805616885761</c:v>
                </c:pt>
                <c:pt idx="157">
                  <c:v>0.1474365584013683</c:v>
                </c:pt>
                <c:pt idx="158">
                  <c:v>0.13379850669565485</c:v>
                </c:pt>
                <c:pt idx="159">
                  <c:v>0.13381408109704748</c:v>
                </c:pt>
                <c:pt idx="160">
                  <c:v>0.14072374095000642</c:v>
                </c:pt>
                <c:pt idx="161">
                  <c:v>0.11467469466608227</c:v>
                </c:pt>
                <c:pt idx="162">
                  <c:v>0.11392472145456671</c:v>
                </c:pt>
                <c:pt idx="163">
                  <c:v>9.758134465834728E-2</c:v>
                </c:pt>
                <c:pt idx="164">
                  <c:v>9.0026823903468667E-2</c:v>
                </c:pt>
                <c:pt idx="165">
                  <c:v>9.2220356839047793E-2</c:v>
                </c:pt>
                <c:pt idx="166">
                  <c:v>0.11876596353442606</c:v>
                </c:pt>
                <c:pt idx="167">
                  <c:v>0.11749236818284294</c:v>
                </c:pt>
                <c:pt idx="168">
                  <c:v>0.12974100676368239</c:v>
                </c:pt>
                <c:pt idx="169">
                  <c:v>0.1232005910464143</c:v>
                </c:pt>
                <c:pt idx="170">
                  <c:v>0.21379078966607593</c:v>
                </c:pt>
                <c:pt idx="171">
                  <c:v>0.10890331937140998</c:v>
                </c:pt>
                <c:pt idx="172">
                  <c:v>9.5136647590442283E-2</c:v>
                </c:pt>
                <c:pt idx="173">
                  <c:v>9.1628290224621614E-2</c:v>
                </c:pt>
                <c:pt idx="174">
                  <c:v>8.3994949158423052E-2</c:v>
                </c:pt>
                <c:pt idx="175">
                  <c:v>8.9049874107248406E-2</c:v>
                </c:pt>
                <c:pt idx="176">
                  <c:v>9.1114586865668312E-2</c:v>
                </c:pt>
                <c:pt idx="177">
                  <c:v>9.0512809197505512E-2</c:v>
                </c:pt>
                <c:pt idx="178">
                  <c:v>7.6877466425319438E-2</c:v>
                </c:pt>
                <c:pt idx="179">
                  <c:v>6.7983415908936709E-2</c:v>
                </c:pt>
                <c:pt idx="180">
                  <c:v>6.5610758872559113E-2</c:v>
                </c:pt>
                <c:pt idx="181">
                  <c:v>6.1745737213533665E-2</c:v>
                </c:pt>
                <c:pt idx="182">
                  <c:v>5.9927258552670067E-2</c:v>
                </c:pt>
                <c:pt idx="183">
                  <c:v>5.9174987933269509E-2</c:v>
                </c:pt>
                <c:pt idx="184">
                  <c:v>7.6469699881447847E-2</c:v>
                </c:pt>
                <c:pt idx="185">
                  <c:v>8.0399849623050287E-2</c:v>
                </c:pt>
                <c:pt idx="186">
                  <c:v>7.71984605469207E-2</c:v>
                </c:pt>
                <c:pt idx="187">
                  <c:v>6.755554804999829E-2</c:v>
                </c:pt>
                <c:pt idx="188">
                  <c:v>6.4427883078831447E-2</c:v>
                </c:pt>
                <c:pt idx="189">
                  <c:v>7.0481988105846702E-2</c:v>
                </c:pt>
                <c:pt idx="190">
                  <c:v>7.9690728723796428E-2</c:v>
                </c:pt>
                <c:pt idx="191">
                  <c:v>8.9527153746508173E-2</c:v>
                </c:pt>
                <c:pt idx="192">
                  <c:v>0.10035082753406373</c:v>
                </c:pt>
                <c:pt idx="193">
                  <c:v>8.376118734976519E-2</c:v>
                </c:pt>
                <c:pt idx="194">
                  <c:v>8.5538028815739311E-2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AD4-4F82-AFC6-25F18ED6E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182704"/>
        <c:axId val="1178199760"/>
      </c:areaChart>
      <c:dateAx>
        <c:axId val="1178182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199760"/>
        <c:crosses val="autoZero"/>
        <c:auto val="1"/>
        <c:lblOffset val="100"/>
        <c:baseTimeUnit val="days"/>
      </c:dateAx>
      <c:valAx>
        <c:axId val="11781997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178182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牛市组合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牛市组合!$B$1</c:f>
              <c:strCache>
                <c:ptCount val="1"/>
                <c:pt idx="0">
                  <c:v>全指金融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牛市组合!$B$2:$B$196</c:f>
              <c:numCache>
                <c:formatCode>0.00%</c:formatCode>
                <c:ptCount val="195"/>
                <c:pt idx="0">
                  <c:v>1.7773220431259368E-2</c:v>
                </c:pt>
                <c:pt idx="1">
                  <c:v>1.1715250895903414E-2</c:v>
                </c:pt>
                <c:pt idx="2">
                  <c:v>7.3466080908850314E-3</c:v>
                </c:pt>
                <c:pt idx="3">
                  <c:v>2.4229211761607448E-2</c:v>
                </c:pt>
                <c:pt idx="4">
                  <c:v>2.7778164510415298E-2</c:v>
                </c:pt>
                <c:pt idx="5">
                  <c:v>2.020925510625016E-2</c:v>
                </c:pt>
                <c:pt idx="6">
                  <c:v>1.2134591306173918E-2</c:v>
                </c:pt>
                <c:pt idx="7">
                  <c:v>0.11183967659650421</c:v>
                </c:pt>
                <c:pt idx="8">
                  <c:v>0.14967206537583866</c:v>
                </c:pt>
                <c:pt idx="9">
                  <c:v>0.16364356296085486</c:v>
                </c:pt>
                <c:pt idx="10">
                  <c:v>0.16522009601713739</c:v>
                </c:pt>
                <c:pt idx="11">
                  <c:v>0.17733239902331538</c:v>
                </c:pt>
                <c:pt idx="12">
                  <c:v>0.1953461212920497</c:v>
                </c:pt>
                <c:pt idx="13">
                  <c:v>0.19779282495628117</c:v>
                </c:pt>
                <c:pt idx="14">
                  <c:v>0.19859390023220791</c:v>
                </c:pt>
                <c:pt idx="15">
                  <c:v>0.19800736284614234</c:v>
                </c:pt>
                <c:pt idx="16">
                  <c:v>0.19452698072510327</c:v>
                </c:pt>
                <c:pt idx="17">
                  <c:v>0.19948926479284987</c:v>
                </c:pt>
                <c:pt idx="18">
                  <c:v>0.19909186021490291</c:v>
                </c:pt>
                <c:pt idx="19">
                  <c:v>0.20047840375980205</c:v>
                </c:pt>
                <c:pt idx="20">
                  <c:v>0.20275618711744745</c:v>
                </c:pt>
                <c:pt idx="21">
                  <c:v>0.19332240287731284</c:v>
                </c:pt>
                <c:pt idx="22">
                  <c:v>0.19481751625402596</c:v>
                </c:pt>
                <c:pt idx="23">
                  <c:v>0.19396162326912811</c:v>
                </c:pt>
                <c:pt idx="24">
                  <c:v>0.19079369856369932</c:v>
                </c:pt>
                <c:pt idx="25">
                  <c:v>0.1926961304055311</c:v>
                </c:pt>
                <c:pt idx="26">
                  <c:v>0.18599077385891394</c:v>
                </c:pt>
                <c:pt idx="27">
                  <c:v>0.18941627907630701</c:v>
                </c:pt>
                <c:pt idx="28">
                  <c:v>0.1814437713900181</c:v>
                </c:pt>
                <c:pt idx="29">
                  <c:v>0.18324225837282784</c:v>
                </c:pt>
                <c:pt idx="30">
                  <c:v>0.18277336105455128</c:v>
                </c:pt>
                <c:pt idx="31">
                  <c:v>0.16490981791123754</c:v>
                </c:pt>
                <c:pt idx="32">
                  <c:v>0.16352356007708885</c:v>
                </c:pt>
                <c:pt idx="33">
                  <c:v>0.15575454750591322</c:v>
                </c:pt>
                <c:pt idx="34">
                  <c:v>0.15624459718737085</c:v>
                </c:pt>
                <c:pt idx="35">
                  <c:v>0.15738219777363849</c:v>
                </c:pt>
                <c:pt idx="36">
                  <c:v>0.16274583698919923</c:v>
                </c:pt>
                <c:pt idx="37">
                  <c:v>0.16546466447037142</c:v>
                </c:pt>
                <c:pt idx="38">
                  <c:v>0.14207780626050318</c:v>
                </c:pt>
                <c:pt idx="39">
                  <c:v>0.1194081951252423</c:v>
                </c:pt>
                <c:pt idx="40">
                  <c:v>0.11681944358973344</c:v>
                </c:pt>
                <c:pt idx="41">
                  <c:v>0.12868996246049702</c:v>
                </c:pt>
                <c:pt idx="42">
                  <c:v>0.13152379909254669</c:v>
                </c:pt>
                <c:pt idx="43">
                  <c:v>0.1313048123300633</c:v>
                </c:pt>
                <c:pt idx="44">
                  <c:v>0.13253622174290258</c:v>
                </c:pt>
                <c:pt idx="45">
                  <c:v>0.13103627118653086</c:v>
                </c:pt>
                <c:pt idx="46">
                  <c:v>0.13631154027099332</c:v>
                </c:pt>
                <c:pt idx="47">
                  <c:v>0.1338249143105609</c:v>
                </c:pt>
                <c:pt idx="48">
                  <c:v>0.11714538083425582</c:v>
                </c:pt>
                <c:pt idx="49">
                  <c:v>0.10743097528703856</c:v>
                </c:pt>
                <c:pt idx="50">
                  <c:v>9.4852861087699081E-2</c:v>
                </c:pt>
                <c:pt idx="51">
                  <c:v>8.3151788132112617E-2</c:v>
                </c:pt>
                <c:pt idx="52">
                  <c:v>3.8412092514232644E-2</c:v>
                </c:pt>
                <c:pt idx="53">
                  <c:v>9.9750764076728671E-3</c:v>
                </c:pt>
                <c:pt idx="54">
                  <c:v>1.1716828888386039E-2</c:v>
                </c:pt>
                <c:pt idx="55">
                  <c:v>3.0312693992747916E-5</c:v>
                </c:pt>
                <c:pt idx="56">
                  <c:v>4.8954414319025888E-6</c:v>
                </c:pt>
                <c:pt idx="57">
                  <c:v>4.3311833006665939E-6</c:v>
                </c:pt>
                <c:pt idx="58">
                  <c:v>2.0867121304868523E-5</c:v>
                </c:pt>
                <c:pt idx="59">
                  <c:v>2.3607996507162868E-5</c:v>
                </c:pt>
                <c:pt idx="60">
                  <c:v>1.7624280110444454E-6</c:v>
                </c:pt>
                <c:pt idx="61">
                  <c:v>7.9863541559445136E-3</c:v>
                </c:pt>
                <c:pt idx="62">
                  <c:v>8.510376628455954E-3</c:v>
                </c:pt>
                <c:pt idx="63">
                  <c:v>7.8365149741995224E-3</c:v>
                </c:pt>
                <c:pt idx="64">
                  <c:v>3.4191928072743148E-2</c:v>
                </c:pt>
                <c:pt idx="65">
                  <c:v>2.6850686772384027E-2</c:v>
                </c:pt>
                <c:pt idx="66">
                  <c:v>1.196686756987593E-2</c:v>
                </c:pt>
                <c:pt idx="67">
                  <c:v>1.1635260032863502E-2</c:v>
                </c:pt>
                <c:pt idx="68">
                  <c:v>1.4091884753751754E-5</c:v>
                </c:pt>
                <c:pt idx="69">
                  <c:v>4.3818977045233237E-6</c:v>
                </c:pt>
                <c:pt idx="70">
                  <c:v>6.2826121832978499E-7</c:v>
                </c:pt>
                <c:pt idx="71">
                  <c:v>7.6711386414494177E-7</c:v>
                </c:pt>
                <c:pt idx="72">
                  <c:v>4.5074901837633792E-6</c:v>
                </c:pt>
                <c:pt idx="73">
                  <c:v>3.0297750717036312E-6</c:v>
                </c:pt>
                <c:pt idx="74">
                  <c:v>1.7398475768752896E-6</c:v>
                </c:pt>
                <c:pt idx="75">
                  <c:v>2.6991474007513617E-7</c:v>
                </c:pt>
                <c:pt idx="76">
                  <c:v>1.215172456780471E-6</c:v>
                </c:pt>
                <c:pt idx="77">
                  <c:v>1.0504880995364536E-7</c:v>
                </c:pt>
                <c:pt idx="78">
                  <c:v>5.3421071357161513E-6</c:v>
                </c:pt>
                <c:pt idx="79">
                  <c:v>1.2856755428029979E-2</c:v>
                </c:pt>
                <c:pt idx="80">
                  <c:v>5.6172916100521097E-6</c:v>
                </c:pt>
                <c:pt idx="81">
                  <c:v>3.5540851840674854E-2</c:v>
                </c:pt>
                <c:pt idx="82">
                  <c:v>7.0493503701791992E-3</c:v>
                </c:pt>
                <c:pt idx="83">
                  <c:v>8.4078706585485235E-5</c:v>
                </c:pt>
                <c:pt idx="84">
                  <c:v>2.8536567178261687E-3</c:v>
                </c:pt>
                <c:pt idx="85">
                  <c:v>3.421302504753074E-5</c:v>
                </c:pt>
                <c:pt idx="86">
                  <c:v>1.4946684837490535E-2</c:v>
                </c:pt>
                <c:pt idx="87">
                  <c:v>2.6094318146920732E-5</c:v>
                </c:pt>
                <c:pt idx="88">
                  <c:v>2.3892585573261776E-5</c:v>
                </c:pt>
                <c:pt idx="89">
                  <c:v>1.4852308407868269E-5</c:v>
                </c:pt>
                <c:pt idx="90">
                  <c:v>6.0916411041127311E-6</c:v>
                </c:pt>
                <c:pt idx="91">
                  <c:v>5.6211984169750915E-6</c:v>
                </c:pt>
                <c:pt idx="92">
                  <c:v>2.7532097259495453E-6</c:v>
                </c:pt>
                <c:pt idx="93">
                  <c:v>7.6580241154733088E-7</c:v>
                </c:pt>
                <c:pt idx="94">
                  <c:v>2.5172985166855323E-6</c:v>
                </c:pt>
                <c:pt idx="95">
                  <c:v>2.4105498656908405E-7</c:v>
                </c:pt>
                <c:pt idx="96">
                  <c:v>3.4083312529590788E-6</c:v>
                </c:pt>
                <c:pt idx="97">
                  <c:v>1.1272964684955283E-6</c:v>
                </c:pt>
                <c:pt idx="98">
                  <c:v>2.6185906062999261E-6</c:v>
                </c:pt>
                <c:pt idx="99">
                  <c:v>8.712510865477602E-6</c:v>
                </c:pt>
                <c:pt idx="100">
                  <c:v>2.0103518082414921E-5</c:v>
                </c:pt>
                <c:pt idx="101">
                  <c:v>2.0105055386823425E-5</c:v>
                </c:pt>
                <c:pt idx="102">
                  <c:v>1.4823357898132617E-5</c:v>
                </c:pt>
                <c:pt idx="103">
                  <c:v>1.6400900635162408E-5</c:v>
                </c:pt>
                <c:pt idx="104">
                  <c:v>1.875302306556561E-5</c:v>
                </c:pt>
                <c:pt idx="105">
                  <c:v>3.0133177340684375E-6</c:v>
                </c:pt>
                <c:pt idx="106">
                  <c:v>8.4223151877462597E-7</c:v>
                </c:pt>
                <c:pt idx="107">
                  <c:v>8.0348840031360164E-7</c:v>
                </c:pt>
                <c:pt idx="108">
                  <c:v>3.2390419379496898E-6</c:v>
                </c:pt>
                <c:pt idx="109">
                  <c:v>2.9224462135795882E-6</c:v>
                </c:pt>
                <c:pt idx="110">
                  <c:v>3.0789794132646371E-6</c:v>
                </c:pt>
                <c:pt idx="111">
                  <c:v>2.6684149114830198E-6</c:v>
                </c:pt>
                <c:pt idx="112">
                  <c:v>1.8708252520851886E-5</c:v>
                </c:pt>
                <c:pt idx="113">
                  <c:v>1.4132022795805892E-5</c:v>
                </c:pt>
                <c:pt idx="114">
                  <c:v>1.3235611756858634E-5</c:v>
                </c:pt>
                <c:pt idx="115">
                  <c:v>5.9666276152250639E-6</c:v>
                </c:pt>
                <c:pt idx="116">
                  <c:v>4.8602842414370442E-6</c:v>
                </c:pt>
                <c:pt idx="117">
                  <c:v>7.2159881445792598E-6</c:v>
                </c:pt>
                <c:pt idx="118">
                  <c:v>5.2122128209538601E-6</c:v>
                </c:pt>
                <c:pt idx="119">
                  <c:v>4.9181689452566189E-6</c:v>
                </c:pt>
                <c:pt idx="120">
                  <c:v>2.5865781605564308E-5</c:v>
                </c:pt>
                <c:pt idx="121">
                  <c:v>9.4970987701449804E-6</c:v>
                </c:pt>
                <c:pt idx="122">
                  <c:v>7.9035826669805056E-5</c:v>
                </c:pt>
                <c:pt idx="123">
                  <c:v>9.9240694777749823E-6</c:v>
                </c:pt>
                <c:pt idx="124">
                  <c:v>4.1892034782769897E-5</c:v>
                </c:pt>
                <c:pt idx="125">
                  <c:v>5.5909280650077962E-5</c:v>
                </c:pt>
                <c:pt idx="126">
                  <c:v>1.121317136345533E-6</c:v>
                </c:pt>
                <c:pt idx="127">
                  <c:v>8.4555962422199979E-5</c:v>
                </c:pt>
                <c:pt idx="128">
                  <c:v>8.5807033357714242E-5</c:v>
                </c:pt>
                <c:pt idx="129">
                  <c:v>8.5491146351647434E-5</c:v>
                </c:pt>
                <c:pt idx="130">
                  <c:v>8.413201506655899E-5</c:v>
                </c:pt>
                <c:pt idx="131">
                  <c:v>2.8510717922577953E-5</c:v>
                </c:pt>
                <c:pt idx="132">
                  <c:v>5.2972776412798595E-6</c:v>
                </c:pt>
                <c:pt idx="133">
                  <c:v>5.1757406551714874E-2</c:v>
                </c:pt>
                <c:pt idx="134">
                  <c:v>6.4134135964120056E-2</c:v>
                </c:pt>
                <c:pt idx="135">
                  <c:v>0.10046142195791552</c:v>
                </c:pt>
                <c:pt idx="136">
                  <c:v>9.9192505672668338E-2</c:v>
                </c:pt>
                <c:pt idx="137">
                  <c:v>9.0130633757972006E-2</c:v>
                </c:pt>
                <c:pt idx="138">
                  <c:v>9.0369247932278712E-2</c:v>
                </c:pt>
                <c:pt idx="139">
                  <c:v>0.11985794453370313</c:v>
                </c:pt>
                <c:pt idx="140">
                  <c:v>0.11985868793135918</c:v>
                </c:pt>
                <c:pt idx="141">
                  <c:v>0.12736893942866262</c:v>
                </c:pt>
                <c:pt idx="142">
                  <c:v>0.1493882205552515</c:v>
                </c:pt>
                <c:pt idx="143">
                  <c:v>0.15597254601853219</c:v>
                </c:pt>
                <c:pt idx="144">
                  <c:v>0.14620124022183967</c:v>
                </c:pt>
                <c:pt idx="145">
                  <c:v>0.14488680914305477</c:v>
                </c:pt>
                <c:pt idx="146">
                  <c:v>0.14022117178505478</c:v>
                </c:pt>
                <c:pt idx="147">
                  <c:v>0.12940750125358513</c:v>
                </c:pt>
                <c:pt idx="148">
                  <c:v>0.137391569525215</c:v>
                </c:pt>
                <c:pt idx="149">
                  <c:v>0.15537488970566202</c:v>
                </c:pt>
                <c:pt idx="150">
                  <c:v>0.1584416731640643</c:v>
                </c:pt>
                <c:pt idx="151">
                  <c:v>0.15663671479531482</c:v>
                </c:pt>
                <c:pt idx="152">
                  <c:v>0.13198888365144618</c:v>
                </c:pt>
                <c:pt idx="153">
                  <c:v>0.142891479151627</c:v>
                </c:pt>
                <c:pt idx="154">
                  <c:v>0.13399942337993842</c:v>
                </c:pt>
                <c:pt idx="155">
                  <c:v>0.13216784648209473</c:v>
                </c:pt>
                <c:pt idx="156">
                  <c:v>0.14692088862172129</c:v>
                </c:pt>
                <c:pt idx="157">
                  <c:v>0.14710365597097771</c:v>
                </c:pt>
                <c:pt idx="158">
                  <c:v>0.15083003734418549</c:v>
                </c:pt>
                <c:pt idx="159">
                  <c:v>0.1005082379820048</c:v>
                </c:pt>
                <c:pt idx="160">
                  <c:v>0.10023995673602071</c:v>
                </c:pt>
                <c:pt idx="161">
                  <c:v>0.10322945925193189</c:v>
                </c:pt>
                <c:pt idx="162">
                  <c:v>0.10150587731877275</c:v>
                </c:pt>
                <c:pt idx="163">
                  <c:v>0.11622714971694217</c:v>
                </c:pt>
                <c:pt idx="164">
                  <c:v>0.11387232038281912</c:v>
                </c:pt>
                <c:pt idx="165">
                  <c:v>0.11530627061866916</c:v>
                </c:pt>
                <c:pt idx="166">
                  <c:v>0.12058014885046292</c:v>
                </c:pt>
                <c:pt idx="167">
                  <c:v>0.11981803023100981</c:v>
                </c:pt>
                <c:pt idx="168">
                  <c:v>0.11548906479843199</c:v>
                </c:pt>
                <c:pt idx="169">
                  <c:v>0.10934902042260623</c:v>
                </c:pt>
                <c:pt idx="170">
                  <c:v>7.5213740691168707E-2</c:v>
                </c:pt>
                <c:pt idx="171">
                  <c:v>7.6975126363923813E-2</c:v>
                </c:pt>
                <c:pt idx="172">
                  <c:v>8.0916593677231377E-2</c:v>
                </c:pt>
                <c:pt idx="173">
                  <c:v>6.3489007759090485E-2</c:v>
                </c:pt>
                <c:pt idx="174">
                  <c:v>5.2885614687926914E-2</c:v>
                </c:pt>
                <c:pt idx="175">
                  <c:v>6.6266500346587209E-2</c:v>
                </c:pt>
                <c:pt idx="176">
                  <c:v>6.8007783590590593E-2</c:v>
                </c:pt>
                <c:pt idx="177">
                  <c:v>6.9250298405306152E-2</c:v>
                </c:pt>
                <c:pt idx="178">
                  <c:v>7.6288451517923211E-2</c:v>
                </c:pt>
                <c:pt idx="179">
                  <c:v>5.8431447178206183E-2</c:v>
                </c:pt>
                <c:pt idx="180">
                  <c:v>5.7621165500088348E-2</c:v>
                </c:pt>
                <c:pt idx="181">
                  <c:v>5.7887682952792313E-2</c:v>
                </c:pt>
                <c:pt idx="182">
                  <c:v>3.9478914182146628E-2</c:v>
                </c:pt>
                <c:pt idx="183">
                  <c:v>3.6509048325084663E-2</c:v>
                </c:pt>
                <c:pt idx="184">
                  <c:v>4.4898146771208507E-2</c:v>
                </c:pt>
                <c:pt idx="185">
                  <c:v>8.5484343049663999E-2</c:v>
                </c:pt>
                <c:pt idx="186">
                  <c:v>8.5259965381567063E-2</c:v>
                </c:pt>
                <c:pt idx="187">
                  <c:v>8.896982532763173E-2</c:v>
                </c:pt>
                <c:pt idx="188">
                  <c:v>8.2166739412339707E-2</c:v>
                </c:pt>
                <c:pt idx="189">
                  <c:v>0.10097413479466869</c:v>
                </c:pt>
                <c:pt idx="190">
                  <c:v>8.1068931534237595E-2</c:v>
                </c:pt>
                <c:pt idx="191">
                  <c:v>7.9401508209581237E-2</c:v>
                </c:pt>
                <c:pt idx="192">
                  <c:v>8.0262344927460094E-2</c:v>
                </c:pt>
                <c:pt idx="193">
                  <c:v>9.2195117512131275E-2</c:v>
                </c:pt>
                <c:pt idx="194">
                  <c:v>0.10660498715522868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C-4BFA-AB18-FDBA10B3703F}"/>
            </c:ext>
          </c:extLst>
        </c:ser>
        <c:ser>
          <c:idx val="1"/>
          <c:order val="1"/>
          <c:tx>
            <c:strRef>
              <c:f>牛市组合!$C$1</c:f>
              <c:strCache>
                <c:ptCount val="1"/>
                <c:pt idx="0">
                  <c:v>全指工业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牛市组合!$C$2:$C$196</c:f>
              <c:numCache>
                <c:formatCode>0.00%</c:formatCode>
                <c:ptCount val="195"/>
                <c:pt idx="0">
                  <c:v>2.5028148488940722E-5</c:v>
                </c:pt>
                <c:pt idx="1">
                  <c:v>7.3677642797038206E-6</c:v>
                </c:pt>
                <c:pt idx="2">
                  <c:v>1.7502118129487206E-5</c:v>
                </c:pt>
                <c:pt idx="3">
                  <c:v>2.1713156410837255E-5</c:v>
                </c:pt>
                <c:pt idx="4">
                  <c:v>4.1797360215765778E-5</c:v>
                </c:pt>
                <c:pt idx="5">
                  <c:v>4.1199624865001399E-5</c:v>
                </c:pt>
                <c:pt idx="6">
                  <c:v>1.0746940157011617E-2</c:v>
                </c:pt>
                <c:pt idx="7">
                  <c:v>1.7049978549770008E-2</c:v>
                </c:pt>
                <c:pt idx="8">
                  <c:v>1.334483402827244E-5</c:v>
                </c:pt>
                <c:pt idx="9">
                  <c:v>1.7243396300117306E-5</c:v>
                </c:pt>
                <c:pt idx="10">
                  <c:v>7.2206298365259977E-2</c:v>
                </c:pt>
                <c:pt idx="11">
                  <c:v>8.0165217951472844E-6</c:v>
                </c:pt>
                <c:pt idx="12">
                  <c:v>1.6216052958415779E-2</c:v>
                </c:pt>
                <c:pt idx="13">
                  <c:v>9.0032095893579083E-5</c:v>
                </c:pt>
                <c:pt idx="14">
                  <c:v>9.3633696753901797E-5</c:v>
                </c:pt>
                <c:pt idx="15">
                  <c:v>8.618308217233553E-5</c:v>
                </c:pt>
                <c:pt idx="16">
                  <c:v>9.0294047412839158E-5</c:v>
                </c:pt>
                <c:pt idx="17">
                  <c:v>8.6857937301153737E-5</c:v>
                </c:pt>
                <c:pt idx="18">
                  <c:v>8.5516154418441534E-5</c:v>
                </c:pt>
                <c:pt idx="19">
                  <c:v>9.153207348367828E-5</c:v>
                </c:pt>
                <c:pt idx="20">
                  <c:v>8.7370544811065347E-5</c:v>
                </c:pt>
                <c:pt idx="21">
                  <c:v>9.9942434906287701E-3</c:v>
                </c:pt>
                <c:pt idx="22">
                  <c:v>8.9646904835753363E-5</c:v>
                </c:pt>
                <c:pt idx="23">
                  <c:v>9.254156236424139E-5</c:v>
                </c:pt>
                <c:pt idx="24">
                  <c:v>0.12583543595261334</c:v>
                </c:pt>
                <c:pt idx="25">
                  <c:v>0.12546497432830578</c:v>
                </c:pt>
                <c:pt idx="26">
                  <c:v>0.12602455288767039</c:v>
                </c:pt>
                <c:pt idx="27">
                  <c:v>2.7115064423906987E-2</c:v>
                </c:pt>
                <c:pt idx="28">
                  <c:v>3.4759842610777199E-3</c:v>
                </c:pt>
                <c:pt idx="29">
                  <c:v>1.4819883949778867E-5</c:v>
                </c:pt>
                <c:pt idx="30">
                  <c:v>1.5123825380350547E-5</c:v>
                </c:pt>
                <c:pt idx="31">
                  <c:v>3.5650184779491527E-6</c:v>
                </c:pt>
                <c:pt idx="32">
                  <c:v>8.4037144862028601E-6</c:v>
                </c:pt>
                <c:pt idx="33">
                  <c:v>2.5232346408063017E-7</c:v>
                </c:pt>
                <c:pt idx="34">
                  <c:v>8.8011612513790191E-6</c:v>
                </c:pt>
                <c:pt idx="35">
                  <c:v>1.4786126999362638E-5</c:v>
                </c:pt>
                <c:pt idx="36">
                  <c:v>9.4472807057164645E-6</c:v>
                </c:pt>
                <c:pt idx="37">
                  <c:v>2.1946063533980756E-5</c:v>
                </c:pt>
                <c:pt idx="38">
                  <c:v>9.1175471366185783E-5</c:v>
                </c:pt>
                <c:pt idx="39">
                  <c:v>1.6105578731364283E-6</c:v>
                </c:pt>
                <c:pt idx="40">
                  <c:v>5.2965875569125488E-6</c:v>
                </c:pt>
                <c:pt idx="41">
                  <c:v>7.8004230685194177E-6</c:v>
                </c:pt>
                <c:pt idx="42">
                  <c:v>1.2778365418603364E-5</c:v>
                </c:pt>
                <c:pt idx="43">
                  <c:v>6.4725856577754396E-6</c:v>
                </c:pt>
                <c:pt idx="44">
                  <c:v>9.1959659908236517E-6</c:v>
                </c:pt>
                <c:pt idx="45">
                  <c:v>1.8266122060922741E-5</c:v>
                </c:pt>
                <c:pt idx="46">
                  <c:v>2.2074010958536195E-5</c:v>
                </c:pt>
                <c:pt idx="47">
                  <c:v>2.3880438281175589E-5</c:v>
                </c:pt>
                <c:pt idx="48">
                  <c:v>6.1831498295480595E-6</c:v>
                </c:pt>
                <c:pt idx="49">
                  <c:v>9.4274790940436138E-5</c:v>
                </c:pt>
                <c:pt idx="50">
                  <c:v>1.743893119720155E-5</c:v>
                </c:pt>
                <c:pt idx="51">
                  <c:v>9.8280191407014612E-3</c:v>
                </c:pt>
                <c:pt idx="52">
                  <c:v>4.4419608288345507E-2</c:v>
                </c:pt>
                <c:pt idx="53">
                  <c:v>4.2007314051232925E-2</c:v>
                </c:pt>
                <c:pt idx="54">
                  <c:v>5.8195456413274026E-2</c:v>
                </c:pt>
                <c:pt idx="55">
                  <c:v>6.918206276310114E-2</c:v>
                </c:pt>
                <c:pt idx="56">
                  <c:v>6.4177478729168722E-2</c:v>
                </c:pt>
                <c:pt idx="57">
                  <c:v>5.8961786332617276E-2</c:v>
                </c:pt>
                <c:pt idx="58">
                  <c:v>5.1088950281410424E-2</c:v>
                </c:pt>
                <c:pt idx="59">
                  <c:v>4.0736552544434063E-2</c:v>
                </c:pt>
                <c:pt idx="60">
                  <c:v>4.8425595707143325E-2</c:v>
                </c:pt>
                <c:pt idx="61">
                  <c:v>4.5537598957872148E-2</c:v>
                </c:pt>
                <c:pt idx="62">
                  <c:v>4.2940677527973883E-2</c:v>
                </c:pt>
                <c:pt idx="63">
                  <c:v>3.8041319059019051E-2</c:v>
                </c:pt>
                <c:pt idx="64">
                  <c:v>7.4128637735722848E-3</c:v>
                </c:pt>
                <c:pt idx="65">
                  <c:v>1.836063941474116E-2</c:v>
                </c:pt>
                <c:pt idx="66">
                  <c:v>3.5775144075649024E-2</c:v>
                </c:pt>
                <c:pt idx="67">
                  <c:v>3.8772035679309202E-2</c:v>
                </c:pt>
                <c:pt idx="68">
                  <c:v>1.9593987827235158E-5</c:v>
                </c:pt>
                <c:pt idx="69">
                  <c:v>1.2687266204540059E-5</c:v>
                </c:pt>
                <c:pt idx="70">
                  <c:v>4.3296451444162789E-6</c:v>
                </c:pt>
                <c:pt idx="71">
                  <c:v>4.8277829434251642E-6</c:v>
                </c:pt>
                <c:pt idx="72">
                  <c:v>6.6565049341387256E-5</c:v>
                </c:pt>
                <c:pt idx="73">
                  <c:v>4.9634950543375178E-5</c:v>
                </c:pt>
                <c:pt idx="74">
                  <c:v>5.8277132462987063E-5</c:v>
                </c:pt>
                <c:pt idx="75">
                  <c:v>1.1007552995373878E-6</c:v>
                </c:pt>
                <c:pt idx="76">
                  <c:v>5.4779276764890587E-6</c:v>
                </c:pt>
                <c:pt idx="77">
                  <c:v>5.5922853677202579E-7</c:v>
                </c:pt>
                <c:pt idx="78">
                  <c:v>8.0597645129074098E-6</c:v>
                </c:pt>
                <c:pt idx="79">
                  <c:v>3.7438596823521068E-5</c:v>
                </c:pt>
                <c:pt idx="80">
                  <c:v>2.0189138186617155E-6</c:v>
                </c:pt>
                <c:pt idx="81">
                  <c:v>2.367272619197684E-6</c:v>
                </c:pt>
                <c:pt idx="82">
                  <c:v>2.1020556201325416E-5</c:v>
                </c:pt>
                <c:pt idx="83">
                  <c:v>1.561881411535725E-5</c:v>
                </c:pt>
                <c:pt idx="84">
                  <c:v>7.6227379800960332E-6</c:v>
                </c:pt>
                <c:pt idx="85">
                  <c:v>8.949092093149938E-6</c:v>
                </c:pt>
                <c:pt idx="86">
                  <c:v>4.621460839444858E-6</c:v>
                </c:pt>
                <c:pt idx="87">
                  <c:v>2.5028517071190879E-5</c:v>
                </c:pt>
                <c:pt idx="88">
                  <c:v>2.5048891429832201E-5</c:v>
                </c:pt>
                <c:pt idx="89">
                  <c:v>1.6970215873443929E-5</c:v>
                </c:pt>
                <c:pt idx="90">
                  <c:v>9.4058267182578355E-6</c:v>
                </c:pt>
                <c:pt idx="91">
                  <c:v>9.1839219598481061E-6</c:v>
                </c:pt>
                <c:pt idx="92">
                  <c:v>4.9859085641024335E-6</c:v>
                </c:pt>
                <c:pt idx="93">
                  <c:v>1.5488269416637847E-6</c:v>
                </c:pt>
                <c:pt idx="94">
                  <c:v>5.043942169902484E-6</c:v>
                </c:pt>
                <c:pt idx="95">
                  <c:v>4.7425288688710098E-7</c:v>
                </c:pt>
                <c:pt idx="96">
                  <c:v>8.6071865229966642E-6</c:v>
                </c:pt>
                <c:pt idx="97">
                  <c:v>3.0230269303452063E-6</c:v>
                </c:pt>
                <c:pt idx="98">
                  <c:v>7.4393839012545294E-6</c:v>
                </c:pt>
                <c:pt idx="99">
                  <c:v>3.0153390522559529E-5</c:v>
                </c:pt>
                <c:pt idx="100">
                  <c:v>4.3713647922036728E-5</c:v>
                </c:pt>
                <c:pt idx="101">
                  <c:v>4.9704058372271186E-5</c:v>
                </c:pt>
                <c:pt idx="102">
                  <c:v>3.8471037224810797E-5</c:v>
                </c:pt>
                <c:pt idx="103">
                  <c:v>3.364993653945918E-5</c:v>
                </c:pt>
                <c:pt idx="104">
                  <c:v>3.2494516652657089E-5</c:v>
                </c:pt>
                <c:pt idx="105">
                  <c:v>8.1307528794259678E-6</c:v>
                </c:pt>
                <c:pt idx="106">
                  <c:v>1.959009406028259E-6</c:v>
                </c:pt>
                <c:pt idx="107">
                  <c:v>2.1030118390748124E-6</c:v>
                </c:pt>
                <c:pt idx="108">
                  <c:v>1.768045137093152E-5</c:v>
                </c:pt>
                <c:pt idx="109">
                  <c:v>3.4917652323416141E-5</c:v>
                </c:pt>
                <c:pt idx="110">
                  <c:v>2.1997058155835273E-5</c:v>
                </c:pt>
                <c:pt idx="111">
                  <c:v>1.2096980700654608E-5</c:v>
                </c:pt>
                <c:pt idx="112">
                  <c:v>3.2853488066096075E-5</c:v>
                </c:pt>
                <c:pt idx="113">
                  <c:v>4.4615633718369886E-5</c:v>
                </c:pt>
                <c:pt idx="114">
                  <c:v>2.7865395286940799E-2</c:v>
                </c:pt>
                <c:pt idx="115">
                  <c:v>7.49881444807954E-3</c:v>
                </c:pt>
                <c:pt idx="116">
                  <c:v>4.5483646379668513E-3</c:v>
                </c:pt>
                <c:pt idx="117">
                  <c:v>5.8768365806141105E-3</c:v>
                </c:pt>
                <c:pt idx="118">
                  <c:v>6.119154330366942E-3</c:v>
                </c:pt>
                <c:pt idx="119">
                  <c:v>5.6497440495436113E-3</c:v>
                </c:pt>
                <c:pt idx="120">
                  <c:v>1.79557073681888E-2</c:v>
                </c:pt>
                <c:pt idx="121">
                  <c:v>1.0075128080912057E-2</c:v>
                </c:pt>
                <c:pt idx="122">
                  <c:v>1.9333546245134486E-2</c:v>
                </c:pt>
                <c:pt idx="123">
                  <c:v>9.3679813311742483E-6</c:v>
                </c:pt>
                <c:pt idx="124">
                  <c:v>4.3723354227917772E-5</c:v>
                </c:pt>
                <c:pt idx="125">
                  <c:v>5.4027747719580258E-5</c:v>
                </c:pt>
                <c:pt idx="126">
                  <c:v>8.9655962650683188E-5</c:v>
                </c:pt>
                <c:pt idx="127">
                  <c:v>4.5648907804440697E-2</c:v>
                </c:pt>
                <c:pt idx="128">
                  <c:v>5.2479374705629862E-2</c:v>
                </c:pt>
                <c:pt idx="129">
                  <c:v>5.8700656259537222E-2</c:v>
                </c:pt>
                <c:pt idx="130">
                  <c:v>5.8798378949802922E-2</c:v>
                </c:pt>
                <c:pt idx="131">
                  <c:v>2.0028354648216354E-2</c:v>
                </c:pt>
                <c:pt idx="132">
                  <c:v>2.3662827558259297E-2</c:v>
                </c:pt>
                <c:pt idx="133">
                  <c:v>4.1743399589514048E-5</c:v>
                </c:pt>
                <c:pt idx="134">
                  <c:v>1.7382879467126109E-2</c:v>
                </c:pt>
                <c:pt idx="135">
                  <c:v>3.2789477258498387E-2</c:v>
                </c:pt>
                <c:pt idx="136">
                  <c:v>2.9382723307473345E-2</c:v>
                </c:pt>
                <c:pt idx="137">
                  <c:v>4.2502023023569483E-3</c:v>
                </c:pt>
                <c:pt idx="138">
                  <c:v>8.9058625915384748E-5</c:v>
                </c:pt>
                <c:pt idx="139">
                  <c:v>8.0818690087457282E-5</c:v>
                </c:pt>
                <c:pt idx="140">
                  <c:v>7.2828480671787869E-5</c:v>
                </c:pt>
                <c:pt idx="141">
                  <c:v>8.6313103385940351E-5</c:v>
                </c:pt>
                <c:pt idx="142">
                  <c:v>8.1463540127145242E-5</c:v>
                </c:pt>
                <c:pt idx="143">
                  <c:v>2.8175852628374996E-6</c:v>
                </c:pt>
                <c:pt idx="144">
                  <c:v>5.6927291910094267E-5</c:v>
                </c:pt>
                <c:pt idx="145">
                  <c:v>3.4973307572295892E-5</c:v>
                </c:pt>
                <c:pt idx="146">
                  <c:v>1.069869175432697E-5</c:v>
                </c:pt>
                <c:pt idx="147">
                  <c:v>3.4401923884481734E-5</c:v>
                </c:pt>
                <c:pt idx="148">
                  <c:v>3.1698965026453063E-5</c:v>
                </c:pt>
                <c:pt idx="149">
                  <c:v>9.6046136451551609E-7</c:v>
                </c:pt>
                <c:pt idx="150">
                  <c:v>7.4712711771130871E-5</c:v>
                </c:pt>
                <c:pt idx="151">
                  <c:v>4.7201472231597634E-5</c:v>
                </c:pt>
                <c:pt idx="152">
                  <c:v>2.5026637076137755E-5</c:v>
                </c:pt>
                <c:pt idx="153">
                  <c:v>3.6419231305098303E-5</c:v>
                </c:pt>
                <c:pt idx="154">
                  <c:v>7.517166183338416E-5</c:v>
                </c:pt>
                <c:pt idx="155">
                  <c:v>8.7397462274611132E-5</c:v>
                </c:pt>
                <c:pt idx="156">
                  <c:v>8.4017060004742364E-5</c:v>
                </c:pt>
                <c:pt idx="157">
                  <c:v>8.4620941711439581E-5</c:v>
                </c:pt>
                <c:pt idx="158">
                  <c:v>7.1155815994421547E-5</c:v>
                </c:pt>
                <c:pt idx="159">
                  <c:v>9.1269598458778813E-5</c:v>
                </c:pt>
                <c:pt idx="160">
                  <c:v>8.4185167657798744E-5</c:v>
                </c:pt>
                <c:pt idx="161">
                  <c:v>9.019128688972765E-5</c:v>
                </c:pt>
                <c:pt idx="162">
                  <c:v>8.8544007698994055E-5</c:v>
                </c:pt>
                <c:pt idx="163">
                  <c:v>3.7494619536661437E-2</c:v>
                </c:pt>
                <c:pt idx="164">
                  <c:v>4.9053752396069177E-2</c:v>
                </c:pt>
                <c:pt idx="165">
                  <c:v>5.0778780383345837E-2</c:v>
                </c:pt>
                <c:pt idx="166">
                  <c:v>8.2569324872575796E-3</c:v>
                </c:pt>
                <c:pt idx="167">
                  <c:v>7.0111066451663845E-2</c:v>
                </c:pt>
                <c:pt idx="168">
                  <c:v>3.1737206939198674E-2</c:v>
                </c:pt>
                <c:pt idx="169">
                  <c:v>1.6396353978841715E-2</c:v>
                </c:pt>
                <c:pt idx="170">
                  <c:v>8.5414650561468648E-5</c:v>
                </c:pt>
                <c:pt idx="171">
                  <c:v>8.5892593677186916E-5</c:v>
                </c:pt>
                <c:pt idx="172">
                  <c:v>1.4718616185830542E-5</c:v>
                </c:pt>
                <c:pt idx="173">
                  <c:v>2.8525547342339328E-5</c:v>
                </c:pt>
                <c:pt idx="174">
                  <c:v>1.9225207767791862E-5</c:v>
                </c:pt>
                <c:pt idx="175">
                  <c:v>3.3810269288746036E-5</c:v>
                </c:pt>
                <c:pt idx="176">
                  <c:v>3.8226840874447501E-5</c:v>
                </c:pt>
                <c:pt idx="177">
                  <c:v>2.4941756709088569E-5</c:v>
                </c:pt>
                <c:pt idx="178">
                  <c:v>6.3519706701018383E-5</c:v>
                </c:pt>
                <c:pt idx="179">
                  <c:v>6.7032975702105527E-5</c:v>
                </c:pt>
                <c:pt idx="180">
                  <c:v>6.5116451433830494E-5</c:v>
                </c:pt>
                <c:pt idx="181">
                  <c:v>6.4311434370813164E-5</c:v>
                </c:pt>
                <c:pt idx="182">
                  <c:v>7.1522607357923012E-5</c:v>
                </c:pt>
                <c:pt idx="183">
                  <c:v>4.3955751640630794E-5</c:v>
                </c:pt>
                <c:pt idx="184">
                  <c:v>4.8559108483337805E-5</c:v>
                </c:pt>
                <c:pt idx="185">
                  <c:v>5.0067988836667686E-5</c:v>
                </c:pt>
                <c:pt idx="186">
                  <c:v>4.8279748134149957E-5</c:v>
                </c:pt>
                <c:pt idx="187">
                  <c:v>4.7882198100503442E-5</c:v>
                </c:pt>
                <c:pt idx="188">
                  <c:v>3.6392138499885842E-5</c:v>
                </c:pt>
                <c:pt idx="189">
                  <c:v>9.7817989918065019E-6</c:v>
                </c:pt>
                <c:pt idx="190">
                  <c:v>6.0415108095685991E-5</c:v>
                </c:pt>
                <c:pt idx="191">
                  <c:v>5.3911089145999657E-5</c:v>
                </c:pt>
                <c:pt idx="192">
                  <c:v>5.663386600183195E-5</c:v>
                </c:pt>
                <c:pt idx="193">
                  <c:v>2.1677422929450781E-5</c:v>
                </c:pt>
                <c:pt idx="194">
                  <c:v>9.4955838046985518E-6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C-4BFA-AB18-FDBA10B3703F}"/>
            </c:ext>
          </c:extLst>
        </c:ser>
        <c:ser>
          <c:idx val="2"/>
          <c:order val="2"/>
          <c:tx>
            <c:strRef>
              <c:f>牛市组合!$D$1</c:f>
              <c:strCache>
                <c:ptCount val="1"/>
                <c:pt idx="0">
                  <c:v>全指可选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牛市组合!$D$2:$D$196</c:f>
              <c:numCache>
                <c:formatCode>0.00%</c:formatCode>
                <c:ptCount val="195"/>
                <c:pt idx="0">
                  <c:v>0.17730491953004426</c:v>
                </c:pt>
                <c:pt idx="1">
                  <c:v>0.20070615486361756</c:v>
                </c:pt>
                <c:pt idx="2">
                  <c:v>0.20228601448799918</c:v>
                </c:pt>
                <c:pt idx="3">
                  <c:v>0.24959255069659675</c:v>
                </c:pt>
                <c:pt idx="4">
                  <c:v>0.26327645111079789</c:v>
                </c:pt>
                <c:pt idx="5">
                  <c:v>0.27065859848702323</c:v>
                </c:pt>
                <c:pt idx="6">
                  <c:v>0.28663144694938802</c:v>
                </c:pt>
                <c:pt idx="7">
                  <c:v>0.20716048102329951</c:v>
                </c:pt>
                <c:pt idx="8">
                  <c:v>0.10185801428607312</c:v>
                </c:pt>
                <c:pt idx="9">
                  <c:v>8.876817397377583E-2</c:v>
                </c:pt>
                <c:pt idx="10">
                  <c:v>8.4151609953466439E-5</c:v>
                </c:pt>
                <c:pt idx="11">
                  <c:v>8.1620387373630444E-6</c:v>
                </c:pt>
                <c:pt idx="12">
                  <c:v>5.7274778569556835E-5</c:v>
                </c:pt>
                <c:pt idx="13">
                  <c:v>6.0995302612369153E-6</c:v>
                </c:pt>
                <c:pt idx="14">
                  <c:v>1.7034389796866834E-6</c:v>
                </c:pt>
                <c:pt idx="15">
                  <c:v>1.433215899912321E-5</c:v>
                </c:pt>
                <c:pt idx="16">
                  <c:v>2.5889304360363561E-5</c:v>
                </c:pt>
                <c:pt idx="17">
                  <c:v>9.4711304891610326E-6</c:v>
                </c:pt>
                <c:pt idx="18">
                  <c:v>1.1986246846929235E-5</c:v>
                </c:pt>
                <c:pt idx="19">
                  <c:v>9.5895824643678202E-6</c:v>
                </c:pt>
                <c:pt idx="20">
                  <c:v>3.9076637214609152E-5</c:v>
                </c:pt>
                <c:pt idx="21">
                  <c:v>2.1785394183510264E-5</c:v>
                </c:pt>
                <c:pt idx="22">
                  <c:v>2.7115098033415333E-6</c:v>
                </c:pt>
                <c:pt idx="23">
                  <c:v>5.3671041060191541E-6</c:v>
                </c:pt>
                <c:pt idx="24">
                  <c:v>3.0322322992227687E-6</c:v>
                </c:pt>
                <c:pt idx="25">
                  <c:v>3.929269396553398E-5</c:v>
                </c:pt>
                <c:pt idx="26">
                  <c:v>1.0028083717962145E-2</c:v>
                </c:pt>
                <c:pt idx="27">
                  <c:v>2.6633778513692578E-2</c:v>
                </c:pt>
                <c:pt idx="28">
                  <c:v>2.22350130416928E-2</c:v>
                </c:pt>
                <c:pt idx="29">
                  <c:v>3.3059892025229551E-3</c:v>
                </c:pt>
                <c:pt idx="30">
                  <c:v>2.9890387378622937E-5</c:v>
                </c:pt>
                <c:pt idx="31">
                  <c:v>4.6919296950465484E-6</c:v>
                </c:pt>
                <c:pt idx="32">
                  <c:v>1.3281602029305755E-5</c:v>
                </c:pt>
                <c:pt idx="33">
                  <c:v>4.0205717185366971E-7</c:v>
                </c:pt>
                <c:pt idx="34">
                  <c:v>1.1098085233969323E-5</c:v>
                </c:pt>
                <c:pt idx="35">
                  <c:v>3.9527997531194943E-6</c:v>
                </c:pt>
                <c:pt idx="36">
                  <c:v>2.1473379785611226E-6</c:v>
                </c:pt>
                <c:pt idx="37">
                  <c:v>4.4048591575080054E-6</c:v>
                </c:pt>
                <c:pt idx="38">
                  <c:v>1.6730865251885451E-6</c:v>
                </c:pt>
                <c:pt idx="39">
                  <c:v>7.433293322596582E-7</c:v>
                </c:pt>
                <c:pt idx="40">
                  <c:v>2.5885483820645238E-6</c:v>
                </c:pt>
                <c:pt idx="41">
                  <c:v>3.3183747411809119E-6</c:v>
                </c:pt>
                <c:pt idx="42">
                  <c:v>5.4054140041708189E-6</c:v>
                </c:pt>
                <c:pt idx="43">
                  <c:v>2.8536428943123244E-6</c:v>
                </c:pt>
                <c:pt idx="44">
                  <c:v>4.5183846774791157E-6</c:v>
                </c:pt>
                <c:pt idx="45">
                  <c:v>8.3925683563033834E-6</c:v>
                </c:pt>
                <c:pt idx="46">
                  <c:v>1.4156159206627646E-5</c:v>
                </c:pt>
                <c:pt idx="47">
                  <c:v>1.5846702591406756E-5</c:v>
                </c:pt>
                <c:pt idx="48">
                  <c:v>3.100167416773233E-6</c:v>
                </c:pt>
                <c:pt idx="49">
                  <c:v>1.3462200642978916E-6</c:v>
                </c:pt>
                <c:pt idx="50">
                  <c:v>8.826994919483662E-6</c:v>
                </c:pt>
                <c:pt idx="51">
                  <c:v>9.1290939437122157E-7</c:v>
                </c:pt>
                <c:pt idx="52">
                  <c:v>4.5559454148118192E-7</c:v>
                </c:pt>
                <c:pt idx="53">
                  <c:v>8.4194701811920685E-5</c:v>
                </c:pt>
                <c:pt idx="54">
                  <c:v>8.2615035689311703E-5</c:v>
                </c:pt>
                <c:pt idx="55">
                  <c:v>8.4231621300681869E-5</c:v>
                </c:pt>
                <c:pt idx="56">
                  <c:v>8.5243664893813262E-5</c:v>
                </c:pt>
                <c:pt idx="57">
                  <c:v>9.0173785774370368E-5</c:v>
                </c:pt>
                <c:pt idx="58">
                  <c:v>8.844855477566107E-5</c:v>
                </c:pt>
                <c:pt idx="59">
                  <c:v>1.1870223680063392E-2</c:v>
                </c:pt>
                <c:pt idx="60">
                  <c:v>1.4622470309860296E-3</c:v>
                </c:pt>
                <c:pt idx="61">
                  <c:v>8.5042942516148288E-5</c:v>
                </c:pt>
                <c:pt idx="62">
                  <c:v>8.3589585840228856E-5</c:v>
                </c:pt>
                <c:pt idx="63">
                  <c:v>8.5567451014558439E-5</c:v>
                </c:pt>
                <c:pt idx="64">
                  <c:v>8.490428289050235E-5</c:v>
                </c:pt>
                <c:pt idx="65">
                  <c:v>8.7524366646068619E-5</c:v>
                </c:pt>
                <c:pt idx="66">
                  <c:v>1.3453402628251612E-2</c:v>
                </c:pt>
                <c:pt idx="67">
                  <c:v>2.3331726540862838E-2</c:v>
                </c:pt>
                <c:pt idx="68">
                  <c:v>4.9375134236389542E-5</c:v>
                </c:pt>
                <c:pt idx="69">
                  <c:v>6.3151482965005911E-5</c:v>
                </c:pt>
                <c:pt idx="70">
                  <c:v>9.1608661525521679E-5</c:v>
                </c:pt>
                <c:pt idx="71">
                  <c:v>3.5318930788701009E-3</c:v>
                </c:pt>
                <c:pt idx="72">
                  <c:v>3.1727380846044505E-2</c:v>
                </c:pt>
                <c:pt idx="73">
                  <c:v>2.4253726703669782E-2</c:v>
                </c:pt>
                <c:pt idx="74">
                  <c:v>8.6041641498403598E-2</c:v>
                </c:pt>
                <c:pt idx="75">
                  <c:v>0.12430242618195342</c:v>
                </c:pt>
                <c:pt idx="76">
                  <c:v>0.16424789293513506</c:v>
                </c:pt>
                <c:pt idx="77">
                  <c:v>0.16277436351143024</c:v>
                </c:pt>
                <c:pt idx="78">
                  <c:v>0.1006805047062993</c:v>
                </c:pt>
                <c:pt idx="79">
                  <c:v>7.0003396978070564E-2</c:v>
                </c:pt>
                <c:pt idx="80">
                  <c:v>7.6142362716929927E-3</c:v>
                </c:pt>
                <c:pt idx="81">
                  <c:v>9.6494032230096238E-3</c:v>
                </c:pt>
                <c:pt idx="82">
                  <c:v>0.11247367843701088</c:v>
                </c:pt>
                <c:pt idx="83">
                  <c:v>0.13652031126737763</c:v>
                </c:pt>
                <c:pt idx="84">
                  <c:v>8.3501879289203745E-2</c:v>
                </c:pt>
                <c:pt idx="85">
                  <c:v>8.8804280248416634E-2</c:v>
                </c:pt>
                <c:pt idx="86">
                  <c:v>8.5555350277537976E-5</c:v>
                </c:pt>
                <c:pt idx="87">
                  <c:v>6.5756645630871857E-5</c:v>
                </c:pt>
                <c:pt idx="88">
                  <c:v>6.5897394280614704E-5</c:v>
                </c:pt>
                <c:pt idx="89">
                  <c:v>8.253590410981495E-5</c:v>
                </c:pt>
                <c:pt idx="90">
                  <c:v>3.1426409157242423E-5</c:v>
                </c:pt>
                <c:pt idx="91">
                  <c:v>1.5744585088489533E-5</c:v>
                </c:pt>
                <c:pt idx="92">
                  <c:v>7.5951302695308372E-6</c:v>
                </c:pt>
                <c:pt idx="93">
                  <c:v>2.1473045460230079E-6</c:v>
                </c:pt>
                <c:pt idx="94">
                  <c:v>6.8197970014733296E-6</c:v>
                </c:pt>
                <c:pt idx="95">
                  <c:v>6.3954700793865833E-7</c:v>
                </c:pt>
                <c:pt idx="96">
                  <c:v>1.1116744192474687E-5</c:v>
                </c:pt>
                <c:pt idx="97">
                  <c:v>3.6510598611238083E-6</c:v>
                </c:pt>
                <c:pt idx="98">
                  <c:v>9.3276484576851169E-6</c:v>
                </c:pt>
                <c:pt idx="99">
                  <c:v>3.1812026673063572E-5</c:v>
                </c:pt>
                <c:pt idx="100">
                  <c:v>7.2880417896552114E-5</c:v>
                </c:pt>
                <c:pt idx="101">
                  <c:v>7.0180404505736411E-5</c:v>
                </c:pt>
                <c:pt idx="102">
                  <c:v>5.8260190250211447E-5</c:v>
                </c:pt>
                <c:pt idx="103">
                  <c:v>6.9888002272397594E-5</c:v>
                </c:pt>
                <c:pt idx="104">
                  <c:v>7.5210340768269945E-5</c:v>
                </c:pt>
                <c:pt idx="105">
                  <c:v>1.8546445348776569E-5</c:v>
                </c:pt>
                <c:pt idx="106">
                  <c:v>3.2799786497218477E-6</c:v>
                </c:pt>
                <c:pt idx="107">
                  <c:v>3.0296562446876633E-6</c:v>
                </c:pt>
                <c:pt idx="108">
                  <c:v>2.4479441315512123E-5</c:v>
                </c:pt>
                <c:pt idx="109">
                  <c:v>1.9756423450821752E-5</c:v>
                </c:pt>
                <c:pt idx="110">
                  <c:v>1.6831456514004264E-5</c:v>
                </c:pt>
                <c:pt idx="111">
                  <c:v>2.3582724709563538E-5</c:v>
                </c:pt>
                <c:pt idx="112">
                  <c:v>8.8665232799943852E-5</c:v>
                </c:pt>
                <c:pt idx="113">
                  <c:v>8.3336963755066898E-5</c:v>
                </c:pt>
                <c:pt idx="114">
                  <c:v>2.3796820149087459E-5</c:v>
                </c:pt>
                <c:pt idx="115">
                  <c:v>8.6132199681752871E-6</c:v>
                </c:pt>
                <c:pt idx="116">
                  <c:v>8.2407459462655611E-6</c:v>
                </c:pt>
                <c:pt idx="117">
                  <c:v>1.3163826964541918E-5</c:v>
                </c:pt>
                <c:pt idx="118">
                  <c:v>1.0429159728310117E-5</c:v>
                </c:pt>
                <c:pt idx="119">
                  <c:v>9.5089028537289919E-6</c:v>
                </c:pt>
                <c:pt idx="120">
                  <c:v>2.6850222550395971E-5</c:v>
                </c:pt>
                <c:pt idx="121">
                  <c:v>4.9418539980255053E-6</c:v>
                </c:pt>
                <c:pt idx="122">
                  <c:v>1.6245452442460688E-5</c:v>
                </c:pt>
                <c:pt idx="123">
                  <c:v>3.9066819282198854E-6</c:v>
                </c:pt>
                <c:pt idx="124">
                  <c:v>1.9081897272251564E-5</c:v>
                </c:pt>
                <c:pt idx="125">
                  <c:v>2.4552959227175037E-5</c:v>
                </c:pt>
                <c:pt idx="126">
                  <c:v>1.1925210861706166E-6</c:v>
                </c:pt>
                <c:pt idx="127">
                  <c:v>6.4914907747449049E-5</c:v>
                </c:pt>
                <c:pt idx="128">
                  <c:v>7.4312839992045839E-5</c:v>
                </c:pt>
                <c:pt idx="129">
                  <c:v>6.4862590388858126E-5</c:v>
                </c:pt>
                <c:pt idx="130">
                  <c:v>5.053792761819214E-5</c:v>
                </c:pt>
                <c:pt idx="131">
                  <c:v>3.1476102897262548E-2</c:v>
                </c:pt>
                <c:pt idx="132">
                  <c:v>4.4614957022137948E-2</c:v>
                </c:pt>
                <c:pt idx="133">
                  <c:v>9.0561262004681503E-5</c:v>
                </c:pt>
                <c:pt idx="134">
                  <c:v>4.0803027682386403E-2</c:v>
                </c:pt>
                <c:pt idx="135">
                  <c:v>2.1556574809198097E-3</c:v>
                </c:pt>
                <c:pt idx="136">
                  <c:v>9.3195408233629794E-5</c:v>
                </c:pt>
                <c:pt idx="137">
                  <c:v>5.7957436403226974E-2</c:v>
                </c:pt>
                <c:pt idx="138">
                  <c:v>9.9559237364835587E-2</c:v>
                </c:pt>
                <c:pt idx="139">
                  <c:v>0.16476334622526576</c:v>
                </c:pt>
                <c:pt idx="140">
                  <c:v>0.15201008750729281</c:v>
                </c:pt>
                <c:pt idx="141">
                  <c:v>0.11341614771092758</c:v>
                </c:pt>
                <c:pt idx="142">
                  <c:v>0.10210132760005122</c:v>
                </c:pt>
                <c:pt idx="143">
                  <c:v>8.3758098984278761E-5</c:v>
                </c:pt>
                <c:pt idx="144">
                  <c:v>8.369788088981496E-2</c:v>
                </c:pt>
                <c:pt idx="145">
                  <c:v>0.15452818674174579</c:v>
                </c:pt>
                <c:pt idx="146">
                  <c:v>0.17635375290705452</c:v>
                </c:pt>
                <c:pt idx="147">
                  <c:v>0.22114537099295289</c:v>
                </c:pt>
                <c:pt idx="148">
                  <c:v>0.22493926577442239</c:v>
                </c:pt>
                <c:pt idx="149">
                  <c:v>0.18622600389306887</c:v>
                </c:pt>
                <c:pt idx="150">
                  <c:v>0.15275539108403605</c:v>
                </c:pt>
                <c:pt idx="151">
                  <c:v>0.15869988497421328</c:v>
                </c:pt>
                <c:pt idx="152">
                  <c:v>0.16478984613786024</c:v>
                </c:pt>
                <c:pt idx="153">
                  <c:v>8.1213126584304393E-2</c:v>
                </c:pt>
                <c:pt idx="154">
                  <c:v>6.8491050903778286E-2</c:v>
                </c:pt>
                <c:pt idx="155">
                  <c:v>6.1976063165061115E-2</c:v>
                </c:pt>
                <c:pt idx="156">
                  <c:v>3.1861166884255152E-2</c:v>
                </c:pt>
                <c:pt idx="157">
                  <c:v>2.2611348701130566E-5</c:v>
                </c:pt>
                <c:pt idx="158">
                  <c:v>4.5499003862482165E-5</c:v>
                </c:pt>
                <c:pt idx="159">
                  <c:v>7.7317115954287682E-2</c:v>
                </c:pt>
                <c:pt idx="160">
                  <c:v>7.7227234543532822E-2</c:v>
                </c:pt>
                <c:pt idx="161">
                  <c:v>8.3651955688751611E-2</c:v>
                </c:pt>
                <c:pt idx="162">
                  <c:v>9.7519714823143575E-2</c:v>
                </c:pt>
                <c:pt idx="163">
                  <c:v>5.8611355384050379E-2</c:v>
                </c:pt>
                <c:pt idx="164">
                  <c:v>5.7401254514618173E-2</c:v>
                </c:pt>
                <c:pt idx="165">
                  <c:v>4.8867125762560061E-2</c:v>
                </c:pt>
                <c:pt idx="166">
                  <c:v>5.6557205969623998E-2</c:v>
                </c:pt>
                <c:pt idx="167">
                  <c:v>4.2021698804695735E-4</c:v>
                </c:pt>
                <c:pt idx="168">
                  <c:v>2.0312760672644738E-2</c:v>
                </c:pt>
                <c:pt idx="169">
                  <c:v>8.1772622679900625E-2</c:v>
                </c:pt>
                <c:pt idx="170">
                  <c:v>0.14064586201091725</c:v>
                </c:pt>
                <c:pt idx="171">
                  <c:v>0.16004593154777444</c:v>
                </c:pt>
                <c:pt idx="172">
                  <c:v>0.18875723015505519</c:v>
                </c:pt>
                <c:pt idx="173">
                  <c:v>0.20734517892025894</c:v>
                </c:pt>
                <c:pt idx="174">
                  <c:v>0.16491120858203012</c:v>
                </c:pt>
                <c:pt idx="175">
                  <c:v>0.1510945829706542</c:v>
                </c:pt>
                <c:pt idx="176">
                  <c:v>0.14814921676826409</c:v>
                </c:pt>
                <c:pt idx="177">
                  <c:v>0.15478754199831296</c:v>
                </c:pt>
                <c:pt idx="178">
                  <c:v>7.2054363691301776E-2</c:v>
                </c:pt>
                <c:pt idx="179">
                  <c:v>0.10066800949191651</c:v>
                </c:pt>
                <c:pt idx="180">
                  <c:v>9.8523261304541823E-2</c:v>
                </c:pt>
                <c:pt idx="181">
                  <c:v>9.827952199838931E-2</c:v>
                </c:pt>
                <c:pt idx="182">
                  <c:v>0.11426727189696605</c:v>
                </c:pt>
                <c:pt idx="183">
                  <c:v>0.14469828166155776</c:v>
                </c:pt>
                <c:pt idx="184">
                  <c:v>0.1373507681864802</c:v>
                </c:pt>
                <c:pt idx="185">
                  <c:v>6.5577178575403156E-2</c:v>
                </c:pt>
                <c:pt idx="186">
                  <c:v>6.7749586965432498E-2</c:v>
                </c:pt>
                <c:pt idx="187">
                  <c:v>7.1081986455497459E-2</c:v>
                </c:pt>
                <c:pt idx="188">
                  <c:v>4.920773097779519E-2</c:v>
                </c:pt>
                <c:pt idx="189">
                  <c:v>9.8260633217885765E-2</c:v>
                </c:pt>
                <c:pt idx="190">
                  <c:v>0.10086121631227647</c:v>
                </c:pt>
                <c:pt idx="191">
                  <c:v>9.4066339925800838E-2</c:v>
                </c:pt>
                <c:pt idx="192">
                  <c:v>9.1722918949709104E-2</c:v>
                </c:pt>
                <c:pt idx="193">
                  <c:v>5.8501798990409172E-2</c:v>
                </c:pt>
                <c:pt idx="194">
                  <c:v>6.4001853256598365E-2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4C-4BFA-AB18-FDBA10B3703F}"/>
            </c:ext>
          </c:extLst>
        </c:ser>
        <c:ser>
          <c:idx val="3"/>
          <c:order val="3"/>
          <c:tx>
            <c:strRef>
              <c:f>牛市组合!$E$1</c:f>
              <c:strCache>
                <c:ptCount val="1"/>
                <c:pt idx="0">
                  <c:v>全指材料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牛市组合!$E$2:$E$196</c:f>
              <c:numCache>
                <c:formatCode>0.00%</c:formatCode>
                <c:ptCount val="195"/>
                <c:pt idx="0">
                  <c:v>1.080941907225658E-5</c:v>
                </c:pt>
                <c:pt idx="1">
                  <c:v>2.5824591827604067E-6</c:v>
                </c:pt>
                <c:pt idx="2">
                  <c:v>6.9865698317138536E-6</c:v>
                </c:pt>
                <c:pt idx="3">
                  <c:v>8.8843418084855784E-6</c:v>
                </c:pt>
                <c:pt idx="4">
                  <c:v>1.0075355627619722E-5</c:v>
                </c:pt>
                <c:pt idx="5">
                  <c:v>9.3111977960553739E-6</c:v>
                </c:pt>
                <c:pt idx="6">
                  <c:v>3.4704175733256214E-6</c:v>
                </c:pt>
                <c:pt idx="7">
                  <c:v>6.2212298822533023E-6</c:v>
                </c:pt>
                <c:pt idx="8">
                  <c:v>1.8998843116113443E-6</c:v>
                </c:pt>
                <c:pt idx="9">
                  <c:v>4.0812726389405617E-6</c:v>
                </c:pt>
                <c:pt idx="10">
                  <c:v>4.1637756438988456E-6</c:v>
                </c:pt>
                <c:pt idx="11">
                  <c:v>5.4287942309702543E-7</c:v>
                </c:pt>
                <c:pt idx="12">
                  <c:v>9.5723477158863228E-6</c:v>
                </c:pt>
                <c:pt idx="13">
                  <c:v>2.1393128788488883E-6</c:v>
                </c:pt>
                <c:pt idx="14">
                  <c:v>5.5784355083304926E-7</c:v>
                </c:pt>
                <c:pt idx="15">
                  <c:v>4.3606586117979088E-6</c:v>
                </c:pt>
                <c:pt idx="16">
                  <c:v>8.6420342880835262E-6</c:v>
                </c:pt>
                <c:pt idx="17">
                  <c:v>3.4827347752497224E-6</c:v>
                </c:pt>
                <c:pt idx="18">
                  <c:v>6.5211273755746958E-6</c:v>
                </c:pt>
                <c:pt idx="19">
                  <c:v>4.3667435834846056E-6</c:v>
                </c:pt>
                <c:pt idx="20">
                  <c:v>1.2724472197454933E-5</c:v>
                </c:pt>
                <c:pt idx="21">
                  <c:v>1.4648602732870402E-5</c:v>
                </c:pt>
                <c:pt idx="22">
                  <c:v>1.5514822640438445E-6</c:v>
                </c:pt>
                <c:pt idx="23">
                  <c:v>4.5831535291873382E-6</c:v>
                </c:pt>
                <c:pt idx="24">
                  <c:v>9.0737324600634123E-7</c:v>
                </c:pt>
                <c:pt idx="25">
                  <c:v>1.2684104725873424E-5</c:v>
                </c:pt>
                <c:pt idx="26">
                  <c:v>1.0954942411844228E-5</c:v>
                </c:pt>
                <c:pt idx="27">
                  <c:v>4.5390819782188389E-2</c:v>
                </c:pt>
                <c:pt idx="28">
                  <c:v>7.8210299366427191E-2</c:v>
                </c:pt>
                <c:pt idx="29">
                  <c:v>9.2282709192463744E-2</c:v>
                </c:pt>
                <c:pt idx="30">
                  <c:v>3.1584502095056668E-5</c:v>
                </c:pt>
                <c:pt idx="31">
                  <c:v>3.0396761668793331E-2</c:v>
                </c:pt>
                <c:pt idx="32">
                  <c:v>8.2926136813388918E-5</c:v>
                </c:pt>
                <c:pt idx="33">
                  <c:v>4.3166050189912137E-6</c:v>
                </c:pt>
                <c:pt idx="34">
                  <c:v>4.7010337699782735E-5</c:v>
                </c:pt>
                <c:pt idx="35">
                  <c:v>8.3491186027558501E-5</c:v>
                </c:pt>
                <c:pt idx="36">
                  <c:v>3.3977021259617409E-5</c:v>
                </c:pt>
                <c:pt idx="37">
                  <c:v>9.1934443830910002E-3</c:v>
                </c:pt>
                <c:pt idx="38">
                  <c:v>0.10011738288859953</c:v>
                </c:pt>
                <c:pt idx="39">
                  <c:v>6.2690315475764549E-2</c:v>
                </c:pt>
                <c:pt idx="40">
                  <c:v>4.9096851030535404E-2</c:v>
                </c:pt>
                <c:pt idx="41">
                  <c:v>9.0940643425867944E-5</c:v>
                </c:pt>
                <c:pt idx="42">
                  <c:v>9.1189474633085558E-5</c:v>
                </c:pt>
                <c:pt idx="43">
                  <c:v>3.5567668781985615E-5</c:v>
                </c:pt>
                <c:pt idx="44">
                  <c:v>8.4256676430518993E-5</c:v>
                </c:pt>
                <c:pt idx="45">
                  <c:v>8.8533201489095605E-5</c:v>
                </c:pt>
                <c:pt idx="46">
                  <c:v>2.4074748431309464E-5</c:v>
                </c:pt>
                <c:pt idx="47">
                  <c:v>2.5398323820776569E-5</c:v>
                </c:pt>
                <c:pt idx="48">
                  <c:v>4.901486836877608E-6</c:v>
                </c:pt>
                <c:pt idx="49">
                  <c:v>1.6725728429729862E-6</c:v>
                </c:pt>
                <c:pt idx="50">
                  <c:v>9.5095283939679318E-6</c:v>
                </c:pt>
                <c:pt idx="51">
                  <c:v>7.9619067849056512E-7</c:v>
                </c:pt>
                <c:pt idx="52">
                  <c:v>1.7868328155869634E-7</c:v>
                </c:pt>
                <c:pt idx="53">
                  <c:v>7.0785894461224762E-6</c:v>
                </c:pt>
                <c:pt idx="54">
                  <c:v>5.1407728934132121E-6</c:v>
                </c:pt>
                <c:pt idx="55">
                  <c:v>2.9558617292179135E-6</c:v>
                </c:pt>
                <c:pt idx="56">
                  <c:v>1.8172899289350764E-6</c:v>
                </c:pt>
                <c:pt idx="57">
                  <c:v>1.4188128722832474E-6</c:v>
                </c:pt>
                <c:pt idx="58">
                  <c:v>3.663230899958153E-6</c:v>
                </c:pt>
                <c:pt idx="59">
                  <c:v>3.9051669939852945E-6</c:v>
                </c:pt>
                <c:pt idx="60">
                  <c:v>3.7770922153957666E-7</c:v>
                </c:pt>
                <c:pt idx="61">
                  <c:v>1.4525522403883837E-6</c:v>
                </c:pt>
                <c:pt idx="62">
                  <c:v>2.0276229113726785E-6</c:v>
                </c:pt>
                <c:pt idx="63">
                  <c:v>7.1503246104066737E-7</c:v>
                </c:pt>
                <c:pt idx="64">
                  <c:v>2.0174945030592222E-6</c:v>
                </c:pt>
                <c:pt idx="65">
                  <c:v>7.8463547690338681E-7</c:v>
                </c:pt>
                <c:pt idx="66">
                  <c:v>4.5333357769390254E-6</c:v>
                </c:pt>
                <c:pt idx="67">
                  <c:v>6.399161968898894E-6</c:v>
                </c:pt>
                <c:pt idx="68">
                  <c:v>6.146443834456232E-6</c:v>
                </c:pt>
                <c:pt idx="69">
                  <c:v>5.6396758971183395E-6</c:v>
                </c:pt>
                <c:pt idx="70">
                  <c:v>8.893202100329924E-7</c:v>
                </c:pt>
                <c:pt idx="71">
                  <c:v>7.8173889409543925E-7</c:v>
                </c:pt>
                <c:pt idx="72">
                  <c:v>5.3976946545738778E-6</c:v>
                </c:pt>
                <c:pt idx="73">
                  <c:v>5.1782897706958536E-6</c:v>
                </c:pt>
                <c:pt idx="74">
                  <c:v>2.8026484013886088E-6</c:v>
                </c:pt>
                <c:pt idx="75">
                  <c:v>5.1119371656157378E-7</c:v>
                </c:pt>
                <c:pt idx="76">
                  <c:v>2.6282039653983816E-6</c:v>
                </c:pt>
                <c:pt idx="77">
                  <c:v>2.3696173887183294E-7</c:v>
                </c:pt>
                <c:pt idx="78">
                  <c:v>5.0150440713055033E-6</c:v>
                </c:pt>
                <c:pt idx="79">
                  <c:v>1.2693736158623079E-5</c:v>
                </c:pt>
                <c:pt idx="80">
                  <c:v>6.9477463682551863E-7</c:v>
                </c:pt>
                <c:pt idx="81">
                  <c:v>1.2435068727912228E-6</c:v>
                </c:pt>
                <c:pt idx="82">
                  <c:v>9.6831647617665033E-6</c:v>
                </c:pt>
                <c:pt idx="83">
                  <c:v>6.228933690946438E-6</c:v>
                </c:pt>
                <c:pt idx="84">
                  <c:v>3.0341011174561467E-6</c:v>
                </c:pt>
                <c:pt idx="85">
                  <c:v>3.8639810257160273E-6</c:v>
                </c:pt>
                <c:pt idx="86">
                  <c:v>2.3380399029226302E-6</c:v>
                </c:pt>
                <c:pt idx="87">
                  <c:v>3.1885354073156249E-5</c:v>
                </c:pt>
                <c:pt idx="88">
                  <c:v>3.9182398273317556E-5</c:v>
                </c:pt>
                <c:pt idx="89">
                  <c:v>5.1770690299734963E-5</c:v>
                </c:pt>
                <c:pt idx="90">
                  <c:v>8.8470037749721235E-5</c:v>
                </c:pt>
                <c:pt idx="91">
                  <c:v>8.7184615202315387E-3</c:v>
                </c:pt>
                <c:pt idx="92">
                  <c:v>2.4652779588440595E-2</c:v>
                </c:pt>
                <c:pt idx="93">
                  <c:v>1.2912809718903975E-2</c:v>
                </c:pt>
                <c:pt idx="94">
                  <c:v>1.7911394378831408E-2</c:v>
                </c:pt>
                <c:pt idx="95">
                  <c:v>2.1301346225598025E-2</c:v>
                </c:pt>
                <c:pt idx="96">
                  <c:v>1.427320859487937E-2</c:v>
                </c:pt>
                <c:pt idx="97">
                  <c:v>2.9452107464288326E-3</c:v>
                </c:pt>
                <c:pt idx="98">
                  <c:v>4.7031255054994945E-3</c:v>
                </c:pt>
                <c:pt idx="99">
                  <c:v>1.5332814293946314E-2</c:v>
                </c:pt>
                <c:pt idx="100">
                  <c:v>2.4987590299247849E-2</c:v>
                </c:pt>
                <c:pt idx="101">
                  <c:v>2.655276398787899E-2</c:v>
                </c:pt>
                <c:pt idx="102">
                  <c:v>2.6237647961371978E-2</c:v>
                </c:pt>
                <c:pt idx="103">
                  <c:v>2.2968413116427111E-2</c:v>
                </c:pt>
                <c:pt idx="104">
                  <c:v>2.5488438371078125E-2</c:v>
                </c:pt>
                <c:pt idx="105">
                  <c:v>7.7608553072913991E-2</c:v>
                </c:pt>
                <c:pt idx="106">
                  <c:v>4.7475362591984184E-2</c:v>
                </c:pt>
                <c:pt idx="107">
                  <c:v>5.7431234272643079E-2</c:v>
                </c:pt>
                <c:pt idx="108">
                  <c:v>0.11577314811811996</c:v>
                </c:pt>
                <c:pt idx="109">
                  <c:v>0.11716282399215594</c:v>
                </c:pt>
                <c:pt idx="110">
                  <c:v>0.12450611899214475</c:v>
                </c:pt>
                <c:pt idx="111">
                  <c:v>0.14837108817775951</c:v>
                </c:pt>
                <c:pt idx="112">
                  <c:v>0.19568243298383015</c:v>
                </c:pt>
                <c:pt idx="113">
                  <c:v>0.18522199978741533</c:v>
                </c:pt>
                <c:pt idx="114">
                  <c:v>0.21565361677626554</c:v>
                </c:pt>
                <c:pt idx="115">
                  <c:v>0.23334578187283822</c:v>
                </c:pt>
                <c:pt idx="116">
                  <c:v>0.23329233780064348</c:v>
                </c:pt>
                <c:pt idx="117">
                  <c:v>0.2319000540597122</c:v>
                </c:pt>
                <c:pt idx="118">
                  <c:v>0.23222332921074051</c:v>
                </c:pt>
                <c:pt idx="119">
                  <c:v>0.23246384804440898</c:v>
                </c:pt>
                <c:pt idx="120">
                  <c:v>0.24836370828225174</c:v>
                </c:pt>
                <c:pt idx="121">
                  <c:v>0.26867713133224941</c:v>
                </c:pt>
                <c:pt idx="122">
                  <c:v>0.26645339700555282</c:v>
                </c:pt>
                <c:pt idx="123">
                  <c:v>0.28047418179726041</c:v>
                </c:pt>
                <c:pt idx="124">
                  <c:v>0.2712873631323004</c:v>
                </c:pt>
                <c:pt idx="125">
                  <c:v>0.2658424778998057</c:v>
                </c:pt>
                <c:pt idx="126">
                  <c:v>0.21171447347602973</c:v>
                </c:pt>
                <c:pt idx="127">
                  <c:v>0.1728524419833756</c:v>
                </c:pt>
                <c:pt idx="128">
                  <c:v>0.17357276350797751</c:v>
                </c:pt>
                <c:pt idx="129">
                  <c:v>0.17083128536615524</c:v>
                </c:pt>
                <c:pt idx="130">
                  <c:v>9.2409920280358271E-2</c:v>
                </c:pt>
                <c:pt idx="131">
                  <c:v>0.12262565254046565</c:v>
                </c:pt>
                <c:pt idx="132">
                  <c:v>0.10696824221223096</c:v>
                </c:pt>
                <c:pt idx="133">
                  <c:v>0.10552089264933906</c:v>
                </c:pt>
                <c:pt idx="134">
                  <c:v>0.1096470881005331</c:v>
                </c:pt>
                <c:pt idx="135">
                  <c:v>9.7484095833547918E-2</c:v>
                </c:pt>
                <c:pt idx="136">
                  <c:v>0.10399326661126028</c:v>
                </c:pt>
                <c:pt idx="137">
                  <c:v>9.5428336963169838E-2</c:v>
                </c:pt>
                <c:pt idx="138">
                  <c:v>9.3379934801305658E-2</c:v>
                </c:pt>
                <c:pt idx="139">
                  <c:v>6.0572473862680262E-2</c:v>
                </c:pt>
                <c:pt idx="140">
                  <c:v>6.2132861121919063E-2</c:v>
                </c:pt>
                <c:pt idx="141">
                  <c:v>8.9702633295700829E-2</c:v>
                </c:pt>
                <c:pt idx="142">
                  <c:v>0.10421898671372741</c:v>
                </c:pt>
                <c:pt idx="143">
                  <c:v>0.17866251945095127</c:v>
                </c:pt>
                <c:pt idx="144">
                  <c:v>0.18719528213855127</c:v>
                </c:pt>
                <c:pt idx="145">
                  <c:v>0.12062961129450739</c:v>
                </c:pt>
                <c:pt idx="146">
                  <c:v>0.13185394421766938</c:v>
                </c:pt>
                <c:pt idx="147">
                  <c:v>0.16136707246840815</c:v>
                </c:pt>
                <c:pt idx="148">
                  <c:v>0.15901633391881606</c:v>
                </c:pt>
                <c:pt idx="149">
                  <c:v>0.15127396612532862</c:v>
                </c:pt>
                <c:pt idx="150">
                  <c:v>0.15255413282058178</c:v>
                </c:pt>
                <c:pt idx="151">
                  <c:v>0.16230132144140022</c:v>
                </c:pt>
                <c:pt idx="152">
                  <c:v>0.16995389750380829</c:v>
                </c:pt>
                <c:pt idx="153">
                  <c:v>0.18003744629795612</c:v>
                </c:pt>
                <c:pt idx="154">
                  <c:v>0.1761490946738303</c:v>
                </c:pt>
                <c:pt idx="155">
                  <c:v>0.17904399879675245</c:v>
                </c:pt>
                <c:pt idx="156">
                  <c:v>0.17405177633363147</c:v>
                </c:pt>
                <c:pt idx="157">
                  <c:v>0.1415311194461224</c:v>
                </c:pt>
                <c:pt idx="158">
                  <c:v>0.12078860885922284</c:v>
                </c:pt>
                <c:pt idx="159">
                  <c:v>0.10718068288131949</c:v>
                </c:pt>
                <c:pt idx="160">
                  <c:v>0.10680066413273889</c:v>
                </c:pt>
                <c:pt idx="161">
                  <c:v>0.10259323358586109</c:v>
                </c:pt>
                <c:pt idx="162">
                  <c:v>0.10763370261474679</c:v>
                </c:pt>
                <c:pt idx="163">
                  <c:v>7.8317653811992363E-2</c:v>
                </c:pt>
                <c:pt idx="164">
                  <c:v>5.401673722707287E-2</c:v>
                </c:pt>
                <c:pt idx="165">
                  <c:v>4.5946921060229538E-2</c:v>
                </c:pt>
                <c:pt idx="166">
                  <c:v>7.8335698272267093E-2</c:v>
                </c:pt>
                <c:pt idx="167">
                  <c:v>7.4585496897644016E-2</c:v>
                </c:pt>
                <c:pt idx="168">
                  <c:v>8.1645955103576195E-2</c:v>
                </c:pt>
                <c:pt idx="169">
                  <c:v>6.382221303560516E-2</c:v>
                </c:pt>
                <c:pt idx="170">
                  <c:v>2.4676380052854236E-2</c:v>
                </c:pt>
                <c:pt idx="171">
                  <c:v>2.8176172211073127E-2</c:v>
                </c:pt>
                <c:pt idx="172">
                  <c:v>8.9039377740085746E-2</c:v>
                </c:pt>
                <c:pt idx="173">
                  <c:v>0.11340114574701481</c:v>
                </c:pt>
                <c:pt idx="174">
                  <c:v>8.394647214164809E-2</c:v>
                </c:pt>
                <c:pt idx="175">
                  <c:v>6.913404015558329E-2</c:v>
                </c:pt>
                <c:pt idx="176">
                  <c:v>6.5086302984672231E-2</c:v>
                </c:pt>
                <c:pt idx="177">
                  <c:v>5.9187115839347548E-2</c:v>
                </c:pt>
                <c:pt idx="178">
                  <c:v>8.8567491082285316E-2</c:v>
                </c:pt>
                <c:pt idx="179">
                  <c:v>6.5673737854672357E-2</c:v>
                </c:pt>
                <c:pt idx="180">
                  <c:v>6.7365515965423187E-2</c:v>
                </c:pt>
                <c:pt idx="181">
                  <c:v>7.2740952859199098E-2</c:v>
                </c:pt>
                <c:pt idx="182">
                  <c:v>4.9919643022949038E-2</c:v>
                </c:pt>
                <c:pt idx="183">
                  <c:v>3.0053827585174726E-2</c:v>
                </c:pt>
                <c:pt idx="184">
                  <c:v>3.8480046698537683E-2</c:v>
                </c:pt>
                <c:pt idx="185">
                  <c:v>0.17730285871475904</c:v>
                </c:pt>
                <c:pt idx="186">
                  <c:v>0.18554537710047939</c:v>
                </c:pt>
                <c:pt idx="187">
                  <c:v>0.17166317312605206</c:v>
                </c:pt>
                <c:pt idx="188">
                  <c:v>0.1943497964689801</c:v>
                </c:pt>
                <c:pt idx="189">
                  <c:v>0.17511087410960621</c:v>
                </c:pt>
                <c:pt idx="190">
                  <c:v>0.17581574139425346</c:v>
                </c:pt>
                <c:pt idx="191">
                  <c:v>0.16372091747147413</c:v>
                </c:pt>
                <c:pt idx="192">
                  <c:v>0.15472071802949189</c:v>
                </c:pt>
                <c:pt idx="193">
                  <c:v>0.2060204612235487</c:v>
                </c:pt>
                <c:pt idx="194">
                  <c:v>0.18987477395941452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64C-4BFA-AB18-FDBA10B3703F}"/>
            </c:ext>
          </c:extLst>
        </c:ser>
        <c:ser>
          <c:idx val="4"/>
          <c:order val="4"/>
          <c:tx>
            <c:strRef>
              <c:f>牛市组合!$F$1</c:f>
              <c:strCache>
                <c:ptCount val="1"/>
                <c:pt idx="0">
                  <c:v>全指信息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牛市组合!$F$2:$F$196</c:f>
              <c:numCache>
                <c:formatCode>0.00%</c:formatCode>
                <c:ptCount val="195"/>
                <c:pt idx="0">
                  <c:v>0.38596186082432971</c:v>
                </c:pt>
                <c:pt idx="1">
                  <c:v>0.39094827712832148</c:v>
                </c:pt>
                <c:pt idx="2">
                  <c:v>0.39728808278827243</c:v>
                </c:pt>
                <c:pt idx="3">
                  <c:v>0.40562864387552106</c:v>
                </c:pt>
                <c:pt idx="4">
                  <c:v>0.4174024013288215</c:v>
                </c:pt>
                <c:pt idx="5">
                  <c:v>0.41940197129084472</c:v>
                </c:pt>
                <c:pt idx="6">
                  <c:v>0.38374969504676915</c:v>
                </c:pt>
                <c:pt idx="7">
                  <c:v>0.44716724408799918</c:v>
                </c:pt>
                <c:pt idx="8">
                  <c:v>0.47669814703140806</c:v>
                </c:pt>
                <c:pt idx="9">
                  <c:v>0.49282505316124553</c:v>
                </c:pt>
                <c:pt idx="10">
                  <c:v>0.50881445936161362</c:v>
                </c:pt>
                <c:pt idx="11">
                  <c:v>0.47807453964317043</c:v>
                </c:pt>
                <c:pt idx="12">
                  <c:v>0.4423296335748968</c:v>
                </c:pt>
                <c:pt idx="13">
                  <c:v>0.43266201855420011</c:v>
                </c:pt>
                <c:pt idx="14">
                  <c:v>0.39905945964174411</c:v>
                </c:pt>
                <c:pt idx="15">
                  <c:v>0.40366482829032629</c:v>
                </c:pt>
                <c:pt idx="16">
                  <c:v>0.412692759407153</c:v>
                </c:pt>
                <c:pt idx="17">
                  <c:v>0.43420430238632729</c:v>
                </c:pt>
                <c:pt idx="18">
                  <c:v>0.43439614385824693</c:v>
                </c:pt>
                <c:pt idx="19">
                  <c:v>0.42866061856604087</c:v>
                </c:pt>
                <c:pt idx="20">
                  <c:v>0.4308751734857687</c:v>
                </c:pt>
                <c:pt idx="21">
                  <c:v>0.44161695019962721</c:v>
                </c:pt>
                <c:pt idx="22">
                  <c:v>0.44972815833545315</c:v>
                </c:pt>
                <c:pt idx="23">
                  <c:v>0.46782996707408442</c:v>
                </c:pt>
                <c:pt idx="24">
                  <c:v>0.44804571589171072</c:v>
                </c:pt>
                <c:pt idx="25">
                  <c:v>0.44471454000187594</c:v>
                </c:pt>
                <c:pt idx="26">
                  <c:v>0.4538454349162151</c:v>
                </c:pt>
                <c:pt idx="27">
                  <c:v>0.49302862511794443</c:v>
                </c:pt>
                <c:pt idx="28">
                  <c:v>0.50521216253847612</c:v>
                </c:pt>
                <c:pt idx="29">
                  <c:v>0.51874587889453316</c:v>
                </c:pt>
                <c:pt idx="30">
                  <c:v>0.57035141721899063</c:v>
                </c:pt>
                <c:pt idx="31">
                  <c:v>0.59229119319904389</c:v>
                </c:pt>
                <c:pt idx="32">
                  <c:v>0.58899129854264709</c:v>
                </c:pt>
                <c:pt idx="33">
                  <c:v>0.59135359770326912</c:v>
                </c:pt>
                <c:pt idx="34">
                  <c:v>0.59197686849325903</c:v>
                </c:pt>
                <c:pt idx="35">
                  <c:v>0.60442729938890649</c:v>
                </c:pt>
                <c:pt idx="36">
                  <c:v>0.60373561779692808</c:v>
                </c:pt>
                <c:pt idx="37">
                  <c:v>0.61022098349697029</c:v>
                </c:pt>
                <c:pt idx="38">
                  <c:v>0.59726929229961645</c:v>
                </c:pt>
                <c:pt idx="39">
                  <c:v>0.58074550194481234</c:v>
                </c:pt>
                <c:pt idx="40">
                  <c:v>0.58679171832560062</c:v>
                </c:pt>
                <c:pt idx="41">
                  <c:v>0.50266487689759887</c:v>
                </c:pt>
                <c:pt idx="42">
                  <c:v>0.50194738226842417</c:v>
                </c:pt>
                <c:pt idx="43">
                  <c:v>0.50398778450703929</c:v>
                </c:pt>
                <c:pt idx="44">
                  <c:v>0.49967655563450647</c:v>
                </c:pt>
                <c:pt idx="45">
                  <c:v>0.50312021139562391</c:v>
                </c:pt>
                <c:pt idx="46">
                  <c:v>0.46897990002443413</c:v>
                </c:pt>
                <c:pt idx="47">
                  <c:v>0.46758007724104272</c:v>
                </c:pt>
                <c:pt idx="48">
                  <c:v>0.47937838913981207</c:v>
                </c:pt>
                <c:pt idx="49">
                  <c:v>0.48871456710768546</c:v>
                </c:pt>
                <c:pt idx="50">
                  <c:v>0.46125941130031328</c:v>
                </c:pt>
                <c:pt idx="51">
                  <c:v>0.46787459707861856</c:v>
                </c:pt>
                <c:pt idx="52">
                  <c:v>0.50630969629447664</c:v>
                </c:pt>
                <c:pt idx="53">
                  <c:v>0.52036092571233827</c:v>
                </c:pt>
                <c:pt idx="54">
                  <c:v>0.55458221229464366</c:v>
                </c:pt>
                <c:pt idx="55">
                  <c:v>0.55601610989980388</c:v>
                </c:pt>
                <c:pt idx="56">
                  <c:v>0.55788598976088366</c:v>
                </c:pt>
                <c:pt idx="57">
                  <c:v>0.57547718812894599</c:v>
                </c:pt>
                <c:pt idx="58">
                  <c:v>0.58191294791488368</c:v>
                </c:pt>
                <c:pt idx="59">
                  <c:v>0.57639100403638566</c:v>
                </c:pt>
                <c:pt idx="60">
                  <c:v>0.57758862610039197</c:v>
                </c:pt>
                <c:pt idx="61">
                  <c:v>0.56995212038171694</c:v>
                </c:pt>
                <c:pt idx="62">
                  <c:v>0.56490238793165248</c:v>
                </c:pt>
                <c:pt idx="63">
                  <c:v>0.56321811453262793</c:v>
                </c:pt>
                <c:pt idx="64">
                  <c:v>0.53934417338478524</c:v>
                </c:pt>
                <c:pt idx="65">
                  <c:v>0.5702631977935797</c:v>
                </c:pt>
                <c:pt idx="66">
                  <c:v>0.59037604648654785</c:v>
                </c:pt>
                <c:pt idx="67">
                  <c:v>0.58409859847200862</c:v>
                </c:pt>
                <c:pt idx="68">
                  <c:v>0.59032314111857609</c:v>
                </c:pt>
                <c:pt idx="69">
                  <c:v>0.60448813771204324</c:v>
                </c:pt>
                <c:pt idx="70">
                  <c:v>0.56441879593576449</c:v>
                </c:pt>
                <c:pt idx="71">
                  <c:v>0.55955426430353616</c:v>
                </c:pt>
                <c:pt idx="72">
                  <c:v>0.56623293801654107</c:v>
                </c:pt>
                <c:pt idx="73">
                  <c:v>0.56177566736988271</c:v>
                </c:pt>
                <c:pt idx="74">
                  <c:v>0.56870659732316253</c:v>
                </c:pt>
                <c:pt idx="75">
                  <c:v>0.53303312188934493</c:v>
                </c:pt>
                <c:pt idx="76">
                  <c:v>0.51861652431260763</c:v>
                </c:pt>
                <c:pt idx="77">
                  <c:v>0.51572656977657316</c:v>
                </c:pt>
                <c:pt idx="78">
                  <c:v>0.57086573800056617</c:v>
                </c:pt>
                <c:pt idx="79">
                  <c:v>0.55977680453227163</c:v>
                </c:pt>
                <c:pt idx="80">
                  <c:v>0.56728562884955902</c:v>
                </c:pt>
                <c:pt idx="81">
                  <c:v>0.66663670464896341</c:v>
                </c:pt>
                <c:pt idx="82">
                  <c:v>0.626560035810102</c:v>
                </c:pt>
                <c:pt idx="83">
                  <c:v>0.60336287216387319</c:v>
                </c:pt>
                <c:pt idx="84">
                  <c:v>0.62035207294450534</c:v>
                </c:pt>
                <c:pt idx="85">
                  <c:v>0.62110502463382755</c:v>
                </c:pt>
                <c:pt idx="86">
                  <c:v>0.66499601157537702</c:v>
                </c:pt>
                <c:pt idx="87">
                  <c:v>0.65332695734480839</c:v>
                </c:pt>
                <c:pt idx="88">
                  <c:v>0.66283796133343875</c:v>
                </c:pt>
                <c:pt idx="89">
                  <c:v>0.64800544894378564</c:v>
                </c:pt>
                <c:pt idx="90">
                  <c:v>0.656699472841899</c:v>
                </c:pt>
                <c:pt idx="91">
                  <c:v>0.67083130179080375</c:v>
                </c:pt>
                <c:pt idx="92">
                  <c:v>0.67721818030680747</c:v>
                </c:pt>
                <c:pt idx="93">
                  <c:v>0.6681367229968046</c:v>
                </c:pt>
                <c:pt idx="94">
                  <c:v>0.66944143205131168</c:v>
                </c:pt>
                <c:pt idx="95">
                  <c:v>0.65847824582967962</c:v>
                </c:pt>
                <c:pt idx="96">
                  <c:v>0.64320704089844227</c:v>
                </c:pt>
                <c:pt idx="97">
                  <c:v>0.64665485203566386</c:v>
                </c:pt>
                <c:pt idx="98">
                  <c:v>0.61286325249047358</c:v>
                </c:pt>
                <c:pt idx="99">
                  <c:v>0.60628743937413732</c:v>
                </c:pt>
                <c:pt idx="100">
                  <c:v>0.58955232205132291</c:v>
                </c:pt>
                <c:pt idx="101">
                  <c:v>0.58571389599005041</c:v>
                </c:pt>
                <c:pt idx="102">
                  <c:v>0.58886065958554823</c:v>
                </c:pt>
                <c:pt idx="103">
                  <c:v>0.58107429021316437</c:v>
                </c:pt>
                <c:pt idx="104">
                  <c:v>0.57351899379572524</c:v>
                </c:pt>
                <c:pt idx="105">
                  <c:v>0.56038303027231873</c:v>
                </c:pt>
                <c:pt idx="106">
                  <c:v>0.57467747814415093</c:v>
                </c:pt>
                <c:pt idx="107">
                  <c:v>0.57343098096073519</c:v>
                </c:pt>
                <c:pt idx="108">
                  <c:v>0.55523198077155667</c:v>
                </c:pt>
                <c:pt idx="109">
                  <c:v>0.56132254908736279</c:v>
                </c:pt>
                <c:pt idx="110">
                  <c:v>0.5674802821805407</c:v>
                </c:pt>
                <c:pt idx="111">
                  <c:v>0.55305370253161512</c:v>
                </c:pt>
                <c:pt idx="112">
                  <c:v>0.52464541923012575</c:v>
                </c:pt>
                <c:pt idx="113">
                  <c:v>0.52620662114285321</c:v>
                </c:pt>
                <c:pt idx="114">
                  <c:v>0.45744339211553436</c:v>
                </c:pt>
                <c:pt idx="115">
                  <c:v>0.45107821394041653</c:v>
                </c:pt>
                <c:pt idx="116">
                  <c:v>0.44928536353239612</c:v>
                </c:pt>
                <c:pt idx="117">
                  <c:v>0.45219111179655053</c:v>
                </c:pt>
                <c:pt idx="118">
                  <c:v>0.45200396954538125</c:v>
                </c:pt>
                <c:pt idx="119">
                  <c:v>0.45257449605182321</c:v>
                </c:pt>
                <c:pt idx="120">
                  <c:v>0.43866178424967039</c:v>
                </c:pt>
                <c:pt idx="121">
                  <c:v>0.4285723206469163</c:v>
                </c:pt>
                <c:pt idx="122">
                  <c:v>0.4218305725060571</c:v>
                </c:pt>
                <c:pt idx="123">
                  <c:v>0.44637792019303707</c:v>
                </c:pt>
                <c:pt idx="124">
                  <c:v>0.4500459001907377</c:v>
                </c:pt>
                <c:pt idx="125">
                  <c:v>0.46090947892618772</c:v>
                </c:pt>
                <c:pt idx="126">
                  <c:v>0.46644073274055903</c:v>
                </c:pt>
                <c:pt idx="127">
                  <c:v>0.46085125675006117</c:v>
                </c:pt>
                <c:pt idx="128">
                  <c:v>0.45392891151718956</c:v>
                </c:pt>
                <c:pt idx="129">
                  <c:v>0.44784906309618122</c:v>
                </c:pt>
                <c:pt idx="130">
                  <c:v>0.45535279467956652</c:v>
                </c:pt>
                <c:pt idx="131">
                  <c:v>0.41939428225747466</c:v>
                </c:pt>
                <c:pt idx="132">
                  <c:v>0.42841676077293128</c:v>
                </c:pt>
                <c:pt idx="133">
                  <c:v>0.33779416954070074</c:v>
                </c:pt>
                <c:pt idx="134">
                  <c:v>0.29748582585813577</c:v>
                </c:pt>
                <c:pt idx="135">
                  <c:v>0.28437713324019764</c:v>
                </c:pt>
                <c:pt idx="136">
                  <c:v>0.28636955998402741</c:v>
                </c:pt>
                <c:pt idx="137">
                  <c:v>0.3029430242587528</c:v>
                </c:pt>
                <c:pt idx="138">
                  <c:v>0.28428676615551624</c:v>
                </c:pt>
                <c:pt idx="139">
                  <c:v>0.26892047700402577</c:v>
                </c:pt>
                <c:pt idx="140">
                  <c:v>0.27464604132533144</c:v>
                </c:pt>
                <c:pt idx="141">
                  <c:v>0.28121985677755046</c:v>
                </c:pt>
                <c:pt idx="142">
                  <c:v>0.23757376888293347</c:v>
                </c:pt>
                <c:pt idx="143">
                  <c:v>0.20433880431766299</c:v>
                </c:pt>
                <c:pt idx="144">
                  <c:v>0.14243205400249512</c:v>
                </c:pt>
                <c:pt idx="145">
                  <c:v>0.18726102013950874</c:v>
                </c:pt>
                <c:pt idx="146">
                  <c:v>0.17869974896559851</c:v>
                </c:pt>
                <c:pt idx="147">
                  <c:v>0.11462174753284847</c:v>
                </c:pt>
                <c:pt idx="148">
                  <c:v>0.10563524808055876</c:v>
                </c:pt>
                <c:pt idx="149">
                  <c:v>0.16050736081514905</c:v>
                </c:pt>
                <c:pt idx="150">
                  <c:v>0.12870701666840348</c:v>
                </c:pt>
                <c:pt idx="151">
                  <c:v>0.1233542472746251</c:v>
                </c:pt>
                <c:pt idx="152">
                  <c:v>0.14240317928780738</c:v>
                </c:pt>
                <c:pt idx="153">
                  <c:v>0.14077069713235321</c:v>
                </c:pt>
                <c:pt idx="154">
                  <c:v>0.13190506101919561</c:v>
                </c:pt>
                <c:pt idx="155">
                  <c:v>0.11048645064874697</c:v>
                </c:pt>
                <c:pt idx="156">
                  <c:v>0.11473158554688768</c:v>
                </c:pt>
                <c:pt idx="157">
                  <c:v>0.14451932045112242</c:v>
                </c:pt>
                <c:pt idx="158">
                  <c:v>0.14857412931712916</c:v>
                </c:pt>
                <c:pt idx="159">
                  <c:v>0.17096672356133277</c:v>
                </c:pt>
                <c:pt idx="160">
                  <c:v>0.17202467132531604</c:v>
                </c:pt>
                <c:pt idx="161">
                  <c:v>0.16629599087566221</c:v>
                </c:pt>
                <c:pt idx="162">
                  <c:v>0.15990313573662485</c:v>
                </c:pt>
                <c:pt idx="163">
                  <c:v>0.15906052455286762</c:v>
                </c:pt>
                <c:pt idx="164">
                  <c:v>0.15311931031056106</c:v>
                </c:pt>
                <c:pt idx="165">
                  <c:v>0.15968839273311161</c:v>
                </c:pt>
                <c:pt idx="166">
                  <c:v>0.17533525608342304</c:v>
                </c:pt>
                <c:pt idx="167">
                  <c:v>0.14797939751519168</c:v>
                </c:pt>
                <c:pt idx="168">
                  <c:v>0.15037272923143433</c:v>
                </c:pt>
                <c:pt idx="169">
                  <c:v>0.1571601987370094</c:v>
                </c:pt>
                <c:pt idx="170">
                  <c:v>0.12830524456009382</c:v>
                </c:pt>
                <c:pt idx="171">
                  <c:v>0.10081177646153019</c:v>
                </c:pt>
                <c:pt idx="172">
                  <c:v>5.7466203375268997E-2</c:v>
                </c:pt>
                <c:pt idx="173">
                  <c:v>3.7764165946015914E-2</c:v>
                </c:pt>
                <c:pt idx="174">
                  <c:v>7.6719367271022035E-2</c:v>
                </c:pt>
                <c:pt idx="175">
                  <c:v>7.8146530944513029E-2</c:v>
                </c:pt>
                <c:pt idx="176">
                  <c:v>8.0053457665616737E-2</c:v>
                </c:pt>
                <c:pt idx="177">
                  <c:v>7.6166092160026636E-2</c:v>
                </c:pt>
                <c:pt idx="178">
                  <c:v>0.10075346876900274</c:v>
                </c:pt>
                <c:pt idx="179">
                  <c:v>9.8633161213569881E-2</c:v>
                </c:pt>
                <c:pt idx="180">
                  <c:v>9.7853416907843146E-2</c:v>
                </c:pt>
                <c:pt idx="181">
                  <c:v>9.5930700050674486E-2</c:v>
                </c:pt>
                <c:pt idx="182">
                  <c:v>0.12143449968242435</c:v>
                </c:pt>
                <c:pt idx="183">
                  <c:v>0.12045053661272848</c:v>
                </c:pt>
                <c:pt idx="184">
                  <c:v>0.1261884996417694</c:v>
                </c:pt>
                <c:pt idx="185">
                  <c:v>0.11768174406303547</c:v>
                </c:pt>
                <c:pt idx="186">
                  <c:v>0.10788738557368924</c:v>
                </c:pt>
                <c:pt idx="187">
                  <c:v>0.12555134728053685</c:v>
                </c:pt>
                <c:pt idx="188">
                  <c:v>0.12616456978214532</c:v>
                </c:pt>
                <c:pt idx="189">
                  <c:v>0.13570300487985759</c:v>
                </c:pt>
                <c:pt idx="190">
                  <c:v>0.10710761264692309</c:v>
                </c:pt>
                <c:pt idx="191">
                  <c:v>0.1144249189677902</c:v>
                </c:pt>
                <c:pt idx="192">
                  <c:v>0.10902526460524362</c:v>
                </c:pt>
                <c:pt idx="193">
                  <c:v>0.11509131503955262</c:v>
                </c:pt>
                <c:pt idx="194">
                  <c:v>0.13388353923756396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4C-4BFA-AB18-FDBA10B3703F}"/>
            </c:ext>
          </c:extLst>
        </c:ser>
        <c:ser>
          <c:idx val="5"/>
          <c:order val="5"/>
          <c:tx>
            <c:strRef>
              <c:f>牛市组合!$G$1</c:f>
              <c:strCache>
                <c:ptCount val="1"/>
                <c:pt idx="0">
                  <c:v>全指消费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牛市组合!$G$2:$G$196</c:f>
              <c:numCache>
                <c:formatCode>0.00%</c:formatCode>
                <c:ptCount val="195"/>
                <c:pt idx="0">
                  <c:v>9.9790655841192774E-2</c:v>
                </c:pt>
                <c:pt idx="1">
                  <c:v>0.11717736433434078</c:v>
                </c:pt>
                <c:pt idx="2">
                  <c:v>0.11525741253923426</c:v>
                </c:pt>
                <c:pt idx="3">
                  <c:v>9.0952339565773033E-2</c:v>
                </c:pt>
                <c:pt idx="4">
                  <c:v>4.4147594563222856E-2</c:v>
                </c:pt>
                <c:pt idx="5">
                  <c:v>3.6842663731049198E-2</c:v>
                </c:pt>
                <c:pt idx="6">
                  <c:v>5.1757590990526452E-2</c:v>
                </c:pt>
                <c:pt idx="7">
                  <c:v>1.1362137034173894E-2</c:v>
                </c:pt>
                <c:pt idx="8">
                  <c:v>1.8608522490101429E-3</c:v>
                </c:pt>
                <c:pt idx="9">
                  <c:v>3.8131831396963012E-5</c:v>
                </c:pt>
                <c:pt idx="10">
                  <c:v>1.1908513940122954E-5</c:v>
                </c:pt>
                <c:pt idx="11">
                  <c:v>8.5244620591112156E-7</c:v>
                </c:pt>
                <c:pt idx="12">
                  <c:v>1.156142218728855E-5</c:v>
                </c:pt>
                <c:pt idx="13">
                  <c:v>2.408779686383326E-6</c:v>
                </c:pt>
                <c:pt idx="14">
                  <c:v>6.7528917943153602E-7</c:v>
                </c:pt>
                <c:pt idx="15">
                  <c:v>5.7422042730712444E-6</c:v>
                </c:pt>
                <c:pt idx="16">
                  <c:v>9.2139083007286517E-6</c:v>
                </c:pt>
                <c:pt idx="17">
                  <c:v>3.713344552631607E-6</c:v>
                </c:pt>
                <c:pt idx="18">
                  <c:v>5.9713719631603367E-6</c:v>
                </c:pt>
                <c:pt idx="19">
                  <c:v>3.3643022426652275E-6</c:v>
                </c:pt>
                <c:pt idx="20">
                  <c:v>1.0118252811066583E-5</c:v>
                </c:pt>
                <c:pt idx="21">
                  <c:v>6.2916686135698463E-6</c:v>
                </c:pt>
                <c:pt idx="22">
                  <c:v>8.0722716548525622E-7</c:v>
                </c:pt>
                <c:pt idx="23">
                  <c:v>2.1333861061057791E-6</c:v>
                </c:pt>
                <c:pt idx="24">
                  <c:v>1.6399352832955271E-4</c:v>
                </c:pt>
                <c:pt idx="25">
                  <c:v>3.9716013549845013E-5</c:v>
                </c:pt>
                <c:pt idx="26">
                  <c:v>9.3113399584670434E-6</c:v>
                </c:pt>
                <c:pt idx="27">
                  <c:v>2.8331988345047582E-5</c:v>
                </c:pt>
                <c:pt idx="28">
                  <c:v>8.6520006049458736E-6</c:v>
                </c:pt>
                <c:pt idx="29">
                  <c:v>1.6292459772204003E-6</c:v>
                </c:pt>
                <c:pt idx="30">
                  <c:v>6.6806428294991023E-5</c:v>
                </c:pt>
                <c:pt idx="31">
                  <c:v>8.9653930081812027E-5</c:v>
                </c:pt>
                <c:pt idx="32">
                  <c:v>3.0689372315917916E-2</c:v>
                </c:pt>
                <c:pt idx="33">
                  <c:v>1.4440079533027891E-2</c:v>
                </c:pt>
                <c:pt idx="34">
                  <c:v>1.9912472341563434E-2</c:v>
                </c:pt>
                <c:pt idx="35">
                  <c:v>1.6224059691913175E-5</c:v>
                </c:pt>
                <c:pt idx="36">
                  <c:v>7.5253660704278729E-5</c:v>
                </c:pt>
                <c:pt idx="37">
                  <c:v>2.0977750613196005E-5</c:v>
                </c:pt>
                <c:pt idx="38">
                  <c:v>3.4269593811206986E-5</c:v>
                </c:pt>
                <c:pt idx="39">
                  <c:v>1.6148088905661255E-6</c:v>
                </c:pt>
                <c:pt idx="40">
                  <c:v>6.515274294521571E-6</c:v>
                </c:pt>
                <c:pt idx="41">
                  <c:v>6.5612502128329625E-6</c:v>
                </c:pt>
                <c:pt idx="42">
                  <c:v>9.8220265696197311E-6</c:v>
                </c:pt>
                <c:pt idx="43">
                  <c:v>4.9361565075580822E-6</c:v>
                </c:pt>
                <c:pt idx="44">
                  <c:v>8.7921172322610148E-6</c:v>
                </c:pt>
                <c:pt idx="45">
                  <c:v>1.4321171468513952E-5</c:v>
                </c:pt>
                <c:pt idx="46">
                  <c:v>3.1924929140346938E-5</c:v>
                </c:pt>
                <c:pt idx="47">
                  <c:v>3.8582422851025913E-5</c:v>
                </c:pt>
                <c:pt idx="48">
                  <c:v>1.1560282680746267E-5</c:v>
                </c:pt>
                <c:pt idx="49">
                  <c:v>1.9524140752504878E-5</c:v>
                </c:pt>
                <c:pt idx="50">
                  <c:v>4.6908696163633974E-2</c:v>
                </c:pt>
                <c:pt idx="51">
                  <c:v>1.0078973251176015E-4</c:v>
                </c:pt>
                <c:pt idx="52">
                  <c:v>2.0746111524108976E-2</c:v>
                </c:pt>
                <c:pt idx="53">
                  <c:v>5.4759279770193993E-2</c:v>
                </c:pt>
                <c:pt idx="54">
                  <c:v>3.9384209416937127E-2</c:v>
                </c:pt>
                <c:pt idx="55">
                  <c:v>1.2923888411694534E-2</c:v>
                </c:pt>
                <c:pt idx="56">
                  <c:v>1.9284829396805623E-2</c:v>
                </c:pt>
                <c:pt idx="57">
                  <c:v>1.3530888915727648E-2</c:v>
                </c:pt>
                <c:pt idx="58">
                  <c:v>3.0486954578238735E-2</c:v>
                </c:pt>
                <c:pt idx="59">
                  <c:v>2.7536874375585746E-2</c:v>
                </c:pt>
                <c:pt idx="60">
                  <c:v>3.755794030408062E-2</c:v>
                </c:pt>
                <c:pt idx="61">
                  <c:v>2.8120730246128777E-2</c:v>
                </c:pt>
                <c:pt idx="62">
                  <c:v>3.2233007526123382E-2</c:v>
                </c:pt>
                <c:pt idx="63">
                  <c:v>4.1659631569515208E-2</c:v>
                </c:pt>
                <c:pt idx="64">
                  <c:v>1.775633970700095E-2</c:v>
                </c:pt>
                <c:pt idx="65">
                  <c:v>3.0630287474716706E-2</c:v>
                </c:pt>
                <c:pt idx="66">
                  <c:v>1.3702560580886682E-2</c:v>
                </c:pt>
                <c:pt idx="67">
                  <c:v>1.1797947777131113E-2</c:v>
                </c:pt>
                <c:pt idx="68">
                  <c:v>7.0386769619099204E-2</c:v>
                </c:pt>
                <c:pt idx="69">
                  <c:v>8.7137052573650647E-2</c:v>
                </c:pt>
                <c:pt idx="70">
                  <c:v>0.10860461253577638</c:v>
                </c:pt>
                <c:pt idx="71">
                  <c:v>0.10750790261549521</c:v>
                </c:pt>
                <c:pt idx="72">
                  <c:v>6.8902766602760693E-2</c:v>
                </c:pt>
                <c:pt idx="73">
                  <c:v>7.4545994664992982E-2</c:v>
                </c:pt>
                <c:pt idx="74">
                  <c:v>3.2722976743534291E-2</c:v>
                </c:pt>
                <c:pt idx="75">
                  <c:v>3.7001271818060857E-2</c:v>
                </c:pt>
                <c:pt idx="76">
                  <c:v>5.2062252437024325E-5</c:v>
                </c:pt>
                <c:pt idx="77">
                  <c:v>7.7301640200209981E-5</c:v>
                </c:pt>
                <c:pt idx="78">
                  <c:v>3.4964945356601743E-5</c:v>
                </c:pt>
                <c:pt idx="79">
                  <c:v>6.2333964394947296E-2</c:v>
                </c:pt>
                <c:pt idx="80">
                  <c:v>0.11359621998034353</c:v>
                </c:pt>
                <c:pt idx="81">
                  <c:v>9.8254588348479888E-2</c:v>
                </c:pt>
                <c:pt idx="82">
                  <c:v>7.5982283570798698E-2</c:v>
                </c:pt>
                <c:pt idx="83">
                  <c:v>8.1802826948016924E-2</c:v>
                </c:pt>
                <c:pt idx="84">
                  <c:v>9.5736810346865209E-2</c:v>
                </c:pt>
                <c:pt idx="85">
                  <c:v>4.1665935308795428E-2</c:v>
                </c:pt>
                <c:pt idx="86">
                  <c:v>5.3942846015799607E-2</c:v>
                </c:pt>
                <c:pt idx="87">
                  <c:v>8.8696232459318097E-2</c:v>
                </c:pt>
                <c:pt idx="88">
                  <c:v>8.1236525317546451E-2</c:v>
                </c:pt>
                <c:pt idx="89">
                  <c:v>7.5707822883781556E-2</c:v>
                </c:pt>
                <c:pt idx="90">
                  <c:v>0.10096871518349421</c:v>
                </c:pt>
                <c:pt idx="91">
                  <c:v>9.3577025297001126E-2</c:v>
                </c:pt>
                <c:pt idx="92">
                  <c:v>0.10352627731487987</c:v>
                </c:pt>
                <c:pt idx="93">
                  <c:v>0.11507468104506073</c:v>
                </c:pt>
                <c:pt idx="94">
                  <c:v>0.11307715680033599</c:v>
                </c:pt>
                <c:pt idx="95">
                  <c:v>9.8864108844957915E-2</c:v>
                </c:pt>
                <c:pt idx="96">
                  <c:v>9.1884579773318056E-2</c:v>
                </c:pt>
                <c:pt idx="97">
                  <c:v>0.10802257011006997</c:v>
                </c:pt>
                <c:pt idx="98">
                  <c:v>7.277298209163148E-2</c:v>
                </c:pt>
                <c:pt idx="99">
                  <c:v>5.7808593302962182E-2</c:v>
                </c:pt>
                <c:pt idx="100">
                  <c:v>4.9599948566453562E-2</c:v>
                </c:pt>
                <c:pt idx="101">
                  <c:v>5.1404122062540379E-2</c:v>
                </c:pt>
                <c:pt idx="102">
                  <c:v>4.1090587764644165E-2</c:v>
                </c:pt>
                <c:pt idx="103">
                  <c:v>4.3112157989213098E-2</c:v>
                </c:pt>
                <c:pt idx="104">
                  <c:v>3.8633406774265154E-2</c:v>
                </c:pt>
                <c:pt idx="105">
                  <c:v>7.7397440935501336E-3</c:v>
                </c:pt>
                <c:pt idx="106">
                  <c:v>2.3584074896637977E-3</c:v>
                </c:pt>
                <c:pt idx="107">
                  <c:v>8.9219369977322949E-5</c:v>
                </c:pt>
                <c:pt idx="108">
                  <c:v>8.0208474073541289E-5</c:v>
                </c:pt>
                <c:pt idx="109">
                  <c:v>4.5002307337737883E-3</c:v>
                </c:pt>
                <c:pt idx="110">
                  <c:v>4.6179904652974349E-3</c:v>
                </c:pt>
                <c:pt idx="111">
                  <c:v>4.9388653671953095E-3</c:v>
                </c:pt>
                <c:pt idx="112">
                  <c:v>4.7811238489948372E-2</c:v>
                </c:pt>
                <c:pt idx="113">
                  <c:v>3.8873090574471955E-2</c:v>
                </c:pt>
                <c:pt idx="114">
                  <c:v>7.0187297281257777E-2</c:v>
                </c:pt>
                <c:pt idx="115">
                  <c:v>4.8241995477868088E-2</c:v>
                </c:pt>
                <c:pt idx="116">
                  <c:v>5.4642528038983965E-2</c:v>
                </c:pt>
                <c:pt idx="117">
                  <c:v>5.7095860060600231E-2</c:v>
                </c:pt>
                <c:pt idx="118">
                  <c:v>5.6387973123653602E-2</c:v>
                </c:pt>
                <c:pt idx="119">
                  <c:v>5.7411677283134642E-2</c:v>
                </c:pt>
                <c:pt idx="120">
                  <c:v>3.1512341479692792E-2</c:v>
                </c:pt>
                <c:pt idx="121">
                  <c:v>1.8346897310355943E-2</c:v>
                </c:pt>
                <c:pt idx="122">
                  <c:v>2.4012254487594035E-2</c:v>
                </c:pt>
                <c:pt idx="123">
                  <c:v>2.3678205732267791E-3</c:v>
                </c:pt>
                <c:pt idx="124">
                  <c:v>1.2561116435154144E-2</c:v>
                </c:pt>
                <c:pt idx="125">
                  <c:v>2.4650166000773629E-2</c:v>
                </c:pt>
                <c:pt idx="126">
                  <c:v>6.8429190770976187E-2</c:v>
                </c:pt>
                <c:pt idx="127">
                  <c:v>5.3977582077940595E-2</c:v>
                </c:pt>
                <c:pt idx="128">
                  <c:v>6.2488255185672109E-2</c:v>
                </c:pt>
                <c:pt idx="129">
                  <c:v>6.1236997256506803E-2</c:v>
                </c:pt>
                <c:pt idx="130">
                  <c:v>9.5658250856071936E-2</c:v>
                </c:pt>
                <c:pt idx="131">
                  <c:v>9.291230422935963E-2</c:v>
                </c:pt>
                <c:pt idx="132">
                  <c:v>6.6939195370468399E-2</c:v>
                </c:pt>
                <c:pt idx="133">
                  <c:v>3.329956628522962E-2</c:v>
                </c:pt>
                <c:pt idx="134">
                  <c:v>6.9333575666248376E-3</c:v>
                </c:pt>
                <c:pt idx="135">
                  <c:v>1.4734311448123944E-2</c:v>
                </c:pt>
                <c:pt idx="136">
                  <c:v>1.5195924507666572E-2</c:v>
                </c:pt>
                <c:pt idx="137">
                  <c:v>4.3894432338139173E-2</c:v>
                </c:pt>
                <c:pt idx="138">
                  <c:v>2.9544543759799032E-2</c:v>
                </c:pt>
                <c:pt idx="139">
                  <c:v>6.0505256298806633E-2</c:v>
                </c:pt>
                <c:pt idx="140">
                  <c:v>6.428631899874071E-2</c:v>
                </c:pt>
                <c:pt idx="141">
                  <c:v>5.8729482063159213E-2</c:v>
                </c:pt>
                <c:pt idx="142">
                  <c:v>7.9091184677749213E-2</c:v>
                </c:pt>
                <c:pt idx="143">
                  <c:v>0.16010243979726343</c:v>
                </c:pt>
                <c:pt idx="144">
                  <c:v>0.107913958258613</c:v>
                </c:pt>
                <c:pt idx="145">
                  <c:v>0.1692108228175993</c:v>
                </c:pt>
                <c:pt idx="146">
                  <c:v>0.16611434675268771</c:v>
                </c:pt>
                <c:pt idx="147">
                  <c:v>0.1568710910373621</c:v>
                </c:pt>
                <c:pt idx="148">
                  <c:v>0.15096585816207284</c:v>
                </c:pt>
                <c:pt idx="149">
                  <c:v>0.20137860493240514</c:v>
                </c:pt>
                <c:pt idx="150">
                  <c:v>0.18025037476050881</c:v>
                </c:pt>
                <c:pt idx="151">
                  <c:v>0.19708188497624099</c:v>
                </c:pt>
                <c:pt idx="152">
                  <c:v>0.21059588907966853</c:v>
                </c:pt>
                <c:pt idx="153">
                  <c:v>0.24319963434773867</c:v>
                </c:pt>
                <c:pt idx="154">
                  <c:v>0.23632693457386725</c:v>
                </c:pt>
                <c:pt idx="155">
                  <c:v>0.27189117611026647</c:v>
                </c:pt>
                <c:pt idx="156">
                  <c:v>0.29719374039894536</c:v>
                </c:pt>
                <c:pt idx="157">
                  <c:v>0.33072708418959795</c:v>
                </c:pt>
                <c:pt idx="158">
                  <c:v>0.33833570007882385</c:v>
                </c:pt>
                <c:pt idx="159">
                  <c:v>0.30923017447626078</c:v>
                </c:pt>
                <c:pt idx="160">
                  <c:v>0.31018818670958481</c:v>
                </c:pt>
                <c:pt idx="161">
                  <c:v>0.31264300896557368</c:v>
                </c:pt>
                <c:pt idx="162">
                  <c:v>0.3076607654352137</c:v>
                </c:pt>
                <c:pt idx="163">
                  <c:v>0.32560917807162343</c:v>
                </c:pt>
                <c:pt idx="164">
                  <c:v>0.33966124348187071</c:v>
                </c:pt>
                <c:pt idx="165">
                  <c:v>0.33975996988446305</c:v>
                </c:pt>
                <c:pt idx="166">
                  <c:v>0.32937863642532567</c:v>
                </c:pt>
                <c:pt idx="167">
                  <c:v>0.32611810371151445</c:v>
                </c:pt>
                <c:pt idx="168">
                  <c:v>0.32161968344327285</c:v>
                </c:pt>
                <c:pt idx="169">
                  <c:v>0.30695620807801088</c:v>
                </c:pt>
                <c:pt idx="170">
                  <c:v>0.27703363698969091</c:v>
                </c:pt>
                <c:pt idx="171">
                  <c:v>0.28444242715411577</c:v>
                </c:pt>
                <c:pt idx="172">
                  <c:v>0.28493465744869606</c:v>
                </c:pt>
                <c:pt idx="173">
                  <c:v>0.29072007298298352</c:v>
                </c:pt>
                <c:pt idx="174">
                  <c:v>0.27062369085195992</c:v>
                </c:pt>
                <c:pt idx="175">
                  <c:v>0.25456292763394167</c:v>
                </c:pt>
                <c:pt idx="176">
                  <c:v>0.25377692144989228</c:v>
                </c:pt>
                <c:pt idx="177">
                  <c:v>0.24495876530912955</c:v>
                </c:pt>
                <c:pt idx="178">
                  <c:v>0.22504066901567255</c:v>
                </c:pt>
                <c:pt idx="179">
                  <c:v>0.17960994861595431</c:v>
                </c:pt>
                <c:pt idx="180">
                  <c:v>0.17965968747179833</c:v>
                </c:pt>
                <c:pt idx="181">
                  <c:v>0.17809330314736105</c:v>
                </c:pt>
                <c:pt idx="182">
                  <c:v>0.18103884788984145</c:v>
                </c:pt>
                <c:pt idx="183">
                  <c:v>0.16863727971529416</c:v>
                </c:pt>
                <c:pt idx="184">
                  <c:v>0.16558060168750235</c:v>
                </c:pt>
                <c:pt idx="185">
                  <c:v>0.18266870437979019</c:v>
                </c:pt>
                <c:pt idx="186">
                  <c:v>0.17846359996655842</c:v>
                </c:pt>
                <c:pt idx="187">
                  <c:v>0.18524733205720015</c:v>
                </c:pt>
                <c:pt idx="188">
                  <c:v>0.19778530585139992</c:v>
                </c:pt>
                <c:pt idx="189">
                  <c:v>0.17810230974781166</c:v>
                </c:pt>
                <c:pt idx="190">
                  <c:v>0.17443888022047335</c:v>
                </c:pt>
                <c:pt idx="191">
                  <c:v>0.16906369331506366</c:v>
                </c:pt>
                <c:pt idx="192">
                  <c:v>0.17253375908932331</c:v>
                </c:pt>
                <c:pt idx="193">
                  <c:v>0.18324390057755469</c:v>
                </c:pt>
                <c:pt idx="194">
                  <c:v>0.18672742890667349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64C-4BFA-AB18-FDBA10B3703F}"/>
            </c:ext>
          </c:extLst>
        </c:ser>
        <c:ser>
          <c:idx val="6"/>
          <c:order val="6"/>
          <c:tx>
            <c:strRef>
              <c:f>牛市组合!$H$1</c:f>
              <c:strCache>
                <c:ptCount val="1"/>
                <c:pt idx="0">
                  <c:v>全指医药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牛市组合!$H$2:$H$196</c:f>
              <c:numCache>
                <c:formatCode>0.00%</c:formatCode>
                <c:ptCount val="195"/>
                <c:pt idx="0">
                  <c:v>0.16175783758292014</c:v>
                </c:pt>
                <c:pt idx="1">
                  <c:v>0.12734243378081264</c:v>
                </c:pt>
                <c:pt idx="2">
                  <c:v>0.122809643816014</c:v>
                </c:pt>
                <c:pt idx="3">
                  <c:v>9.3217120561601446E-2</c:v>
                </c:pt>
                <c:pt idx="4">
                  <c:v>8.988617812327071E-2</c:v>
                </c:pt>
                <c:pt idx="5">
                  <c:v>9.2427911419853875E-2</c:v>
                </c:pt>
                <c:pt idx="6">
                  <c:v>0.12110517854755375</c:v>
                </c:pt>
                <c:pt idx="7">
                  <c:v>0.13108843723199548</c:v>
                </c:pt>
                <c:pt idx="8">
                  <c:v>0.14793320686103409</c:v>
                </c:pt>
                <c:pt idx="9">
                  <c:v>0.15887227596420703</c:v>
                </c:pt>
                <c:pt idx="10">
                  <c:v>0.13284116993370559</c:v>
                </c:pt>
                <c:pt idx="11">
                  <c:v>0.14009493100075018</c:v>
                </c:pt>
                <c:pt idx="12">
                  <c:v>0.16682410777716974</c:v>
                </c:pt>
                <c:pt idx="13">
                  <c:v>0.15561881171198794</c:v>
                </c:pt>
                <c:pt idx="14">
                  <c:v>0.16770839112868904</c:v>
                </c:pt>
                <c:pt idx="15">
                  <c:v>0.16286038387110316</c:v>
                </c:pt>
                <c:pt idx="16">
                  <c:v>0.14000583613736928</c:v>
                </c:pt>
                <c:pt idx="17">
                  <c:v>0.10760986889272151</c:v>
                </c:pt>
                <c:pt idx="18">
                  <c:v>0.10611543617710609</c:v>
                </c:pt>
                <c:pt idx="19">
                  <c:v>9.1406138427351444E-2</c:v>
                </c:pt>
                <c:pt idx="20">
                  <c:v>9.5519576521908706E-2</c:v>
                </c:pt>
                <c:pt idx="21">
                  <c:v>0.14662021731449043</c:v>
                </c:pt>
                <c:pt idx="22">
                  <c:v>0.1466956645124031</c:v>
                </c:pt>
                <c:pt idx="23">
                  <c:v>0.15298771054022126</c:v>
                </c:pt>
                <c:pt idx="24">
                  <c:v>0.1531272405462408</c:v>
                </c:pt>
                <c:pt idx="25">
                  <c:v>0.16370378639452995</c:v>
                </c:pt>
                <c:pt idx="26">
                  <c:v>0.13776236305701528</c:v>
                </c:pt>
                <c:pt idx="27">
                  <c:v>0.1146828915216897</c:v>
                </c:pt>
                <c:pt idx="28">
                  <c:v>0.10140628120586033</c:v>
                </c:pt>
                <c:pt idx="29">
                  <c:v>8.5670655338412408E-2</c:v>
                </c:pt>
                <c:pt idx="30">
                  <c:v>0.11300257167533218</c:v>
                </c:pt>
                <c:pt idx="31">
                  <c:v>0.10348272433731953</c:v>
                </c:pt>
                <c:pt idx="32">
                  <c:v>0.1458779073038223</c:v>
                </c:pt>
                <c:pt idx="33">
                  <c:v>0.15616224957734076</c:v>
                </c:pt>
                <c:pt idx="34">
                  <c:v>0.15026245918190267</c:v>
                </c:pt>
                <c:pt idx="35">
                  <c:v>0.14502911239580571</c:v>
                </c:pt>
                <c:pt idx="36">
                  <c:v>0.15670452533291257</c:v>
                </c:pt>
                <c:pt idx="37">
                  <c:v>0.15633820023318054</c:v>
                </c:pt>
                <c:pt idx="38">
                  <c:v>3.3826331925131035E-2</c:v>
                </c:pt>
                <c:pt idx="39">
                  <c:v>8.8447109266728968E-5</c:v>
                </c:pt>
                <c:pt idx="40">
                  <c:v>8.4774248659606061E-5</c:v>
                </c:pt>
                <c:pt idx="41">
                  <c:v>7.7971665201373364E-6</c:v>
                </c:pt>
                <c:pt idx="42">
                  <c:v>1.1996735046500183E-5</c:v>
                </c:pt>
                <c:pt idx="43">
                  <c:v>6.1154551675445175E-6</c:v>
                </c:pt>
                <c:pt idx="44">
                  <c:v>1.0624911627026802E-5</c:v>
                </c:pt>
                <c:pt idx="45">
                  <c:v>1.9429357727077554E-5</c:v>
                </c:pt>
                <c:pt idx="46">
                  <c:v>5.0511063346563704E-5</c:v>
                </c:pt>
                <c:pt idx="47">
                  <c:v>6.5955877450869411E-5</c:v>
                </c:pt>
                <c:pt idx="48">
                  <c:v>8.852274902839869E-5</c:v>
                </c:pt>
                <c:pt idx="49">
                  <c:v>1.0608842107143672E-5</c:v>
                </c:pt>
                <c:pt idx="50">
                  <c:v>1.2453928644331577E-2</c:v>
                </c:pt>
                <c:pt idx="51">
                  <c:v>5.2545661999808174E-2</c:v>
                </c:pt>
                <c:pt idx="52">
                  <c:v>3.1298967712714809E-4</c:v>
                </c:pt>
                <c:pt idx="53">
                  <c:v>2.2090045176661969E-2</c:v>
                </c:pt>
                <c:pt idx="54">
                  <c:v>1.0209427025314867E-2</c:v>
                </c:pt>
                <c:pt idx="55">
                  <c:v>4.0886753063052249E-2</c:v>
                </c:pt>
                <c:pt idx="56">
                  <c:v>3.6215479497522719E-2</c:v>
                </c:pt>
                <c:pt idx="57">
                  <c:v>2.7383382240267904E-2</c:v>
                </c:pt>
                <c:pt idx="58">
                  <c:v>1.4082823247473963E-2</c:v>
                </c:pt>
                <c:pt idx="59">
                  <c:v>7.1353870414529999E-3</c:v>
                </c:pt>
                <c:pt idx="60">
                  <c:v>3.3200445256673212E-3</c:v>
                </c:pt>
                <c:pt idx="61">
                  <c:v>1.5534400647271785E-5</c:v>
                </c:pt>
                <c:pt idx="62">
                  <c:v>2.5076906713343657E-5</c:v>
                </c:pt>
                <c:pt idx="63">
                  <c:v>1.316124184244998E-5</c:v>
                </c:pt>
                <c:pt idx="64">
                  <c:v>1.6444621019369467E-5</c:v>
                </c:pt>
                <c:pt idx="65">
                  <c:v>1.9509830432047519E-3</c:v>
                </c:pt>
                <c:pt idx="66">
                  <c:v>7.3417543135779594E-3</c:v>
                </c:pt>
                <c:pt idx="67">
                  <c:v>9.3003547875721935E-3</c:v>
                </c:pt>
                <c:pt idx="68">
                  <c:v>2.4680837392472523E-5</c:v>
                </c:pt>
                <c:pt idx="69">
                  <c:v>3.7896239567727267E-5</c:v>
                </c:pt>
                <c:pt idx="70">
                  <c:v>1.0089165870154794E-5</c:v>
                </c:pt>
                <c:pt idx="71">
                  <c:v>1.2137970231707514E-5</c:v>
                </c:pt>
                <c:pt idx="72">
                  <c:v>6.9386648376157129E-5</c:v>
                </c:pt>
                <c:pt idx="73">
                  <c:v>6.6192429653591384E-5</c:v>
                </c:pt>
                <c:pt idx="74">
                  <c:v>8.545442029799847E-5</c:v>
                </c:pt>
                <c:pt idx="75">
                  <c:v>1.0592694924165299E-3</c:v>
                </c:pt>
                <c:pt idx="76">
                  <c:v>3.4331154464449024E-5</c:v>
                </c:pt>
                <c:pt idx="77">
                  <c:v>2.894936904916635E-6</c:v>
                </c:pt>
                <c:pt idx="78">
                  <c:v>2.3002849183246979E-2</c:v>
                </c:pt>
                <c:pt idx="79">
                  <c:v>3.9978467934677055E-2</c:v>
                </c:pt>
                <c:pt idx="80">
                  <c:v>6.4266108167452207E-2</c:v>
                </c:pt>
                <c:pt idx="81">
                  <c:v>0.13548856300673376</c:v>
                </c:pt>
                <c:pt idx="82">
                  <c:v>0.10285094679777637</c:v>
                </c:pt>
                <c:pt idx="83">
                  <c:v>0.10757404217558192</c:v>
                </c:pt>
                <c:pt idx="84">
                  <c:v>0.12647602943597874</c:v>
                </c:pt>
                <c:pt idx="85">
                  <c:v>0.14571873104123037</c:v>
                </c:pt>
                <c:pt idx="86">
                  <c:v>0.13603489529310875</c:v>
                </c:pt>
                <c:pt idx="87">
                  <c:v>0.11789546591224949</c:v>
                </c:pt>
                <c:pt idx="88">
                  <c:v>0.11836630791514025</c:v>
                </c:pt>
                <c:pt idx="89">
                  <c:v>0.11758235900064531</c:v>
                </c:pt>
                <c:pt idx="90">
                  <c:v>0.11350834069356801</c:v>
                </c:pt>
                <c:pt idx="91">
                  <c:v>0.10501101119527659</c:v>
                </c:pt>
                <c:pt idx="92">
                  <c:v>0.10854748551053632</c:v>
                </c:pt>
                <c:pt idx="93">
                  <c:v>0.12582810320798909</c:v>
                </c:pt>
                <c:pt idx="94">
                  <c:v>0.12043736206211302</c:v>
                </c:pt>
                <c:pt idx="95">
                  <c:v>0.1426323677735338</c:v>
                </c:pt>
                <c:pt idx="96">
                  <c:v>0.16503132760974387</c:v>
                </c:pt>
                <c:pt idx="97">
                  <c:v>0.15510473197720848</c:v>
                </c:pt>
                <c:pt idx="98">
                  <c:v>0.229528823920084</c:v>
                </c:pt>
                <c:pt idx="99">
                  <c:v>0.24183054606690643</c:v>
                </c:pt>
                <c:pt idx="100">
                  <c:v>0.26271739122616705</c:v>
                </c:pt>
                <c:pt idx="101">
                  <c:v>0.2651156602321198</c:v>
                </c:pt>
                <c:pt idx="102">
                  <c:v>0.26415485591857546</c:v>
                </c:pt>
                <c:pt idx="103">
                  <c:v>0.27594162670816302</c:v>
                </c:pt>
                <c:pt idx="104">
                  <c:v>0.28807309367553824</c:v>
                </c:pt>
                <c:pt idx="105">
                  <c:v>0.24464464632210256</c:v>
                </c:pt>
                <c:pt idx="106">
                  <c:v>0.24465791069943793</c:v>
                </c:pt>
                <c:pt idx="107">
                  <c:v>0.239154800467858</c:v>
                </c:pt>
                <c:pt idx="108">
                  <c:v>0.27300135656863728</c:v>
                </c:pt>
                <c:pt idx="109">
                  <c:v>0.24453597693365139</c:v>
                </c:pt>
                <c:pt idx="110">
                  <c:v>0.23810253293254099</c:v>
                </c:pt>
                <c:pt idx="111">
                  <c:v>0.21668196845110713</c:v>
                </c:pt>
                <c:pt idx="112">
                  <c:v>0.16151034176508341</c:v>
                </c:pt>
                <c:pt idx="113">
                  <c:v>0.17518314825169512</c:v>
                </c:pt>
                <c:pt idx="114">
                  <c:v>8.2171861472199681E-2</c:v>
                </c:pt>
                <c:pt idx="115">
                  <c:v>0.10872004287938285</c:v>
                </c:pt>
                <c:pt idx="116">
                  <c:v>0.10461089552899444</c:v>
                </c:pt>
                <c:pt idx="117">
                  <c:v>0.10395218176251088</c:v>
                </c:pt>
                <c:pt idx="118">
                  <c:v>0.10225431813933196</c:v>
                </c:pt>
                <c:pt idx="119">
                  <c:v>0.10036609082465427</c:v>
                </c:pt>
                <c:pt idx="120">
                  <c:v>0.11048848473568089</c:v>
                </c:pt>
                <c:pt idx="121">
                  <c:v>0.12026774207654492</c:v>
                </c:pt>
                <c:pt idx="122">
                  <c:v>0.10299982554215935</c:v>
                </c:pt>
                <c:pt idx="123">
                  <c:v>0.10091273170429652</c:v>
                </c:pt>
                <c:pt idx="124">
                  <c:v>9.7436359137826917E-2</c:v>
                </c:pt>
                <c:pt idx="125">
                  <c:v>8.9857550317995361E-2</c:v>
                </c:pt>
                <c:pt idx="126">
                  <c:v>0.12229772352849032</c:v>
                </c:pt>
                <c:pt idx="127">
                  <c:v>0.1269277625076726</c:v>
                </c:pt>
                <c:pt idx="128">
                  <c:v>0.1200084517297845</c:v>
                </c:pt>
                <c:pt idx="129">
                  <c:v>0.12978209281911299</c:v>
                </c:pt>
                <c:pt idx="130">
                  <c:v>0.16678037245575092</c:v>
                </c:pt>
                <c:pt idx="131">
                  <c:v>0.21951859694181994</c:v>
                </c:pt>
                <c:pt idx="132">
                  <c:v>0.22285377329285228</c:v>
                </c:pt>
                <c:pt idx="133">
                  <c:v>0.33671090912448048</c:v>
                </c:pt>
                <c:pt idx="134">
                  <c:v>0.34011944688229057</c:v>
                </c:pt>
                <c:pt idx="135">
                  <c:v>0.34686524320052492</c:v>
                </c:pt>
                <c:pt idx="136">
                  <c:v>0.34773242388189823</c:v>
                </c:pt>
                <c:pt idx="137">
                  <c:v>0.32291522565214609</c:v>
                </c:pt>
                <c:pt idx="138">
                  <c:v>0.31406229098214405</c:v>
                </c:pt>
                <c:pt idx="139">
                  <c:v>0.24088216912149235</c:v>
                </c:pt>
                <c:pt idx="140">
                  <c:v>0.24234152704883222</c:v>
                </c:pt>
                <c:pt idx="141">
                  <c:v>0.22673079310956709</c:v>
                </c:pt>
                <c:pt idx="142">
                  <c:v>0.22056921204309432</c:v>
                </c:pt>
                <c:pt idx="143">
                  <c:v>0.1615580693922832</c:v>
                </c:pt>
                <c:pt idx="144">
                  <c:v>0.20090959158001445</c:v>
                </c:pt>
                <c:pt idx="145">
                  <c:v>8.4914365428221852E-2</c:v>
                </c:pt>
                <c:pt idx="146">
                  <c:v>9.8237546882018606E-2</c:v>
                </c:pt>
                <c:pt idx="147">
                  <c:v>0.12779103416912202</c:v>
                </c:pt>
                <c:pt idx="148">
                  <c:v>0.12489060482759455</c:v>
                </c:pt>
                <c:pt idx="149">
                  <c:v>9.9144981776386518E-2</c:v>
                </c:pt>
                <c:pt idx="150">
                  <c:v>9.737941323576732E-2</c:v>
                </c:pt>
                <c:pt idx="151">
                  <c:v>8.3692074802217617E-2</c:v>
                </c:pt>
                <c:pt idx="152">
                  <c:v>8.4961300467755962E-2</c:v>
                </c:pt>
                <c:pt idx="153">
                  <c:v>8.1758977743704886E-2</c:v>
                </c:pt>
                <c:pt idx="154">
                  <c:v>4.4687962476812275E-2</c:v>
                </c:pt>
                <c:pt idx="155">
                  <c:v>6.5587818204291062E-2</c:v>
                </c:pt>
                <c:pt idx="156">
                  <c:v>5.9180951537423546E-2</c:v>
                </c:pt>
                <c:pt idx="157">
                  <c:v>1.8039526035921183E-2</c:v>
                </c:pt>
                <c:pt idx="158">
                  <c:v>8.8479550073186346E-5</c:v>
                </c:pt>
                <c:pt idx="159">
                  <c:v>2.5681498340363722E-6</c:v>
                </c:pt>
                <c:pt idx="160">
                  <c:v>4.3116132793893539E-6</c:v>
                </c:pt>
                <c:pt idx="161">
                  <c:v>4.9919355411700695E-6</c:v>
                </c:pt>
                <c:pt idx="162">
                  <c:v>1.7660091134584319E-5</c:v>
                </c:pt>
                <c:pt idx="163">
                  <c:v>8.6354391242699635E-5</c:v>
                </c:pt>
                <c:pt idx="164">
                  <c:v>8.8715164876607586E-5</c:v>
                </c:pt>
                <c:pt idx="165">
                  <c:v>8.9078433919693542E-5</c:v>
                </c:pt>
                <c:pt idx="166">
                  <c:v>1.4127944239252978E-5</c:v>
                </c:pt>
                <c:pt idx="167">
                  <c:v>1.7174751426784807E-6</c:v>
                </c:pt>
                <c:pt idx="168">
                  <c:v>8.4328993186977427E-5</c:v>
                </c:pt>
                <c:pt idx="169">
                  <c:v>3.8149543046460112E-5</c:v>
                </c:pt>
                <c:pt idx="170">
                  <c:v>4.693819239629384E-5</c:v>
                </c:pt>
                <c:pt idx="171">
                  <c:v>7.3936742734409334E-6</c:v>
                </c:pt>
                <c:pt idx="172">
                  <c:v>1.6908080989375133E-2</c:v>
                </c:pt>
                <c:pt idx="173">
                  <c:v>1.4969571351860009E-2</c:v>
                </c:pt>
                <c:pt idx="174">
                  <c:v>5.7893939023190309E-2</c:v>
                </c:pt>
                <c:pt idx="175">
                  <c:v>9.3280822971978025E-2</c:v>
                </c:pt>
                <c:pt idx="176">
                  <c:v>9.395255076273501E-2</c:v>
                </c:pt>
                <c:pt idx="177">
                  <c:v>8.5410788299493196E-2</c:v>
                </c:pt>
                <c:pt idx="178">
                  <c:v>0.13837264881839073</c:v>
                </c:pt>
                <c:pt idx="179">
                  <c:v>0.16275718026139538</c:v>
                </c:pt>
                <c:pt idx="180">
                  <c:v>0.16442479171322766</c:v>
                </c:pt>
                <c:pt idx="181">
                  <c:v>0.16303428582895396</c:v>
                </c:pt>
                <c:pt idx="182">
                  <c:v>0.14458266623734908</c:v>
                </c:pt>
                <c:pt idx="183">
                  <c:v>0.16191156755170966</c:v>
                </c:pt>
                <c:pt idx="184">
                  <c:v>0.1617789285661671</c:v>
                </c:pt>
                <c:pt idx="185">
                  <c:v>0.1440120484848903</c:v>
                </c:pt>
                <c:pt idx="186">
                  <c:v>0.15239375146535122</c:v>
                </c:pt>
                <c:pt idx="187">
                  <c:v>0.1371373584036843</c:v>
                </c:pt>
                <c:pt idx="188">
                  <c:v>0.14643003572172023</c:v>
                </c:pt>
                <c:pt idx="189">
                  <c:v>0.13847153975565923</c:v>
                </c:pt>
                <c:pt idx="190">
                  <c:v>0.20004025449398222</c:v>
                </c:pt>
                <c:pt idx="191">
                  <c:v>0.20374323025909441</c:v>
                </c:pt>
                <c:pt idx="192">
                  <c:v>0.19418569078314721</c:v>
                </c:pt>
                <c:pt idx="193">
                  <c:v>0.21328596001367359</c:v>
                </c:pt>
                <c:pt idx="194">
                  <c:v>0.21138126471175689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64C-4BFA-AB18-FDBA10B3703F}"/>
            </c:ext>
          </c:extLst>
        </c:ser>
        <c:ser>
          <c:idx val="7"/>
          <c:order val="7"/>
          <c:tx>
            <c:strRef>
              <c:f>牛市组合!$I$1</c:f>
              <c:strCache>
                <c:ptCount val="1"/>
                <c:pt idx="0">
                  <c:v>全指能源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牛市组合!$I$2:$I$196</c:f>
              <c:numCache>
                <c:formatCode>0.00%</c:formatCode>
                <c:ptCount val="195"/>
                <c:pt idx="0">
                  <c:v>3.1997263596754591E-5</c:v>
                </c:pt>
                <c:pt idx="1">
                  <c:v>9.3446097838501501E-5</c:v>
                </c:pt>
                <c:pt idx="2">
                  <c:v>4.8556414173809514E-5</c:v>
                </c:pt>
                <c:pt idx="3">
                  <c:v>2.7982987176008931E-5</c:v>
                </c:pt>
                <c:pt idx="4">
                  <c:v>1.5024647694707345E-5</c:v>
                </c:pt>
                <c:pt idx="5">
                  <c:v>1.4098390135641484E-5</c:v>
                </c:pt>
                <c:pt idx="6">
                  <c:v>3.5346083444101344E-6</c:v>
                </c:pt>
                <c:pt idx="7">
                  <c:v>4.9705497539567674E-6</c:v>
                </c:pt>
                <c:pt idx="8">
                  <c:v>3.0806271354970221E-6</c:v>
                </c:pt>
                <c:pt idx="9">
                  <c:v>1.1198865980579006E-5</c:v>
                </c:pt>
                <c:pt idx="10">
                  <c:v>1.0431808164006887E-2</c:v>
                </c:pt>
                <c:pt idx="11">
                  <c:v>5.8575150548970925E-4</c:v>
                </c:pt>
                <c:pt idx="12">
                  <c:v>1.8202135756642618E-5</c:v>
                </c:pt>
                <c:pt idx="13">
                  <c:v>2.0939501062160428E-6</c:v>
                </c:pt>
                <c:pt idx="14">
                  <c:v>6.1583002952511329E-7</c:v>
                </c:pt>
                <c:pt idx="15">
                  <c:v>5.538351789498543E-6</c:v>
                </c:pt>
                <c:pt idx="16">
                  <c:v>9.8691791798000695E-6</c:v>
                </c:pt>
                <c:pt idx="17">
                  <c:v>3.1870808766911738E-6</c:v>
                </c:pt>
                <c:pt idx="18">
                  <c:v>6.1906334727662387E-6</c:v>
                </c:pt>
                <c:pt idx="19">
                  <c:v>5.2505177818846437E-6</c:v>
                </c:pt>
                <c:pt idx="20">
                  <c:v>1.2098272056947489E-5</c:v>
                </c:pt>
                <c:pt idx="21">
                  <c:v>7.1664788891789669E-6</c:v>
                </c:pt>
                <c:pt idx="22">
                  <c:v>7.4582051157602729E-7</c:v>
                </c:pt>
                <c:pt idx="23">
                  <c:v>1.6167673289278882E-6</c:v>
                </c:pt>
                <c:pt idx="24">
                  <c:v>5.8638032226948511E-7</c:v>
                </c:pt>
                <c:pt idx="25">
                  <c:v>6.7263540646461302E-6</c:v>
                </c:pt>
                <c:pt idx="26">
                  <c:v>4.2120106983448984E-6</c:v>
                </c:pt>
                <c:pt idx="27">
                  <c:v>8.9255707472220298E-6</c:v>
                </c:pt>
                <c:pt idx="28">
                  <c:v>2.7402377180716182E-6</c:v>
                </c:pt>
                <c:pt idx="29">
                  <c:v>7.7915891269662607E-7</c:v>
                </c:pt>
                <c:pt idx="30">
                  <c:v>3.4754303005298962E-6</c:v>
                </c:pt>
                <c:pt idx="31">
                  <c:v>9.0693968033034952E-7</c:v>
                </c:pt>
                <c:pt idx="32">
                  <c:v>2.3560187573898123E-6</c:v>
                </c:pt>
                <c:pt idx="33">
                  <c:v>8.115991680436044E-8</c:v>
                </c:pt>
                <c:pt idx="34">
                  <c:v>2.0971242749953344E-6</c:v>
                </c:pt>
                <c:pt idx="35">
                  <c:v>1.1195274059553012E-6</c:v>
                </c:pt>
                <c:pt idx="36">
                  <c:v>6.8299400485740214E-7</c:v>
                </c:pt>
                <c:pt idx="37">
                  <c:v>1.1681445551965439E-6</c:v>
                </c:pt>
                <c:pt idx="38">
                  <c:v>5.7731270521538596E-7</c:v>
                </c:pt>
                <c:pt idx="39">
                  <c:v>4.8848990126762881E-7</c:v>
                </c:pt>
                <c:pt idx="40">
                  <c:v>1.7192361720212499E-6</c:v>
                </c:pt>
                <c:pt idx="41">
                  <c:v>2.216164141956151E-6</c:v>
                </c:pt>
                <c:pt idx="42">
                  <c:v>3.9968183822215732E-6</c:v>
                </c:pt>
                <c:pt idx="43">
                  <c:v>2.0923123644285252E-6</c:v>
                </c:pt>
                <c:pt idx="44">
                  <c:v>3.3429047086831447E-6</c:v>
                </c:pt>
                <c:pt idx="45">
                  <c:v>6.5866002323368385E-6</c:v>
                </c:pt>
                <c:pt idx="46">
                  <c:v>3.4697895637100116E-6</c:v>
                </c:pt>
                <c:pt idx="47">
                  <c:v>3.9450896127145127E-6</c:v>
                </c:pt>
                <c:pt idx="48">
                  <c:v>6.9626578636646646E-7</c:v>
                </c:pt>
                <c:pt idx="49">
                  <c:v>2.5450476350170987E-7</c:v>
                </c:pt>
                <c:pt idx="50">
                  <c:v>1.2042607819440718E-6</c:v>
                </c:pt>
                <c:pt idx="51">
                  <c:v>1.2754764947525764E-7</c:v>
                </c:pt>
                <c:pt idx="52">
                  <c:v>4.754851028261435E-8</c:v>
                </c:pt>
                <c:pt idx="53">
                  <c:v>4.3535534120946975E-6</c:v>
                </c:pt>
                <c:pt idx="54">
                  <c:v>3.6768250776352674E-6</c:v>
                </c:pt>
                <c:pt idx="55">
                  <c:v>1.6566531811719022E-6</c:v>
                </c:pt>
                <c:pt idx="56">
                  <c:v>8.5888919451729342E-7</c:v>
                </c:pt>
                <c:pt idx="57">
                  <c:v>7.0242851090487208E-7</c:v>
                </c:pt>
                <c:pt idx="58">
                  <c:v>1.8414066238890702E-6</c:v>
                </c:pt>
                <c:pt idx="59">
                  <c:v>1.8642553041141127E-6</c:v>
                </c:pt>
                <c:pt idx="60">
                  <c:v>1.6796559667605419E-7</c:v>
                </c:pt>
                <c:pt idx="61">
                  <c:v>7.4351905168246146E-7</c:v>
                </c:pt>
                <c:pt idx="62">
                  <c:v>1.0051550538638875E-6</c:v>
                </c:pt>
                <c:pt idx="63">
                  <c:v>3.6126656117396312E-7</c:v>
                </c:pt>
                <c:pt idx="64">
                  <c:v>9.1960433672321929E-7</c:v>
                </c:pt>
                <c:pt idx="65">
                  <c:v>2.8170225863519946E-7</c:v>
                </c:pt>
                <c:pt idx="66">
                  <c:v>1.590541529913772E-6</c:v>
                </c:pt>
                <c:pt idx="67">
                  <c:v>2.3893342071052437E-6</c:v>
                </c:pt>
                <c:pt idx="68">
                  <c:v>4.8231896446832108E-6</c:v>
                </c:pt>
                <c:pt idx="69">
                  <c:v>2.737189042337472E-6</c:v>
                </c:pt>
                <c:pt idx="70">
                  <c:v>4.3096041357615875E-7</c:v>
                </c:pt>
                <c:pt idx="71">
                  <c:v>4.4578123172438891E-7</c:v>
                </c:pt>
                <c:pt idx="72">
                  <c:v>3.1329258038257489E-6</c:v>
                </c:pt>
                <c:pt idx="73">
                  <c:v>2.6636881930628387E-6</c:v>
                </c:pt>
                <c:pt idx="74">
                  <c:v>1.7196120022902438E-6</c:v>
                </c:pt>
                <c:pt idx="75">
                  <c:v>3.1825117847355301E-7</c:v>
                </c:pt>
                <c:pt idx="76">
                  <c:v>1.5183331505728532E-6</c:v>
                </c:pt>
                <c:pt idx="77">
                  <c:v>1.43933185199227E-7</c:v>
                </c:pt>
                <c:pt idx="78">
                  <c:v>4.9830052234734401E-6</c:v>
                </c:pt>
                <c:pt idx="79">
                  <c:v>1.3587747113078123E-5</c:v>
                </c:pt>
                <c:pt idx="80">
                  <c:v>7.2114092593072603E-7</c:v>
                </c:pt>
                <c:pt idx="81">
                  <c:v>1.6160974276537252E-6</c:v>
                </c:pt>
                <c:pt idx="82">
                  <c:v>7.2599675163308793E-6</c:v>
                </c:pt>
                <c:pt idx="83">
                  <c:v>4.5639864502009006E-6</c:v>
                </c:pt>
                <c:pt idx="84">
                  <c:v>2.2075713753433125E-6</c:v>
                </c:pt>
                <c:pt idx="85">
                  <c:v>1.785232778830905E-6</c:v>
                </c:pt>
                <c:pt idx="86">
                  <c:v>1.5769868799139799E-6</c:v>
                </c:pt>
                <c:pt idx="87">
                  <c:v>9.4735970852961148E-6</c:v>
                </c:pt>
                <c:pt idx="88">
                  <c:v>1.0756322188250515E-5</c:v>
                </c:pt>
                <c:pt idx="89">
                  <c:v>7.032889126929477E-6</c:v>
                </c:pt>
                <c:pt idx="90">
                  <c:v>4.1863759658728956E-6</c:v>
                </c:pt>
                <c:pt idx="91">
                  <c:v>3.1763063574301886E-6</c:v>
                </c:pt>
                <c:pt idx="92">
                  <c:v>1.8149887950348206E-6</c:v>
                </c:pt>
                <c:pt idx="93">
                  <c:v>5.358931354768047E-7</c:v>
                </c:pt>
                <c:pt idx="94">
                  <c:v>1.696932904503568E-6</c:v>
                </c:pt>
                <c:pt idx="95">
                  <c:v>1.6810721529134309E-7</c:v>
                </c:pt>
                <c:pt idx="96">
                  <c:v>2.9408438265533652E-6</c:v>
                </c:pt>
                <c:pt idx="97">
                  <c:v>1.020043515750548E-6</c:v>
                </c:pt>
                <c:pt idx="98">
                  <c:v>2.259030791341186E-6</c:v>
                </c:pt>
                <c:pt idx="99">
                  <c:v>8.1505452123846693E-6</c:v>
                </c:pt>
                <c:pt idx="100">
                  <c:v>1.4491904548330765E-5</c:v>
                </c:pt>
                <c:pt idx="101">
                  <c:v>1.5910236329827021E-5</c:v>
                </c:pt>
                <c:pt idx="102">
                  <c:v>1.2075041373471059E-5</c:v>
                </c:pt>
                <c:pt idx="103">
                  <c:v>1.2102206207586048E-5</c:v>
                </c:pt>
                <c:pt idx="104">
                  <c:v>1.23543460981981E-5</c:v>
                </c:pt>
                <c:pt idx="105">
                  <c:v>4.4173684723899302E-6</c:v>
                </c:pt>
                <c:pt idx="106">
                  <c:v>9.0810516070754591E-7</c:v>
                </c:pt>
                <c:pt idx="107">
                  <c:v>8.891485322375243E-7</c:v>
                </c:pt>
                <c:pt idx="108">
                  <c:v>1.7908292467632005E-6</c:v>
                </c:pt>
                <c:pt idx="109">
                  <c:v>1.6393917577087046E-6</c:v>
                </c:pt>
                <c:pt idx="110">
                  <c:v>1.8905498957210713E-6</c:v>
                </c:pt>
                <c:pt idx="111">
                  <c:v>2.3478978839811048E-6</c:v>
                </c:pt>
                <c:pt idx="112">
                  <c:v>6.706618415001289E-6</c:v>
                </c:pt>
                <c:pt idx="113">
                  <c:v>6.6814804367091725E-6</c:v>
                </c:pt>
                <c:pt idx="114">
                  <c:v>5.1873766393774965E-6</c:v>
                </c:pt>
                <c:pt idx="115">
                  <c:v>2.1736702417994902E-6</c:v>
                </c:pt>
                <c:pt idx="116">
                  <c:v>2.1654732267416455E-6</c:v>
                </c:pt>
                <c:pt idx="117">
                  <c:v>3.3820450708843771E-6</c:v>
                </c:pt>
                <c:pt idx="118">
                  <c:v>2.6431159032397471E-6</c:v>
                </c:pt>
                <c:pt idx="119">
                  <c:v>2.428822017575819E-6</c:v>
                </c:pt>
                <c:pt idx="120">
                  <c:v>7.8615182705996744E-6</c:v>
                </c:pt>
                <c:pt idx="121">
                  <c:v>1.9047237432965323E-6</c:v>
                </c:pt>
                <c:pt idx="122">
                  <c:v>7.696165906750505E-6</c:v>
                </c:pt>
                <c:pt idx="123">
                  <c:v>2.195008492519454E-6</c:v>
                </c:pt>
                <c:pt idx="124">
                  <c:v>8.9314197698752584E-6</c:v>
                </c:pt>
                <c:pt idx="125">
                  <c:v>1.2370917273793751E-5</c:v>
                </c:pt>
                <c:pt idx="126">
                  <c:v>6.7485739507943096E-7</c:v>
                </c:pt>
                <c:pt idx="127">
                  <c:v>7.517992271944956E-5</c:v>
                </c:pt>
                <c:pt idx="128">
                  <c:v>5.3495583243274954E-5</c:v>
                </c:pt>
                <c:pt idx="129">
                  <c:v>4.7965952859618803E-5</c:v>
                </c:pt>
                <c:pt idx="130">
                  <c:v>2.3921061673086695E-5</c:v>
                </c:pt>
                <c:pt idx="131">
                  <c:v>7.6989855872846801E-5</c:v>
                </c:pt>
                <c:pt idx="132">
                  <c:v>7.9244428343417934E-5</c:v>
                </c:pt>
                <c:pt idx="133">
                  <c:v>1.5556595351405992E-2</c:v>
                </c:pt>
                <c:pt idx="134">
                  <c:v>1.3834519862903996E-5</c:v>
                </c:pt>
                <c:pt idx="135">
                  <c:v>2.7560037797712186E-6</c:v>
                </c:pt>
                <c:pt idx="136">
                  <c:v>1.5016512551191128E-6</c:v>
                </c:pt>
                <c:pt idx="137">
                  <c:v>2.6373267375560907E-6</c:v>
                </c:pt>
                <c:pt idx="138">
                  <c:v>2.4283794159325628E-6</c:v>
                </c:pt>
                <c:pt idx="139">
                  <c:v>1.6182959182649033E-5</c:v>
                </c:pt>
                <c:pt idx="140">
                  <c:v>1.413094492121905E-5</c:v>
                </c:pt>
                <c:pt idx="141">
                  <c:v>2.4250939642657167E-5</c:v>
                </c:pt>
                <c:pt idx="142">
                  <c:v>1.3599831474022354E-5</c:v>
                </c:pt>
                <c:pt idx="143">
                  <c:v>9.3802854444947237E-7</c:v>
                </c:pt>
                <c:pt idx="144">
                  <c:v>4.6175802696560354E-5</c:v>
                </c:pt>
                <c:pt idx="145">
                  <c:v>7.4523278925725965E-3</c:v>
                </c:pt>
                <c:pt idx="146">
                  <c:v>8.5144867810666274E-5</c:v>
                </c:pt>
                <c:pt idx="147">
                  <c:v>8.2666427033533383E-5</c:v>
                </c:pt>
                <c:pt idx="148">
                  <c:v>8.6650060039598204E-5</c:v>
                </c:pt>
                <c:pt idx="149">
                  <c:v>3.7906349490585793E-2</c:v>
                </c:pt>
                <c:pt idx="150">
                  <c:v>2.4409888573310792E-2</c:v>
                </c:pt>
                <c:pt idx="151">
                  <c:v>1.590360219426246E-2</c:v>
                </c:pt>
                <c:pt idx="152">
                  <c:v>2.627392697160557E-2</c:v>
                </c:pt>
                <c:pt idx="153">
                  <c:v>1.1875977165020842E-2</c:v>
                </c:pt>
                <c:pt idx="154">
                  <c:v>2.1938113242671437E-2</c:v>
                </c:pt>
                <c:pt idx="155">
                  <c:v>2.9471545233362473E-2</c:v>
                </c:pt>
                <c:pt idx="156">
                  <c:v>2.6902138032083502E-2</c:v>
                </c:pt>
                <c:pt idx="157">
                  <c:v>3.9637194643864088E-2</c:v>
                </c:pt>
                <c:pt idx="158">
                  <c:v>4.508387990178573E-2</c:v>
                </c:pt>
                <c:pt idx="159">
                  <c:v>7.9573589301224421E-2</c:v>
                </c:pt>
                <c:pt idx="160">
                  <c:v>7.9552829588682122E-2</c:v>
                </c:pt>
                <c:pt idx="161">
                  <c:v>8.1825096843794243E-2</c:v>
                </c:pt>
                <c:pt idx="162">
                  <c:v>8.1790995317204768E-2</c:v>
                </c:pt>
                <c:pt idx="163">
                  <c:v>0.10557584198447073</c:v>
                </c:pt>
                <c:pt idx="164">
                  <c:v>0.13803646184224561</c:v>
                </c:pt>
                <c:pt idx="165">
                  <c:v>0.13997988609323594</c:v>
                </c:pt>
                <c:pt idx="166">
                  <c:v>0.11569684642614578</c:v>
                </c:pt>
                <c:pt idx="167">
                  <c:v>0.10159064642697442</c:v>
                </c:pt>
                <c:pt idx="168">
                  <c:v>0.1022292162054611</c:v>
                </c:pt>
                <c:pt idx="169">
                  <c:v>0.12515284969261983</c:v>
                </c:pt>
                <c:pt idx="170">
                  <c:v>0.210019712188562</c:v>
                </c:pt>
                <c:pt idx="171">
                  <c:v>0.22293248981154826</c:v>
                </c:pt>
                <c:pt idx="172">
                  <c:v>0.18138041955208181</c:v>
                </c:pt>
                <c:pt idx="173">
                  <c:v>0.17182551732016502</c:v>
                </c:pt>
                <c:pt idx="174">
                  <c:v>0.19676852849141827</c:v>
                </c:pt>
                <c:pt idx="175">
                  <c:v>0.20023476414716132</c:v>
                </c:pt>
                <c:pt idx="176">
                  <c:v>0.20222585002285753</c:v>
                </c:pt>
                <c:pt idx="177">
                  <c:v>0.21090201277830828</c:v>
                </c:pt>
                <c:pt idx="178">
                  <c:v>0.19105219812920254</c:v>
                </c:pt>
                <c:pt idx="179">
                  <c:v>0.22561827537124213</c:v>
                </c:pt>
                <c:pt idx="180">
                  <c:v>0.22574625944096413</c:v>
                </c:pt>
                <c:pt idx="181">
                  <c:v>0.22346690926300736</c:v>
                </c:pt>
                <c:pt idx="182">
                  <c:v>0.24797879143926724</c:v>
                </c:pt>
                <c:pt idx="183">
                  <c:v>0.24295596475353087</c:v>
                </c:pt>
                <c:pt idx="184">
                  <c:v>0.23135775794759542</c:v>
                </c:pt>
                <c:pt idx="185">
                  <c:v>0.13434791776604318</c:v>
                </c:pt>
                <c:pt idx="186">
                  <c:v>0.1273101491355054</c:v>
                </c:pt>
                <c:pt idx="187">
                  <c:v>0.12976111979902932</c:v>
                </c:pt>
                <c:pt idx="188">
                  <c:v>0.11787019081864238</c:v>
                </c:pt>
                <c:pt idx="189">
                  <c:v>0.11217638071533263</c:v>
                </c:pt>
                <c:pt idx="190">
                  <c:v>0.11695727766383197</c:v>
                </c:pt>
                <c:pt idx="191">
                  <c:v>0.13173765265494664</c:v>
                </c:pt>
                <c:pt idx="192">
                  <c:v>0.13157336723512403</c:v>
                </c:pt>
                <c:pt idx="193">
                  <c:v>0.10083103856210586</c:v>
                </c:pt>
                <c:pt idx="194">
                  <c:v>9.2395393338231727E-2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64C-4BFA-AB18-FDBA10B3703F}"/>
            </c:ext>
          </c:extLst>
        </c:ser>
        <c:ser>
          <c:idx val="8"/>
          <c:order val="8"/>
          <c:tx>
            <c:strRef>
              <c:f>牛市组合!$J$1</c:f>
              <c:strCache>
                <c:ptCount val="1"/>
                <c:pt idx="0">
                  <c:v>全指公用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牛市组合!$J$2:$J$196</c:f>
              <c:numCache>
                <c:formatCode>0.00%</c:formatCode>
                <c:ptCount val="195"/>
                <c:pt idx="0">
                  <c:v>2.2382933215023362E-5</c:v>
                </c:pt>
                <c:pt idx="1">
                  <c:v>8.9000929313779296E-6</c:v>
                </c:pt>
                <c:pt idx="2">
                  <c:v>2.1001234608859057E-5</c:v>
                </c:pt>
                <c:pt idx="3">
                  <c:v>1.0339970430880226E-2</c:v>
                </c:pt>
                <c:pt idx="4">
                  <c:v>2.5297986242867866E-2</c:v>
                </c:pt>
                <c:pt idx="5">
                  <c:v>2.6462967466513079E-2</c:v>
                </c:pt>
                <c:pt idx="6">
                  <c:v>2.9673503915349352E-2</c:v>
                </c:pt>
                <c:pt idx="7">
                  <c:v>4.3471691054789331E-5</c:v>
                </c:pt>
                <c:pt idx="8">
                  <c:v>4.6165045719462575E-2</c:v>
                </c:pt>
                <c:pt idx="9">
                  <c:v>7.8053308056004059E-3</c:v>
                </c:pt>
                <c:pt idx="10">
                  <c:v>1.5697145683173357E-2</c:v>
                </c:pt>
                <c:pt idx="11">
                  <c:v>8.0138392238359474E-2</c:v>
                </c:pt>
                <c:pt idx="12">
                  <c:v>6.4281889007567386E-2</c:v>
                </c:pt>
                <c:pt idx="13">
                  <c:v>7.9049951202000146E-2</c:v>
                </c:pt>
                <c:pt idx="14">
                  <c:v>7.886494731882851E-2</c:v>
                </c:pt>
                <c:pt idx="15">
                  <c:v>8.4698794649579426E-2</c:v>
                </c:pt>
                <c:pt idx="16">
                  <c:v>8.8824272797649734E-2</c:v>
                </c:pt>
                <c:pt idx="17">
                  <c:v>6.8464291406864122E-2</c:v>
                </c:pt>
                <c:pt idx="18">
                  <c:v>6.8397722634603544E-2</c:v>
                </c:pt>
                <c:pt idx="19">
                  <c:v>6.7025725400307545E-2</c:v>
                </c:pt>
                <c:pt idx="20">
                  <c:v>5.9525345721488009E-2</c:v>
                </c:pt>
                <c:pt idx="21">
                  <c:v>6.047677363521247E-2</c:v>
                </c:pt>
                <c:pt idx="22">
                  <c:v>6.771615498561806E-2</c:v>
                </c:pt>
                <c:pt idx="23">
                  <c:v>7.9383984165017671E-2</c:v>
                </c:pt>
                <c:pt idx="24">
                  <c:v>3.3274056086990208E-6</c:v>
                </c:pt>
                <c:pt idx="25">
                  <c:v>4.9457624918430714E-5</c:v>
                </c:pt>
                <c:pt idx="26">
                  <c:v>3.4082419412371809E-3</c:v>
                </c:pt>
                <c:pt idx="27">
                  <c:v>2.1984080769628229E-2</c:v>
                </c:pt>
                <c:pt idx="28">
                  <c:v>3.8232346648226258E-2</c:v>
                </c:pt>
                <c:pt idx="29">
                  <c:v>4.7850312877038947E-2</c:v>
                </c:pt>
                <c:pt idx="30">
                  <c:v>5.1695971122764854E-2</c:v>
                </c:pt>
                <c:pt idx="31">
                  <c:v>5.9246073058850601E-2</c:v>
                </c:pt>
                <c:pt idx="32">
                  <c:v>6.1009559666137109E-2</c:v>
                </c:pt>
                <c:pt idx="33">
                  <c:v>7.2384065548795395E-2</c:v>
                </c:pt>
                <c:pt idx="34">
                  <c:v>6.4979499565319732E-2</c:v>
                </c:pt>
                <c:pt idx="35">
                  <c:v>6.815205526894233E-2</c:v>
                </c:pt>
                <c:pt idx="36">
                  <c:v>6.124148069576435E-2</c:v>
                </c:pt>
                <c:pt idx="37">
                  <c:v>5.0692894155361837E-2</c:v>
                </c:pt>
                <c:pt idx="38">
                  <c:v>5.9838206120934004E-2</c:v>
                </c:pt>
                <c:pt idx="39">
                  <c:v>4.9723412951314078E-2</c:v>
                </c:pt>
                <c:pt idx="40">
                  <c:v>5.7735887442500321E-2</c:v>
                </c:pt>
                <c:pt idx="41">
                  <c:v>2.8550991436902578E-2</c:v>
                </c:pt>
                <c:pt idx="42">
                  <c:v>2.3923940861830282E-2</c:v>
                </c:pt>
                <c:pt idx="43">
                  <c:v>2.6451980246810936E-2</c:v>
                </c:pt>
                <c:pt idx="44">
                  <c:v>2.3107151390178125E-2</c:v>
                </c:pt>
                <c:pt idx="45">
                  <c:v>2.3796304327348066E-2</c:v>
                </c:pt>
                <c:pt idx="46">
                  <c:v>1.1261680153002969E-2</c:v>
                </c:pt>
                <c:pt idx="47">
                  <c:v>1.2929140607356679E-2</c:v>
                </c:pt>
                <c:pt idx="48">
                  <c:v>2.6617653986161234E-2</c:v>
                </c:pt>
                <c:pt idx="49">
                  <c:v>4.1982686654688038E-2</c:v>
                </c:pt>
                <c:pt idx="50">
                  <c:v>3.5805242284954571E-5</c:v>
                </c:pt>
                <c:pt idx="51">
                  <c:v>9.0883894695803865E-7</c:v>
                </c:pt>
                <c:pt idx="52">
                  <c:v>2.6868560156266819E-7</c:v>
                </c:pt>
                <c:pt idx="53">
                  <c:v>7.7152451922723591E-6</c:v>
                </c:pt>
                <c:pt idx="54">
                  <c:v>6.5553520412003122E-6</c:v>
                </c:pt>
                <c:pt idx="55">
                  <c:v>2.1345307889178207E-6</c:v>
                </c:pt>
                <c:pt idx="56">
                  <c:v>1.3997401533521603E-6</c:v>
                </c:pt>
                <c:pt idx="57">
                  <c:v>1.042354667534324E-6</c:v>
                </c:pt>
                <c:pt idx="58">
                  <c:v>2.9360972089526632E-6</c:v>
                </c:pt>
                <c:pt idx="59">
                  <c:v>3.0425353519410579E-6</c:v>
                </c:pt>
                <c:pt idx="60">
                  <c:v>2.9367935718892288E-7</c:v>
                </c:pt>
                <c:pt idx="61">
                  <c:v>1.4373839241655345E-6</c:v>
                </c:pt>
                <c:pt idx="62">
                  <c:v>1.8351380840883861E-6</c:v>
                </c:pt>
                <c:pt idx="63">
                  <c:v>6.2161245499050273E-7</c:v>
                </c:pt>
                <c:pt idx="64">
                  <c:v>2.8383604544598467E-6</c:v>
                </c:pt>
                <c:pt idx="65">
                  <c:v>1.1924816083703222E-6</c:v>
                </c:pt>
                <c:pt idx="66">
                  <c:v>7.7913687082738246E-6</c:v>
                </c:pt>
                <c:pt idx="67">
                  <c:v>1.2487955036597949E-5</c:v>
                </c:pt>
                <c:pt idx="68">
                  <c:v>7.5738448968853583E-6</c:v>
                </c:pt>
                <c:pt idx="69">
                  <c:v>4.162461154265726E-6</c:v>
                </c:pt>
                <c:pt idx="70">
                  <c:v>6.3143330093474119E-7</c:v>
                </c:pt>
                <c:pt idx="71">
                  <c:v>5.5306875107030192E-7</c:v>
                </c:pt>
                <c:pt idx="72">
                  <c:v>4.7421717050819465E-6</c:v>
                </c:pt>
                <c:pt idx="73">
                  <c:v>4.1292737528689627E-6</c:v>
                </c:pt>
                <c:pt idx="74">
                  <c:v>2.4297409876580526E-6</c:v>
                </c:pt>
                <c:pt idx="75">
                  <c:v>4.129218818260771E-7</c:v>
                </c:pt>
                <c:pt idx="76">
                  <c:v>2.1444569837800058E-6</c:v>
                </c:pt>
                <c:pt idx="77">
                  <c:v>2.1481642499864296E-7</c:v>
                </c:pt>
                <c:pt idx="78">
                  <c:v>3.2819615688569852E-6</c:v>
                </c:pt>
                <c:pt idx="79">
                  <c:v>9.2990151824736291E-6</c:v>
                </c:pt>
                <c:pt idx="80">
                  <c:v>5.5804595963021851E-7</c:v>
                </c:pt>
                <c:pt idx="81">
                  <c:v>6.915790265480171E-7</c:v>
                </c:pt>
                <c:pt idx="82">
                  <c:v>5.7698356982219429E-6</c:v>
                </c:pt>
                <c:pt idx="83">
                  <c:v>3.803795586015237E-6</c:v>
                </c:pt>
                <c:pt idx="84">
                  <c:v>1.7936452372331464E-6</c:v>
                </c:pt>
                <c:pt idx="85">
                  <c:v>1.8792609138886065E-6</c:v>
                </c:pt>
                <c:pt idx="86">
                  <c:v>8.247039634524112E-7</c:v>
                </c:pt>
                <c:pt idx="87">
                  <c:v>6.7169498872661143E-6</c:v>
                </c:pt>
                <c:pt idx="88">
                  <c:v>7.2873498739242227E-6</c:v>
                </c:pt>
                <c:pt idx="89">
                  <c:v>6.2041946696698276E-6</c:v>
                </c:pt>
                <c:pt idx="90">
                  <c:v>4.1107601959308234E-6</c:v>
                </c:pt>
                <c:pt idx="91">
                  <c:v>3.4375650152780065E-6</c:v>
                </c:pt>
                <c:pt idx="92">
                  <c:v>1.7480454091517907E-6</c:v>
                </c:pt>
                <c:pt idx="93">
                  <c:v>5.29689905513479E-7</c:v>
                </c:pt>
                <c:pt idx="94">
                  <c:v>1.7082346858455067E-6</c:v>
                </c:pt>
                <c:pt idx="95">
                  <c:v>1.6268926742383406E-7</c:v>
                </c:pt>
                <c:pt idx="96">
                  <c:v>2.9578378769870158E-6</c:v>
                </c:pt>
                <c:pt idx="97">
                  <c:v>9.3917855444757154E-7</c:v>
                </c:pt>
                <c:pt idx="98">
                  <c:v>2.4632058263448002E-6</c:v>
                </c:pt>
                <c:pt idx="99">
                  <c:v>8.240153214283226E-6</c:v>
                </c:pt>
                <c:pt idx="100">
                  <c:v>1.5273203169763505E-5</c:v>
                </c:pt>
                <c:pt idx="101">
                  <c:v>1.6064442251044174E-5</c:v>
                </c:pt>
                <c:pt idx="102">
                  <c:v>1.3666205099705729E-5</c:v>
                </c:pt>
                <c:pt idx="103">
                  <c:v>1.2820141498892018E-5</c:v>
                </c:pt>
                <c:pt idx="104">
                  <c:v>1.2871188827309884E-5</c:v>
                </c:pt>
                <c:pt idx="105">
                  <c:v>2.9904559050161648E-6</c:v>
                </c:pt>
                <c:pt idx="106">
                  <c:v>7.6157770376540518E-7</c:v>
                </c:pt>
                <c:pt idx="107">
                  <c:v>7.4502158215393818E-7</c:v>
                </c:pt>
                <c:pt idx="108">
                  <c:v>8.6834692643312249E-6</c:v>
                </c:pt>
                <c:pt idx="109">
                  <c:v>8.7771989125948669E-6</c:v>
                </c:pt>
                <c:pt idx="110">
                  <c:v>8.92629526039335E-6</c:v>
                </c:pt>
                <c:pt idx="111">
                  <c:v>1.0673110962890678E-5</c:v>
                </c:pt>
                <c:pt idx="112">
                  <c:v>3.5597925711927162E-5</c:v>
                </c:pt>
                <c:pt idx="113">
                  <c:v>3.0991348777759761E-5</c:v>
                </c:pt>
                <c:pt idx="114">
                  <c:v>8.2411950921212769E-6</c:v>
                </c:pt>
                <c:pt idx="115">
                  <c:v>3.5455721544848666E-6</c:v>
                </c:pt>
                <c:pt idx="116">
                  <c:v>3.3721866330076121E-6</c:v>
                </c:pt>
                <c:pt idx="117">
                  <c:v>4.9568619881124526E-6</c:v>
                </c:pt>
                <c:pt idx="118">
                  <c:v>4.2688585661450033E-6</c:v>
                </c:pt>
                <c:pt idx="119">
                  <c:v>3.8516173720473301E-6</c:v>
                </c:pt>
                <c:pt idx="120">
                  <c:v>1.5611904596554503E-5</c:v>
                </c:pt>
                <c:pt idx="121">
                  <c:v>3.4522483655832205E-6</c:v>
                </c:pt>
                <c:pt idx="122">
                  <c:v>1.4974532257989935E-5</c:v>
                </c:pt>
                <c:pt idx="123">
                  <c:v>3.5343987413303102E-6</c:v>
                </c:pt>
                <c:pt idx="124">
                  <c:v>1.5206853228843901E-5</c:v>
                </c:pt>
                <c:pt idx="125">
                  <c:v>2.3172284683322313E-5</c:v>
                </c:pt>
                <c:pt idx="126">
                  <c:v>8.4563658664634029E-7</c:v>
                </c:pt>
                <c:pt idx="127">
                  <c:v>4.20320743653163E-5</c:v>
                </c:pt>
                <c:pt idx="128">
                  <c:v>4.4486025242953372E-5</c:v>
                </c:pt>
                <c:pt idx="129">
                  <c:v>5.0928801545690279E-5</c:v>
                </c:pt>
                <c:pt idx="130">
                  <c:v>2.0657057407176352E-5</c:v>
                </c:pt>
                <c:pt idx="131">
                  <c:v>1.3980156412069442E-5</c:v>
                </c:pt>
                <c:pt idx="132">
                  <c:v>2.8444714992262786E-6</c:v>
                </c:pt>
                <c:pt idx="133">
                  <c:v>7.5121570598084032E-6</c:v>
                </c:pt>
                <c:pt idx="134">
                  <c:v>6.7642443320986893E-6</c:v>
                </c:pt>
                <c:pt idx="135">
                  <c:v>6.233921384333933E-7</c:v>
                </c:pt>
                <c:pt idx="136">
                  <c:v>3.3890096079862092E-7</c:v>
                </c:pt>
                <c:pt idx="137">
                  <c:v>3.0282065312556745E-6</c:v>
                </c:pt>
                <c:pt idx="138">
                  <c:v>2.5753091555793871E-6</c:v>
                </c:pt>
                <c:pt idx="139">
                  <c:v>3.0637622238383084E-5</c:v>
                </c:pt>
                <c:pt idx="140">
                  <c:v>2.623509029550897E-5</c:v>
                </c:pt>
                <c:pt idx="141">
                  <c:v>3.2567555667848176E-5</c:v>
                </c:pt>
                <c:pt idx="142">
                  <c:v>1.85838733696478E-5</c:v>
                </c:pt>
                <c:pt idx="143">
                  <c:v>1.047175715790953E-6</c:v>
                </c:pt>
                <c:pt idx="144">
                  <c:v>2.4218499473025132E-5</c:v>
                </c:pt>
                <c:pt idx="145">
                  <c:v>1.1936667704978019E-5</c:v>
                </c:pt>
                <c:pt idx="146">
                  <c:v>3.5282869701905952E-6</c:v>
                </c:pt>
                <c:pt idx="147">
                  <c:v>1.4911266338033303E-5</c:v>
                </c:pt>
                <c:pt idx="148">
                  <c:v>1.4027590402437215E-5</c:v>
                </c:pt>
                <c:pt idx="149">
                  <c:v>4.5042127990622177E-7</c:v>
                </c:pt>
                <c:pt idx="150">
                  <c:v>3.060665489993727E-5</c:v>
                </c:pt>
                <c:pt idx="151">
                  <c:v>1.9214702917104754E-5</c:v>
                </c:pt>
                <c:pt idx="152">
                  <c:v>6.5744212788670564E-6</c:v>
                </c:pt>
                <c:pt idx="153">
                  <c:v>1.1875334870486476E-5</c:v>
                </c:pt>
                <c:pt idx="154">
                  <c:v>1.8198632515913802E-5</c:v>
                </c:pt>
                <c:pt idx="155">
                  <c:v>1.1895432604810678E-5</c:v>
                </c:pt>
                <c:pt idx="156">
                  <c:v>9.9910360513008366E-6</c:v>
                </c:pt>
                <c:pt idx="157">
                  <c:v>3.4366045864220949E-6</c:v>
                </c:pt>
                <c:pt idx="158">
                  <c:v>7.7184048528555819E-6</c:v>
                </c:pt>
                <c:pt idx="159">
                  <c:v>5.0822023741870204E-7</c:v>
                </c:pt>
                <c:pt idx="160">
                  <c:v>8.561660011371994E-7</c:v>
                </c:pt>
                <c:pt idx="161">
                  <c:v>1.2485888858696015E-6</c:v>
                </c:pt>
                <c:pt idx="162">
                  <c:v>2.5709333770529998E-6</c:v>
                </c:pt>
                <c:pt idx="163">
                  <c:v>3.7685046772709281E-6</c:v>
                </c:pt>
                <c:pt idx="164">
                  <c:v>3.2431907315113517E-6</c:v>
                </c:pt>
                <c:pt idx="165">
                  <c:v>7.2060272692264194E-6</c:v>
                </c:pt>
                <c:pt idx="166">
                  <c:v>2.3507340211236984E-6</c:v>
                </c:pt>
                <c:pt idx="167">
                  <c:v>1.4606648199287863E-7</c:v>
                </c:pt>
                <c:pt idx="168">
                  <c:v>5.6293869471589178E-6</c:v>
                </c:pt>
                <c:pt idx="169">
                  <c:v>6.0321302816412906E-6</c:v>
                </c:pt>
                <c:pt idx="170">
                  <c:v>2.1591686583862901E-5</c:v>
                </c:pt>
                <c:pt idx="171">
                  <c:v>2.1204752701744775E-6</c:v>
                </c:pt>
                <c:pt idx="172">
                  <c:v>6.205274255931987E-6</c:v>
                </c:pt>
                <c:pt idx="173">
                  <c:v>6.6833160565880025E-6</c:v>
                </c:pt>
                <c:pt idx="174">
                  <c:v>8.9965463545876041E-6</c:v>
                </c:pt>
                <c:pt idx="175">
                  <c:v>1.8499929464502915E-5</c:v>
                </c:pt>
                <c:pt idx="176">
                  <c:v>2.0586256494143977E-5</c:v>
                </c:pt>
                <c:pt idx="177">
                  <c:v>1.5072026559350867E-5</c:v>
                </c:pt>
                <c:pt idx="178">
                  <c:v>3.2365260291386914E-5</c:v>
                </c:pt>
                <c:pt idx="179">
                  <c:v>3.4119758588988754E-5</c:v>
                </c:pt>
                <c:pt idx="180">
                  <c:v>3.2744294672366508E-5</c:v>
                </c:pt>
                <c:pt idx="181">
                  <c:v>3.2637643457132154E-5</c:v>
                </c:pt>
                <c:pt idx="182">
                  <c:v>4.071548065121757E-5</c:v>
                </c:pt>
                <c:pt idx="183">
                  <c:v>2.4239365775174082E-5</c:v>
                </c:pt>
                <c:pt idx="184">
                  <c:v>2.9285313581481645E-5</c:v>
                </c:pt>
                <c:pt idx="185">
                  <c:v>2.8821110796167638E-5</c:v>
                </c:pt>
                <c:pt idx="186">
                  <c:v>3.0537380701126794E-5</c:v>
                </c:pt>
                <c:pt idx="187">
                  <c:v>3.1822374718297544E-5</c:v>
                </c:pt>
                <c:pt idx="188">
                  <c:v>2.566495464216596E-5</c:v>
                </c:pt>
                <c:pt idx="189">
                  <c:v>8.4297944384801818E-6</c:v>
                </c:pt>
                <c:pt idx="190">
                  <c:v>3.3789042716007921E-5</c:v>
                </c:pt>
                <c:pt idx="191">
                  <c:v>3.4710520924046918E-5</c:v>
                </c:pt>
                <c:pt idx="192">
                  <c:v>3.9820813576530955E-5</c:v>
                </c:pt>
                <c:pt idx="193">
                  <c:v>1.6937357531963658E-5</c:v>
                </c:pt>
                <c:pt idx="194">
                  <c:v>1.0033638431377492E-5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4C-4BFA-AB18-FDBA10B3703F}"/>
            </c:ext>
          </c:extLst>
        </c:ser>
        <c:ser>
          <c:idx val="9"/>
          <c:order val="9"/>
          <c:tx>
            <c:strRef>
              <c:f>牛市组合!$K$1</c:f>
              <c:strCache>
                <c:ptCount val="1"/>
                <c:pt idx="0">
                  <c:v>全指电信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牛市组合!$K$2:$K$196</c:f>
              <c:numCache>
                <c:formatCode>0.00%</c:formatCode>
                <c:ptCount val="195"/>
                <c:pt idx="0">
                  <c:v>1.9435018735442444E-5</c:v>
                </c:pt>
                <c:pt idx="1">
                  <c:v>5.1580219759458472E-6</c:v>
                </c:pt>
                <c:pt idx="2">
                  <c:v>1.1633107079967381E-5</c:v>
                </c:pt>
                <c:pt idx="3">
                  <c:v>1.0157540779320198E-5</c:v>
                </c:pt>
                <c:pt idx="4">
                  <c:v>1.0034260260045397E-5</c:v>
                </c:pt>
                <c:pt idx="5">
                  <c:v>8.5913397470673456E-6</c:v>
                </c:pt>
                <c:pt idx="6">
                  <c:v>2.2085161058788712E-6</c:v>
                </c:pt>
                <c:pt idx="7">
                  <c:v>5.4092563291804031E-6</c:v>
                </c:pt>
                <c:pt idx="8">
                  <c:v>4.2703166730097843E-6</c:v>
                </c:pt>
                <c:pt idx="9">
                  <c:v>1.2479362700944415E-5</c:v>
                </c:pt>
                <c:pt idx="10">
                  <c:v>3.2948844552327897E-5</c:v>
                </c:pt>
                <c:pt idx="11">
                  <c:v>4.1912025000624853E-2</c:v>
                </c:pt>
                <c:pt idx="12">
                  <c:v>2.7396466721949047E-2</c:v>
                </c:pt>
                <c:pt idx="13">
                  <c:v>4.3375437117651974E-2</c:v>
                </c:pt>
                <c:pt idx="14">
                  <c:v>6.8562199134248963E-2</c:v>
                </c:pt>
                <c:pt idx="15">
                  <c:v>6.1216965293633831E-2</c:v>
                </c:pt>
                <c:pt idx="16">
                  <c:v>4.8755941581521925E-2</c:v>
                </c:pt>
                <c:pt idx="17">
                  <c:v>5.6835322056408129E-2</c:v>
                </c:pt>
                <c:pt idx="18">
                  <c:v>5.6968130678941395E-2</c:v>
                </c:pt>
                <c:pt idx="19">
                  <c:v>7.7291286196622525E-2</c:v>
                </c:pt>
                <c:pt idx="20">
                  <c:v>7.2321249243038538E-2</c:v>
                </c:pt>
                <c:pt idx="21">
                  <c:v>2.4667783473527036E-2</c:v>
                </c:pt>
                <c:pt idx="22">
                  <c:v>2.5288953385046161E-2</c:v>
                </c:pt>
                <c:pt idx="23">
                  <c:v>1.1656395101246221E-2</c:v>
                </c:pt>
                <c:pt idx="24">
                  <c:v>1.0833198994206085E-6</c:v>
                </c:pt>
                <c:pt idx="25">
                  <c:v>1.2332949167887516E-5</c:v>
                </c:pt>
                <c:pt idx="26">
                  <c:v>8.0648767470645881E-6</c:v>
                </c:pt>
                <c:pt idx="27">
                  <c:v>3.0761626784216786E-5</c:v>
                </c:pt>
                <c:pt idx="28">
                  <c:v>8.768500603767354E-6</c:v>
                </c:pt>
                <c:pt idx="29">
                  <c:v>1.2479735817476456E-6</c:v>
                </c:pt>
                <c:pt idx="30">
                  <c:v>9.8794940353779517E-6</c:v>
                </c:pt>
                <c:pt idx="31">
                  <c:v>4.769340130070174E-6</c:v>
                </c:pt>
                <c:pt idx="32">
                  <c:v>2.1417153526889445E-5</c:v>
                </c:pt>
                <c:pt idx="33">
                  <c:v>1.2457607230310005E-4</c:v>
                </c:pt>
                <c:pt idx="34">
                  <c:v>8.2889355360245135E-5</c:v>
                </c:pt>
                <c:pt idx="35">
                  <c:v>5.3854391195573754E-5</c:v>
                </c:pt>
                <c:pt idx="36">
                  <c:v>2.5545789190766963E-5</c:v>
                </c:pt>
                <c:pt idx="37">
                  <c:v>7.4477921451023826E-5</c:v>
                </c:pt>
                <c:pt idx="38">
                  <c:v>6.6742362252996235E-2</c:v>
                </c:pt>
                <c:pt idx="39">
                  <c:v>0.18557794063765948</c:v>
                </c:pt>
                <c:pt idx="40">
                  <c:v>0.18744179977452172</c:v>
                </c:pt>
                <c:pt idx="41">
                  <c:v>0.33622887227116499</c:v>
                </c:pt>
                <c:pt idx="42">
                  <c:v>0.34155011749024616</c:v>
                </c:pt>
                <c:pt idx="43">
                  <c:v>0.33797502970422522</c:v>
                </c:pt>
                <c:pt idx="44">
                  <c:v>0.34415863744832303</c:v>
                </c:pt>
                <c:pt idx="45">
                  <c:v>0.34181073303091553</c:v>
                </c:pt>
                <c:pt idx="46">
                  <c:v>0.36759055293509985</c:v>
                </c:pt>
                <c:pt idx="47">
                  <c:v>0.36816918199127363</c:v>
                </c:pt>
                <c:pt idx="48">
                  <c:v>0.35197241370948618</c:v>
                </c:pt>
                <c:pt idx="49">
                  <c:v>0.33324687577327194</c:v>
                </c:pt>
                <c:pt idx="50">
                  <c:v>0.35474785980368639</c:v>
                </c:pt>
                <c:pt idx="51">
                  <c:v>0.34767543826057479</c:v>
                </c:pt>
                <c:pt idx="52">
                  <c:v>0.32743618354346044</c:v>
                </c:pt>
                <c:pt idx="53">
                  <c:v>0.28908000830507796</c:v>
                </c:pt>
                <c:pt idx="54">
                  <c:v>0.26124163222676278</c:v>
                </c:pt>
                <c:pt idx="55">
                  <c:v>0.25152595193911315</c:v>
                </c:pt>
                <c:pt idx="56">
                  <c:v>0.25343637821172404</c:v>
                </c:pt>
                <c:pt idx="57">
                  <c:v>0.25120916513382846</c:v>
                </c:pt>
                <c:pt idx="58">
                  <c:v>0.25251385726593878</c:v>
                </c:pt>
                <c:pt idx="59">
                  <c:v>0.26473344068255017</c:v>
                </c:pt>
                <c:pt idx="60">
                  <c:v>0.26207787203718669</c:v>
                </c:pt>
                <c:pt idx="61">
                  <c:v>0.27841344888441433</c:v>
                </c:pt>
                <c:pt idx="62">
                  <c:v>0.28320952665226945</c:v>
                </c:pt>
                <c:pt idx="63">
                  <c:v>0.28287383082338641</c:v>
                </c:pt>
                <c:pt idx="64">
                  <c:v>0.33361371208682661</c:v>
                </c:pt>
                <c:pt idx="65">
                  <c:v>0.29361860495635861</c:v>
                </c:pt>
                <c:pt idx="66">
                  <c:v>0.25797735472089511</c:v>
                </c:pt>
                <c:pt idx="67">
                  <c:v>0.25296895221594728</c:v>
                </c:pt>
                <c:pt idx="68">
                  <c:v>0.26354183053796038</c:v>
                </c:pt>
                <c:pt idx="69">
                  <c:v>0.24019350072759502</c:v>
                </c:pt>
                <c:pt idx="70">
                  <c:v>0.26309053054149589</c:v>
                </c:pt>
                <c:pt idx="71">
                  <c:v>0.26433232844341265</c:v>
                </c:pt>
                <c:pt idx="72">
                  <c:v>0.25938057400615738</c:v>
                </c:pt>
                <c:pt idx="73">
                  <c:v>0.26700979396958946</c:v>
                </c:pt>
                <c:pt idx="74">
                  <c:v>0.24533961055553477</c:v>
                </c:pt>
                <c:pt idx="75">
                  <c:v>0.2482257999649278</c:v>
                </c:pt>
                <c:pt idx="76">
                  <c:v>0.25169131789158794</c:v>
                </c:pt>
                <c:pt idx="77">
                  <c:v>0.25434660662662872</c:v>
                </c:pt>
                <c:pt idx="78">
                  <c:v>0.21411892393232962</c:v>
                </c:pt>
                <c:pt idx="79">
                  <c:v>0.18516010051366269</c:v>
                </c:pt>
                <c:pt idx="80">
                  <c:v>0.18651676174298276</c:v>
                </c:pt>
                <c:pt idx="81">
                  <c:v>3.4458786820436937E-5</c:v>
                </c:pt>
                <c:pt idx="82">
                  <c:v>5.8745143963622681E-5</c:v>
                </c:pt>
                <c:pt idx="83">
                  <c:v>6.133231145778933E-5</c:v>
                </c:pt>
                <c:pt idx="84">
                  <c:v>2.5841644402883209E-5</c:v>
                </c:pt>
                <c:pt idx="85">
                  <c:v>8.800713780175857E-5</c:v>
                </c:pt>
                <c:pt idx="86">
                  <c:v>3.3693673318390238E-2</c:v>
                </c:pt>
                <c:pt idx="87">
                  <c:v>5.0898451737153863E-2</c:v>
                </c:pt>
                <c:pt idx="88">
                  <c:v>4.7893269573769215E-2</c:v>
                </c:pt>
                <c:pt idx="89">
                  <c:v>7.1782331040257552E-2</c:v>
                </c:pt>
                <c:pt idx="90">
                  <c:v>4.8114999034169478E-2</c:v>
                </c:pt>
                <c:pt idx="91">
                  <c:v>3.5121601029399319E-2</c:v>
                </c:pt>
                <c:pt idx="92">
                  <c:v>3.7300258990753143E-3</c:v>
                </c:pt>
                <c:pt idx="93">
                  <c:v>1.004285688510526E-4</c:v>
                </c:pt>
                <c:pt idx="94">
                  <c:v>8.8401218714260362E-5</c:v>
                </c:pt>
                <c:pt idx="95">
                  <c:v>2.8352128478932148E-4</c:v>
                </c:pt>
                <c:pt idx="96">
                  <c:v>5.8497494129819147E-3</c:v>
                </c:pt>
                <c:pt idx="97">
                  <c:v>8.6967518533039613E-3</c:v>
                </c:pt>
                <c:pt idx="98">
                  <c:v>1.6158744196888376E-5</c:v>
                </c:pt>
                <c:pt idx="99">
                  <c:v>7.7693528987644476E-5</c:v>
                </c:pt>
                <c:pt idx="100">
                  <c:v>8.5950508861673775E-5</c:v>
                </c:pt>
                <c:pt idx="101">
                  <c:v>7.4052284400626193E-5</c:v>
                </c:pt>
                <c:pt idx="102">
                  <c:v>4.3821133544886466E-5</c:v>
                </c:pt>
                <c:pt idx="103">
                  <c:v>3.4645508030102352E-5</c:v>
                </c:pt>
                <c:pt idx="104">
                  <c:v>3.0777059590555364E-5</c:v>
                </c:pt>
                <c:pt idx="105">
                  <c:v>8.7540639064403435E-6</c:v>
                </c:pt>
                <c:pt idx="106">
                  <c:v>1.2078337160390561E-6</c:v>
                </c:pt>
                <c:pt idx="107">
                  <c:v>1.2639782992305298E-6</c:v>
                </c:pt>
                <c:pt idx="108">
                  <c:v>6.2538602536102704E-6</c:v>
                </c:pt>
                <c:pt idx="109">
                  <c:v>6.9413530025420398E-6</c:v>
                </c:pt>
                <c:pt idx="110">
                  <c:v>6.225530796151692E-6</c:v>
                </c:pt>
                <c:pt idx="111">
                  <c:v>5.186827885173249E-6</c:v>
                </c:pt>
                <c:pt idx="112">
                  <c:v>1.267922362974817E-5</c:v>
                </c:pt>
                <c:pt idx="113">
                  <c:v>1.7585546810291669E-5</c:v>
                </c:pt>
                <c:pt idx="114">
                  <c:v>8.3404870013748656E-5</c:v>
                </c:pt>
                <c:pt idx="115">
                  <c:v>9.1513850659293185E-5</c:v>
                </c:pt>
                <c:pt idx="116">
                  <c:v>7.5091462528789933E-3</c:v>
                </c:pt>
                <c:pt idx="117">
                  <c:v>2.6360614767532301E-3</c:v>
                </c:pt>
                <c:pt idx="118">
                  <c:v>8.938003163886575E-5</c:v>
                </c:pt>
                <c:pt idx="119">
                  <c:v>8.9844789976138733E-5</c:v>
                </c:pt>
                <c:pt idx="120">
                  <c:v>8.2922948194929979E-5</c:v>
                </c:pt>
                <c:pt idx="121">
                  <c:v>9.0060780667200021E-5</c:v>
                </c:pt>
                <c:pt idx="122">
                  <c:v>9.0925138799018978E-5</c:v>
                </c:pt>
                <c:pt idx="123">
                  <c:v>5.5696002447322748E-6</c:v>
                </c:pt>
                <c:pt idx="124">
                  <c:v>5.0677214967033408E-5</c:v>
                </c:pt>
                <c:pt idx="125">
                  <c:v>7.3588093513001637E-5</c:v>
                </c:pt>
                <c:pt idx="126">
                  <c:v>3.9760924874574837E-6</c:v>
                </c:pt>
                <c:pt idx="127">
                  <c:v>4.1227251928665256E-5</c:v>
                </c:pt>
                <c:pt idx="128">
                  <c:v>3.4162118209460784E-5</c:v>
                </c:pt>
                <c:pt idx="129">
                  <c:v>2.3762952467078214E-5</c:v>
                </c:pt>
                <c:pt idx="130">
                  <c:v>2.298808465460179E-5</c:v>
                </c:pt>
                <c:pt idx="131">
                  <c:v>2.4632918678626861E-5</c:v>
                </c:pt>
                <c:pt idx="132">
                  <c:v>2.1895474724268607E-3</c:v>
                </c:pt>
                <c:pt idx="133">
                  <c:v>1.4214849516495228E-2</c:v>
                </c:pt>
                <c:pt idx="134">
                  <c:v>1.0310857888663774E-2</c:v>
                </c:pt>
                <c:pt idx="135">
                  <c:v>3.0459597451388268E-2</c:v>
                </c:pt>
                <c:pt idx="136">
                  <c:v>2.8546766634665707E-2</c:v>
                </c:pt>
                <c:pt idx="137">
                  <c:v>1.8454951762349174E-2</c:v>
                </c:pt>
                <c:pt idx="138">
                  <c:v>2.44552318276249E-2</c:v>
                </c:pt>
                <c:pt idx="139">
                  <c:v>4.0633609401363562E-2</c:v>
                </c:pt>
                <c:pt idx="140">
                  <c:v>3.8106327754933937E-2</c:v>
                </c:pt>
                <c:pt idx="141">
                  <c:v>5.1334434228510743E-2</c:v>
                </c:pt>
                <c:pt idx="142">
                  <c:v>6.3061871078154003E-2</c:v>
                </c:pt>
                <c:pt idx="143">
                  <c:v>7.4309638595856473E-2</c:v>
                </c:pt>
                <c:pt idx="144">
                  <c:v>7.1786581028160754E-2</c:v>
                </c:pt>
                <c:pt idx="145">
                  <c:v>6.650845974997073E-2</c:v>
                </c:pt>
                <c:pt idx="146">
                  <c:v>4.6533369581009336E-2</c:v>
                </c:pt>
                <c:pt idx="147">
                  <c:v>3.9996392446661311E-2</c:v>
                </c:pt>
                <c:pt idx="148">
                  <c:v>5.4206376315003482E-2</c:v>
                </c:pt>
                <c:pt idx="149">
                  <c:v>9.917742248294443E-4</c:v>
                </c:pt>
                <c:pt idx="150">
                  <c:v>8.3993467265560701E-2</c:v>
                </c:pt>
                <c:pt idx="151">
                  <c:v>7.9274050441598756E-2</c:v>
                </c:pt>
                <c:pt idx="152">
                  <c:v>1.381116799125601E-2</c:v>
                </c:pt>
                <c:pt idx="153">
                  <c:v>5.9099559421260557E-2</c:v>
                </c:pt>
                <c:pt idx="154">
                  <c:v>9.6057774685837913E-2</c:v>
                </c:pt>
                <c:pt idx="155">
                  <c:v>6.8982501519364067E-2</c:v>
                </c:pt>
                <c:pt idx="156">
                  <c:v>7.322995757422894E-2</c:v>
                </c:pt>
                <c:pt idx="157">
                  <c:v>7.3045657738311953E-2</c:v>
                </c:pt>
                <c:pt idx="158">
                  <c:v>0.10345537027233068</c:v>
                </c:pt>
                <c:pt idx="159">
                  <c:v>7.1591686405899482E-2</c:v>
                </c:pt>
                <c:pt idx="160">
                  <c:v>7.0173084176698347E-2</c:v>
                </c:pt>
                <c:pt idx="161">
                  <c:v>7.2032898690491315E-2</c:v>
                </c:pt>
                <c:pt idx="162">
                  <c:v>7.4483322898203266E-2</c:v>
                </c:pt>
                <c:pt idx="163">
                  <c:v>7.4609642228628356E-2</c:v>
                </c:pt>
                <c:pt idx="164">
                  <c:v>6.3390379682410639E-2</c:v>
                </c:pt>
                <c:pt idx="165">
                  <c:v>6.6643799108641877E-2</c:v>
                </c:pt>
                <c:pt idx="166">
                  <c:v>6.5893275970323101E-2</c:v>
                </c:pt>
                <c:pt idx="167">
                  <c:v>0.1081803686207642</c:v>
                </c:pt>
                <c:pt idx="168">
                  <c:v>0.10924403108237221</c:v>
                </c:pt>
                <c:pt idx="169">
                  <c:v>8.1358346044853591E-2</c:v>
                </c:pt>
                <c:pt idx="170">
                  <c:v>4.8334486252136426E-2</c:v>
                </c:pt>
                <c:pt idx="171">
                  <c:v>6.0145464710957802E-2</c:v>
                </c:pt>
                <c:pt idx="172">
                  <c:v>7.5306205319808986E-2</c:v>
                </c:pt>
                <c:pt idx="173">
                  <c:v>7.9976409668979426E-2</c:v>
                </c:pt>
                <c:pt idx="174">
                  <c:v>9.1392243279319385E-2</c:v>
                </c:pt>
                <c:pt idx="175">
                  <c:v>8.7150232906086811E-2</c:v>
                </c:pt>
                <c:pt idx="176">
                  <c:v>8.861102941805446E-2</c:v>
                </c:pt>
                <c:pt idx="177">
                  <c:v>9.9222298538881024E-2</c:v>
                </c:pt>
                <c:pt idx="178">
                  <c:v>0.10772313553858792</c:v>
                </c:pt>
                <c:pt idx="179">
                  <c:v>0.1084555290997164</c:v>
                </c:pt>
                <c:pt idx="180">
                  <c:v>0.10865964825022266</c:v>
                </c:pt>
                <c:pt idx="181">
                  <c:v>0.11042396657750984</c:v>
                </c:pt>
                <c:pt idx="182">
                  <c:v>0.10111975648596289</c:v>
                </c:pt>
                <c:pt idx="183">
                  <c:v>9.4679657379575385E-2</c:v>
                </c:pt>
                <c:pt idx="184">
                  <c:v>9.4235826952137447E-2</c:v>
                </c:pt>
                <c:pt idx="185">
                  <c:v>9.276643992619088E-2</c:v>
                </c:pt>
                <c:pt idx="186">
                  <c:v>9.5238711561731179E-2</c:v>
                </c:pt>
                <c:pt idx="187">
                  <c:v>9.0425405478278625E-2</c:v>
                </c:pt>
                <c:pt idx="188">
                  <c:v>8.5879908170787736E-2</c:v>
                </c:pt>
                <c:pt idx="189">
                  <c:v>6.1096139928060081E-2</c:v>
                </c:pt>
                <c:pt idx="190">
                  <c:v>2.612354472179701E-2</c:v>
                </c:pt>
                <c:pt idx="191">
                  <c:v>2.5346669738807778E-2</c:v>
                </c:pt>
                <c:pt idx="192">
                  <c:v>4.0192519994421146E-2</c:v>
                </c:pt>
                <c:pt idx="193">
                  <c:v>1.8260898286025649E-2</c:v>
                </c:pt>
                <c:pt idx="194">
                  <c:v>8.46411924035303E-3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64C-4BFA-AB18-FDBA10B3703F}"/>
            </c:ext>
          </c:extLst>
        </c:ser>
        <c:ser>
          <c:idx val="10"/>
          <c:order val="10"/>
          <c:tx>
            <c:strRef>
              <c:f>牛市组合!$L$1</c:f>
              <c:strCache>
                <c:ptCount val="1"/>
                <c:pt idx="0">
                  <c:v>现金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牛市组合!$A$2:$A$196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牛市组合!$L$2:$L$196</c:f>
              <c:numCache>
                <c:formatCode>0.00%</c:formatCode>
                <c:ptCount val="195"/>
                <c:pt idx="0">
                  <c:v>0.1573018530071453</c:v>
                </c:pt>
                <c:pt idx="1">
                  <c:v>0.15199306456079589</c:v>
                </c:pt>
                <c:pt idx="2">
                  <c:v>0.15490655883377125</c:v>
                </c:pt>
                <c:pt idx="3">
                  <c:v>0.12597142508184531</c:v>
                </c:pt>
                <c:pt idx="4">
                  <c:v>0.13213429249680567</c:v>
                </c:pt>
                <c:pt idx="5">
                  <c:v>0.13392343194592193</c:v>
                </c:pt>
                <c:pt idx="6">
                  <c:v>0.10419183954520422</c:v>
                </c:pt>
                <c:pt idx="7">
                  <c:v>7.4271972749237553E-2</c:v>
                </c:pt>
                <c:pt idx="8">
                  <c:v>7.5790072815024853E-2</c:v>
                </c:pt>
                <c:pt idx="9">
                  <c:v>8.8002468405298837E-2</c:v>
                </c:pt>
                <c:pt idx="10">
                  <c:v>9.4655849731013375E-2</c:v>
                </c:pt>
                <c:pt idx="11">
                  <c:v>8.1844387702128485E-2</c:v>
                </c:pt>
                <c:pt idx="12">
                  <c:v>8.7509117983722171E-2</c:v>
                </c:pt>
                <c:pt idx="13">
                  <c:v>9.1398182789052387E-2</c:v>
                </c:pt>
                <c:pt idx="14">
                  <c:v>8.7113916445788142E-2</c:v>
                </c:pt>
                <c:pt idx="15">
                  <c:v>8.9435508593369142E-2</c:v>
                </c:pt>
                <c:pt idx="16">
                  <c:v>0.11505030087766101</c:v>
                </c:pt>
                <c:pt idx="17">
                  <c:v>0.1332902382368342</c:v>
                </c:pt>
                <c:pt idx="18">
                  <c:v>0.13491452090212222</c:v>
                </c:pt>
                <c:pt idx="19">
                  <c:v>0.13502372443031946</c:v>
                </c:pt>
                <c:pt idx="20">
                  <c:v>0.13884107973125742</c:v>
                </c:pt>
                <c:pt idx="21">
                  <c:v>0.1232517368647822</c:v>
                </c:pt>
                <c:pt idx="22">
                  <c:v>0.11565808958287342</c:v>
                </c:pt>
                <c:pt idx="23">
                  <c:v>9.4074077876867931E-2</c:v>
                </c:pt>
                <c:pt idx="24">
                  <c:v>8.2024978806030588E-2</c:v>
                </c:pt>
                <c:pt idx="25">
                  <c:v>7.326035912936503E-2</c:v>
                </c:pt>
                <c:pt idx="26">
                  <c:v>8.2908006451170232E-2</c:v>
                </c:pt>
                <c:pt idx="27">
                  <c:v>8.1680441608766266E-2</c:v>
                </c:pt>
                <c:pt idx="28">
                  <c:v>6.9763980809294676E-2</c:v>
                </c:pt>
                <c:pt idx="29">
                  <c:v>6.8883719859779494E-2</c:v>
                </c:pt>
                <c:pt idx="30">
                  <c:v>8.2019918860876173E-2</c:v>
                </c:pt>
                <c:pt idx="31">
                  <c:v>4.9569842666689914E-2</c:v>
                </c:pt>
                <c:pt idx="32">
                  <c:v>9.7799174687735729E-3</c:v>
                </c:pt>
                <c:pt idx="33">
                  <c:v>9.7758319137786973E-3</c:v>
                </c:pt>
                <c:pt idx="34">
                  <c:v>1.647220716676372E-2</c:v>
                </c:pt>
                <c:pt idx="35">
                  <c:v>2.4835907081633506E-2</c:v>
                </c:pt>
                <c:pt idx="36">
                  <c:v>1.5425485101351987E-2</c:v>
                </c:pt>
                <c:pt idx="37">
                  <c:v>7.9668385217140335E-3</c:v>
                </c:pt>
                <c:pt idx="38">
                  <c:v>9.227878118742817E-7</c:v>
                </c:pt>
                <c:pt idx="39">
                  <c:v>1.7617295699432971E-3</c:v>
                </c:pt>
                <c:pt idx="40">
                  <c:v>2.0134059420433407E-3</c:v>
                </c:pt>
                <c:pt idx="41">
                  <c:v>3.7466629117260692E-3</c:v>
                </c:pt>
                <c:pt idx="42">
                  <c:v>9.1957145289851361E-4</c:v>
                </c:pt>
                <c:pt idx="43">
                  <c:v>2.223553904876831E-4</c:v>
                </c:pt>
                <c:pt idx="44">
                  <c:v>4.0070282342311963E-4</c:v>
                </c:pt>
                <c:pt idx="45">
                  <c:v>8.0951038247406901E-5</c:v>
                </c:pt>
                <c:pt idx="46">
                  <c:v>1.5710115915822609E-2</c:v>
                </c:pt>
                <c:pt idx="47">
                  <c:v>1.7323076995158088E-2</c:v>
                </c:pt>
                <c:pt idx="48">
                  <c:v>2.4771198228705976E-2</c:v>
                </c:pt>
                <c:pt idx="49">
                  <c:v>2.8497214105845093E-2</c:v>
                </c:pt>
                <c:pt idx="50">
                  <c:v>2.9704458042758206E-2</c:v>
                </c:pt>
                <c:pt idx="51">
                  <c:v>3.8820960169003264E-2</c:v>
                </c:pt>
                <c:pt idx="52">
                  <c:v>6.236236764631381E-2</c:v>
                </c:pt>
                <c:pt idx="53">
                  <c:v>6.1624008486959626E-2</c:v>
                </c:pt>
                <c:pt idx="54">
                  <c:v>6.4572245748980003E-2</c:v>
                </c:pt>
                <c:pt idx="55">
                  <c:v>6.9343942562242217E-2</c:v>
                </c:pt>
                <c:pt idx="56">
                  <c:v>6.8905629378292768E-2</c:v>
                </c:pt>
                <c:pt idx="57">
                  <c:v>7.3339920683486937E-2</c:v>
                </c:pt>
                <c:pt idx="58">
                  <c:v>6.9796710301241058E-2</c:v>
                </c:pt>
                <c:pt idx="59">
                  <c:v>7.1564097685370906E-2</c:v>
                </c:pt>
                <c:pt idx="60">
                  <c:v>6.9565072512357551E-2</c:v>
                </c:pt>
                <c:pt idx="61">
                  <c:v>6.9885536575543639E-2</c:v>
                </c:pt>
                <c:pt idx="62">
                  <c:v>6.8090489324921871E-2</c:v>
                </c:pt>
                <c:pt idx="63">
                  <c:v>6.6270162436917662E-2</c:v>
                </c:pt>
                <c:pt idx="64">
                  <c:v>6.7573858611867627E-2</c:v>
                </c:pt>
                <c:pt idx="65">
                  <c:v>5.8235817359024999E-2</c:v>
                </c:pt>
                <c:pt idx="66">
                  <c:v>6.9392954378300814E-2</c:v>
                </c:pt>
                <c:pt idx="67">
                  <c:v>6.8073848043092564E-2</c:v>
                </c:pt>
                <c:pt idx="68">
                  <c:v>7.5621973401778494E-2</c:v>
                </c:pt>
                <c:pt idx="69">
                  <c:v>6.8050652774175477E-2</c:v>
                </c:pt>
                <c:pt idx="70">
                  <c:v>6.3777453539280216E-2</c:v>
                </c:pt>
                <c:pt idx="71">
                  <c:v>6.5054098102769783E-2</c:v>
                </c:pt>
                <c:pt idx="72">
                  <c:v>7.3602608548431425E-2</c:v>
                </c:pt>
                <c:pt idx="73">
                  <c:v>7.2283988884879691E-2</c:v>
                </c:pt>
                <c:pt idx="74">
                  <c:v>6.7036750477635451E-2</c:v>
                </c:pt>
                <c:pt idx="75">
                  <c:v>5.6375497616479857E-2</c:v>
                </c:pt>
                <c:pt idx="76">
                  <c:v>6.5344887359534837E-2</c:v>
                </c:pt>
                <c:pt idx="77">
                  <c:v>6.7071003519566894E-2</c:v>
                </c:pt>
                <c:pt idx="78">
                  <c:v>9.127033734968909E-2</c:v>
                </c:pt>
                <c:pt idx="79">
                  <c:v>6.9817491123062944E-2</c:v>
                </c:pt>
                <c:pt idx="80">
                  <c:v>6.0711434821018512E-2</c:v>
                </c:pt>
                <c:pt idx="81">
                  <c:v>5.4389511689371672E-2</c:v>
                </c:pt>
                <c:pt idx="82">
                  <c:v>7.4981226345991497E-2</c:v>
                </c:pt>
                <c:pt idx="83">
                  <c:v>7.0564320897264499E-2</c:v>
                </c:pt>
                <c:pt idx="84">
                  <c:v>7.1039051565507619E-2</c:v>
                </c:pt>
                <c:pt idx="85">
                  <c:v>0.10256733103806932</c:v>
                </c:pt>
                <c:pt idx="86">
                  <c:v>9.6290972417970438E-2</c:v>
                </c:pt>
                <c:pt idx="87">
                  <c:v>8.9017937164575359E-2</c:v>
                </c:pt>
                <c:pt idx="88">
                  <c:v>8.9493870918486138E-2</c:v>
                </c:pt>
                <c:pt idx="89">
                  <c:v>8.674267192904242E-2</c:v>
                </c:pt>
                <c:pt idx="90">
                  <c:v>8.0564781195978E-2</c:v>
                </c:pt>
                <c:pt idx="91">
                  <c:v>8.6703435590449657E-2</c:v>
                </c:pt>
                <c:pt idx="92">
                  <c:v>8.2306354097496481E-2</c:v>
                </c:pt>
                <c:pt idx="93">
                  <c:v>7.7941726945450193E-2</c:v>
                </c:pt>
                <c:pt idx="94">
                  <c:v>7.9026467283415128E-2</c:v>
                </c:pt>
                <c:pt idx="95">
                  <c:v>7.8438724390077125E-2</c:v>
                </c:pt>
                <c:pt idx="96">
                  <c:v>7.9725062766962548E-2</c:v>
                </c:pt>
                <c:pt idx="97">
                  <c:v>7.8566122671994837E-2</c:v>
                </c:pt>
                <c:pt idx="98">
                  <c:v>8.009154938853176E-2</c:v>
                </c:pt>
                <c:pt idx="99">
                  <c:v>7.8575844806572315E-2</c:v>
                </c:pt>
                <c:pt idx="100">
                  <c:v>7.2890334656327799E-2</c:v>
                </c:pt>
                <c:pt idx="101">
                  <c:v>7.0967541246164001E-2</c:v>
                </c:pt>
                <c:pt idx="102">
                  <c:v>7.947513180446901E-2</c:v>
                </c:pt>
                <c:pt idx="103">
                  <c:v>7.6724005277848617E-2</c:v>
                </c:pt>
                <c:pt idx="104">
                  <c:v>7.4103606908390643E-2</c:v>
                </c:pt>
                <c:pt idx="105">
                  <c:v>0.10957817383486844</c:v>
                </c:pt>
                <c:pt idx="106">
                  <c:v>0.13082188233860814</c:v>
                </c:pt>
                <c:pt idx="107">
                  <c:v>0.1298849306238887</c:v>
                </c:pt>
                <c:pt idx="108">
                  <c:v>5.5851178974223474E-2</c:v>
                </c:pt>
                <c:pt idx="109">
                  <c:v>7.24034647873954E-2</c:v>
                </c:pt>
                <c:pt idx="110">
                  <c:v>6.5234125559440706E-2</c:v>
                </c:pt>
                <c:pt idx="111">
                  <c:v>7.6897819515269222E-2</c:v>
                </c:pt>
                <c:pt idx="112">
                  <c:v>7.0155356789868825E-2</c:v>
                </c:pt>
                <c:pt idx="113">
                  <c:v>7.431779724727039E-2</c:v>
                </c:pt>
                <c:pt idx="114">
                  <c:v>0.14654457119415062</c:v>
                </c:pt>
                <c:pt idx="115">
                  <c:v>0.15100333844077582</c:v>
                </c:pt>
                <c:pt idx="116">
                  <c:v>0.14609272551808863</c:v>
                </c:pt>
                <c:pt idx="117">
                  <c:v>0.14631917554109067</c:v>
                </c:pt>
                <c:pt idx="118">
                  <c:v>0.1508993222718682</c:v>
                </c:pt>
                <c:pt idx="119">
                  <c:v>0.15142359144527057</c:v>
                </c:pt>
                <c:pt idx="120">
                  <c:v>0.15285886150929734</c:v>
                </c:pt>
                <c:pt idx="121">
                  <c:v>0.15395092384747705</c:v>
                </c:pt>
                <c:pt idx="122">
                  <c:v>0.16516152709742621</c:v>
                </c:pt>
                <c:pt idx="123">
                  <c:v>0.16983284799196355</c:v>
                </c:pt>
                <c:pt idx="124">
                  <c:v>0.16848974832973221</c:v>
                </c:pt>
                <c:pt idx="125">
                  <c:v>0.15849670557217066</c:v>
                </c:pt>
                <c:pt idx="126">
                  <c:v>0.13102041309660237</c:v>
                </c:pt>
                <c:pt idx="127">
                  <c:v>0.1394341387573263</c:v>
                </c:pt>
                <c:pt idx="128">
                  <c:v>0.13722997975370113</c:v>
                </c:pt>
                <c:pt idx="129">
                  <c:v>0.13132689375889361</c:v>
                </c:pt>
                <c:pt idx="130">
                  <c:v>0.1307980466320299</c:v>
                </c:pt>
                <c:pt idx="131">
                  <c:v>9.3900592836515154E-2</c:v>
                </c:pt>
                <c:pt idx="132">
                  <c:v>0.10426731012120903</c:v>
                </c:pt>
                <c:pt idx="133">
                  <c:v>0.10500579416197992</c:v>
                </c:pt>
                <c:pt idx="134">
                  <c:v>0.11316278182592435</c:v>
                </c:pt>
                <c:pt idx="135">
                  <c:v>9.0669682732965343E-2</c:v>
                </c:pt>
                <c:pt idx="136">
                  <c:v>8.9491793439890541E-2</c:v>
                </c:pt>
                <c:pt idx="137">
                  <c:v>6.4020091028618192E-2</c:v>
                </c:pt>
                <c:pt idx="138">
                  <c:v>6.4248684862008951E-2</c:v>
                </c:pt>
                <c:pt idx="139">
                  <c:v>4.3737084281154012E-2</c:v>
                </c:pt>
                <c:pt idx="140">
                  <c:v>4.6504953795702256E-2</c:v>
                </c:pt>
                <c:pt idx="141">
                  <c:v>5.1354581787225045E-2</c:v>
                </c:pt>
                <c:pt idx="142">
                  <c:v>4.3881781204068097E-2</c:v>
                </c:pt>
                <c:pt idx="143">
                  <c:v>6.4967421538943054E-2</c:v>
                </c:pt>
                <c:pt idx="144">
                  <c:v>5.9736090286431072E-2</c:v>
                </c:pt>
                <c:pt idx="145">
                  <c:v>6.4561486817541563E-2</c:v>
                </c:pt>
                <c:pt idx="146">
                  <c:v>6.1886747062372002E-2</c:v>
                </c:pt>
                <c:pt idx="147">
                  <c:v>4.866781048180379E-2</c:v>
                </c:pt>
                <c:pt idx="148">
                  <c:v>4.2822366780848463E-2</c:v>
                </c:pt>
                <c:pt idx="149">
                  <c:v>7.1946581539401207E-3</c:v>
                </c:pt>
                <c:pt idx="150">
                  <c:v>2.1403323061095707E-2</c:v>
                </c:pt>
                <c:pt idx="151">
                  <c:v>2.2989802924978025E-2</c:v>
                </c:pt>
                <c:pt idx="152">
                  <c:v>5.5190307850436875E-2</c:v>
                </c:pt>
                <c:pt idx="153">
                  <c:v>5.9104807589858803E-2</c:v>
                </c:pt>
                <c:pt idx="154">
                  <c:v>9.0351214749719189E-2</c:v>
                </c:pt>
                <c:pt idx="155">
                  <c:v>8.0293306945181206E-2</c:v>
                </c:pt>
                <c:pt idx="156">
                  <c:v>7.5833786974767045E-2</c:v>
                </c:pt>
                <c:pt idx="157">
                  <c:v>0.10528577262908337</c:v>
                </c:pt>
                <c:pt idx="158">
                  <c:v>9.2719421451739295E-2</c:v>
                </c:pt>
                <c:pt idx="159">
                  <c:v>8.3537443469140327E-2</c:v>
                </c:pt>
                <c:pt idx="160">
                  <c:v>8.370401984048785E-2</c:v>
                </c:pt>
                <c:pt idx="161">
                  <c:v>7.7631924286617207E-2</c:v>
                </c:pt>
                <c:pt idx="162">
                  <c:v>6.939371082387967E-2</c:v>
                </c:pt>
                <c:pt idx="163">
                  <c:v>4.4403911816843493E-2</c:v>
                </c:pt>
                <c:pt idx="164">
                  <c:v>3.1356581806724522E-2</c:v>
                </c:pt>
                <c:pt idx="165">
                  <c:v>3.2932569894553919E-2</c:v>
                </c:pt>
                <c:pt idx="166">
                  <c:v>4.9949520836910531E-2</c:v>
                </c:pt>
                <c:pt idx="167">
                  <c:v>5.1194809615565919E-2</c:v>
                </c:pt>
                <c:pt idx="168">
                  <c:v>6.7259394143473886E-2</c:v>
                </c:pt>
                <c:pt idx="169">
                  <c:v>5.7988005657224347E-2</c:v>
                </c:pt>
                <c:pt idx="170">
                  <c:v>9.5616992725035072E-2</c:v>
                </c:pt>
                <c:pt idx="171">
                  <c:v>6.6375204995855766E-2</c:v>
                </c:pt>
                <c:pt idx="172">
                  <c:v>2.5270307851954939E-2</c:v>
                </c:pt>
                <c:pt idx="173">
                  <c:v>2.0473721440233086E-2</c:v>
                </c:pt>
                <c:pt idx="174">
                  <c:v>4.8307139173625778E-3</c:v>
                </c:pt>
                <c:pt idx="175">
                  <c:v>7.7287724741200722E-5</c:v>
                </c:pt>
                <c:pt idx="176">
                  <c:v>7.8074239948504017E-5</c:v>
                </c:pt>
                <c:pt idx="177">
                  <c:v>7.507288792622124E-5</c:v>
                </c:pt>
                <c:pt idx="178">
                  <c:v>5.1688470640843128E-5</c:v>
                </c:pt>
                <c:pt idx="179">
                  <c:v>5.155817903584455E-5</c:v>
                </c:pt>
                <c:pt idx="180">
                  <c:v>4.8392699784488067E-5</c:v>
                </c:pt>
                <c:pt idx="181">
                  <c:v>4.572824428462691E-5</c:v>
                </c:pt>
                <c:pt idx="182">
                  <c:v>6.7371075084177634E-5</c:v>
                </c:pt>
                <c:pt idx="183">
                  <c:v>3.5641297928526047E-5</c:v>
                </c:pt>
                <c:pt idx="184">
                  <c:v>5.1579126537014301E-5</c:v>
                </c:pt>
                <c:pt idx="185">
                  <c:v>7.9875940590983861E-5</c:v>
                </c:pt>
                <c:pt idx="186">
                  <c:v>7.2655720850263271E-5</c:v>
                </c:pt>
                <c:pt idx="187">
                  <c:v>8.2747499270690965E-5</c:v>
                </c:pt>
                <c:pt idx="188">
                  <c:v>8.3665703047326986E-5</c:v>
                </c:pt>
                <c:pt idx="189">
                  <c:v>8.6771257687835466E-5</c:v>
                </c:pt>
                <c:pt idx="190">
                  <c:v>1.7492336861413164E-2</c:v>
                </c:pt>
                <c:pt idx="191">
                  <c:v>1.8406447847371107E-2</c:v>
                </c:pt>
                <c:pt idx="192">
                  <c:v>2.5686961706501296E-2</c:v>
                </c:pt>
                <c:pt idx="193">
                  <c:v>1.2530895014537047E-2</c:v>
                </c:pt>
                <c:pt idx="194">
                  <c:v>6.6471109719432988E-3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64C-4BFA-AB18-FDBA10B37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007120"/>
        <c:axId val="966005456"/>
      </c:areaChart>
      <c:dateAx>
        <c:axId val="966007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005456"/>
        <c:crosses val="autoZero"/>
        <c:auto val="1"/>
        <c:lblOffset val="100"/>
        <c:baseTimeUnit val="days"/>
      </c:dateAx>
      <c:valAx>
        <c:axId val="9660054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007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强势组合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强势组合!$B$1</c:f>
              <c:strCache>
                <c:ptCount val="1"/>
                <c:pt idx="0">
                  <c:v>全指金融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强势组合!$B$2:$B$196</c:f>
              <c:numCache>
                <c:formatCode>0.00%</c:formatCode>
                <c:ptCount val="195"/>
                <c:pt idx="0">
                  <c:v>0.12320242990483234</c:v>
                </c:pt>
                <c:pt idx="1">
                  <c:v>0.10387336109401887</c:v>
                </c:pt>
                <c:pt idx="2">
                  <c:v>0.11365708008791824</c:v>
                </c:pt>
                <c:pt idx="3">
                  <c:v>0.11853667736020841</c:v>
                </c:pt>
                <c:pt idx="4">
                  <c:v>0.11772639801792111</c:v>
                </c:pt>
                <c:pt idx="5">
                  <c:v>0.11319311968817244</c:v>
                </c:pt>
                <c:pt idx="6">
                  <c:v>9.9100103505034523E-2</c:v>
                </c:pt>
                <c:pt idx="7">
                  <c:v>0.22174849010398021</c:v>
                </c:pt>
                <c:pt idx="8">
                  <c:v>0.24336513237001195</c:v>
                </c:pt>
                <c:pt idx="9">
                  <c:v>0.26435849903942699</c:v>
                </c:pt>
                <c:pt idx="10">
                  <c:v>0.26728412106841137</c:v>
                </c:pt>
                <c:pt idx="11">
                  <c:v>0.27304384708071</c:v>
                </c:pt>
                <c:pt idx="12">
                  <c:v>0.29402756555809245</c:v>
                </c:pt>
                <c:pt idx="13">
                  <c:v>0.29455578496336537</c:v>
                </c:pt>
                <c:pt idx="14">
                  <c:v>0.29702100428484834</c:v>
                </c:pt>
                <c:pt idx="15">
                  <c:v>0.29602291472060543</c:v>
                </c:pt>
                <c:pt idx="16">
                  <c:v>0.28916817699878145</c:v>
                </c:pt>
                <c:pt idx="17">
                  <c:v>0.28574701858371043</c:v>
                </c:pt>
                <c:pt idx="18">
                  <c:v>0.28598693214357768</c:v>
                </c:pt>
                <c:pt idx="19">
                  <c:v>0.28728094444255514</c:v>
                </c:pt>
                <c:pt idx="20">
                  <c:v>0.28939427587569971</c:v>
                </c:pt>
                <c:pt idx="21">
                  <c:v>0.27935451438118114</c:v>
                </c:pt>
                <c:pt idx="22">
                  <c:v>0.27989703170599339</c:v>
                </c:pt>
                <c:pt idx="23">
                  <c:v>0.28101919658440655</c:v>
                </c:pt>
                <c:pt idx="24">
                  <c:v>0.28099053223554366</c:v>
                </c:pt>
                <c:pt idx="25">
                  <c:v>0.28250501620759716</c:v>
                </c:pt>
                <c:pt idx="26">
                  <c:v>0.28357070589584826</c:v>
                </c:pt>
                <c:pt idx="27">
                  <c:v>0.28046712626360137</c:v>
                </c:pt>
                <c:pt idx="28">
                  <c:v>0.28380078950157345</c:v>
                </c:pt>
                <c:pt idx="29">
                  <c:v>0.28261647588122291</c:v>
                </c:pt>
                <c:pt idx="30">
                  <c:v>0.27862734316660537</c:v>
                </c:pt>
                <c:pt idx="31">
                  <c:v>0.27562539256869001</c:v>
                </c:pt>
                <c:pt idx="32">
                  <c:v>0.27657557121940979</c:v>
                </c:pt>
                <c:pt idx="33">
                  <c:v>0.27422173898102503</c:v>
                </c:pt>
                <c:pt idx="34">
                  <c:v>0.27463987282915797</c:v>
                </c:pt>
                <c:pt idx="35">
                  <c:v>0.27523550690275378</c:v>
                </c:pt>
                <c:pt idx="36">
                  <c:v>0.2692370742402892</c:v>
                </c:pt>
                <c:pt idx="37">
                  <c:v>0.26157181900002757</c:v>
                </c:pt>
                <c:pt idx="38">
                  <c:v>0.25427971034099828</c:v>
                </c:pt>
                <c:pt idx="39">
                  <c:v>0.23513445755647039</c:v>
                </c:pt>
                <c:pt idx="40">
                  <c:v>0.23307459406764788</c:v>
                </c:pt>
                <c:pt idx="41">
                  <c:v>0.23745019910482282</c:v>
                </c:pt>
                <c:pt idx="42">
                  <c:v>0.22756171015932997</c:v>
                </c:pt>
                <c:pt idx="43">
                  <c:v>0.22752101775225608</c:v>
                </c:pt>
                <c:pt idx="44">
                  <c:v>0.2316669908709946</c:v>
                </c:pt>
                <c:pt idx="45">
                  <c:v>0.22581021714795724</c:v>
                </c:pt>
                <c:pt idx="46">
                  <c:v>0.22653860194840411</c:v>
                </c:pt>
                <c:pt idx="47">
                  <c:v>0.19818320639952586</c:v>
                </c:pt>
                <c:pt idx="48">
                  <c:v>0.16011041481005489</c:v>
                </c:pt>
                <c:pt idx="49">
                  <c:v>0.15360597870345929</c:v>
                </c:pt>
                <c:pt idx="50">
                  <c:v>0.14668093069182347</c:v>
                </c:pt>
                <c:pt idx="51">
                  <c:v>0.14558027734471546</c:v>
                </c:pt>
                <c:pt idx="52">
                  <c:v>0.11253577767177886</c:v>
                </c:pt>
                <c:pt idx="53">
                  <c:v>0.11243701943061948</c:v>
                </c:pt>
                <c:pt idx="54">
                  <c:v>9.137595794741353E-2</c:v>
                </c:pt>
                <c:pt idx="55">
                  <c:v>8.5668401639804395E-2</c:v>
                </c:pt>
                <c:pt idx="56">
                  <c:v>9.2284020750060286E-2</c:v>
                </c:pt>
                <c:pt idx="57">
                  <c:v>9.3284956888261869E-2</c:v>
                </c:pt>
                <c:pt idx="58">
                  <c:v>9.5658721486168538E-2</c:v>
                </c:pt>
                <c:pt idx="59">
                  <c:v>9.3405888817298083E-2</c:v>
                </c:pt>
                <c:pt idx="60">
                  <c:v>9.2948043358174484E-2</c:v>
                </c:pt>
                <c:pt idx="61">
                  <c:v>0.10810678673450549</c:v>
                </c:pt>
                <c:pt idx="62">
                  <c:v>0.10040416298422274</c:v>
                </c:pt>
                <c:pt idx="63">
                  <c:v>9.2978711134264869E-2</c:v>
                </c:pt>
                <c:pt idx="64">
                  <c:v>8.4626382040032505E-2</c:v>
                </c:pt>
                <c:pt idx="65">
                  <c:v>9.0113235300971803E-2</c:v>
                </c:pt>
                <c:pt idx="66">
                  <c:v>6.5554173589517692E-2</c:v>
                </c:pt>
                <c:pt idx="67">
                  <c:v>5.5104171144050751E-2</c:v>
                </c:pt>
                <c:pt idx="68">
                  <c:v>2.712822360397376E-2</c:v>
                </c:pt>
                <c:pt idx="69">
                  <c:v>3.8617104893062118E-3</c:v>
                </c:pt>
                <c:pt idx="70">
                  <c:v>1.4191922776668444E-2</c:v>
                </c:pt>
                <c:pt idx="71">
                  <c:v>1.4368359576549396E-2</c:v>
                </c:pt>
                <c:pt idx="72">
                  <c:v>2.8342230246622843E-2</c:v>
                </c:pt>
                <c:pt idx="73">
                  <c:v>2.4744736453018244E-2</c:v>
                </c:pt>
                <c:pt idx="74">
                  <c:v>5.0230929891420042E-3</c:v>
                </c:pt>
                <c:pt idx="75">
                  <c:v>5.4282563334158386E-3</c:v>
                </c:pt>
                <c:pt idx="76">
                  <c:v>4.8815849461707325E-3</c:v>
                </c:pt>
                <c:pt idx="77">
                  <c:v>3.1603199294320764E-3</c:v>
                </c:pt>
                <c:pt idx="78">
                  <c:v>3.6263668811020451E-2</c:v>
                </c:pt>
                <c:pt idx="79">
                  <c:v>6.082106375702992E-2</c:v>
                </c:pt>
                <c:pt idx="80">
                  <c:v>0.11933377511478971</c:v>
                </c:pt>
                <c:pt idx="81">
                  <c:v>0.15797781182219006</c:v>
                </c:pt>
                <c:pt idx="82">
                  <c:v>0.15582720989430091</c:v>
                </c:pt>
                <c:pt idx="83">
                  <c:v>0.15464806573398024</c:v>
                </c:pt>
                <c:pt idx="84">
                  <c:v>0.16307776370407268</c:v>
                </c:pt>
                <c:pt idx="85">
                  <c:v>0.16158808180749837</c:v>
                </c:pt>
                <c:pt idx="86">
                  <c:v>0.15336468310807114</c:v>
                </c:pt>
                <c:pt idx="87">
                  <c:v>0.1381539021207594</c:v>
                </c:pt>
                <c:pt idx="88">
                  <c:v>0.15148964486989597</c:v>
                </c:pt>
                <c:pt idx="89">
                  <c:v>0.14693451830830637</c:v>
                </c:pt>
                <c:pt idx="90">
                  <c:v>9.8347790968003793E-2</c:v>
                </c:pt>
                <c:pt idx="91">
                  <c:v>9.3298676693833904E-2</c:v>
                </c:pt>
                <c:pt idx="92">
                  <c:v>9.1188161349953542E-2</c:v>
                </c:pt>
                <c:pt idx="93">
                  <c:v>9.3451576262236768E-2</c:v>
                </c:pt>
                <c:pt idx="94">
                  <c:v>0.10672733588880921</c:v>
                </c:pt>
                <c:pt idx="95">
                  <c:v>0.10529771935670129</c:v>
                </c:pt>
                <c:pt idx="96">
                  <c:v>3.7797597459331519E-2</c:v>
                </c:pt>
                <c:pt idx="97">
                  <c:v>3.9859974813571418E-2</c:v>
                </c:pt>
                <c:pt idx="98">
                  <c:v>4.9562625877545827E-2</c:v>
                </c:pt>
                <c:pt idx="99">
                  <c:v>4.4970334398601264E-2</c:v>
                </c:pt>
                <c:pt idx="100">
                  <c:v>3.1344248143302215E-2</c:v>
                </c:pt>
                <c:pt idx="101">
                  <c:v>2.7354468394202996E-2</c:v>
                </c:pt>
                <c:pt idx="102">
                  <c:v>2.4379843104827249E-2</c:v>
                </c:pt>
                <c:pt idx="103">
                  <c:v>1.9303791258642979E-2</c:v>
                </c:pt>
                <c:pt idx="104">
                  <c:v>1.0315684826484778E-2</c:v>
                </c:pt>
                <c:pt idx="105">
                  <c:v>8.6042442745489089E-5</c:v>
                </c:pt>
                <c:pt idx="106">
                  <c:v>5.8503271239019267E-5</c:v>
                </c:pt>
                <c:pt idx="107">
                  <c:v>8.1677860709097254E-5</c:v>
                </c:pt>
                <c:pt idx="108">
                  <c:v>6.3229678452467922E-2</c:v>
                </c:pt>
                <c:pt idx="109">
                  <c:v>7.3741174892988717E-2</c:v>
                </c:pt>
                <c:pt idx="110">
                  <c:v>7.0443165527206961E-2</c:v>
                </c:pt>
                <c:pt idx="111">
                  <c:v>5.1790242221060906E-2</c:v>
                </c:pt>
                <c:pt idx="112">
                  <c:v>8.8969035559055637E-2</c:v>
                </c:pt>
                <c:pt idx="113">
                  <c:v>7.846058769236558E-2</c:v>
                </c:pt>
                <c:pt idx="114">
                  <c:v>8.9932988472425673E-2</c:v>
                </c:pt>
                <c:pt idx="115">
                  <c:v>8.2535225676378249E-2</c:v>
                </c:pt>
                <c:pt idx="116">
                  <c:v>8.4791285035115807E-2</c:v>
                </c:pt>
                <c:pt idx="117">
                  <c:v>8.4124213181508325E-2</c:v>
                </c:pt>
                <c:pt idx="118">
                  <c:v>8.4629731021563265E-2</c:v>
                </c:pt>
                <c:pt idx="119">
                  <c:v>8.4555363905943537E-2</c:v>
                </c:pt>
                <c:pt idx="120">
                  <c:v>0.10069599271944706</c:v>
                </c:pt>
                <c:pt idx="121">
                  <c:v>0.10001000655080636</c:v>
                </c:pt>
                <c:pt idx="122">
                  <c:v>9.5638767472968636E-2</c:v>
                </c:pt>
                <c:pt idx="123">
                  <c:v>8.5835067019342348E-2</c:v>
                </c:pt>
                <c:pt idx="124">
                  <c:v>0.1028175722207383</c:v>
                </c:pt>
                <c:pt idx="125">
                  <c:v>0.10739373606230367</c:v>
                </c:pt>
                <c:pt idx="126">
                  <c:v>0.10363331847425973</c:v>
                </c:pt>
                <c:pt idx="127">
                  <c:v>0.10140854931912792</c:v>
                </c:pt>
                <c:pt idx="128">
                  <c:v>9.3649552690775448E-2</c:v>
                </c:pt>
                <c:pt idx="129">
                  <c:v>8.7721174781402761E-2</c:v>
                </c:pt>
                <c:pt idx="130">
                  <c:v>0.11450044859730903</c:v>
                </c:pt>
                <c:pt idx="131">
                  <c:v>0.12661502131746835</c:v>
                </c:pt>
                <c:pt idx="132">
                  <c:v>0.12626295168454094</c:v>
                </c:pt>
                <c:pt idx="133">
                  <c:v>0.18857611781590206</c:v>
                </c:pt>
                <c:pt idx="134">
                  <c:v>0.21390495146894503</c:v>
                </c:pt>
                <c:pt idx="135">
                  <c:v>0.24867059878235348</c:v>
                </c:pt>
                <c:pt idx="136">
                  <c:v>0.25573437847942876</c:v>
                </c:pt>
                <c:pt idx="137">
                  <c:v>0.26056760245481941</c:v>
                </c:pt>
                <c:pt idx="138">
                  <c:v>0.26456689845723241</c:v>
                </c:pt>
                <c:pt idx="139">
                  <c:v>0.28215949003619906</c:v>
                </c:pt>
                <c:pt idx="140">
                  <c:v>0.28045817430006287</c:v>
                </c:pt>
                <c:pt idx="141">
                  <c:v>0.27856695248373547</c:v>
                </c:pt>
                <c:pt idx="142">
                  <c:v>0.28852191831354945</c:v>
                </c:pt>
                <c:pt idx="143">
                  <c:v>0.28490043309732321</c:v>
                </c:pt>
                <c:pt idx="144">
                  <c:v>0.28382556515805579</c:v>
                </c:pt>
                <c:pt idx="145">
                  <c:v>0.28278270862562221</c:v>
                </c:pt>
                <c:pt idx="146">
                  <c:v>0.29187694458704561</c:v>
                </c:pt>
                <c:pt idx="147">
                  <c:v>0.3066817758725916</c:v>
                </c:pt>
                <c:pt idx="148">
                  <c:v>0.31276527779090924</c:v>
                </c:pt>
                <c:pt idx="149">
                  <c:v>0.3183183771048263</c:v>
                </c:pt>
                <c:pt idx="150">
                  <c:v>0.31754193599749009</c:v>
                </c:pt>
                <c:pt idx="151">
                  <c:v>0.31717779079997105</c:v>
                </c:pt>
                <c:pt idx="152">
                  <c:v>0.31265283297841201</c:v>
                </c:pt>
                <c:pt idx="153">
                  <c:v>0.31315227223253178</c:v>
                </c:pt>
                <c:pt idx="154">
                  <c:v>0.3114338900863704</c:v>
                </c:pt>
                <c:pt idx="155">
                  <c:v>0.31398370443174001</c:v>
                </c:pt>
                <c:pt idx="156">
                  <c:v>0.31773243945689467</c:v>
                </c:pt>
                <c:pt idx="157">
                  <c:v>0.31986684053905895</c:v>
                </c:pt>
                <c:pt idx="158">
                  <c:v>0.32673748648302914</c:v>
                </c:pt>
                <c:pt idx="159">
                  <c:v>0.32317118936225903</c:v>
                </c:pt>
                <c:pt idx="160">
                  <c:v>0.31933035349923261</c:v>
                </c:pt>
                <c:pt idx="161">
                  <c:v>0.31673556811141035</c:v>
                </c:pt>
                <c:pt idx="162">
                  <c:v>0.31464098749894459</c:v>
                </c:pt>
                <c:pt idx="163">
                  <c:v>0.32357559302743816</c:v>
                </c:pt>
                <c:pt idx="164">
                  <c:v>0.32094396514862744</c:v>
                </c:pt>
                <c:pt idx="165">
                  <c:v>0.32116564166640788</c:v>
                </c:pt>
                <c:pt idx="166">
                  <c:v>0.3202215343033884</c:v>
                </c:pt>
                <c:pt idx="167">
                  <c:v>0.3138933046539561</c:v>
                </c:pt>
                <c:pt idx="168">
                  <c:v>0.30804477674763225</c:v>
                </c:pt>
                <c:pt idx="169">
                  <c:v>0.30656072391885553</c:v>
                </c:pt>
                <c:pt idx="170">
                  <c:v>0.26059552350345716</c:v>
                </c:pt>
                <c:pt idx="171">
                  <c:v>0.27769920481691307</c:v>
                </c:pt>
                <c:pt idx="172">
                  <c:v>0.2804552084399094</c:v>
                </c:pt>
                <c:pt idx="173">
                  <c:v>0.27852098102207834</c:v>
                </c:pt>
                <c:pt idx="174">
                  <c:v>0.26629903000819927</c:v>
                </c:pt>
                <c:pt idx="175">
                  <c:v>0.27283965122746373</c:v>
                </c:pt>
                <c:pt idx="176">
                  <c:v>0.27756386572783892</c:v>
                </c:pt>
                <c:pt idx="177">
                  <c:v>0.2782088637319039</c:v>
                </c:pt>
                <c:pt idx="178">
                  <c:v>0.27947397227945808</c:v>
                </c:pt>
                <c:pt idx="179">
                  <c:v>0.27669448847229544</c:v>
                </c:pt>
                <c:pt idx="180">
                  <c:v>0.28061301482959139</c:v>
                </c:pt>
                <c:pt idx="181">
                  <c:v>0.27970190545424362</c:v>
                </c:pt>
                <c:pt idx="182">
                  <c:v>0.26829206844634579</c:v>
                </c:pt>
                <c:pt idx="183">
                  <c:v>0.26578526361641708</c:v>
                </c:pt>
                <c:pt idx="184">
                  <c:v>0.27610173676240435</c:v>
                </c:pt>
                <c:pt idx="185">
                  <c:v>0.29728986006155028</c:v>
                </c:pt>
                <c:pt idx="186">
                  <c:v>0.29139363046808037</c:v>
                </c:pt>
                <c:pt idx="187">
                  <c:v>0.28216435917159988</c:v>
                </c:pt>
                <c:pt idx="188">
                  <c:v>0.28285752940690534</c:v>
                </c:pt>
                <c:pt idx="189">
                  <c:v>0.2940912987132519</c:v>
                </c:pt>
                <c:pt idx="190">
                  <c:v>0.28810021116359408</c:v>
                </c:pt>
                <c:pt idx="191">
                  <c:v>0.28762013656417262</c:v>
                </c:pt>
                <c:pt idx="192">
                  <c:v>0.29126496246978228</c:v>
                </c:pt>
                <c:pt idx="193">
                  <c:v>0.3000725439499024</c:v>
                </c:pt>
                <c:pt idx="194">
                  <c:v>0.30081567679610083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3F-4729-B474-298F34384C2D}"/>
            </c:ext>
          </c:extLst>
        </c:ser>
        <c:ser>
          <c:idx val="1"/>
          <c:order val="1"/>
          <c:tx>
            <c:strRef>
              <c:f>强势组合!$C$1</c:f>
              <c:strCache>
                <c:ptCount val="1"/>
                <c:pt idx="0">
                  <c:v>全指工业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强势组合!$C$2:$C$196</c:f>
              <c:numCache>
                <c:formatCode>0.00%</c:formatCode>
                <c:ptCount val="195"/>
                <c:pt idx="0">
                  <c:v>8.8277083073709094E-5</c:v>
                </c:pt>
                <c:pt idx="1">
                  <c:v>5.9072383498096871E-5</c:v>
                </c:pt>
                <c:pt idx="2">
                  <c:v>8.514899522490244E-5</c:v>
                </c:pt>
                <c:pt idx="3">
                  <c:v>8.3024373368269079E-5</c:v>
                </c:pt>
                <c:pt idx="4">
                  <c:v>1.31358390705949E-2</c:v>
                </c:pt>
                <c:pt idx="5">
                  <c:v>2.3427887078397082E-2</c:v>
                </c:pt>
                <c:pt idx="6">
                  <c:v>8.434561333014727E-2</c:v>
                </c:pt>
                <c:pt idx="7">
                  <c:v>0.1658720432261572</c:v>
                </c:pt>
                <c:pt idx="8">
                  <c:v>0.12755878234546061</c:v>
                </c:pt>
                <c:pt idx="9">
                  <c:v>1.7835942837509111E-2</c:v>
                </c:pt>
                <c:pt idx="10">
                  <c:v>8.4692224797757999E-5</c:v>
                </c:pt>
                <c:pt idx="11">
                  <c:v>8.7509281553600088E-5</c:v>
                </c:pt>
                <c:pt idx="12">
                  <c:v>1.3439238330996929E-2</c:v>
                </c:pt>
                <c:pt idx="13">
                  <c:v>2.4472672191041867E-2</c:v>
                </c:pt>
                <c:pt idx="14">
                  <c:v>3.3820725612891893E-2</c:v>
                </c:pt>
                <c:pt idx="15">
                  <c:v>2.9762539963750667E-2</c:v>
                </c:pt>
                <c:pt idx="16">
                  <c:v>7.7156611842310778E-3</c:v>
                </c:pt>
                <c:pt idx="17">
                  <c:v>3.0176883708947599E-3</c:v>
                </c:pt>
                <c:pt idx="18">
                  <c:v>3.0089743158777911E-3</c:v>
                </c:pt>
                <c:pt idx="19">
                  <c:v>1.2622907341729515E-3</c:v>
                </c:pt>
                <c:pt idx="20">
                  <c:v>6.8385096066987634E-5</c:v>
                </c:pt>
                <c:pt idx="21">
                  <c:v>2.8459412670917593E-5</c:v>
                </c:pt>
                <c:pt idx="22">
                  <c:v>8.740763735059118E-5</c:v>
                </c:pt>
                <c:pt idx="23">
                  <c:v>8.5895063333260962E-5</c:v>
                </c:pt>
                <c:pt idx="24">
                  <c:v>8.8305015282875946E-5</c:v>
                </c:pt>
                <c:pt idx="25">
                  <c:v>9.5149380915762386E-5</c:v>
                </c:pt>
                <c:pt idx="26">
                  <c:v>4.9681328939367424E-3</c:v>
                </c:pt>
                <c:pt idx="27">
                  <c:v>3.6350087580656013E-2</c:v>
                </c:pt>
                <c:pt idx="28">
                  <c:v>3.3346278460779893E-2</c:v>
                </c:pt>
                <c:pt idx="29">
                  <c:v>3.1534680245714833E-2</c:v>
                </c:pt>
                <c:pt idx="30">
                  <c:v>4.0472611935466168E-2</c:v>
                </c:pt>
                <c:pt idx="31">
                  <c:v>1.911608368387669E-2</c:v>
                </c:pt>
                <c:pt idx="32">
                  <c:v>1.030920585587051E-2</c:v>
                </c:pt>
                <c:pt idx="33">
                  <c:v>1.0875394882752375E-6</c:v>
                </c:pt>
                <c:pt idx="34">
                  <c:v>6.0938796326836542E-5</c:v>
                </c:pt>
                <c:pt idx="35">
                  <c:v>4.6450708771980903E-5</c:v>
                </c:pt>
                <c:pt idx="36">
                  <c:v>7.9700535054391241E-5</c:v>
                </c:pt>
                <c:pt idx="37">
                  <c:v>7.7926906325068847E-6</c:v>
                </c:pt>
                <c:pt idx="38">
                  <c:v>4.5143356746573786E-6</c:v>
                </c:pt>
                <c:pt idx="39">
                  <c:v>2.0738855862115337E-5</c:v>
                </c:pt>
                <c:pt idx="40">
                  <c:v>3.1335810568006938E-5</c:v>
                </c:pt>
                <c:pt idx="41">
                  <c:v>3.4791100857400122E-5</c:v>
                </c:pt>
                <c:pt idx="42">
                  <c:v>3.1679430727132326E-5</c:v>
                </c:pt>
                <c:pt idx="43">
                  <c:v>3.1029116038098838E-5</c:v>
                </c:pt>
                <c:pt idx="44">
                  <c:v>3.0411767929033908E-5</c:v>
                </c:pt>
                <c:pt idx="45">
                  <c:v>3.6062109106082955E-5</c:v>
                </c:pt>
                <c:pt idx="46">
                  <c:v>3.2705930867142679E-6</c:v>
                </c:pt>
                <c:pt idx="47">
                  <c:v>4.3119276437657057E-6</c:v>
                </c:pt>
                <c:pt idx="48">
                  <c:v>1.4630724710104108E-5</c:v>
                </c:pt>
                <c:pt idx="49">
                  <c:v>1.4081444685807115E-5</c:v>
                </c:pt>
                <c:pt idx="50">
                  <c:v>2.7509472128875993E-5</c:v>
                </c:pt>
                <c:pt idx="51">
                  <c:v>3.3576034478075063E-5</c:v>
                </c:pt>
                <c:pt idx="52">
                  <c:v>5.969125174087069E-3</c:v>
                </c:pt>
                <c:pt idx="53">
                  <c:v>1.9435958125069801E-2</c:v>
                </c:pt>
                <c:pt idx="54">
                  <c:v>7.9365473012189963E-2</c:v>
                </c:pt>
                <c:pt idx="55">
                  <c:v>0.11533056930259936</c:v>
                </c:pt>
                <c:pt idx="56">
                  <c:v>9.7142290949053092E-2</c:v>
                </c:pt>
                <c:pt idx="57">
                  <c:v>9.9940998012462395E-2</c:v>
                </c:pt>
                <c:pt idx="58">
                  <c:v>0.1007341885826426</c:v>
                </c:pt>
                <c:pt idx="59">
                  <c:v>9.252013683180936E-2</c:v>
                </c:pt>
                <c:pt idx="60">
                  <c:v>8.0037207915659478E-2</c:v>
                </c:pt>
                <c:pt idx="61">
                  <c:v>6.4670775951019138E-2</c:v>
                </c:pt>
                <c:pt idx="62">
                  <c:v>7.5866174248714113E-2</c:v>
                </c:pt>
                <c:pt idx="63">
                  <c:v>7.1218766343323331E-2</c:v>
                </c:pt>
                <c:pt idx="64">
                  <c:v>9.871479218099137E-2</c:v>
                </c:pt>
                <c:pt idx="65">
                  <c:v>5.0987127982915423E-2</c:v>
                </c:pt>
                <c:pt idx="66">
                  <c:v>6.6228500411230601E-2</c:v>
                </c:pt>
                <c:pt idx="67">
                  <c:v>0.14195313006593244</c:v>
                </c:pt>
                <c:pt idx="68">
                  <c:v>3.6119156339282872E-2</c:v>
                </c:pt>
                <c:pt idx="69">
                  <c:v>5.8749853194383174E-2</c:v>
                </c:pt>
                <c:pt idx="70">
                  <c:v>3.7028844991486597E-5</c:v>
                </c:pt>
                <c:pt idx="71">
                  <c:v>3.7273564257355013E-5</c:v>
                </c:pt>
                <c:pt idx="72">
                  <c:v>2.2672880693588859E-6</c:v>
                </c:pt>
                <c:pt idx="73">
                  <c:v>6.0363744514270639E-6</c:v>
                </c:pt>
                <c:pt idx="74">
                  <c:v>2.6226526142103619E-5</c:v>
                </c:pt>
                <c:pt idx="75">
                  <c:v>3.2718422816591747E-6</c:v>
                </c:pt>
                <c:pt idx="76">
                  <c:v>1.2468400938717532E-5</c:v>
                </c:pt>
                <c:pt idx="77">
                  <c:v>1.3878426255953814E-5</c:v>
                </c:pt>
                <c:pt idx="78">
                  <c:v>2.3545553651980631E-5</c:v>
                </c:pt>
                <c:pt idx="79">
                  <c:v>3.3632317681261369E-5</c:v>
                </c:pt>
                <c:pt idx="80">
                  <c:v>2.9047072302337714E-6</c:v>
                </c:pt>
                <c:pt idx="81">
                  <c:v>1.5903437307797921E-5</c:v>
                </c:pt>
                <c:pt idx="82">
                  <c:v>8.9553089328940147E-6</c:v>
                </c:pt>
                <c:pt idx="83">
                  <c:v>6.7929973189078895E-6</c:v>
                </c:pt>
                <c:pt idx="84">
                  <c:v>3.5498691073215345E-6</c:v>
                </c:pt>
                <c:pt idx="85">
                  <c:v>3.6769396634088329E-7</c:v>
                </c:pt>
                <c:pt idx="86">
                  <c:v>8.35327425752708E-6</c:v>
                </c:pt>
                <c:pt idx="87">
                  <c:v>8.6890882911351411E-6</c:v>
                </c:pt>
                <c:pt idx="88">
                  <c:v>9.8975440826581625E-6</c:v>
                </c:pt>
                <c:pt idx="89">
                  <c:v>9.4668186879767123E-6</c:v>
                </c:pt>
                <c:pt idx="90">
                  <c:v>1.9534418956083496E-5</c:v>
                </c:pt>
                <c:pt idx="91">
                  <c:v>1.7099575361524111E-5</c:v>
                </c:pt>
                <c:pt idx="92">
                  <c:v>1.7776170334204116E-5</c:v>
                </c:pt>
                <c:pt idx="93">
                  <c:v>1.5741168325159221E-5</c:v>
                </c:pt>
                <c:pt idx="94">
                  <c:v>2.2840222055691788E-5</c:v>
                </c:pt>
                <c:pt idx="95">
                  <c:v>2.0808013189107004E-5</c:v>
                </c:pt>
                <c:pt idx="96">
                  <c:v>2.1769123269799615E-5</c:v>
                </c:pt>
                <c:pt idx="97">
                  <c:v>2.1499622922398226E-5</c:v>
                </c:pt>
                <c:pt idx="98">
                  <c:v>3.2580371843760796E-5</c:v>
                </c:pt>
                <c:pt idx="99">
                  <c:v>3.4525446639249347E-5</c:v>
                </c:pt>
                <c:pt idx="100">
                  <c:v>2.9650551844836892E-5</c:v>
                </c:pt>
                <c:pt idx="101">
                  <c:v>3.6681427921562012E-5</c:v>
                </c:pt>
                <c:pt idx="102">
                  <c:v>3.7192417892371009E-5</c:v>
                </c:pt>
                <c:pt idx="103">
                  <c:v>4.1660926035164367E-5</c:v>
                </c:pt>
                <c:pt idx="104">
                  <c:v>3.2138684852058848E-5</c:v>
                </c:pt>
                <c:pt idx="105">
                  <c:v>6.9860393704487291E-5</c:v>
                </c:pt>
                <c:pt idx="106">
                  <c:v>6.5736502376999954E-5</c:v>
                </c:pt>
                <c:pt idx="107">
                  <c:v>5.0069624604482018E-5</c:v>
                </c:pt>
                <c:pt idx="108">
                  <c:v>8.7064077511780108E-5</c:v>
                </c:pt>
                <c:pt idx="109">
                  <c:v>8.8226311855535812E-5</c:v>
                </c:pt>
                <c:pt idx="110">
                  <c:v>9.1295830711695707E-5</c:v>
                </c:pt>
                <c:pt idx="111">
                  <c:v>6.4348178768678451E-4</c:v>
                </c:pt>
                <c:pt idx="112">
                  <c:v>8.7573959498457978E-5</c:v>
                </c:pt>
                <c:pt idx="113">
                  <c:v>8.546633125836469E-5</c:v>
                </c:pt>
                <c:pt idx="114">
                  <c:v>3.1443599269070893E-2</c:v>
                </c:pt>
                <c:pt idx="115">
                  <c:v>4.8187398725834794E-2</c:v>
                </c:pt>
                <c:pt idx="116">
                  <c:v>4.9686890529828248E-2</c:v>
                </c:pt>
                <c:pt idx="117">
                  <c:v>5.2003436262873938E-2</c:v>
                </c:pt>
                <c:pt idx="118">
                  <c:v>6.3426678952399951E-2</c:v>
                </c:pt>
                <c:pt idx="119">
                  <c:v>6.4999963065850694E-2</c:v>
                </c:pt>
                <c:pt idx="120">
                  <c:v>8.4147512847578695E-2</c:v>
                </c:pt>
                <c:pt idx="121">
                  <c:v>8.4073928284041172E-2</c:v>
                </c:pt>
                <c:pt idx="122">
                  <c:v>8.7170619018216156E-2</c:v>
                </c:pt>
                <c:pt idx="123">
                  <c:v>6.1134113199926718E-2</c:v>
                </c:pt>
                <c:pt idx="124">
                  <c:v>8.1592507107070888E-2</c:v>
                </c:pt>
                <c:pt idx="125">
                  <c:v>6.459969984864436E-2</c:v>
                </c:pt>
                <c:pt idx="126">
                  <c:v>7.0677214746940054E-2</c:v>
                </c:pt>
                <c:pt idx="127">
                  <c:v>8.4451277341742764E-2</c:v>
                </c:pt>
                <c:pt idx="128">
                  <c:v>9.4601742415618015E-2</c:v>
                </c:pt>
                <c:pt idx="129">
                  <c:v>7.8847673618332795E-2</c:v>
                </c:pt>
                <c:pt idx="130">
                  <c:v>0.12277587295071193</c:v>
                </c:pt>
                <c:pt idx="131">
                  <c:v>0.11324019663029013</c:v>
                </c:pt>
                <c:pt idx="132">
                  <c:v>0.11336245661669873</c:v>
                </c:pt>
                <c:pt idx="133">
                  <c:v>9.9229815651590822E-2</c:v>
                </c:pt>
                <c:pt idx="134">
                  <c:v>0.13957402792751916</c:v>
                </c:pt>
                <c:pt idx="135">
                  <c:v>0.14674898685890417</c:v>
                </c:pt>
                <c:pt idx="136">
                  <c:v>0.17393650443795203</c:v>
                </c:pt>
                <c:pt idx="137">
                  <c:v>0.18136674194396599</c:v>
                </c:pt>
                <c:pt idx="138">
                  <c:v>0.19252860453552023</c:v>
                </c:pt>
                <c:pt idx="139">
                  <c:v>0.19522645986941736</c:v>
                </c:pt>
                <c:pt idx="140">
                  <c:v>0.17341148965783471</c:v>
                </c:pt>
                <c:pt idx="141">
                  <c:v>0.14955681546143362</c:v>
                </c:pt>
                <c:pt idx="142">
                  <c:v>0.16366483612873059</c:v>
                </c:pt>
                <c:pt idx="143">
                  <c:v>0.1404374757798067</c:v>
                </c:pt>
                <c:pt idx="144">
                  <c:v>0.14319724100996295</c:v>
                </c:pt>
                <c:pt idx="145">
                  <c:v>0.13665012167835455</c:v>
                </c:pt>
                <c:pt idx="146">
                  <c:v>0.13988363989072117</c:v>
                </c:pt>
                <c:pt idx="147">
                  <c:v>0.15733618058001594</c:v>
                </c:pt>
                <c:pt idx="148">
                  <c:v>0.16962937921846949</c:v>
                </c:pt>
                <c:pt idx="149">
                  <c:v>0.16303083025063775</c:v>
                </c:pt>
                <c:pt idx="150">
                  <c:v>0.16745075244656277</c:v>
                </c:pt>
                <c:pt idx="151">
                  <c:v>0.16133812941140038</c:v>
                </c:pt>
                <c:pt idx="152">
                  <c:v>0.15368575003120416</c:v>
                </c:pt>
                <c:pt idx="153">
                  <c:v>0.10350575648756939</c:v>
                </c:pt>
                <c:pt idx="154">
                  <c:v>0.10639146352820943</c:v>
                </c:pt>
                <c:pt idx="155">
                  <c:v>9.6579992205340026E-2</c:v>
                </c:pt>
                <c:pt idx="156">
                  <c:v>9.2785897773055723E-2</c:v>
                </c:pt>
                <c:pt idx="157">
                  <c:v>9.1013953986181451E-2</c:v>
                </c:pt>
                <c:pt idx="158">
                  <c:v>6.284787789492248E-2</c:v>
                </c:pt>
                <c:pt idx="159">
                  <c:v>6.7065300270860759E-2</c:v>
                </c:pt>
                <c:pt idx="160">
                  <c:v>6.4318510522390071E-2</c:v>
                </c:pt>
                <c:pt idx="161">
                  <c:v>5.6408498464080116E-2</c:v>
                </c:pt>
                <c:pt idx="162">
                  <c:v>5.0760016370159672E-2</c:v>
                </c:pt>
                <c:pt idx="163">
                  <c:v>6.8498899041187847E-2</c:v>
                </c:pt>
                <c:pt idx="164">
                  <c:v>7.1623536599304177E-2</c:v>
                </c:pt>
                <c:pt idx="165">
                  <c:v>7.1829739264005266E-2</c:v>
                </c:pt>
                <c:pt idx="166">
                  <c:v>3.023788781346376E-2</c:v>
                </c:pt>
                <c:pt idx="167">
                  <c:v>3.8457793298291798E-2</c:v>
                </c:pt>
                <c:pt idx="168">
                  <c:v>3.4672263892467748E-4</c:v>
                </c:pt>
                <c:pt idx="169">
                  <c:v>9.0389247893351101E-5</c:v>
                </c:pt>
                <c:pt idx="170">
                  <c:v>1.2173694157415702E-5</c:v>
                </c:pt>
                <c:pt idx="171">
                  <c:v>8.4181632156427586E-5</c:v>
                </c:pt>
                <c:pt idx="172">
                  <c:v>1.5256756515578978E-6</c:v>
                </c:pt>
                <c:pt idx="173">
                  <c:v>1.0244663010347049E-5</c:v>
                </c:pt>
                <c:pt idx="174">
                  <c:v>5.7669775779758636E-6</c:v>
                </c:pt>
                <c:pt idx="175">
                  <c:v>5.5061048759669649E-7</c:v>
                </c:pt>
                <c:pt idx="176">
                  <c:v>1.2234691895563394E-5</c:v>
                </c:pt>
                <c:pt idx="177">
                  <c:v>1.0736364783711826E-5</c:v>
                </c:pt>
                <c:pt idx="178">
                  <c:v>1.910261568721449E-6</c:v>
                </c:pt>
                <c:pt idx="179">
                  <c:v>4.1463936563404311E-7</c:v>
                </c:pt>
                <c:pt idx="180">
                  <c:v>6.7253560664175962E-6</c:v>
                </c:pt>
                <c:pt idx="181">
                  <c:v>1.7527420769018945E-5</c:v>
                </c:pt>
                <c:pt idx="182">
                  <c:v>1.58783223458945E-5</c:v>
                </c:pt>
                <c:pt idx="183">
                  <c:v>5.2395729938428236E-6</c:v>
                </c:pt>
                <c:pt idx="184">
                  <c:v>3.7139400759386598E-5</c:v>
                </c:pt>
                <c:pt idx="185">
                  <c:v>9.4742772623223062E-6</c:v>
                </c:pt>
                <c:pt idx="186">
                  <c:v>7.2330361707901739E-6</c:v>
                </c:pt>
                <c:pt idx="187">
                  <c:v>1.9403828617314422E-5</c:v>
                </c:pt>
                <c:pt idx="188">
                  <c:v>2.6522889378360596E-6</c:v>
                </c:pt>
                <c:pt idx="189">
                  <c:v>9.5193717488445252E-6</c:v>
                </c:pt>
                <c:pt idx="190">
                  <c:v>9.3867323014006801E-7</c:v>
                </c:pt>
                <c:pt idx="191">
                  <c:v>4.4196620773254256E-7</c:v>
                </c:pt>
                <c:pt idx="192">
                  <c:v>2.3613104955349959E-7</c:v>
                </c:pt>
                <c:pt idx="193">
                  <c:v>1.5300455142376864E-6</c:v>
                </c:pt>
                <c:pt idx="194">
                  <c:v>3.8829763746621443E-6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3F-4729-B474-298F34384C2D}"/>
            </c:ext>
          </c:extLst>
        </c:ser>
        <c:ser>
          <c:idx val="2"/>
          <c:order val="2"/>
          <c:tx>
            <c:strRef>
              <c:f>强势组合!$D$1</c:f>
              <c:strCache>
                <c:ptCount val="1"/>
                <c:pt idx="0">
                  <c:v>全指可选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强势组合!$D$2:$D$196</c:f>
              <c:numCache>
                <c:formatCode>0.00%</c:formatCode>
                <c:ptCount val="195"/>
                <c:pt idx="0">
                  <c:v>0.18923338512025098</c:v>
                </c:pt>
                <c:pt idx="1">
                  <c:v>0.18286497822360628</c:v>
                </c:pt>
                <c:pt idx="2">
                  <c:v>0.18560961322185035</c:v>
                </c:pt>
                <c:pt idx="3">
                  <c:v>0.13780033278286982</c:v>
                </c:pt>
                <c:pt idx="4">
                  <c:v>0.10817813530031946</c:v>
                </c:pt>
                <c:pt idx="5">
                  <c:v>0.10992369076879834</c:v>
                </c:pt>
                <c:pt idx="6">
                  <c:v>0.11199812272683773</c:v>
                </c:pt>
                <c:pt idx="7">
                  <c:v>7.350635045562371E-3</c:v>
                </c:pt>
                <c:pt idx="8">
                  <c:v>3.4220412473258723E-2</c:v>
                </c:pt>
                <c:pt idx="9">
                  <c:v>5.2183502172989164E-2</c:v>
                </c:pt>
                <c:pt idx="10">
                  <c:v>0.13805492487722507</c:v>
                </c:pt>
                <c:pt idx="11">
                  <c:v>0.12228290196808442</c:v>
                </c:pt>
                <c:pt idx="12">
                  <c:v>0.16388073416889312</c:v>
                </c:pt>
                <c:pt idx="13">
                  <c:v>0.20242473831669036</c:v>
                </c:pt>
                <c:pt idx="14">
                  <c:v>0.21561268890085791</c:v>
                </c:pt>
                <c:pt idx="15">
                  <c:v>0.20552757383418122</c:v>
                </c:pt>
                <c:pt idx="16">
                  <c:v>0.19850101312251181</c:v>
                </c:pt>
                <c:pt idx="17">
                  <c:v>0.17979682864263127</c:v>
                </c:pt>
                <c:pt idx="18">
                  <c:v>0.17922766390683328</c:v>
                </c:pt>
                <c:pt idx="19">
                  <c:v>0.20138989925863554</c:v>
                </c:pt>
                <c:pt idx="20">
                  <c:v>0.2217199242753877</c:v>
                </c:pt>
                <c:pt idx="21">
                  <c:v>0.17432210412149851</c:v>
                </c:pt>
                <c:pt idx="22">
                  <c:v>0.17821552353180306</c:v>
                </c:pt>
                <c:pt idx="23">
                  <c:v>0.19192090287091765</c:v>
                </c:pt>
                <c:pt idx="24">
                  <c:v>0.20176770297243715</c:v>
                </c:pt>
                <c:pt idx="25">
                  <c:v>0.20742048743121891</c:v>
                </c:pt>
                <c:pt idx="26">
                  <c:v>0.1732787972859621</c:v>
                </c:pt>
                <c:pt idx="27">
                  <c:v>0.16321262954220131</c:v>
                </c:pt>
                <c:pt idx="28">
                  <c:v>0.16695660897902309</c:v>
                </c:pt>
                <c:pt idx="29">
                  <c:v>0.15893914092990793</c:v>
                </c:pt>
                <c:pt idx="30">
                  <c:v>0.17547440364562994</c:v>
                </c:pt>
                <c:pt idx="31">
                  <c:v>0.1054095590733246</c:v>
                </c:pt>
                <c:pt idx="32">
                  <c:v>0.11187466718376017</c:v>
                </c:pt>
                <c:pt idx="33">
                  <c:v>1.0243697508214093E-4</c:v>
                </c:pt>
                <c:pt idx="34">
                  <c:v>1.0523113689671742E-2</c:v>
                </c:pt>
                <c:pt idx="35">
                  <c:v>5.5944447325827693E-2</c:v>
                </c:pt>
                <c:pt idx="36">
                  <c:v>8.1654844168558768E-2</c:v>
                </c:pt>
                <c:pt idx="37">
                  <c:v>5.0123820168018189E-2</c:v>
                </c:pt>
                <c:pt idx="38">
                  <c:v>3.476520683592399E-2</c:v>
                </c:pt>
                <c:pt idx="39">
                  <c:v>8.3464971502353891E-5</c:v>
                </c:pt>
                <c:pt idx="40">
                  <c:v>5.4338075193850658E-5</c:v>
                </c:pt>
                <c:pt idx="41">
                  <c:v>5.6653153630818964E-5</c:v>
                </c:pt>
                <c:pt idx="42">
                  <c:v>7.5104256457330623E-5</c:v>
                </c:pt>
                <c:pt idx="43">
                  <c:v>7.8155878381748074E-5</c:v>
                </c:pt>
                <c:pt idx="44">
                  <c:v>5.1036631369557185E-5</c:v>
                </c:pt>
                <c:pt idx="45">
                  <c:v>4.144916146353427E-5</c:v>
                </c:pt>
                <c:pt idx="46">
                  <c:v>2.3399622520859491E-5</c:v>
                </c:pt>
                <c:pt idx="47">
                  <c:v>2.5211279190175159E-5</c:v>
                </c:pt>
                <c:pt idx="48">
                  <c:v>3.7341361494894871E-5</c:v>
                </c:pt>
                <c:pt idx="49">
                  <c:v>1.0065989834207425E-5</c:v>
                </c:pt>
                <c:pt idx="50">
                  <c:v>5.075936896884199E-5</c:v>
                </c:pt>
                <c:pt idx="51">
                  <c:v>4.2378297426275035E-5</c:v>
                </c:pt>
                <c:pt idx="52">
                  <c:v>9.7976853615543702E-3</c:v>
                </c:pt>
                <c:pt idx="53">
                  <c:v>2.0335518043382112E-3</c:v>
                </c:pt>
                <c:pt idx="54">
                  <c:v>5.0321515210520421E-3</c:v>
                </c:pt>
                <c:pt idx="55">
                  <c:v>2.7556173099967416E-2</c:v>
                </c:pt>
                <c:pt idx="56">
                  <c:v>3.1517919769708892E-2</c:v>
                </c:pt>
                <c:pt idx="57">
                  <c:v>3.6520645188659114E-2</c:v>
                </c:pt>
                <c:pt idx="58">
                  <c:v>3.4714684218314078E-2</c:v>
                </c:pt>
                <c:pt idx="59">
                  <c:v>2.3383511631528804E-2</c:v>
                </c:pt>
                <c:pt idx="60">
                  <c:v>1.2897125476192355E-2</c:v>
                </c:pt>
                <c:pt idx="61">
                  <c:v>5.0125305687984531E-3</c:v>
                </c:pt>
                <c:pt idx="62">
                  <c:v>2.8247603479077091E-3</c:v>
                </c:pt>
                <c:pt idx="63">
                  <c:v>3.5471630257030914E-2</c:v>
                </c:pt>
                <c:pt idx="64">
                  <c:v>5.8512036801100398E-2</c:v>
                </c:pt>
                <c:pt idx="65">
                  <c:v>3.2470479071826432E-5</c:v>
                </c:pt>
                <c:pt idx="66">
                  <c:v>3.0788918664445782E-3</c:v>
                </c:pt>
                <c:pt idx="67">
                  <c:v>8.2632418238437052E-5</c:v>
                </c:pt>
                <c:pt idx="68">
                  <c:v>6.1261784401336617E-5</c:v>
                </c:pt>
                <c:pt idx="69">
                  <c:v>6.1381963687135178E-5</c:v>
                </c:pt>
                <c:pt idx="70">
                  <c:v>4.2603316729998388E-5</c:v>
                </c:pt>
                <c:pt idx="71">
                  <c:v>4.3827214483880844E-5</c:v>
                </c:pt>
                <c:pt idx="72">
                  <c:v>2.5316384752580981E-6</c:v>
                </c:pt>
                <c:pt idx="73">
                  <c:v>6.7641160324006651E-6</c:v>
                </c:pt>
                <c:pt idx="74">
                  <c:v>5.9281024384575958E-6</c:v>
                </c:pt>
                <c:pt idx="75">
                  <c:v>1.793602975902154E-6</c:v>
                </c:pt>
                <c:pt idx="76">
                  <c:v>7.5073989610311253E-6</c:v>
                </c:pt>
                <c:pt idx="77">
                  <c:v>7.331704006846778E-6</c:v>
                </c:pt>
                <c:pt idx="78">
                  <c:v>4.4047170775245135E-5</c:v>
                </c:pt>
                <c:pt idx="79">
                  <c:v>3.3227051012863136E-5</c:v>
                </c:pt>
                <c:pt idx="80">
                  <c:v>8.8710485159606279E-5</c:v>
                </c:pt>
                <c:pt idx="81">
                  <c:v>3.0745308438590274E-2</c:v>
                </c:pt>
                <c:pt idx="82">
                  <c:v>5.4493738385785896E-2</c:v>
                </c:pt>
                <c:pt idx="83">
                  <c:v>7.5119293352643043E-2</c:v>
                </c:pt>
                <c:pt idx="84">
                  <c:v>5.53169153748082E-2</c:v>
                </c:pt>
                <c:pt idx="85">
                  <c:v>9.1616746764392798E-2</c:v>
                </c:pt>
                <c:pt idx="86">
                  <c:v>8.3887820179934607E-5</c:v>
                </c:pt>
                <c:pt idx="87">
                  <c:v>4.0063524657823309E-5</c:v>
                </c:pt>
                <c:pt idx="88">
                  <c:v>6.4837556104086922E-5</c:v>
                </c:pt>
                <c:pt idx="89">
                  <c:v>7.8386383545176364E-5</c:v>
                </c:pt>
                <c:pt idx="90">
                  <c:v>4.5997460698428713E-5</c:v>
                </c:pt>
                <c:pt idx="91">
                  <c:v>4.5982891824239235E-5</c:v>
                </c:pt>
                <c:pt idx="92">
                  <c:v>4.0899799599596166E-5</c:v>
                </c:pt>
                <c:pt idx="93">
                  <c:v>3.6156352594123329E-5</c:v>
                </c:pt>
                <c:pt idx="94">
                  <c:v>4.6595258996656204E-5</c:v>
                </c:pt>
                <c:pt idx="95">
                  <c:v>4.0245816083019424E-5</c:v>
                </c:pt>
                <c:pt idx="96">
                  <c:v>4.1372173197336487E-5</c:v>
                </c:pt>
                <c:pt idx="97">
                  <c:v>4.1764474005502995E-5</c:v>
                </c:pt>
                <c:pt idx="98">
                  <c:v>7.0488318906540532E-5</c:v>
                </c:pt>
                <c:pt idx="99">
                  <c:v>8.2246822110479829E-5</c:v>
                </c:pt>
                <c:pt idx="100">
                  <c:v>5.8802732432344826E-5</c:v>
                </c:pt>
                <c:pt idx="101">
                  <c:v>5.1104071007634692E-5</c:v>
                </c:pt>
                <c:pt idx="102">
                  <c:v>5.3801685824582931E-5</c:v>
                </c:pt>
                <c:pt idx="103">
                  <c:v>4.9433945186253659E-5</c:v>
                </c:pt>
                <c:pt idx="104">
                  <c:v>3.3514153980959234E-5</c:v>
                </c:pt>
                <c:pt idx="105">
                  <c:v>5.6252274283451796E-5</c:v>
                </c:pt>
                <c:pt idx="106">
                  <c:v>5.4547695952700666E-5</c:v>
                </c:pt>
                <c:pt idx="107">
                  <c:v>6.4680787368744217E-5</c:v>
                </c:pt>
                <c:pt idx="108">
                  <c:v>8.4145514994735285E-2</c:v>
                </c:pt>
                <c:pt idx="109">
                  <c:v>9.163931142950868E-2</c:v>
                </c:pt>
                <c:pt idx="110">
                  <c:v>8.7552384523671783E-2</c:v>
                </c:pt>
                <c:pt idx="111">
                  <c:v>9.2057074218177021E-2</c:v>
                </c:pt>
                <c:pt idx="112">
                  <c:v>8.4127831942548803E-2</c:v>
                </c:pt>
                <c:pt idx="113">
                  <c:v>9.1627036350663896E-2</c:v>
                </c:pt>
                <c:pt idx="114">
                  <c:v>4.5083299979607021E-2</c:v>
                </c:pt>
                <c:pt idx="115">
                  <c:v>3.1304013506873604E-2</c:v>
                </c:pt>
                <c:pt idx="116">
                  <c:v>3.7139328649326515E-2</c:v>
                </c:pt>
                <c:pt idx="117">
                  <c:v>4.0310971430756515E-2</c:v>
                </c:pt>
                <c:pt idx="118">
                  <c:v>3.5223178092734453E-2</c:v>
                </c:pt>
                <c:pt idx="119">
                  <c:v>3.379729259866552E-2</c:v>
                </c:pt>
                <c:pt idx="120">
                  <c:v>7.4411508905415352E-3</c:v>
                </c:pt>
                <c:pt idx="121">
                  <c:v>1.7618318458518478E-2</c:v>
                </c:pt>
                <c:pt idx="122">
                  <c:v>2.1438233576216621E-2</c:v>
                </c:pt>
                <c:pt idx="123">
                  <c:v>3.5568979736814998E-2</c:v>
                </c:pt>
                <c:pt idx="124">
                  <c:v>1.0615537694924488E-4</c:v>
                </c:pt>
                <c:pt idx="125">
                  <c:v>8.8416938301160363E-5</c:v>
                </c:pt>
                <c:pt idx="126">
                  <c:v>8.6747972433843493E-5</c:v>
                </c:pt>
                <c:pt idx="127">
                  <c:v>9.1871897026794101E-5</c:v>
                </c:pt>
                <c:pt idx="128">
                  <c:v>4.6351617213674673E-2</c:v>
                </c:pt>
                <c:pt idx="129">
                  <c:v>4.704923654191176E-2</c:v>
                </c:pt>
                <c:pt idx="130">
                  <c:v>7.9716419571936856E-2</c:v>
                </c:pt>
                <c:pt idx="131">
                  <c:v>3.3907125565524887E-2</c:v>
                </c:pt>
                <c:pt idx="132">
                  <c:v>3.0072172218193811E-2</c:v>
                </c:pt>
                <c:pt idx="133">
                  <c:v>3.2890031995178037E-5</c:v>
                </c:pt>
                <c:pt idx="134">
                  <c:v>9.0512552211075711E-5</c:v>
                </c:pt>
                <c:pt idx="135">
                  <c:v>6.5846864006372557E-5</c:v>
                </c:pt>
                <c:pt idx="136">
                  <c:v>8.120410085460504E-5</c:v>
                </c:pt>
                <c:pt idx="137">
                  <c:v>1.3062988796285551E-2</c:v>
                </c:pt>
                <c:pt idx="138">
                  <c:v>4.5623553883306293E-2</c:v>
                </c:pt>
                <c:pt idx="139">
                  <c:v>1.3921179820311219E-2</c:v>
                </c:pt>
                <c:pt idx="140">
                  <c:v>8.5788461370703007E-5</c:v>
                </c:pt>
                <c:pt idx="141">
                  <c:v>5.3357146601038659E-5</c:v>
                </c:pt>
                <c:pt idx="142">
                  <c:v>9.6430967648208306E-6</c:v>
                </c:pt>
                <c:pt idx="143">
                  <c:v>3.6152874321938256E-5</c:v>
                </c:pt>
                <c:pt idx="144">
                  <c:v>4.5320916776577299E-6</c:v>
                </c:pt>
                <c:pt idx="145">
                  <c:v>5.1232480466070528E-5</c:v>
                </c:pt>
                <c:pt idx="146">
                  <c:v>2.893248326594967E-2</c:v>
                </c:pt>
                <c:pt idx="147">
                  <c:v>5.9118558885001807E-5</c:v>
                </c:pt>
                <c:pt idx="148">
                  <c:v>8.2306272919395492E-5</c:v>
                </c:pt>
                <c:pt idx="149">
                  <c:v>4.7383749590417295E-5</c:v>
                </c:pt>
                <c:pt idx="150">
                  <c:v>8.0243350476721603E-5</c:v>
                </c:pt>
                <c:pt idx="151">
                  <c:v>7.1387776199753058E-5</c:v>
                </c:pt>
                <c:pt idx="152">
                  <c:v>8.7258354932669122E-5</c:v>
                </c:pt>
                <c:pt idx="153">
                  <c:v>6.6229075848248451E-5</c:v>
                </c:pt>
                <c:pt idx="154">
                  <c:v>7.8377954695591E-5</c:v>
                </c:pt>
                <c:pt idx="155">
                  <c:v>7.5129995783619087E-5</c:v>
                </c:pt>
                <c:pt idx="156">
                  <c:v>6.3664087871479413E-5</c:v>
                </c:pt>
                <c:pt idx="157">
                  <c:v>7.2329488509841823E-5</c:v>
                </c:pt>
                <c:pt idx="158">
                  <c:v>8.7492034574382923E-6</c:v>
                </c:pt>
                <c:pt idx="159">
                  <c:v>5.3737332400343035E-3</c:v>
                </c:pt>
                <c:pt idx="160">
                  <c:v>5.7471073459919291E-3</c:v>
                </c:pt>
                <c:pt idx="161">
                  <c:v>4.7011922460002391E-3</c:v>
                </c:pt>
                <c:pt idx="162">
                  <c:v>1.609735845891587E-2</c:v>
                </c:pt>
                <c:pt idx="163">
                  <c:v>7.6959351768738778E-5</c:v>
                </c:pt>
                <c:pt idx="164">
                  <c:v>8.9927930599607351E-5</c:v>
                </c:pt>
                <c:pt idx="165">
                  <c:v>7.428181411975016E-5</c:v>
                </c:pt>
                <c:pt idx="166">
                  <c:v>5.2117311318993033E-6</c:v>
                </c:pt>
                <c:pt idx="167">
                  <c:v>4.3810070085160849E-5</c:v>
                </c:pt>
                <c:pt idx="168">
                  <c:v>2.8205958602285798E-6</c:v>
                </c:pt>
                <c:pt idx="169">
                  <c:v>4.0842261361599082E-2</c:v>
                </c:pt>
                <c:pt idx="170">
                  <c:v>0.11407797895268625</c:v>
                </c:pt>
                <c:pt idx="171">
                  <c:v>0.11471162371020302</c:v>
                </c:pt>
                <c:pt idx="172">
                  <c:v>0.11453187340313113</c:v>
                </c:pt>
                <c:pt idx="173">
                  <c:v>0.10934993238891323</c:v>
                </c:pt>
                <c:pt idx="174">
                  <c:v>9.3945107916029974E-2</c:v>
                </c:pt>
                <c:pt idx="175">
                  <c:v>9.9716368406544575E-2</c:v>
                </c:pt>
                <c:pt idx="176">
                  <c:v>8.5276968672217193E-2</c:v>
                </c:pt>
                <c:pt idx="177">
                  <c:v>9.0876281163642755E-2</c:v>
                </c:pt>
                <c:pt idx="178">
                  <c:v>4.0338087168682785E-2</c:v>
                </c:pt>
                <c:pt idx="179">
                  <c:v>3.6422217944081493E-2</c:v>
                </c:pt>
                <c:pt idx="180">
                  <c:v>3.6337805591866494E-2</c:v>
                </c:pt>
                <c:pt idx="181">
                  <c:v>3.1902884933593043E-2</c:v>
                </c:pt>
                <c:pt idx="182">
                  <c:v>3.7466354578978615E-2</c:v>
                </c:pt>
                <c:pt idx="183">
                  <c:v>3.5507594624316539E-2</c:v>
                </c:pt>
                <c:pt idx="184">
                  <c:v>2.8480859016248108E-2</c:v>
                </c:pt>
                <c:pt idx="185">
                  <c:v>1.0547018541349755E-2</c:v>
                </c:pt>
                <c:pt idx="186">
                  <c:v>8.2536589380151903E-3</c:v>
                </c:pt>
                <c:pt idx="187">
                  <c:v>2.4528904456004773E-2</c:v>
                </c:pt>
                <c:pt idx="188">
                  <c:v>8.3394474886463291E-5</c:v>
                </c:pt>
                <c:pt idx="189">
                  <c:v>1.624496054767699E-2</c:v>
                </c:pt>
                <c:pt idx="190">
                  <c:v>2.0223698324524454E-2</c:v>
                </c:pt>
                <c:pt idx="191">
                  <c:v>1.9550643168205484E-2</c:v>
                </c:pt>
                <c:pt idx="192">
                  <c:v>7.0119208756597965E-4</c:v>
                </c:pt>
                <c:pt idx="193">
                  <c:v>8.4577147852556709E-5</c:v>
                </c:pt>
                <c:pt idx="194">
                  <c:v>8.8355241369486589E-5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3F-4729-B474-298F34384C2D}"/>
            </c:ext>
          </c:extLst>
        </c:ser>
        <c:ser>
          <c:idx val="3"/>
          <c:order val="3"/>
          <c:tx>
            <c:strRef>
              <c:f>强势组合!$E$1</c:f>
              <c:strCache>
                <c:ptCount val="1"/>
                <c:pt idx="0">
                  <c:v>全指材料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强势组合!$E$2:$E$196</c:f>
              <c:numCache>
                <c:formatCode>0.00%</c:formatCode>
                <c:ptCount val="195"/>
                <c:pt idx="0">
                  <c:v>5.2212483960308795E-2</c:v>
                </c:pt>
                <c:pt idx="1">
                  <c:v>0.10077189720539725</c:v>
                </c:pt>
                <c:pt idx="2">
                  <c:v>8.2409426618874293E-2</c:v>
                </c:pt>
                <c:pt idx="3">
                  <c:v>9.7865078931640093E-2</c:v>
                </c:pt>
                <c:pt idx="4">
                  <c:v>9.6935920109165949E-2</c:v>
                </c:pt>
                <c:pt idx="5">
                  <c:v>9.5774928452596567E-2</c:v>
                </c:pt>
                <c:pt idx="6">
                  <c:v>0.11652647641504268</c:v>
                </c:pt>
                <c:pt idx="7">
                  <c:v>9.6247232743757488E-2</c:v>
                </c:pt>
                <c:pt idx="8">
                  <c:v>7.5552148276422038E-2</c:v>
                </c:pt>
                <c:pt idx="9">
                  <c:v>0.11562636640695911</c:v>
                </c:pt>
                <c:pt idx="10">
                  <c:v>0.12330198945376392</c:v>
                </c:pt>
                <c:pt idx="11">
                  <c:v>0.15233136976254075</c:v>
                </c:pt>
                <c:pt idx="12">
                  <c:v>0.16630010569404549</c:v>
                </c:pt>
                <c:pt idx="13">
                  <c:v>0.1537080018459524</c:v>
                </c:pt>
                <c:pt idx="14">
                  <c:v>0.12540211026186598</c:v>
                </c:pt>
                <c:pt idx="15">
                  <c:v>0.10575655725934739</c:v>
                </c:pt>
                <c:pt idx="16">
                  <c:v>0.11781136032648948</c:v>
                </c:pt>
                <c:pt idx="17">
                  <c:v>0.12435602891730291</c:v>
                </c:pt>
                <c:pt idx="18">
                  <c:v>0.13293221061660299</c:v>
                </c:pt>
                <c:pt idx="19">
                  <c:v>0.12466965780761136</c:v>
                </c:pt>
                <c:pt idx="20">
                  <c:v>0.1121165692176813</c:v>
                </c:pt>
                <c:pt idx="21">
                  <c:v>0.18610388155102295</c:v>
                </c:pt>
                <c:pt idx="22">
                  <c:v>0.17454580775863462</c:v>
                </c:pt>
                <c:pt idx="23">
                  <c:v>0.17276279940406086</c:v>
                </c:pt>
                <c:pt idx="24">
                  <c:v>0.16451848399720206</c:v>
                </c:pt>
                <c:pt idx="25">
                  <c:v>0.16323352051144535</c:v>
                </c:pt>
                <c:pt idx="26">
                  <c:v>0.15906949656529054</c:v>
                </c:pt>
                <c:pt idx="27">
                  <c:v>0.119980551209512</c:v>
                </c:pt>
                <c:pt idx="28">
                  <c:v>0.10625252299867627</c:v>
                </c:pt>
                <c:pt idx="29">
                  <c:v>0.10432968160973329</c:v>
                </c:pt>
                <c:pt idx="30">
                  <c:v>0.12742402531874739</c:v>
                </c:pt>
                <c:pt idx="31">
                  <c:v>0.18320682571298869</c:v>
                </c:pt>
                <c:pt idx="32">
                  <c:v>0.16875466166099001</c:v>
                </c:pt>
                <c:pt idx="33">
                  <c:v>0.22136638591869562</c:v>
                </c:pt>
                <c:pt idx="34">
                  <c:v>0.21054220088664616</c:v>
                </c:pt>
                <c:pt idx="35">
                  <c:v>0.18856185837132561</c:v>
                </c:pt>
                <c:pt idx="36">
                  <c:v>0.18647694772856277</c:v>
                </c:pt>
                <c:pt idx="37">
                  <c:v>0.16076937281642384</c:v>
                </c:pt>
                <c:pt idx="38">
                  <c:v>0.1876223690702252</c:v>
                </c:pt>
                <c:pt idx="39">
                  <c:v>0.18604504036806638</c:v>
                </c:pt>
                <c:pt idx="40">
                  <c:v>8.0144284148324973E-2</c:v>
                </c:pt>
                <c:pt idx="41">
                  <c:v>7.7697543040178368E-2</c:v>
                </c:pt>
                <c:pt idx="42">
                  <c:v>7.3352519790632023E-2</c:v>
                </c:pt>
                <c:pt idx="43">
                  <c:v>7.0437802378783346E-2</c:v>
                </c:pt>
                <c:pt idx="44">
                  <c:v>6.6199245813682986E-2</c:v>
                </c:pt>
                <c:pt idx="45">
                  <c:v>7.0445926958187938E-2</c:v>
                </c:pt>
                <c:pt idx="46">
                  <c:v>8.4850519020186424E-5</c:v>
                </c:pt>
                <c:pt idx="47">
                  <c:v>9.9192881248576613E-6</c:v>
                </c:pt>
                <c:pt idx="48">
                  <c:v>1.976006645942376E-5</c:v>
                </c:pt>
                <c:pt idx="49">
                  <c:v>4.0074639177365015E-6</c:v>
                </c:pt>
                <c:pt idx="50">
                  <c:v>1.4978628534309804E-5</c:v>
                </c:pt>
                <c:pt idx="51">
                  <c:v>1.1142197277322576E-5</c:v>
                </c:pt>
                <c:pt idx="52">
                  <c:v>3.2264601607049409E-6</c:v>
                </c:pt>
                <c:pt idx="53">
                  <c:v>6.1467956915571559E-7</c:v>
                </c:pt>
                <c:pt idx="54">
                  <c:v>3.1559608548923454E-6</c:v>
                </c:pt>
                <c:pt idx="55">
                  <c:v>3.7047628827050367E-5</c:v>
                </c:pt>
                <c:pt idx="56">
                  <c:v>4.9700423859838627E-5</c:v>
                </c:pt>
                <c:pt idx="57">
                  <c:v>6.7835002512654801E-5</c:v>
                </c:pt>
                <c:pt idx="58">
                  <c:v>6.1074027159913741E-5</c:v>
                </c:pt>
                <c:pt idx="59">
                  <c:v>3.6403729519026226E-5</c:v>
                </c:pt>
                <c:pt idx="60">
                  <c:v>2.8709765788451046E-5</c:v>
                </c:pt>
                <c:pt idx="61">
                  <c:v>3.9816686367486489E-6</c:v>
                </c:pt>
                <c:pt idx="62">
                  <c:v>5.4121427939632797E-6</c:v>
                </c:pt>
                <c:pt idx="63">
                  <c:v>8.521939332579347E-5</c:v>
                </c:pt>
                <c:pt idx="64">
                  <c:v>8.6776311244452951E-5</c:v>
                </c:pt>
                <c:pt idx="65">
                  <c:v>8.5993732742522313E-5</c:v>
                </c:pt>
                <c:pt idx="66">
                  <c:v>4.5647803475703173E-6</c:v>
                </c:pt>
                <c:pt idx="67">
                  <c:v>8.1774997303233232E-6</c:v>
                </c:pt>
                <c:pt idx="68">
                  <c:v>3.0540135989408396E-5</c:v>
                </c:pt>
                <c:pt idx="69">
                  <c:v>3.3151441700136991E-5</c:v>
                </c:pt>
                <c:pt idx="70">
                  <c:v>2.0685024738897342E-5</c:v>
                </c:pt>
                <c:pt idx="71">
                  <c:v>2.0401682709989256E-5</c:v>
                </c:pt>
                <c:pt idx="72">
                  <c:v>2.0107534450233881E-6</c:v>
                </c:pt>
                <c:pt idx="73">
                  <c:v>6.2552649828659382E-6</c:v>
                </c:pt>
                <c:pt idx="74">
                  <c:v>4.5058186613198218E-6</c:v>
                </c:pt>
                <c:pt idx="75">
                  <c:v>1.5175494511197103E-6</c:v>
                </c:pt>
                <c:pt idx="76">
                  <c:v>7.0105703483386258E-6</c:v>
                </c:pt>
                <c:pt idx="77">
                  <c:v>6.7803547197728584E-6</c:v>
                </c:pt>
                <c:pt idx="78">
                  <c:v>2.1115983400435022E-5</c:v>
                </c:pt>
                <c:pt idx="79">
                  <c:v>1.8080821817722364E-5</c:v>
                </c:pt>
                <c:pt idx="80">
                  <c:v>2.0614747097276192E-6</c:v>
                </c:pt>
                <c:pt idx="81">
                  <c:v>2.7665383393506098E-5</c:v>
                </c:pt>
                <c:pt idx="82">
                  <c:v>1.6132173528750648E-5</c:v>
                </c:pt>
                <c:pt idx="83">
                  <c:v>8.353981544464196E-6</c:v>
                </c:pt>
                <c:pt idx="84">
                  <c:v>4.6132052888960785E-6</c:v>
                </c:pt>
                <c:pt idx="85">
                  <c:v>5.2613126408793869E-7</c:v>
                </c:pt>
                <c:pt idx="86">
                  <c:v>1.6780888082516718E-5</c:v>
                </c:pt>
                <c:pt idx="87">
                  <c:v>6.1183047100950459E-5</c:v>
                </c:pt>
                <c:pt idx="88">
                  <c:v>4.9776123557256399E-5</c:v>
                </c:pt>
                <c:pt idx="89">
                  <c:v>6.1529836522525091E-5</c:v>
                </c:pt>
                <c:pt idx="90">
                  <c:v>3.9069556643810344E-2</c:v>
                </c:pt>
                <c:pt idx="91">
                  <c:v>2.6313041823448145E-2</c:v>
                </c:pt>
                <c:pt idx="92">
                  <c:v>2.9505130260258122E-2</c:v>
                </c:pt>
                <c:pt idx="93">
                  <c:v>2.515765295367843E-2</c:v>
                </c:pt>
                <c:pt idx="94">
                  <c:v>3.8220786444443093E-2</c:v>
                </c:pt>
                <c:pt idx="95">
                  <c:v>4.1384325247702462E-2</c:v>
                </c:pt>
                <c:pt idx="96">
                  <c:v>6.0314556638264474E-2</c:v>
                </c:pt>
                <c:pt idx="97">
                  <c:v>4.4627470377745476E-2</c:v>
                </c:pt>
                <c:pt idx="98">
                  <c:v>4.1433107065517297E-2</c:v>
                </c:pt>
                <c:pt idx="99">
                  <c:v>5.274399303997495E-2</c:v>
                </c:pt>
                <c:pt idx="100">
                  <c:v>4.3775065234153303E-2</c:v>
                </c:pt>
                <c:pt idx="101">
                  <c:v>3.2144804226742089E-2</c:v>
                </c:pt>
                <c:pt idx="102">
                  <c:v>3.8565315377382288E-2</c:v>
                </c:pt>
                <c:pt idx="103">
                  <c:v>3.9915001029464811E-2</c:v>
                </c:pt>
                <c:pt idx="104">
                  <c:v>4.1196681934857107E-2</c:v>
                </c:pt>
                <c:pt idx="105">
                  <c:v>7.1146685099352597E-2</c:v>
                </c:pt>
                <c:pt idx="106">
                  <c:v>7.76870888507631E-2</c:v>
                </c:pt>
                <c:pt idx="107">
                  <c:v>8.0851315313405059E-2</c:v>
                </c:pt>
                <c:pt idx="108">
                  <c:v>0.20861896049148571</c:v>
                </c:pt>
                <c:pt idx="109">
                  <c:v>0.19144657868134823</c:v>
                </c:pt>
                <c:pt idx="110">
                  <c:v>0.19130273727048042</c:v>
                </c:pt>
                <c:pt idx="111">
                  <c:v>0.19156855492734184</c:v>
                </c:pt>
                <c:pt idx="112">
                  <c:v>0.20126803379502425</c:v>
                </c:pt>
                <c:pt idx="113">
                  <c:v>0.19652192360269621</c:v>
                </c:pt>
                <c:pt idx="114">
                  <c:v>0.18629988499381939</c:v>
                </c:pt>
                <c:pt idx="115">
                  <c:v>0.17554282361924892</c:v>
                </c:pt>
                <c:pt idx="116">
                  <c:v>0.17193188250917046</c:v>
                </c:pt>
                <c:pt idx="117">
                  <c:v>0.16668617238437863</c:v>
                </c:pt>
                <c:pt idx="118">
                  <c:v>0.15396864730865079</c:v>
                </c:pt>
                <c:pt idx="119">
                  <c:v>0.15196498083520707</c:v>
                </c:pt>
                <c:pt idx="120">
                  <c:v>0.16478093962443657</c:v>
                </c:pt>
                <c:pt idx="121">
                  <c:v>0.16604569307523576</c:v>
                </c:pt>
                <c:pt idx="122">
                  <c:v>0.17104637159489766</c:v>
                </c:pt>
                <c:pt idx="123">
                  <c:v>0.19054135031686739</c:v>
                </c:pt>
                <c:pt idx="124">
                  <c:v>0.18062767796558932</c:v>
                </c:pt>
                <c:pt idx="125">
                  <c:v>0.17889610262690703</c:v>
                </c:pt>
                <c:pt idx="126">
                  <c:v>0.1714795485206769</c:v>
                </c:pt>
                <c:pt idx="127">
                  <c:v>0.15357393466504712</c:v>
                </c:pt>
                <c:pt idx="128">
                  <c:v>0.18904578106142594</c:v>
                </c:pt>
                <c:pt idx="129">
                  <c:v>0.19797767554850762</c:v>
                </c:pt>
                <c:pt idx="130">
                  <c:v>0.12369011402087821</c:v>
                </c:pt>
                <c:pt idx="131">
                  <c:v>0.12039191068546687</c:v>
                </c:pt>
                <c:pt idx="132">
                  <c:v>0.11447348557011278</c:v>
                </c:pt>
                <c:pt idx="133">
                  <c:v>8.2418050867798825E-2</c:v>
                </c:pt>
                <c:pt idx="134">
                  <c:v>9.5395992262833462E-2</c:v>
                </c:pt>
                <c:pt idx="135">
                  <c:v>6.5742113454341347E-2</c:v>
                </c:pt>
                <c:pt idx="136">
                  <c:v>4.662339680436027E-2</c:v>
                </c:pt>
                <c:pt idx="137">
                  <c:v>3.828355575245939E-2</c:v>
                </c:pt>
                <c:pt idx="138">
                  <c:v>1.3843394719188549E-2</c:v>
                </c:pt>
                <c:pt idx="139">
                  <c:v>1.7078713780402502E-2</c:v>
                </c:pt>
                <c:pt idx="140">
                  <c:v>4.0136173366879579E-2</c:v>
                </c:pt>
                <c:pt idx="141">
                  <c:v>7.9528385890436329E-2</c:v>
                </c:pt>
                <c:pt idx="142">
                  <c:v>9.154008201043809E-2</c:v>
                </c:pt>
                <c:pt idx="143">
                  <c:v>0.11815666224642986</c:v>
                </c:pt>
                <c:pt idx="144">
                  <c:v>0.11086551860366299</c:v>
                </c:pt>
                <c:pt idx="145">
                  <c:v>0.10614629198393723</c:v>
                </c:pt>
                <c:pt idx="146">
                  <c:v>0.11328877674484449</c:v>
                </c:pt>
                <c:pt idx="147">
                  <c:v>0.11456062119547364</c:v>
                </c:pt>
                <c:pt idx="148">
                  <c:v>0.10711088608627305</c:v>
                </c:pt>
                <c:pt idx="149">
                  <c:v>9.9923779500381713E-2</c:v>
                </c:pt>
                <c:pt idx="150">
                  <c:v>9.3869223233251198E-2</c:v>
                </c:pt>
                <c:pt idx="151">
                  <c:v>9.112686052221676E-2</c:v>
                </c:pt>
                <c:pt idx="152">
                  <c:v>8.8490630432836004E-2</c:v>
                </c:pt>
                <c:pt idx="153">
                  <c:v>0.11370607837393128</c:v>
                </c:pt>
                <c:pt idx="154">
                  <c:v>0.1075088179125331</c:v>
                </c:pt>
                <c:pt idx="155">
                  <c:v>0.12359907288722692</c:v>
                </c:pt>
                <c:pt idx="156">
                  <c:v>0.12358393662526738</c:v>
                </c:pt>
                <c:pt idx="157">
                  <c:v>0.13464425205607686</c:v>
                </c:pt>
                <c:pt idx="158">
                  <c:v>0.14087975568532757</c:v>
                </c:pt>
                <c:pt idx="159">
                  <c:v>0.1358888575593292</c:v>
                </c:pt>
                <c:pt idx="160">
                  <c:v>0.13440301824550377</c:v>
                </c:pt>
                <c:pt idx="161">
                  <c:v>0.1438939052489942</c:v>
                </c:pt>
                <c:pt idx="162">
                  <c:v>0.15065498222333223</c:v>
                </c:pt>
                <c:pt idx="163">
                  <c:v>0.13491504244535052</c:v>
                </c:pt>
                <c:pt idx="164">
                  <c:v>0.11557060139329725</c:v>
                </c:pt>
                <c:pt idx="165">
                  <c:v>0.11632249844592757</c:v>
                </c:pt>
                <c:pt idx="166">
                  <c:v>0.15402219210055904</c:v>
                </c:pt>
                <c:pt idx="167">
                  <c:v>0.16257358420104481</c:v>
                </c:pt>
                <c:pt idx="168">
                  <c:v>0.16892451595152833</c:v>
                </c:pt>
                <c:pt idx="169">
                  <c:v>0.14296929907573375</c:v>
                </c:pt>
                <c:pt idx="170">
                  <c:v>7.4988333096204937E-2</c:v>
                </c:pt>
                <c:pt idx="171">
                  <c:v>7.5829983236112425E-2</c:v>
                </c:pt>
                <c:pt idx="172">
                  <c:v>0.10573875649993007</c:v>
                </c:pt>
                <c:pt idx="173">
                  <c:v>0.11819203635246951</c:v>
                </c:pt>
                <c:pt idx="174">
                  <c:v>0.10122225284906158</c:v>
                </c:pt>
                <c:pt idx="175">
                  <c:v>9.9086054798247808E-2</c:v>
                </c:pt>
                <c:pt idx="176">
                  <c:v>9.4663535771518301E-2</c:v>
                </c:pt>
                <c:pt idx="177">
                  <c:v>9.250568567697616E-2</c:v>
                </c:pt>
                <c:pt idx="178">
                  <c:v>0.12550664053609378</c:v>
                </c:pt>
                <c:pt idx="179">
                  <c:v>0.12554066893148863</c:v>
                </c:pt>
                <c:pt idx="180">
                  <c:v>0.12411918732286646</c:v>
                </c:pt>
                <c:pt idx="181">
                  <c:v>0.12259459750005573</c:v>
                </c:pt>
                <c:pt idx="182">
                  <c:v>0.1124207338818221</c:v>
                </c:pt>
                <c:pt idx="183">
                  <c:v>0.11744907796963931</c:v>
                </c:pt>
                <c:pt idx="184">
                  <c:v>0.12077752815729992</c:v>
                </c:pt>
                <c:pt idx="185">
                  <c:v>0.16987207748547828</c:v>
                </c:pt>
                <c:pt idx="186">
                  <c:v>0.17443987099682554</c:v>
                </c:pt>
                <c:pt idx="187">
                  <c:v>0.17117813885221903</c:v>
                </c:pt>
                <c:pt idx="188">
                  <c:v>0.20406364362976276</c:v>
                </c:pt>
                <c:pt idx="189">
                  <c:v>0.20491238587746263</c:v>
                </c:pt>
                <c:pt idx="190">
                  <c:v>0.20408551315113763</c:v>
                </c:pt>
                <c:pt idx="191">
                  <c:v>0.20202431891996561</c:v>
                </c:pt>
                <c:pt idx="192">
                  <c:v>0.2127842528384177</c:v>
                </c:pt>
                <c:pt idx="193">
                  <c:v>0.23121973981565541</c:v>
                </c:pt>
                <c:pt idx="194">
                  <c:v>0.23049570049643375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3F-4729-B474-298F34384C2D}"/>
            </c:ext>
          </c:extLst>
        </c:ser>
        <c:ser>
          <c:idx val="4"/>
          <c:order val="4"/>
          <c:tx>
            <c:strRef>
              <c:f>强势组合!$F$1</c:f>
              <c:strCache>
                <c:ptCount val="1"/>
                <c:pt idx="0">
                  <c:v>全指信息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强势组合!$F$2:$F$196</c:f>
              <c:numCache>
                <c:formatCode>0.00%</c:formatCode>
                <c:ptCount val="195"/>
                <c:pt idx="0">
                  <c:v>0.19691881356708615</c:v>
                </c:pt>
                <c:pt idx="1">
                  <c:v>0.1980156873243166</c:v>
                </c:pt>
                <c:pt idx="2">
                  <c:v>0.18563934627875547</c:v>
                </c:pt>
                <c:pt idx="3">
                  <c:v>0.17463211223031808</c:v>
                </c:pt>
                <c:pt idx="4">
                  <c:v>0.16852821259039424</c:v>
                </c:pt>
                <c:pt idx="5">
                  <c:v>0.17179857133245957</c:v>
                </c:pt>
                <c:pt idx="6">
                  <c:v>0.16315555883563027</c:v>
                </c:pt>
                <c:pt idx="7">
                  <c:v>0.22315501849034514</c:v>
                </c:pt>
                <c:pt idx="8">
                  <c:v>0.20595887439186572</c:v>
                </c:pt>
                <c:pt idx="9">
                  <c:v>0.24130989919927584</c:v>
                </c:pt>
                <c:pt idx="10">
                  <c:v>0.19830602041178591</c:v>
                </c:pt>
                <c:pt idx="11">
                  <c:v>0.1762363056061895</c:v>
                </c:pt>
                <c:pt idx="12">
                  <c:v>0.12918259717892835</c:v>
                </c:pt>
                <c:pt idx="13">
                  <c:v>0.122940280011772</c:v>
                </c:pt>
                <c:pt idx="14">
                  <c:v>0.12670280104019935</c:v>
                </c:pt>
                <c:pt idx="15">
                  <c:v>0.12849138931042081</c:v>
                </c:pt>
                <c:pt idx="16">
                  <c:v>0.13924096764747784</c:v>
                </c:pt>
                <c:pt idx="17">
                  <c:v>0.12115543314996695</c:v>
                </c:pt>
                <c:pt idx="18">
                  <c:v>0.11830062444981918</c:v>
                </c:pt>
                <c:pt idx="19">
                  <c:v>0.11075453521933286</c:v>
                </c:pt>
                <c:pt idx="20">
                  <c:v>0.10652794919768833</c:v>
                </c:pt>
                <c:pt idx="21">
                  <c:v>0.13080956454270645</c:v>
                </c:pt>
                <c:pt idx="22">
                  <c:v>0.13606253674205257</c:v>
                </c:pt>
                <c:pt idx="23">
                  <c:v>0.13343854078503392</c:v>
                </c:pt>
                <c:pt idx="24">
                  <c:v>0.13054078377122874</c:v>
                </c:pt>
                <c:pt idx="25">
                  <c:v>0.13407382431075238</c:v>
                </c:pt>
                <c:pt idx="26">
                  <c:v>0.13939204795778939</c:v>
                </c:pt>
                <c:pt idx="27">
                  <c:v>0.14723746247487077</c:v>
                </c:pt>
                <c:pt idx="28">
                  <c:v>0.14020748099991145</c:v>
                </c:pt>
                <c:pt idx="29">
                  <c:v>0.15177779809702407</c:v>
                </c:pt>
                <c:pt idx="30">
                  <c:v>0.13917840130601616</c:v>
                </c:pt>
                <c:pt idx="31">
                  <c:v>0.15221550229576672</c:v>
                </c:pt>
                <c:pt idx="32">
                  <c:v>0.14036517567793275</c:v>
                </c:pt>
                <c:pt idx="33">
                  <c:v>0.12960650888178446</c:v>
                </c:pt>
                <c:pt idx="34">
                  <c:v>0.12902122797807034</c:v>
                </c:pt>
                <c:pt idx="35">
                  <c:v>0.11168865429162407</c:v>
                </c:pt>
                <c:pt idx="36">
                  <c:v>0.11131804443066291</c:v>
                </c:pt>
                <c:pt idx="37">
                  <c:v>0.1130995332467338</c:v>
                </c:pt>
                <c:pt idx="38">
                  <c:v>0.12178896825521103</c:v>
                </c:pt>
                <c:pt idx="39">
                  <c:v>0.12689289081505958</c:v>
                </c:pt>
                <c:pt idx="40">
                  <c:v>8.3475088765761679E-2</c:v>
                </c:pt>
                <c:pt idx="41">
                  <c:v>6.5201914897578719E-2</c:v>
                </c:pt>
                <c:pt idx="42">
                  <c:v>6.7318578084607672E-2</c:v>
                </c:pt>
                <c:pt idx="43">
                  <c:v>6.9347626263903936E-2</c:v>
                </c:pt>
                <c:pt idx="44">
                  <c:v>5.6423097436362035E-2</c:v>
                </c:pt>
                <c:pt idx="45">
                  <c:v>5.4998538114620438E-2</c:v>
                </c:pt>
                <c:pt idx="46">
                  <c:v>1.7573782514423871E-2</c:v>
                </c:pt>
                <c:pt idx="47">
                  <c:v>8.4919423518982489E-5</c:v>
                </c:pt>
                <c:pt idx="48">
                  <c:v>1.6979793208999429E-2</c:v>
                </c:pt>
                <c:pt idx="49">
                  <c:v>2.8984025372940921E-2</c:v>
                </c:pt>
                <c:pt idx="50">
                  <c:v>1.8170880373796799E-2</c:v>
                </c:pt>
                <c:pt idx="51">
                  <c:v>1.7592336502204559E-2</c:v>
                </c:pt>
                <c:pt idx="52">
                  <c:v>4.5166977051021372E-2</c:v>
                </c:pt>
                <c:pt idx="53">
                  <c:v>6.3526897553597778E-2</c:v>
                </c:pt>
                <c:pt idx="54">
                  <c:v>8.5691042269316148E-2</c:v>
                </c:pt>
                <c:pt idx="55">
                  <c:v>8.413026976151422E-2</c:v>
                </c:pt>
                <c:pt idx="56">
                  <c:v>9.5606485427268642E-2</c:v>
                </c:pt>
                <c:pt idx="57">
                  <c:v>9.8894930567590147E-2</c:v>
                </c:pt>
                <c:pt idx="58">
                  <c:v>9.8850655019914829E-2</c:v>
                </c:pt>
                <c:pt idx="59">
                  <c:v>0.10052987796081948</c:v>
                </c:pt>
                <c:pt idx="60">
                  <c:v>0.10550644716586392</c:v>
                </c:pt>
                <c:pt idx="61">
                  <c:v>0.10210177958904784</c:v>
                </c:pt>
                <c:pt idx="62">
                  <c:v>9.2504019776888824E-2</c:v>
                </c:pt>
                <c:pt idx="63">
                  <c:v>6.0314951883758898E-2</c:v>
                </c:pt>
                <c:pt idx="64">
                  <c:v>5.7938654028494171E-2</c:v>
                </c:pt>
                <c:pt idx="65">
                  <c:v>5.7985349574051714E-2</c:v>
                </c:pt>
                <c:pt idx="66">
                  <c:v>0.10033619703226489</c:v>
                </c:pt>
                <c:pt idx="67">
                  <c:v>7.0609319784949373E-2</c:v>
                </c:pt>
                <c:pt idx="68">
                  <c:v>9.7400541035128171E-2</c:v>
                </c:pt>
                <c:pt idx="69">
                  <c:v>8.9964935701027038E-2</c:v>
                </c:pt>
                <c:pt idx="70">
                  <c:v>0.14375813314156313</c:v>
                </c:pt>
                <c:pt idx="71">
                  <c:v>0.14149696822898722</c:v>
                </c:pt>
                <c:pt idx="72">
                  <c:v>0.14588241771060709</c:v>
                </c:pt>
                <c:pt idx="73">
                  <c:v>0.15706547311111008</c:v>
                </c:pt>
                <c:pt idx="74">
                  <c:v>0.20994301251470135</c:v>
                </c:pt>
                <c:pt idx="75">
                  <c:v>0.20190443554785995</c:v>
                </c:pt>
                <c:pt idx="76">
                  <c:v>0.20034847540122958</c:v>
                </c:pt>
                <c:pt idx="77">
                  <c:v>0.19888075129917157</c:v>
                </c:pt>
                <c:pt idx="78">
                  <c:v>0.22264749492469918</c:v>
                </c:pt>
                <c:pt idx="79">
                  <c:v>0.2117599119625892</c:v>
                </c:pt>
                <c:pt idx="80">
                  <c:v>0.25384919973140813</c:v>
                </c:pt>
                <c:pt idx="81">
                  <c:v>0.31020318356715038</c:v>
                </c:pt>
                <c:pt idx="82">
                  <c:v>0.30292930575124871</c:v>
                </c:pt>
                <c:pt idx="83">
                  <c:v>0.29066665659353741</c:v>
                </c:pt>
                <c:pt idx="84">
                  <c:v>0.30509758766213918</c:v>
                </c:pt>
                <c:pt idx="85">
                  <c:v>0.29318606534246311</c:v>
                </c:pt>
                <c:pt idx="86">
                  <c:v>0.34049564175903618</c:v>
                </c:pt>
                <c:pt idx="87">
                  <c:v>0.33598697028982905</c:v>
                </c:pt>
                <c:pt idx="88">
                  <c:v>0.32331443073410931</c:v>
                </c:pt>
                <c:pt idx="89">
                  <c:v>0.32054544647033339</c:v>
                </c:pt>
                <c:pt idx="90">
                  <c:v>0.28476475741213403</c:v>
                </c:pt>
                <c:pt idx="91">
                  <c:v>0.28339355425678453</c:v>
                </c:pt>
                <c:pt idx="92">
                  <c:v>0.27980121525472673</c:v>
                </c:pt>
                <c:pt idx="93">
                  <c:v>0.25287872689761343</c:v>
                </c:pt>
                <c:pt idx="94">
                  <c:v>0.2395903561954866</c:v>
                </c:pt>
                <c:pt idx="95">
                  <c:v>0.21496178778286612</c:v>
                </c:pt>
                <c:pt idx="96">
                  <c:v>0.17841807080927047</c:v>
                </c:pt>
                <c:pt idx="97">
                  <c:v>0.18983320558530875</c:v>
                </c:pt>
                <c:pt idx="98">
                  <c:v>0.15774904244493104</c:v>
                </c:pt>
                <c:pt idx="99">
                  <c:v>0.15320601926328073</c:v>
                </c:pt>
                <c:pt idx="100">
                  <c:v>0.16273855832491463</c:v>
                </c:pt>
                <c:pt idx="101">
                  <c:v>0.16192576447449464</c:v>
                </c:pt>
                <c:pt idx="102">
                  <c:v>0.16276203550907553</c:v>
                </c:pt>
                <c:pt idx="103">
                  <c:v>0.16864968195686619</c:v>
                </c:pt>
                <c:pt idx="104">
                  <c:v>0.17706865415332346</c:v>
                </c:pt>
                <c:pt idx="105">
                  <c:v>0.16802788359769413</c:v>
                </c:pt>
                <c:pt idx="106">
                  <c:v>0.1633050104792225</c:v>
                </c:pt>
                <c:pt idx="107">
                  <c:v>0.16091077131708995</c:v>
                </c:pt>
                <c:pt idx="108">
                  <c:v>5.5879935228254012E-2</c:v>
                </c:pt>
                <c:pt idx="109">
                  <c:v>5.3831507122651369E-2</c:v>
                </c:pt>
                <c:pt idx="110">
                  <c:v>6.04300171213236E-2</c:v>
                </c:pt>
                <c:pt idx="111">
                  <c:v>6.6838600554370894E-2</c:v>
                </c:pt>
                <c:pt idx="112">
                  <c:v>5.9051994395841245E-2</c:v>
                </c:pt>
                <c:pt idx="113">
                  <c:v>5.3151851716770497E-2</c:v>
                </c:pt>
                <c:pt idx="114">
                  <c:v>3.7244846674332303E-2</c:v>
                </c:pt>
                <c:pt idx="115">
                  <c:v>4.4736003676318643E-2</c:v>
                </c:pt>
                <c:pt idx="116">
                  <c:v>4.7550777252291877E-2</c:v>
                </c:pt>
                <c:pt idx="117">
                  <c:v>5.3363221657415007E-2</c:v>
                </c:pt>
                <c:pt idx="118">
                  <c:v>5.9003875575363476E-2</c:v>
                </c:pt>
                <c:pt idx="119">
                  <c:v>6.1123941468615231E-2</c:v>
                </c:pt>
                <c:pt idx="120">
                  <c:v>5.33459750182163E-2</c:v>
                </c:pt>
                <c:pt idx="121">
                  <c:v>5.2205618624787883E-2</c:v>
                </c:pt>
                <c:pt idx="122">
                  <c:v>5.3332032984582597E-2</c:v>
                </c:pt>
                <c:pt idx="123">
                  <c:v>7.363469415529908E-2</c:v>
                </c:pt>
                <c:pt idx="124">
                  <c:v>5.6616868709171507E-2</c:v>
                </c:pt>
                <c:pt idx="125">
                  <c:v>8.6031638425120099E-2</c:v>
                </c:pt>
                <c:pt idx="126">
                  <c:v>8.7187302019087434E-2</c:v>
                </c:pt>
                <c:pt idx="127">
                  <c:v>8.9002318973093797E-2</c:v>
                </c:pt>
                <c:pt idx="128">
                  <c:v>5.212764169796745E-2</c:v>
                </c:pt>
                <c:pt idx="129">
                  <c:v>5.1122057274305285E-2</c:v>
                </c:pt>
                <c:pt idx="130">
                  <c:v>4.8899075883638253E-2</c:v>
                </c:pt>
                <c:pt idx="131">
                  <c:v>8.6353993823395855E-2</c:v>
                </c:pt>
                <c:pt idx="132">
                  <c:v>9.1953268697293922E-2</c:v>
                </c:pt>
                <c:pt idx="133">
                  <c:v>0.10686281932799099</c:v>
                </c:pt>
                <c:pt idx="134">
                  <c:v>7.2430038465513519E-2</c:v>
                </c:pt>
                <c:pt idx="135">
                  <c:v>4.8337355151116645E-2</c:v>
                </c:pt>
                <c:pt idx="136">
                  <c:v>5.6849662956450026E-2</c:v>
                </c:pt>
                <c:pt idx="137">
                  <c:v>6.8006095709526274E-2</c:v>
                </c:pt>
                <c:pt idx="138">
                  <c:v>6.3711596072963006E-2</c:v>
                </c:pt>
                <c:pt idx="139">
                  <c:v>7.5173807067145035E-2</c:v>
                </c:pt>
                <c:pt idx="140">
                  <c:v>7.1633634870730781E-2</c:v>
                </c:pt>
                <c:pt idx="141">
                  <c:v>7.5982662883794502E-2</c:v>
                </c:pt>
                <c:pt idx="142">
                  <c:v>6.5714943416851315E-2</c:v>
                </c:pt>
                <c:pt idx="143">
                  <c:v>5.1362457271931186E-2</c:v>
                </c:pt>
                <c:pt idx="144">
                  <c:v>3.2786541635265225E-2</c:v>
                </c:pt>
                <c:pt idx="145">
                  <c:v>3.3976123388383447E-2</c:v>
                </c:pt>
                <c:pt idx="146">
                  <c:v>2.8138996626765209E-2</c:v>
                </c:pt>
                <c:pt idx="147">
                  <c:v>4.7749341851571883E-2</c:v>
                </c:pt>
                <c:pt idx="148">
                  <c:v>3.1900015719122828E-2</c:v>
                </c:pt>
                <c:pt idx="149">
                  <c:v>5.2798528749059576E-2</c:v>
                </c:pt>
                <c:pt idx="150">
                  <c:v>4.7416346643231487E-2</c:v>
                </c:pt>
                <c:pt idx="151">
                  <c:v>5.0232519281784516E-2</c:v>
                </c:pt>
                <c:pt idx="152">
                  <c:v>4.4479587976896294E-2</c:v>
                </c:pt>
                <c:pt idx="153">
                  <c:v>4.5623071893797641E-2</c:v>
                </c:pt>
                <c:pt idx="154">
                  <c:v>4.7720450685182103E-2</c:v>
                </c:pt>
                <c:pt idx="155">
                  <c:v>4.0763359974588867E-2</c:v>
                </c:pt>
                <c:pt idx="156">
                  <c:v>4.5806819712264343E-2</c:v>
                </c:pt>
                <c:pt idx="157">
                  <c:v>4.0226586272792964E-2</c:v>
                </c:pt>
                <c:pt idx="158">
                  <c:v>3.6041066832679866E-2</c:v>
                </c:pt>
                <c:pt idx="159">
                  <c:v>3.9681506585171007E-2</c:v>
                </c:pt>
                <c:pt idx="160">
                  <c:v>5.5519018460329465E-2</c:v>
                </c:pt>
                <c:pt idx="161">
                  <c:v>5.944448143932831E-2</c:v>
                </c:pt>
                <c:pt idx="162">
                  <c:v>4.8840927528490868E-2</c:v>
                </c:pt>
                <c:pt idx="163">
                  <c:v>4.1363127764439622E-2</c:v>
                </c:pt>
                <c:pt idx="164">
                  <c:v>3.2567760857638371E-2</c:v>
                </c:pt>
                <c:pt idx="165">
                  <c:v>3.1231920854007424E-2</c:v>
                </c:pt>
                <c:pt idx="166">
                  <c:v>6.1494184506608922E-2</c:v>
                </c:pt>
                <c:pt idx="167">
                  <c:v>3.37695824740235E-2</c:v>
                </c:pt>
                <c:pt idx="168">
                  <c:v>4.2577234012659899E-2</c:v>
                </c:pt>
                <c:pt idx="169">
                  <c:v>5.9117911370134786E-2</c:v>
                </c:pt>
                <c:pt idx="170">
                  <c:v>5.122613619466862E-2</c:v>
                </c:pt>
                <c:pt idx="171">
                  <c:v>3.0326269798791553E-2</c:v>
                </c:pt>
                <c:pt idx="172">
                  <c:v>9.7657200578274263E-5</c:v>
                </c:pt>
                <c:pt idx="173">
                  <c:v>8.6361586831870988E-5</c:v>
                </c:pt>
                <c:pt idx="174">
                  <c:v>9.1724335354365796E-5</c:v>
                </c:pt>
                <c:pt idx="175">
                  <c:v>1.4336813329481805E-4</c:v>
                </c:pt>
                <c:pt idx="176">
                  <c:v>6.7721652167577881E-3</c:v>
                </c:pt>
                <c:pt idx="177">
                  <c:v>6.0837491609369238E-3</c:v>
                </c:pt>
                <c:pt idx="178">
                  <c:v>8.9869878494325533E-5</c:v>
                </c:pt>
                <c:pt idx="179">
                  <c:v>1.9867678158455134E-4</c:v>
                </c:pt>
                <c:pt idx="180">
                  <c:v>5.2060617825635935E-3</c:v>
                </c:pt>
                <c:pt idx="181">
                  <c:v>1.0442142903513479E-2</c:v>
                </c:pt>
                <c:pt idx="182">
                  <c:v>7.7126908651370353E-3</c:v>
                </c:pt>
                <c:pt idx="183">
                  <c:v>3.1962258865974387E-3</c:v>
                </c:pt>
                <c:pt idx="184">
                  <c:v>1.4833961403475241E-2</c:v>
                </c:pt>
                <c:pt idx="185">
                  <c:v>1.757876970660863E-2</c:v>
                </c:pt>
                <c:pt idx="186">
                  <c:v>5.8397953526667986E-3</c:v>
                </c:pt>
                <c:pt idx="187">
                  <c:v>8.6681777373882353E-5</c:v>
                </c:pt>
                <c:pt idx="188">
                  <c:v>1.7752672048880581E-5</c:v>
                </c:pt>
                <c:pt idx="189">
                  <c:v>7.865864401176122E-3</c:v>
                </c:pt>
                <c:pt idx="190">
                  <c:v>9.1978904766119683E-5</c:v>
                </c:pt>
                <c:pt idx="191">
                  <c:v>4.1408564494299481E-4</c:v>
                </c:pt>
                <c:pt idx="192">
                  <c:v>8.1843953193628579E-3</c:v>
                </c:pt>
                <c:pt idx="193">
                  <c:v>1.330582582452795E-2</c:v>
                </c:pt>
                <c:pt idx="194">
                  <c:v>1.1322154410666361E-2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3F-4729-B474-298F34384C2D}"/>
            </c:ext>
          </c:extLst>
        </c:ser>
        <c:ser>
          <c:idx val="5"/>
          <c:order val="5"/>
          <c:tx>
            <c:strRef>
              <c:f>强势组合!$G$1</c:f>
              <c:strCache>
                <c:ptCount val="1"/>
                <c:pt idx="0">
                  <c:v>全指消费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强势组合!$G$2:$G$196</c:f>
              <c:numCache>
                <c:formatCode>0.00%</c:formatCode>
                <c:ptCount val="195"/>
                <c:pt idx="0">
                  <c:v>0.11256411061763713</c:v>
                </c:pt>
                <c:pt idx="1">
                  <c:v>0.10587860891126327</c:v>
                </c:pt>
                <c:pt idx="2">
                  <c:v>0.11401999088603693</c:v>
                </c:pt>
                <c:pt idx="3">
                  <c:v>0.1284001733900185</c:v>
                </c:pt>
                <c:pt idx="4">
                  <c:v>0.15747029839258672</c:v>
                </c:pt>
                <c:pt idx="5">
                  <c:v>0.15347308897639733</c:v>
                </c:pt>
                <c:pt idx="6">
                  <c:v>0.15683106170585037</c:v>
                </c:pt>
                <c:pt idx="7">
                  <c:v>0.12099133141590984</c:v>
                </c:pt>
                <c:pt idx="8">
                  <c:v>0.12060490108101027</c:v>
                </c:pt>
                <c:pt idx="9">
                  <c:v>8.9471358808539278E-2</c:v>
                </c:pt>
                <c:pt idx="10">
                  <c:v>5.7869581926540667E-2</c:v>
                </c:pt>
                <c:pt idx="11">
                  <c:v>4.2528434554713473E-2</c:v>
                </c:pt>
                <c:pt idx="12">
                  <c:v>5.9873020723969104E-3</c:v>
                </c:pt>
                <c:pt idx="13">
                  <c:v>9.6752477145344568E-5</c:v>
                </c:pt>
                <c:pt idx="14">
                  <c:v>9.621148236178963E-3</c:v>
                </c:pt>
                <c:pt idx="15">
                  <c:v>2.4256835388535434E-2</c:v>
                </c:pt>
                <c:pt idx="16">
                  <c:v>2.957386467640925E-2</c:v>
                </c:pt>
                <c:pt idx="17">
                  <c:v>2.5413019382938801E-2</c:v>
                </c:pt>
                <c:pt idx="18">
                  <c:v>1.5843028411041803E-2</c:v>
                </c:pt>
                <c:pt idx="19">
                  <c:v>1.0450000108359996E-2</c:v>
                </c:pt>
                <c:pt idx="20">
                  <c:v>5.055522293456528E-3</c:v>
                </c:pt>
                <c:pt idx="21">
                  <c:v>8.8106252012747882E-5</c:v>
                </c:pt>
                <c:pt idx="22">
                  <c:v>1.2325611163702061E-2</c:v>
                </c:pt>
                <c:pt idx="23">
                  <c:v>9.7040263055528219E-3</c:v>
                </c:pt>
                <c:pt idx="24">
                  <c:v>1.1586230145202733E-2</c:v>
                </c:pt>
                <c:pt idx="25">
                  <c:v>1.2668120260194018E-5</c:v>
                </c:pt>
                <c:pt idx="26">
                  <c:v>9.6331276931895873E-3</c:v>
                </c:pt>
                <c:pt idx="27">
                  <c:v>2.7037643271422135E-2</c:v>
                </c:pt>
                <c:pt idx="28">
                  <c:v>8.3845408148417076E-5</c:v>
                </c:pt>
                <c:pt idx="29">
                  <c:v>8.0749628286890649E-5</c:v>
                </c:pt>
                <c:pt idx="30">
                  <c:v>2.1563784791033378E-5</c:v>
                </c:pt>
                <c:pt idx="31">
                  <c:v>8.8852691485169169E-5</c:v>
                </c:pt>
                <c:pt idx="32">
                  <c:v>8.9672959483765322E-6</c:v>
                </c:pt>
                <c:pt idx="33">
                  <c:v>1.0460831500957261E-6</c:v>
                </c:pt>
                <c:pt idx="34">
                  <c:v>1.7377116727698843E-5</c:v>
                </c:pt>
                <c:pt idx="35">
                  <c:v>8.1970919595247162E-5</c:v>
                </c:pt>
                <c:pt idx="36">
                  <c:v>5.6573879416880011E-5</c:v>
                </c:pt>
                <c:pt idx="37">
                  <c:v>5.8281360022460276E-5</c:v>
                </c:pt>
                <c:pt idx="38">
                  <c:v>3.4962808421842573E-3</c:v>
                </c:pt>
                <c:pt idx="39">
                  <c:v>4.8251281089769065E-5</c:v>
                </c:pt>
                <c:pt idx="40">
                  <c:v>4.3185587446048166E-5</c:v>
                </c:pt>
                <c:pt idx="41">
                  <c:v>5.0207626538320542E-5</c:v>
                </c:pt>
                <c:pt idx="42">
                  <c:v>6.3457835457424039E-5</c:v>
                </c:pt>
                <c:pt idx="43">
                  <c:v>6.2429826957933319E-5</c:v>
                </c:pt>
                <c:pt idx="44">
                  <c:v>6.4039710457296199E-5</c:v>
                </c:pt>
                <c:pt idx="45">
                  <c:v>4.9313591165472959E-5</c:v>
                </c:pt>
                <c:pt idx="46">
                  <c:v>1.3351233366502353E-5</c:v>
                </c:pt>
                <c:pt idx="47">
                  <c:v>4.6203066431237726E-5</c:v>
                </c:pt>
                <c:pt idx="48">
                  <c:v>4.6447007024068126E-5</c:v>
                </c:pt>
                <c:pt idx="49">
                  <c:v>5.4155854867344094E-3</c:v>
                </c:pt>
                <c:pt idx="50">
                  <c:v>2.7054145932855662E-2</c:v>
                </c:pt>
                <c:pt idx="51">
                  <c:v>2.0105647823273225E-2</c:v>
                </c:pt>
                <c:pt idx="52">
                  <c:v>4.5691167837580732E-2</c:v>
                </c:pt>
                <c:pt idx="53">
                  <c:v>5.7244793499509936E-2</c:v>
                </c:pt>
                <c:pt idx="54">
                  <c:v>0.15245892772529798</c:v>
                </c:pt>
                <c:pt idx="55">
                  <c:v>0.15638410165212829</c:v>
                </c:pt>
                <c:pt idx="56">
                  <c:v>0.15816837270181355</c:v>
                </c:pt>
                <c:pt idx="57">
                  <c:v>0.1554307950792754</c:v>
                </c:pt>
                <c:pt idx="58">
                  <c:v>0.16227589662147515</c:v>
                </c:pt>
                <c:pt idx="59">
                  <c:v>0.18040210833077369</c:v>
                </c:pt>
                <c:pt idx="60">
                  <c:v>0.19195261041275014</c:v>
                </c:pt>
                <c:pt idx="61">
                  <c:v>0.18559803932025806</c:v>
                </c:pt>
                <c:pt idx="62">
                  <c:v>0.18150252458872815</c:v>
                </c:pt>
                <c:pt idx="63">
                  <c:v>0.19437372208050988</c:v>
                </c:pt>
                <c:pt idx="64">
                  <c:v>0.19492066210506956</c:v>
                </c:pt>
                <c:pt idx="65">
                  <c:v>0.24585588767390171</c:v>
                </c:pt>
                <c:pt idx="66">
                  <c:v>0.22309840115934279</c:v>
                </c:pt>
                <c:pt idx="67">
                  <c:v>0.19902553921510086</c:v>
                </c:pt>
                <c:pt idx="68">
                  <c:v>0.31617950509896364</c:v>
                </c:pt>
                <c:pt idx="69">
                  <c:v>0.35859499543503376</c:v>
                </c:pt>
                <c:pt idx="70">
                  <c:v>0.38615229235499149</c:v>
                </c:pt>
                <c:pt idx="71">
                  <c:v>0.3833023666075957</c:v>
                </c:pt>
                <c:pt idx="72">
                  <c:v>0.37761483295933845</c:v>
                </c:pt>
                <c:pt idx="73">
                  <c:v>0.38456106809849461</c:v>
                </c:pt>
                <c:pt idx="74">
                  <c:v>0.44712890325254639</c:v>
                </c:pt>
                <c:pt idx="75">
                  <c:v>0.42794953795105672</c:v>
                </c:pt>
                <c:pt idx="76">
                  <c:v>0.42135851114767275</c:v>
                </c:pt>
                <c:pt idx="77">
                  <c:v>0.42368354264368596</c:v>
                </c:pt>
                <c:pt idx="78">
                  <c:v>0.31395737889406017</c:v>
                </c:pt>
                <c:pt idx="79">
                  <c:v>0.33207585492166086</c:v>
                </c:pt>
                <c:pt idx="80">
                  <c:v>0.27975876803861421</c:v>
                </c:pt>
                <c:pt idx="81">
                  <c:v>0.22569563814273869</c:v>
                </c:pt>
                <c:pt idx="82">
                  <c:v>0.21880578307127607</c:v>
                </c:pt>
                <c:pt idx="83">
                  <c:v>0.22725420970272645</c:v>
                </c:pt>
                <c:pt idx="84">
                  <c:v>0.22344075201272268</c:v>
                </c:pt>
                <c:pt idx="85">
                  <c:v>0.18926682566797354</c:v>
                </c:pt>
                <c:pt idx="86">
                  <c:v>0.19348537290049475</c:v>
                </c:pt>
                <c:pt idx="87">
                  <c:v>0.22363729741942934</c:v>
                </c:pt>
                <c:pt idx="88">
                  <c:v>0.23455193780677117</c:v>
                </c:pt>
                <c:pt idx="89">
                  <c:v>0.23735569272428378</c:v>
                </c:pt>
                <c:pt idx="90">
                  <c:v>0.27988699631065861</c:v>
                </c:pt>
                <c:pt idx="91">
                  <c:v>0.28664837101430135</c:v>
                </c:pt>
                <c:pt idx="92">
                  <c:v>0.28753698803365291</c:v>
                </c:pt>
                <c:pt idx="93">
                  <c:v>0.28719890281989341</c:v>
                </c:pt>
                <c:pt idx="94">
                  <c:v>0.25810614875058202</c:v>
                </c:pt>
                <c:pt idx="95">
                  <c:v>0.22572646515108388</c:v>
                </c:pt>
                <c:pt idx="96">
                  <c:v>0.22191804948126168</c:v>
                </c:pt>
                <c:pt idx="97">
                  <c:v>0.23869041820568576</c:v>
                </c:pt>
                <c:pt idx="98">
                  <c:v>0.20498358010181811</c:v>
                </c:pt>
                <c:pt idx="99">
                  <c:v>0.19852997142373288</c:v>
                </c:pt>
                <c:pt idx="100">
                  <c:v>0.20871882401971723</c:v>
                </c:pt>
                <c:pt idx="101">
                  <c:v>0.21487375368718303</c:v>
                </c:pt>
                <c:pt idx="102">
                  <c:v>0.21021327588523386</c:v>
                </c:pt>
                <c:pt idx="103">
                  <c:v>0.2119711495587078</c:v>
                </c:pt>
                <c:pt idx="104">
                  <c:v>0.22158073880546686</c:v>
                </c:pt>
                <c:pt idx="105">
                  <c:v>0.18790501207890448</c:v>
                </c:pt>
                <c:pt idx="106">
                  <c:v>0.18847004880582036</c:v>
                </c:pt>
                <c:pt idx="107">
                  <c:v>0.18831099295958248</c:v>
                </c:pt>
                <c:pt idx="108">
                  <c:v>0.14610514275408526</c:v>
                </c:pt>
                <c:pt idx="109">
                  <c:v>0.14814789693086822</c:v>
                </c:pt>
                <c:pt idx="110">
                  <c:v>0.15080923299433766</c:v>
                </c:pt>
                <c:pt idx="111">
                  <c:v>0.15041423021364753</c:v>
                </c:pt>
                <c:pt idx="112">
                  <c:v>0.13206661790530386</c:v>
                </c:pt>
                <c:pt idx="113">
                  <c:v>0.1268325966304851</c:v>
                </c:pt>
                <c:pt idx="114">
                  <c:v>0.14854089302163803</c:v>
                </c:pt>
                <c:pt idx="115">
                  <c:v>0.15899922027959049</c:v>
                </c:pt>
                <c:pt idx="116">
                  <c:v>0.1570961492812562</c:v>
                </c:pt>
                <c:pt idx="117">
                  <c:v>0.16289939509392729</c:v>
                </c:pt>
                <c:pt idx="118">
                  <c:v>0.17248796672769751</c:v>
                </c:pt>
                <c:pt idx="119">
                  <c:v>0.17305277032406707</c:v>
                </c:pt>
                <c:pt idx="120">
                  <c:v>0.15512602754996305</c:v>
                </c:pt>
                <c:pt idx="121">
                  <c:v>0.15883693997252654</c:v>
                </c:pt>
                <c:pt idx="122">
                  <c:v>0.14689750627146636</c:v>
                </c:pt>
                <c:pt idx="123">
                  <c:v>0.12854081966359465</c:v>
                </c:pt>
                <c:pt idx="124">
                  <c:v>0.14695838293670394</c:v>
                </c:pt>
                <c:pt idx="125">
                  <c:v>0.18025840062238385</c:v>
                </c:pt>
                <c:pt idx="126">
                  <c:v>0.18436419495898945</c:v>
                </c:pt>
                <c:pt idx="127">
                  <c:v>0.16992061404655398</c:v>
                </c:pt>
                <c:pt idx="128">
                  <c:v>0.18574130382293028</c:v>
                </c:pt>
                <c:pt idx="129">
                  <c:v>0.18424115244768186</c:v>
                </c:pt>
                <c:pt idx="130">
                  <c:v>0.18662248057080946</c:v>
                </c:pt>
                <c:pt idx="131">
                  <c:v>0.19261677328791074</c:v>
                </c:pt>
                <c:pt idx="132">
                  <c:v>0.18577201609281613</c:v>
                </c:pt>
                <c:pt idx="133">
                  <c:v>0.14994041170396732</c:v>
                </c:pt>
                <c:pt idx="134">
                  <c:v>0.14782640539473826</c:v>
                </c:pt>
                <c:pt idx="135">
                  <c:v>0.13794089143717286</c:v>
                </c:pt>
                <c:pt idx="136">
                  <c:v>0.12626425761140292</c:v>
                </c:pt>
                <c:pt idx="137">
                  <c:v>0.14728497658856393</c:v>
                </c:pt>
                <c:pt idx="138">
                  <c:v>0.14252948632027759</c:v>
                </c:pt>
                <c:pt idx="139">
                  <c:v>0.17339616492238574</c:v>
                </c:pt>
                <c:pt idx="140">
                  <c:v>0.17064874443650732</c:v>
                </c:pt>
                <c:pt idx="141">
                  <c:v>0.14959923280155452</c:v>
                </c:pt>
                <c:pt idx="142">
                  <c:v>0.1610119425586525</c:v>
                </c:pt>
                <c:pt idx="143">
                  <c:v>0.17520976029698798</c:v>
                </c:pt>
                <c:pt idx="144">
                  <c:v>0.15465781681314902</c:v>
                </c:pt>
                <c:pt idx="145">
                  <c:v>0.17045292725591585</c:v>
                </c:pt>
                <c:pt idx="146">
                  <c:v>0.14368601694306068</c:v>
                </c:pt>
                <c:pt idx="147">
                  <c:v>0.15306657447414099</c:v>
                </c:pt>
                <c:pt idx="148">
                  <c:v>0.13979238429689222</c:v>
                </c:pt>
                <c:pt idx="149">
                  <c:v>0.15767463245649854</c:v>
                </c:pt>
                <c:pt idx="150">
                  <c:v>0.16548539480782332</c:v>
                </c:pt>
                <c:pt idx="151">
                  <c:v>0.15478089974592035</c:v>
                </c:pt>
                <c:pt idx="152">
                  <c:v>0.15972312293998786</c:v>
                </c:pt>
                <c:pt idx="153">
                  <c:v>0.17648888698116499</c:v>
                </c:pt>
                <c:pt idx="154">
                  <c:v>0.17525744330915352</c:v>
                </c:pt>
                <c:pt idx="155">
                  <c:v>0.17317289142487663</c:v>
                </c:pt>
                <c:pt idx="156">
                  <c:v>0.17438863642173155</c:v>
                </c:pt>
                <c:pt idx="157">
                  <c:v>0.16825542809474106</c:v>
                </c:pt>
                <c:pt idx="158">
                  <c:v>0.16725333093349601</c:v>
                </c:pt>
                <c:pt idx="159">
                  <c:v>0.16744292119134624</c:v>
                </c:pt>
                <c:pt idx="160">
                  <c:v>0.18973716886186312</c:v>
                </c:pt>
                <c:pt idx="161">
                  <c:v>0.18683632626319946</c:v>
                </c:pt>
                <c:pt idx="162">
                  <c:v>0.17485042800723322</c:v>
                </c:pt>
                <c:pt idx="163">
                  <c:v>0.17821254938581688</c:v>
                </c:pt>
                <c:pt idx="164">
                  <c:v>0.19400687854389947</c:v>
                </c:pt>
                <c:pt idx="165">
                  <c:v>0.19314156119829057</c:v>
                </c:pt>
                <c:pt idx="166">
                  <c:v>0.17464693747638865</c:v>
                </c:pt>
                <c:pt idx="167">
                  <c:v>0.15654797051813255</c:v>
                </c:pt>
                <c:pt idx="168">
                  <c:v>0.15681528446652626</c:v>
                </c:pt>
                <c:pt idx="169">
                  <c:v>0.15223237937564901</c:v>
                </c:pt>
                <c:pt idx="170">
                  <c:v>0.15776065618515656</c:v>
                </c:pt>
                <c:pt idx="171">
                  <c:v>0.14863149032038003</c:v>
                </c:pt>
                <c:pt idx="172">
                  <c:v>0.13677864715412388</c:v>
                </c:pt>
                <c:pt idx="173">
                  <c:v>0.14371404534025439</c:v>
                </c:pt>
                <c:pt idx="174">
                  <c:v>0.14852880394823631</c:v>
                </c:pt>
                <c:pt idx="175">
                  <c:v>0.15691795911970377</c:v>
                </c:pt>
                <c:pt idx="176">
                  <c:v>0.15745336108421304</c:v>
                </c:pt>
                <c:pt idx="177">
                  <c:v>0.15396592848294188</c:v>
                </c:pt>
                <c:pt idx="178">
                  <c:v>0.13713866824667689</c:v>
                </c:pt>
                <c:pt idx="179">
                  <c:v>0.13931423605741089</c:v>
                </c:pt>
                <c:pt idx="180">
                  <c:v>0.13585105110596429</c:v>
                </c:pt>
                <c:pt idx="181">
                  <c:v>0.13864463238188141</c:v>
                </c:pt>
                <c:pt idx="182">
                  <c:v>0.13363965853536386</c:v>
                </c:pt>
                <c:pt idx="183">
                  <c:v>0.13591307778144179</c:v>
                </c:pt>
                <c:pt idx="184">
                  <c:v>0.12231000103202343</c:v>
                </c:pt>
                <c:pt idx="185">
                  <c:v>0.12643971680223029</c:v>
                </c:pt>
                <c:pt idx="186">
                  <c:v>0.12781426228559262</c:v>
                </c:pt>
                <c:pt idx="187">
                  <c:v>0.13979848166781061</c:v>
                </c:pt>
                <c:pt idx="188">
                  <c:v>0.15238182415241447</c:v>
                </c:pt>
                <c:pt idx="189">
                  <c:v>0.14495439230741489</c:v>
                </c:pt>
                <c:pt idx="190">
                  <c:v>0.14049952086712661</c:v>
                </c:pt>
                <c:pt idx="191">
                  <c:v>0.13920894701221323</c:v>
                </c:pt>
                <c:pt idx="192">
                  <c:v>0.14623750809275857</c:v>
                </c:pt>
                <c:pt idx="193">
                  <c:v>0.14286054230019146</c:v>
                </c:pt>
                <c:pt idx="194">
                  <c:v>0.14149212735983085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3F-4729-B474-298F34384C2D}"/>
            </c:ext>
          </c:extLst>
        </c:ser>
        <c:ser>
          <c:idx val="6"/>
          <c:order val="6"/>
          <c:tx>
            <c:strRef>
              <c:f>强势组合!$H$1</c:f>
              <c:strCache>
                <c:ptCount val="1"/>
                <c:pt idx="0">
                  <c:v>全指医药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强势组合!$H$2:$H$196</c:f>
              <c:numCache>
                <c:formatCode>0.00%</c:formatCode>
                <c:ptCount val="195"/>
                <c:pt idx="0">
                  <c:v>1.8241804129288998E-5</c:v>
                </c:pt>
                <c:pt idx="1">
                  <c:v>1.681426822809908E-5</c:v>
                </c:pt>
                <c:pt idx="2">
                  <c:v>1.295093101499541E-5</c:v>
                </c:pt>
                <c:pt idx="3">
                  <c:v>8.7579477918183387E-6</c:v>
                </c:pt>
                <c:pt idx="4">
                  <c:v>1.0248152567915449E-5</c:v>
                </c:pt>
                <c:pt idx="5">
                  <c:v>3.6034079617246092E-5</c:v>
                </c:pt>
                <c:pt idx="6">
                  <c:v>6.4991047178941419E-5</c:v>
                </c:pt>
                <c:pt idx="7">
                  <c:v>5.9235262113944673E-7</c:v>
                </c:pt>
                <c:pt idx="8">
                  <c:v>2.8091347877433643E-5</c:v>
                </c:pt>
                <c:pt idx="9">
                  <c:v>8.7522021400457666E-5</c:v>
                </c:pt>
                <c:pt idx="10">
                  <c:v>1.3025827568445336E-5</c:v>
                </c:pt>
                <c:pt idx="11">
                  <c:v>2.9067470285634835E-5</c:v>
                </c:pt>
                <c:pt idx="12">
                  <c:v>1.207086629012585E-2</c:v>
                </c:pt>
                <c:pt idx="13">
                  <c:v>9.0398735528595363E-3</c:v>
                </c:pt>
                <c:pt idx="14">
                  <c:v>1.0242155069344507E-2</c:v>
                </c:pt>
                <c:pt idx="15">
                  <c:v>8.4447903752773586E-5</c:v>
                </c:pt>
                <c:pt idx="16">
                  <c:v>8.6340966567511186E-5</c:v>
                </c:pt>
                <c:pt idx="17">
                  <c:v>3.4177604255976046E-2</c:v>
                </c:pt>
                <c:pt idx="18">
                  <c:v>3.6302235092048205E-2</c:v>
                </c:pt>
                <c:pt idx="19">
                  <c:v>3.3594984237424699E-2</c:v>
                </c:pt>
                <c:pt idx="20">
                  <c:v>3.5628046000043302E-2</c:v>
                </c:pt>
                <c:pt idx="21">
                  <c:v>6.5707151250610926E-2</c:v>
                </c:pt>
                <c:pt idx="22">
                  <c:v>6.0162786344635261E-2</c:v>
                </c:pt>
                <c:pt idx="23">
                  <c:v>5.8485456067374923E-2</c:v>
                </c:pt>
                <c:pt idx="24">
                  <c:v>6.0645740438648683E-2</c:v>
                </c:pt>
                <c:pt idx="25">
                  <c:v>7.3531012844767443E-2</c:v>
                </c:pt>
                <c:pt idx="26">
                  <c:v>9.3974655158353321E-2</c:v>
                </c:pt>
                <c:pt idx="27">
                  <c:v>0.10673275358613513</c:v>
                </c:pt>
                <c:pt idx="28">
                  <c:v>0.12259215626361888</c:v>
                </c:pt>
                <c:pt idx="29">
                  <c:v>0.12384371567948436</c:v>
                </c:pt>
                <c:pt idx="30">
                  <c:v>0.13275600741448559</c:v>
                </c:pt>
                <c:pt idx="31">
                  <c:v>0.14536029505613351</c:v>
                </c:pt>
                <c:pt idx="32">
                  <c:v>0.17515815117830713</c:v>
                </c:pt>
                <c:pt idx="33">
                  <c:v>0.18005022881025573</c:v>
                </c:pt>
                <c:pt idx="34">
                  <c:v>0.18401900617748734</c:v>
                </c:pt>
                <c:pt idx="35">
                  <c:v>0.18351616483021416</c:v>
                </c:pt>
                <c:pt idx="36">
                  <c:v>0.15627859567885244</c:v>
                </c:pt>
                <c:pt idx="37">
                  <c:v>0.18117412823822021</c:v>
                </c:pt>
                <c:pt idx="38">
                  <c:v>0.16476534776226923</c:v>
                </c:pt>
                <c:pt idx="39">
                  <c:v>0.13382686173318423</c:v>
                </c:pt>
                <c:pt idx="40">
                  <c:v>0.22494562541103524</c:v>
                </c:pt>
                <c:pt idx="41">
                  <c:v>0.20287101384353307</c:v>
                </c:pt>
                <c:pt idx="42">
                  <c:v>0.20339823134368251</c:v>
                </c:pt>
                <c:pt idx="43">
                  <c:v>0.20283557064159138</c:v>
                </c:pt>
                <c:pt idx="44">
                  <c:v>0.21616997405947658</c:v>
                </c:pt>
                <c:pt idx="45">
                  <c:v>0.20369314779178227</c:v>
                </c:pt>
                <c:pt idx="46">
                  <c:v>0.26742380496833545</c:v>
                </c:pt>
                <c:pt idx="47">
                  <c:v>0.3025220367604784</c:v>
                </c:pt>
                <c:pt idx="48">
                  <c:v>0.33761828004262956</c:v>
                </c:pt>
                <c:pt idx="49">
                  <c:v>0.32294294484315067</c:v>
                </c:pt>
                <c:pt idx="50">
                  <c:v>0.33235467216136572</c:v>
                </c:pt>
                <c:pt idx="51">
                  <c:v>0.34053216325755198</c:v>
                </c:pt>
                <c:pt idx="52">
                  <c:v>0.29823701237600464</c:v>
                </c:pt>
                <c:pt idx="53">
                  <c:v>0.27080722784196609</c:v>
                </c:pt>
                <c:pt idx="54">
                  <c:v>0.1449352173299199</c:v>
                </c:pt>
                <c:pt idx="55">
                  <c:v>0.12055102135407754</c:v>
                </c:pt>
                <c:pt idx="56">
                  <c:v>0.10577353704750013</c:v>
                </c:pt>
                <c:pt idx="57">
                  <c:v>9.9771379156008227E-2</c:v>
                </c:pt>
                <c:pt idx="58">
                  <c:v>9.0341346811183817E-2</c:v>
                </c:pt>
                <c:pt idx="59">
                  <c:v>8.7047747545026019E-2</c:v>
                </c:pt>
                <c:pt idx="60">
                  <c:v>9.4387098407901576E-2</c:v>
                </c:pt>
                <c:pt idx="61">
                  <c:v>7.6512082208499227E-2</c:v>
                </c:pt>
                <c:pt idx="62">
                  <c:v>8.8214300014859109E-2</c:v>
                </c:pt>
                <c:pt idx="63">
                  <c:v>9.8899382495973714E-2</c:v>
                </c:pt>
                <c:pt idx="64">
                  <c:v>9.9540585299142226E-2</c:v>
                </c:pt>
                <c:pt idx="65">
                  <c:v>6.4715462987645855E-2</c:v>
                </c:pt>
                <c:pt idx="66">
                  <c:v>7.8477636777356835E-2</c:v>
                </c:pt>
                <c:pt idx="67">
                  <c:v>9.5990600325189232E-2</c:v>
                </c:pt>
                <c:pt idx="68">
                  <c:v>5.0202829266684873E-2</c:v>
                </c:pt>
                <c:pt idx="69">
                  <c:v>6.6892480325106085E-2</c:v>
                </c:pt>
                <c:pt idx="70">
                  <c:v>3.3538810078158496E-2</c:v>
                </c:pt>
                <c:pt idx="71">
                  <c:v>3.6708945590038906E-2</c:v>
                </c:pt>
                <c:pt idx="72">
                  <c:v>1.4178417412437376E-3</c:v>
                </c:pt>
                <c:pt idx="73">
                  <c:v>3.376391879086945E-3</c:v>
                </c:pt>
                <c:pt idx="74">
                  <c:v>1.4890988381363592E-5</c:v>
                </c:pt>
                <c:pt idx="75">
                  <c:v>9.1003392531640113E-3</c:v>
                </c:pt>
                <c:pt idx="76">
                  <c:v>9.1093139916744777E-3</c:v>
                </c:pt>
                <c:pt idx="77">
                  <c:v>6.5485816419011142E-3</c:v>
                </c:pt>
                <c:pt idx="78">
                  <c:v>4.946866014399505E-2</c:v>
                </c:pt>
                <c:pt idx="79">
                  <c:v>4.7569843232791446E-2</c:v>
                </c:pt>
                <c:pt idx="80">
                  <c:v>5.1728481926230293E-6</c:v>
                </c:pt>
                <c:pt idx="81">
                  <c:v>1.6733897564943343E-2</c:v>
                </c:pt>
                <c:pt idx="82">
                  <c:v>8.935809684482366E-3</c:v>
                </c:pt>
                <c:pt idx="83">
                  <c:v>8.5643159167998124E-5</c:v>
                </c:pt>
                <c:pt idx="84">
                  <c:v>8.6107404559077489E-5</c:v>
                </c:pt>
                <c:pt idx="85">
                  <c:v>3.501941237014206E-4</c:v>
                </c:pt>
                <c:pt idx="86">
                  <c:v>1.6071357256411279E-2</c:v>
                </c:pt>
                <c:pt idx="87">
                  <c:v>1.0673550676634827E-2</c:v>
                </c:pt>
                <c:pt idx="88">
                  <c:v>9.7912881917063977E-3</c:v>
                </c:pt>
                <c:pt idx="89">
                  <c:v>1.4520998066375367E-2</c:v>
                </c:pt>
                <c:pt idx="90">
                  <c:v>2.5917187897187211E-2</c:v>
                </c:pt>
                <c:pt idx="91">
                  <c:v>3.1329447438651924E-2</c:v>
                </c:pt>
                <c:pt idx="92">
                  <c:v>3.5031636391784748E-2</c:v>
                </c:pt>
                <c:pt idx="93">
                  <c:v>7.0996982556546101E-2</c:v>
                </c:pt>
                <c:pt idx="94">
                  <c:v>9.6226287118722081E-2</c:v>
                </c:pt>
                <c:pt idx="95">
                  <c:v>0.14989621506256384</c:v>
                </c:pt>
                <c:pt idx="96">
                  <c:v>0.21200415059399574</c:v>
                </c:pt>
                <c:pt idx="97">
                  <c:v>0.19376990810813569</c:v>
                </c:pt>
                <c:pt idx="98">
                  <c:v>0.25579184897213836</c:v>
                </c:pt>
                <c:pt idx="99">
                  <c:v>0.2592081065105446</c:v>
                </c:pt>
                <c:pt idx="100">
                  <c:v>0.25012898887743268</c:v>
                </c:pt>
                <c:pt idx="101">
                  <c:v>0.25436027077073503</c:v>
                </c:pt>
                <c:pt idx="102">
                  <c:v>0.25163997315042291</c:v>
                </c:pt>
                <c:pt idx="103">
                  <c:v>0.24302182983803647</c:v>
                </c:pt>
                <c:pt idx="104">
                  <c:v>0.2265555197503184</c:v>
                </c:pt>
                <c:pt idx="105">
                  <c:v>0.21147137022829571</c:v>
                </c:pt>
                <c:pt idx="106">
                  <c:v>0.21264695678995896</c:v>
                </c:pt>
                <c:pt idx="107">
                  <c:v>0.21212245072129177</c:v>
                </c:pt>
                <c:pt idx="108">
                  <c:v>0.25145809408168518</c:v>
                </c:pt>
                <c:pt idx="109">
                  <c:v>0.24324394762808815</c:v>
                </c:pt>
                <c:pt idx="110">
                  <c:v>0.23999218133438563</c:v>
                </c:pt>
                <c:pt idx="111">
                  <c:v>0.22701185500901658</c:v>
                </c:pt>
                <c:pt idx="112">
                  <c:v>0.25589665435266762</c:v>
                </c:pt>
                <c:pt idx="113">
                  <c:v>0.26448784090805777</c:v>
                </c:pt>
                <c:pt idx="114">
                  <c:v>0.23383209677489383</c:v>
                </c:pt>
                <c:pt idx="115">
                  <c:v>0.21959800827413484</c:v>
                </c:pt>
                <c:pt idx="116">
                  <c:v>0.22085132273020205</c:v>
                </c:pt>
                <c:pt idx="117">
                  <c:v>0.21647804338470414</c:v>
                </c:pt>
                <c:pt idx="118">
                  <c:v>0.20653238870854843</c:v>
                </c:pt>
                <c:pt idx="119">
                  <c:v>0.20717492959885347</c:v>
                </c:pt>
                <c:pt idx="120">
                  <c:v>0.21763965423382395</c:v>
                </c:pt>
                <c:pt idx="121">
                  <c:v>0.21259047091048644</c:v>
                </c:pt>
                <c:pt idx="122">
                  <c:v>0.21146246452936637</c:v>
                </c:pt>
                <c:pt idx="123">
                  <c:v>0.21334783004286373</c:v>
                </c:pt>
                <c:pt idx="124">
                  <c:v>0.22691282991849854</c:v>
                </c:pt>
                <c:pt idx="125">
                  <c:v>0.20730479534374432</c:v>
                </c:pt>
                <c:pt idx="126">
                  <c:v>0.20919985710424807</c:v>
                </c:pt>
                <c:pt idx="127">
                  <c:v>0.21313172840504285</c:v>
                </c:pt>
                <c:pt idx="128">
                  <c:v>0.17281911570483693</c:v>
                </c:pt>
                <c:pt idx="129">
                  <c:v>0.17188662040961766</c:v>
                </c:pt>
                <c:pt idx="130">
                  <c:v>0.15936779789102939</c:v>
                </c:pt>
                <c:pt idx="131">
                  <c:v>0.14986492354535716</c:v>
                </c:pt>
                <c:pt idx="132">
                  <c:v>0.15408845037597935</c:v>
                </c:pt>
                <c:pt idx="133">
                  <c:v>0.17490448198869318</c:v>
                </c:pt>
                <c:pt idx="134">
                  <c:v>0.16902459176151821</c:v>
                </c:pt>
                <c:pt idx="135">
                  <c:v>0.18587315887754155</c:v>
                </c:pt>
                <c:pt idx="136">
                  <c:v>0.19122885923888441</c:v>
                </c:pt>
                <c:pt idx="137">
                  <c:v>0.16137655616978624</c:v>
                </c:pt>
                <c:pt idx="138">
                  <c:v>0.14444338884283114</c:v>
                </c:pt>
                <c:pt idx="139">
                  <c:v>0.12759353488878311</c:v>
                </c:pt>
                <c:pt idx="140">
                  <c:v>0.15189635824995404</c:v>
                </c:pt>
                <c:pt idx="141">
                  <c:v>0.1373996810836916</c:v>
                </c:pt>
                <c:pt idx="142">
                  <c:v>0.12434877721631118</c:v>
                </c:pt>
                <c:pt idx="143">
                  <c:v>0.10847729173293497</c:v>
                </c:pt>
                <c:pt idx="144">
                  <c:v>0.14326577516520433</c:v>
                </c:pt>
                <c:pt idx="145">
                  <c:v>0.13169220689293429</c:v>
                </c:pt>
                <c:pt idx="146">
                  <c:v>0.12246790283379691</c:v>
                </c:pt>
                <c:pt idx="147">
                  <c:v>9.9429847282391223E-2</c:v>
                </c:pt>
                <c:pt idx="148">
                  <c:v>0.10050241558704605</c:v>
                </c:pt>
                <c:pt idx="149">
                  <c:v>8.9011384101940899E-2</c:v>
                </c:pt>
                <c:pt idx="150">
                  <c:v>7.1807665474443685E-2</c:v>
                </c:pt>
                <c:pt idx="151">
                  <c:v>8.1634747354846535E-2</c:v>
                </c:pt>
                <c:pt idx="152">
                  <c:v>6.7577140844790815E-2</c:v>
                </c:pt>
                <c:pt idx="153">
                  <c:v>6.6432368214643184E-2</c:v>
                </c:pt>
                <c:pt idx="154">
                  <c:v>6.0414058119770901E-2</c:v>
                </c:pt>
                <c:pt idx="155">
                  <c:v>8.277324424529614E-2</c:v>
                </c:pt>
                <c:pt idx="156">
                  <c:v>8.0092389739492648E-2</c:v>
                </c:pt>
                <c:pt idx="157">
                  <c:v>9.2835420258769702E-2</c:v>
                </c:pt>
                <c:pt idx="158">
                  <c:v>9.8959387507749449E-2</c:v>
                </c:pt>
                <c:pt idx="159">
                  <c:v>9.3908705644094453E-2</c:v>
                </c:pt>
                <c:pt idx="160">
                  <c:v>8.4024555541676343E-2</c:v>
                </c:pt>
                <c:pt idx="161">
                  <c:v>8.8610400451647711E-2</c:v>
                </c:pt>
                <c:pt idx="162">
                  <c:v>0.10364128187429116</c:v>
                </c:pt>
                <c:pt idx="163">
                  <c:v>0.11997482842859991</c:v>
                </c:pt>
                <c:pt idx="164">
                  <c:v>0.12051787624264144</c:v>
                </c:pt>
                <c:pt idx="165">
                  <c:v>0.1224036827997136</c:v>
                </c:pt>
                <c:pt idx="166">
                  <c:v>0.10494981742201119</c:v>
                </c:pt>
                <c:pt idx="167">
                  <c:v>0.11811214052498685</c:v>
                </c:pt>
                <c:pt idx="168">
                  <c:v>0.12532252376750136</c:v>
                </c:pt>
                <c:pt idx="169">
                  <c:v>0.10771734035165237</c:v>
                </c:pt>
                <c:pt idx="170">
                  <c:v>1.352428257768608E-2</c:v>
                </c:pt>
                <c:pt idx="171">
                  <c:v>6.4292723460521395E-2</c:v>
                </c:pt>
                <c:pt idx="172">
                  <c:v>0.11093009624277002</c:v>
                </c:pt>
                <c:pt idx="173">
                  <c:v>0.10782459610207727</c:v>
                </c:pt>
                <c:pt idx="174">
                  <c:v>0.12512894987242135</c:v>
                </c:pt>
                <c:pt idx="175">
                  <c:v>9.952182240402975E-2</c:v>
                </c:pt>
                <c:pt idx="176">
                  <c:v>0.10268406094062768</c:v>
                </c:pt>
                <c:pt idx="177">
                  <c:v>9.2679720699448895E-2</c:v>
                </c:pt>
                <c:pt idx="178">
                  <c:v>0.14676404332326695</c:v>
                </c:pt>
                <c:pt idx="179">
                  <c:v>0.14840119115677264</c:v>
                </c:pt>
                <c:pt idx="180">
                  <c:v>0.14385158478706594</c:v>
                </c:pt>
                <c:pt idx="181">
                  <c:v>0.14035371044380945</c:v>
                </c:pt>
                <c:pt idx="182">
                  <c:v>0.14911345028331427</c:v>
                </c:pt>
                <c:pt idx="183">
                  <c:v>0.15400118722024381</c:v>
                </c:pt>
                <c:pt idx="184">
                  <c:v>0.1504624073079173</c:v>
                </c:pt>
                <c:pt idx="185">
                  <c:v>0.13392184744068225</c:v>
                </c:pt>
                <c:pt idx="186">
                  <c:v>0.14882308310031672</c:v>
                </c:pt>
                <c:pt idx="187">
                  <c:v>0.13508070819957249</c:v>
                </c:pt>
                <c:pt idx="188">
                  <c:v>0.14477264577382454</c:v>
                </c:pt>
                <c:pt idx="189">
                  <c:v>0.13453726958780396</c:v>
                </c:pt>
                <c:pt idx="190">
                  <c:v>0.15463126279878031</c:v>
                </c:pt>
                <c:pt idx="191">
                  <c:v>0.15566556034199497</c:v>
                </c:pt>
                <c:pt idx="192">
                  <c:v>0.1508072339269462</c:v>
                </c:pt>
                <c:pt idx="193">
                  <c:v>0.15937974461056639</c:v>
                </c:pt>
                <c:pt idx="194">
                  <c:v>0.15567734027624897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83F-4729-B474-298F34384C2D}"/>
            </c:ext>
          </c:extLst>
        </c:ser>
        <c:ser>
          <c:idx val="7"/>
          <c:order val="7"/>
          <c:tx>
            <c:strRef>
              <c:f>强势组合!$I$1</c:f>
              <c:strCache>
                <c:ptCount val="1"/>
                <c:pt idx="0">
                  <c:v>全指能源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强势组合!$I$2:$I$196</c:f>
              <c:numCache>
                <c:formatCode>0.00%</c:formatCode>
                <c:ptCount val="195"/>
                <c:pt idx="0">
                  <c:v>8.4887136974737944E-6</c:v>
                </c:pt>
                <c:pt idx="1">
                  <c:v>6.0390149796125153E-6</c:v>
                </c:pt>
                <c:pt idx="2">
                  <c:v>4.9145040030792835E-6</c:v>
                </c:pt>
                <c:pt idx="3">
                  <c:v>1.4424373387591953E-6</c:v>
                </c:pt>
                <c:pt idx="4">
                  <c:v>5.0752842043439786E-6</c:v>
                </c:pt>
                <c:pt idx="5">
                  <c:v>1.4943990501243338E-5</c:v>
                </c:pt>
                <c:pt idx="6">
                  <c:v>1.1413979495856125E-5</c:v>
                </c:pt>
                <c:pt idx="7">
                  <c:v>1.4143116003579033E-7</c:v>
                </c:pt>
                <c:pt idx="8">
                  <c:v>7.4717248344861402E-6</c:v>
                </c:pt>
                <c:pt idx="9">
                  <c:v>1.2668494964619051E-6</c:v>
                </c:pt>
                <c:pt idx="10">
                  <c:v>5.0475540415859361E-6</c:v>
                </c:pt>
                <c:pt idx="11">
                  <c:v>1.282232988928704E-5</c:v>
                </c:pt>
                <c:pt idx="12">
                  <c:v>3.168797774675268E-6</c:v>
                </c:pt>
                <c:pt idx="13">
                  <c:v>6.7529963166497354E-7</c:v>
                </c:pt>
                <c:pt idx="14">
                  <c:v>1.4600830489673196E-6</c:v>
                </c:pt>
                <c:pt idx="15">
                  <c:v>5.4799350715326487E-6</c:v>
                </c:pt>
                <c:pt idx="16">
                  <c:v>2.2499467477749362E-6</c:v>
                </c:pt>
                <c:pt idx="17">
                  <c:v>2.3111270444809852E-6</c:v>
                </c:pt>
                <c:pt idx="18">
                  <c:v>2.7227513849671624E-6</c:v>
                </c:pt>
                <c:pt idx="19">
                  <c:v>9.8695520112200308E-7</c:v>
                </c:pt>
                <c:pt idx="20">
                  <c:v>4.3343728719639276E-6</c:v>
                </c:pt>
                <c:pt idx="21">
                  <c:v>2.3549911708930822E-6</c:v>
                </c:pt>
                <c:pt idx="22">
                  <c:v>7.5501364683454104E-6</c:v>
                </c:pt>
                <c:pt idx="23">
                  <c:v>3.3943596444737716E-6</c:v>
                </c:pt>
                <c:pt idx="24">
                  <c:v>3.0530614564834246E-6</c:v>
                </c:pt>
                <c:pt idx="25">
                  <c:v>4.4279759436390836E-7</c:v>
                </c:pt>
                <c:pt idx="26">
                  <c:v>2.3533585888729686E-6</c:v>
                </c:pt>
                <c:pt idx="27">
                  <c:v>3.0612252560122546E-5</c:v>
                </c:pt>
                <c:pt idx="28">
                  <c:v>4.8438286312124331E-5</c:v>
                </c:pt>
                <c:pt idx="29">
                  <c:v>5.6887782427440674E-5</c:v>
                </c:pt>
                <c:pt idx="30">
                  <c:v>2.2140566762995122E-2</c:v>
                </c:pt>
                <c:pt idx="31">
                  <c:v>7.2514439599843036E-3</c:v>
                </c:pt>
                <c:pt idx="32">
                  <c:v>8.0230805828841231E-3</c:v>
                </c:pt>
                <c:pt idx="33">
                  <c:v>8.7122705131387199E-6</c:v>
                </c:pt>
                <c:pt idx="34">
                  <c:v>1.3569660641613563E-5</c:v>
                </c:pt>
                <c:pt idx="35">
                  <c:v>3.6764802966690828E-5</c:v>
                </c:pt>
                <c:pt idx="36">
                  <c:v>8.7449651356320913E-5</c:v>
                </c:pt>
                <c:pt idx="37">
                  <c:v>2.2367692249281412E-3</c:v>
                </c:pt>
                <c:pt idx="38">
                  <c:v>4.9594267111472161E-3</c:v>
                </c:pt>
                <c:pt idx="39">
                  <c:v>1.9035160150044056E-2</c:v>
                </c:pt>
                <c:pt idx="40">
                  <c:v>8.7873679843582529E-5</c:v>
                </c:pt>
                <c:pt idx="41">
                  <c:v>8.498613682763073E-5</c:v>
                </c:pt>
                <c:pt idx="42">
                  <c:v>3.095019898501978E-5</c:v>
                </c:pt>
                <c:pt idx="43">
                  <c:v>3.0845686119191519E-5</c:v>
                </c:pt>
                <c:pt idx="44">
                  <c:v>2.5239075803863346E-5</c:v>
                </c:pt>
                <c:pt idx="45">
                  <c:v>2.220422483636399E-5</c:v>
                </c:pt>
                <c:pt idx="46">
                  <c:v>1.0907550519616932E-6</c:v>
                </c:pt>
                <c:pt idx="47">
                  <c:v>2.8509264078361239E-6</c:v>
                </c:pt>
                <c:pt idx="48">
                  <c:v>6.8332009457309373E-6</c:v>
                </c:pt>
                <c:pt idx="49">
                  <c:v>1.523546366152046E-6</c:v>
                </c:pt>
                <c:pt idx="50">
                  <c:v>5.3925578907583996E-6</c:v>
                </c:pt>
                <c:pt idx="51">
                  <c:v>4.17050429581763E-6</c:v>
                </c:pt>
                <c:pt idx="52">
                  <c:v>2.1424337495996811E-6</c:v>
                </c:pt>
                <c:pt idx="53">
                  <c:v>3.8831503662301144E-7</c:v>
                </c:pt>
                <c:pt idx="54">
                  <c:v>1.2031975197326676E-6</c:v>
                </c:pt>
                <c:pt idx="55">
                  <c:v>8.8336341762926447E-6</c:v>
                </c:pt>
                <c:pt idx="56">
                  <c:v>9.0101560968690953E-6</c:v>
                </c:pt>
                <c:pt idx="57">
                  <c:v>1.2417933814595618E-5</c:v>
                </c:pt>
                <c:pt idx="58">
                  <c:v>1.0802240211907632E-5</c:v>
                </c:pt>
                <c:pt idx="59">
                  <c:v>5.0829563860691198E-6</c:v>
                </c:pt>
                <c:pt idx="60">
                  <c:v>2.1638842521229686E-6</c:v>
                </c:pt>
                <c:pt idx="61">
                  <c:v>6.2242162940497129E-7</c:v>
                </c:pt>
                <c:pt idx="62">
                  <c:v>3.8294457682249418E-7</c:v>
                </c:pt>
                <c:pt idx="63">
                  <c:v>3.9275968162690793E-6</c:v>
                </c:pt>
                <c:pt idx="64">
                  <c:v>3.0247212379837283E-6</c:v>
                </c:pt>
                <c:pt idx="65">
                  <c:v>1.0922819925792994E-6</c:v>
                </c:pt>
                <c:pt idx="66">
                  <c:v>6.048109422299074E-7</c:v>
                </c:pt>
                <c:pt idx="67">
                  <c:v>2.5385454556638762E-6</c:v>
                </c:pt>
                <c:pt idx="68">
                  <c:v>4.2096193649660572E-2</c:v>
                </c:pt>
                <c:pt idx="69">
                  <c:v>5.477062222966219E-2</c:v>
                </c:pt>
                <c:pt idx="70">
                  <c:v>3.4884806319347643E-2</c:v>
                </c:pt>
                <c:pt idx="71">
                  <c:v>4.029461269990825E-2</c:v>
                </c:pt>
                <c:pt idx="72">
                  <c:v>3.2696114298460442E-2</c:v>
                </c:pt>
                <c:pt idx="73">
                  <c:v>4.7442077143384755E-2</c:v>
                </c:pt>
                <c:pt idx="74">
                  <c:v>4.0507058490066673E-2</c:v>
                </c:pt>
                <c:pt idx="75">
                  <c:v>5.1371608608093873E-2</c:v>
                </c:pt>
                <c:pt idx="76">
                  <c:v>5.2797961177852293E-2</c:v>
                </c:pt>
                <c:pt idx="77">
                  <c:v>5.2608336674579557E-2</c:v>
                </c:pt>
                <c:pt idx="78">
                  <c:v>5.9565895086743828E-2</c:v>
                </c:pt>
                <c:pt idx="79">
                  <c:v>4.4803673663215832E-2</c:v>
                </c:pt>
                <c:pt idx="80">
                  <c:v>6.1269751869660216E-2</c:v>
                </c:pt>
                <c:pt idx="81">
                  <c:v>6.9645335364770175E-2</c:v>
                </c:pt>
                <c:pt idx="82">
                  <c:v>6.6083227513024492E-2</c:v>
                </c:pt>
                <c:pt idx="83">
                  <c:v>5.9060259596594493E-2</c:v>
                </c:pt>
                <c:pt idx="84">
                  <c:v>5.650393036487103E-2</c:v>
                </c:pt>
                <c:pt idx="85">
                  <c:v>5.4955628100472081E-2</c:v>
                </c:pt>
                <c:pt idx="86">
                  <c:v>0.10092291548494756</c:v>
                </c:pt>
                <c:pt idx="87">
                  <c:v>9.7378060460280219E-2</c:v>
                </c:pt>
                <c:pt idx="88">
                  <c:v>8.9805239303066248E-2</c:v>
                </c:pt>
                <c:pt idx="89">
                  <c:v>9.2251785557510152E-2</c:v>
                </c:pt>
                <c:pt idx="90">
                  <c:v>9.2688203894824656E-2</c:v>
                </c:pt>
                <c:pt idx="91">
                  <c:v>0.10409413831442418</c:v>
                </c:pt>
                <c:pt idx="92">
                  <c:v>0.1058855250202569</c:v>
                </c:pt>
                <c:pt idx="93">
                  <c:v>0.10016489840623478</c:v>
                </c:pt>
                <c:pt idx="94">
                  <c:v>9.0307448574337187E-2</c:v>
                </c:pt>
                <c:pt idx="95">
                  <c:v>9.4541648065718617E-2</c:v>
                </c:pt>
                <c:pt idx="96">
                  <c:v>0.10460051202928568</c:v>
                </c:pt>
                <c:pt idx="97">
                  <c:v>0.11126044992593943</c:v>
                </c:pt>
                <c:pt idx="98">
                  <c:v>0.10923930171749438</c:v>
                </c:pt>
                <c:pt idx="99">
                  <c:v>0.10838573385892053</c:v>
                </c:pt>
                <c:pt idx="100">
                  <c:v>0.11999142418192785</c:v>
                </c:pt>
                <c:pt idx="101">
                  <c:v>0.13128795831614662</c:v>
                </c:pt>
                <c:pt idx="102">
                  <c:v>0.12785338316079664</c:v>
                </c:pt>
                <c:pt idx="103">
                  <c:v>0.12988493838495485</c:v>
                </c:pt>
                <c:pt idx="104">
                  <c:v>0.13231839285625452</c:v>
                </c:pt>
                <c:pt idx="105">
                  <c:v>0.14509546627367156</c:v>
                </c:pt>
                <c:pt idx="106">
                  <c:v>0.15167194323825109</c:v>
                </c:pt>
                <c:pt idx="107">
                  <c:v>0.1501894673341837</c:v>
                </c:pt>
                <c:pt idx="108">
                  <c:v>4.0086815533134812E-2</c:v>
                </c:pt>
                <c:pt idx="109">
                  <c:v>4.7330940754582565E-2</c:v>
                </c:pt>
                <c:pt idx="110">
                  <c:v>5.1823232224617266E-2</c:v>
                </c:pt>
                <c:pt idx="111">
                  <c:v>7.485999413241147E-2</c:v>
                </c:pt>
                <c:pt idx="112">
                  <c:v>4.6433337979340891E-2</c:v>
                </c:pt>
                <c:pt idx="113">
                  <c:v>4.1575326685489383E-2</c:v>
                </c:pt>
                <c:pt idx="114">
                  <c:v>5.3124128818015676E-2</c:v>
                </c:pt>
                <c:pt idx="115">
                  <c:v>6.7917577401238188E-2</c:v>
                </c:pt>
                <c:pt idx="116">
                  <c:v>6.3714046066189967E-2</c:v>
                </c:pt>
                <c:pt idx="117">
                  <c:v>6.6288311202451475E-2</c:v>
                </c:pt>
                <c:pt idx="118">
                  <c:v>6.5834630199092012E-2</c:v>
                </c:pt>
                <c:pt idx="119">
                  <c:v>6.6966721227395387E-2</c:v>
                </c:pt>
                <c:pt idx="120">
                  <c:v>6.2927348352081469E-2</c:v>
                </c:pt>
                <c:pt idx="121">
                  <c:v>5.4849444149022472E-2</c:v>
                </c:pt>
                <c:pt idx="122">
                  <c:v>6.3140330799201796E-2</c:v>
                </c:pt>
                <c:pt idx="123">
                  <c:v>6.3334173176883807E-2</c:v>
                </c:pt>
                <c:pt idx="124">
                  <c:v>5.55645663831629E-2</c:v>
                </c:pt>
                <c:pt idx="125">
                  <c:v>4.4427372780330987E-2</c:v>
                </c:pt>
                <c:pt idx="126">
                  <c:v>4.5707400336590008E-2</c:v>
                </c:pt>
                <c:pt idx="127">
                  <c:v>6.4467778141590659E-2</c:v>
                </c:pt>
                <c:pt idx="128">
                  <c:v>2.3692741754386872E-2</c:v>
                </c:pt>
                <c:pt idx="129">
                  <c:v>1.6863823406870468E-2</c:v>
                </c:pt>
                <c:pt idx="130">
                  <c:v>1.7697758410026607E-2</c:v>
                </c:pt>
                <c:pt idx="131">
                  <c:v>1.8289745058181848E-2</c:v>
                </c:pt>
                <c:pt idx="132">
                  <c:v>2.3735603922259377E-2</c:v>
                </c:pt>
                <c:pt idx="133">
                  <c:v>4.8885710438678127E-2</c:v>
                </c:pt>
                <c:pt idx="134">
                  <c:v>1.1751966423069658E-2</c:v>
                </c:pt>
                <c:pt idx="135">
                  <c:v>3.4221868646847974E-2</c:v>
                </c:pt>
                <c:pt idx="136">
                  <c:v>3.4064140158243966E-2</c:v>
                </c:pt>
                <c:pt idx="137">
                  <c:v>2.6214286510563997E-2</c:v>
                </c:pt>
                <c:pt idx="138">
                  <c:v>3.363981154825995E-2</c:v>
                </c:pt>
                <c:pt idx="139">
                  <c:v>1.7211197960919966E-2</c:v>
                </c:pt>
                <c:pt idx="140">
                  <c:v>1.6319454264517804E-2</c:v>
                </c:pt>
                <c:pt idx="141">
                  <c:v>2.29155439001314E-2</c:v>
                </c:pt>
                <c:pt idx="142">
                  <c:v>4.1184710995899468E-3</c:v>
                </c:pt>
                <c:pt idx="143">
                  <c:v>1.2155131420597832E-2</c:v>
                </c:pt>
                <c:pt idx="144">
                  <c:v>2.7772614911931892E-2</c:v>
                </c:pt>
                <c:pt idx="145">
                  <c:v>3.6414514687304042E-2</c:v>
                </c:pt>
                <c:pt idx="146">
                  <c:v>3.4212838814554968E-2</c:v>
                </c:pt>
                <c:pt idx="147">
                  <c:v>3.3084971611728388E-2</c:v>
                </c:pt>
                <c:pt idx="148">
                  <c:v>3.0070098832168407E-2</c:v>
                </c:pt>
                <c:pt idx="149">
                  <c:v>5.2992502963575425E-2</c:v>
                </c:pt>
                <c:pt idx="150">
                  <c:v>5.385266168188841E-2</c:v>
                </c:pt>
                <c:pt idx="151">
                  <c:v>6.0332812274641268E-2</c:v>
                </c:pt>
                <c:pt idx="152">
                  <c:v>6.3487908986830377E-2</c:v>
                </c:pt>
                <c:pt idx="153">
                  <c:v>5.5533919602960162E-2</c:v>
                </c:pt>
                <c:pt idx="154">
                  <c:v>6.0400520249393463E-2</c:v>
                </c:pt>
                <c:pt idx="155">
                  <c:v>4.7015624113587527E-2</c:v>
                </c:pt>
                <c:pt idx="156">
                  <c:v>4.490525438822883E-2</c:v>
                </c:pt>
                <c:pt idx="157">
                  <c:v>3.9818229266903336E-2</c:v>
                </c:pt>
                <c:pt idx="158">
                  <c:v>4.115937859646069E-2</c:v>
                </c:pt>
                <c:pt idx="159">
                  <c:v>4.583816037571109E-2</c:v>
                </c:pt>
                <c:pt idx="160">
                  <c:v>4.4979913256173489E-2</c:v>
                </c:pt>
                <c:pt idx="161">
                  <c:v>4.0774261006246378E-2</c:v>
                </c:pt>
                <c:pt idx="162">
                  <c:v>4.2163407814407819E-2</c:v>
                </c:pt>
                <c:pt idx="163">
                  <c:v>5.8209928368691793E-2</c:v>
                </c:pt>
                <c:pt idx="164">
                  <c:v>8.7618005288187015E-2</c:v>
                </c:pt>
                <c:pt idx="165">
                  <c:v>8.7247193964156297E-2</c:v>
                </c:pt>
                <c:pt idx="166">
                  <c:v>3.398404434562291E-2</c:v>
                </c:pt>
                <c:pt idx="167">
                  <c:v>2.189059294377238E-2</c:v>
                </c:pt>
                <c:pt idx="168">
                  <c:v>2.5609624818053067E-2</c:v>
                </c:pt>
                <c:pt idx="169">
                  <c:v>4.7604514894804155E-2</c:v>
                </c:pt>
                <c:pt idx="170">
                  <c:v>0.14186335133466565</c:v>
                </c:pt>
                <c:pt idx="171">
                  <c:v>0.1641545208834293</c:v>
                </c:pt>
                <c:pt idx="172">
                  <c:v>0.14664203737965614</c:v>
                </c:pt>
                <c:pt idx="173">
                  <c:v>0.14245435532920214</c:v>
                </c:pt>
                <c:pt idx="174">
                  <c:v>0.16500737900151791</c:v>
                </c:pt>
                <c:pt idx="175">
                  <c:v>0.16386239909574257</c:v>
                </c:pt>
                <c:pt idx="176">
                  <c:v>0.16754761951889999</c:v>
                </c:pt>
                <c:pt idx="177">
                  <c:v>0.17093285609468536</c:v>
                </c:pt>
                <c:pt idx="178">
                  <c:v>0.15512347706254376</c:v>
                </c:pt>
                <c:pt idx="179">
                  <c:v>0.15698758764986082</c:v>
                </c:pt>
                <c:pt idx="180">
                  <c:v>0.15684234685850817</c:v>
                </c:pt>
                <c:pt idx="181">
                  <c:v>0.15892698903042457</c:v>
                </c:pt>
                <c:pt idx="182">
                  <c:v>0.17188620078429506</c:v>
                </c:pt>
                <c:pt idx="183">
                  <c:v>0.17083377082436846</c:v>
                </c:pt>
                <c:pt idx="184">
                  <c:v>0.15654362991291787</c:v>
                </c:pt>
                <c:pt idx="185">
                  <c:v>0.11198088346086214</c:v>
                </c:pt>
                <c:pt idx="186">
                  <c:v>0.10693469278227911</c:v>
                </c:pt>
                <c:pt idx="187">
                  <c:v>0.10497008518854413</c:v>
                </c:pt>
                <c:pt idx="188">
                  <c:v>8.2234995373446793E-2</c:v>
                </c:pt>
                <c:pt idx="189">
                  <c:v>7.6808662598930363E-2</c:v>
                </c:pt>
                <c:pt idx="190">
                  <c:v>7.7911068955573856E-2</c:v>
                </c:pt>
                <c:pt idx="191">
                  <c:v>8.0623233186184098E-2</c:v>
                </c:pt>
                <c:pt idx="192">
                  <c:v>7.4331735312217401E-2</c:v>
                </c:pt>
                <c:pt idx="193">
                  <c:v>5.9572302528329471E-2</c:v>
                </c:pt>
                <c:pt idx="194">
                  <c:v>6.0778933213071394E-2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83F-4729-B474-298F34384C2D}"/>
            </c:ext>
          </c:extLst>
        </c:ser>
        <c:ser>
          <c:idx val="8"/>
          <c:order val="8"/>
          <c:tx>
            <c:strRef>
              <c:f>强势组合!$J$1</c:f>
              <c:strCache>
                <c:ptCount val="1"/>
                <c:pt idx="0">
                  <c:v>全指公用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强势组合!$J$2:$J$196</c:f>
              <c:numCache>
                <c:formatCode>0.00%</c:formatCode>
                <c:ptCount val="195"/>
                <c:pt idx="0">
                  <c:v>0.16727307907404829</c:v>
                </c:pt>
                <c:pt idx="1">
                  <c:v>0.187684001712767</c:v>
                </c:pt>
                <c:pt idx="2">
                  <c:v>0.19683562740606339</c:v>
                </c:pt>
                <c:pt idx="3">
                  <c:v>0.18642709678708583</c:v>
                </c:pt>
                <c:pt idx="4">
                  <c:v>0.1841159655581463</c:v>
                </c:pt>
                <c:pt idx="5">
                  <c:v>0.18198458503582751</c:v>
                </c:pt>
                <c:pt idx="6">
                  <c:v>0.15426658011432254</c:v>
                </c:pt>
                <c:pt idx="7">
                  <c:v>7.4471926870021368E-2</c:v>
                </c:pt>
                <c:pt idx="8">
                  <c:v>8.4119475068447677E-2</c:v>
                </c:pt>
                <c:pt idx="9">
                  <c:v>7.552464743661326E-2</c:v>
                </c:pt>
                <c:pt idx="10">
                  <c:v>4.7341023448233342E-2</c:v>
                </c:pt>
                <c:pt idx="11">
                  <c:v>3.7007616666591837E-2</c:v>
                </c:pt>
                <c:pt idx="12">
                  <c:v>1.8117118599103539E-2</c:v>
                </c:pt>
                <c:pt idx="13">
                  <c:v>4.6984403565900387E-3</c:v>
                </c:pt>
                <c:pt idx="14">
                  <c:v>1.8741031809619804E-3</c:v>
                </c:pt>
                <c:pt idx="15">
                  <c:v>9.4020477253464151E-3</c:v>
                </c:pt>
                <c:pt idx="16">
                  <c:v>2.7789267216889894E-2</c:v>
                </c:pt>
                <c:pt idx="17">
                  <c:v>4.9812341368834966E-2</c:v>
                </c:pt>
                <c:pt idx="18">
                  <c:v>4.8205541944909856E-2</c:v>
                </c:pt>
                <c:pt idx="19">
                  <c:v>4.6980022931124292E-2</c:v>
                </c:pt>
                <c:pt idx="20">
                  <c:v>4.517499320403031E-2</c:v>
                </c:pt>
                <c:pt idx="21">
                  <c:v>3.8348659749418847E-2</c:v>
                </c:pt>
                <c:pt idx="22">
                  <c:v>3.9233766258133483E-2</c:v>
                </c:pt>
                <c:pt idx="23">
                  <c:v>3.6796868703416939E-2</c:v>
                </c:pt>
                <c:pt idx="24">
                  <c:v>3.7510132274988214E-2</c:v>
                </c:pt>
                <c:pt idx="25">
                  <c:v>4.3408498256925027E-2</c:v>
                </c:pt>
                <c:pt idx="26">
                  <c:v>4.4507389759122322E-2</c:v>
                </c:pt>
                <c:pt idx="27">
                  <c:v>4.5962045743071299E-2</c:v>
                </c:pt>
                <c:pt idx="28">
                  <c:v>4.7643622620885714E-2</c:v>
                </c:pt>
                <c:pt idx="29">
                  <c:v>5.6459360357043201E-2</c:v>
                </c:pt>
                <c:pt idx="30">
                  <c:v>4.1741206734266061E-2</c:v>
                </c:pt>
                <c:pt idx="31">
                  <c:v>5.8210796996565214E-2</c:v>
                </c:pt>
                <c:pt idx="32">
                  <c:v>6.243906179905373E-2</c:v>
                </c:pt>
                <c:pt idx="33">
                  <c:v>6.1743302136420819E-2</c:v>
                </c:pt>
                <c:pt idx="34">
                  <c:v>5.9342418959874313E-2</c:v>
                </c:pt>
                <c:pt idx="35">
                  <c:v>5.7731721380200135E-2</c:v>
                </c:pt>
                <c:pt idx="36">
                  <c:v>6.2471588033912985E-2</c:v>
                </c:pt>
                <c:pt idx="37">
                  <c:v>9.323593868416423E-2</c:v>
                </c:pt>
                <c:pt idx="38">
                  <c:v>0.10051955362403379</c:v>
                </c:pt>
                <c:pt idx="39">
                  <c:v>9.0196209557850057E-2</c:v>
                </c:pt>
                <c:pt idx="40">
                  <c:v>0.11375812097510606</c:v>
                </c:pt>
                <c:pt idx="41">
                  <c:v>0.10226688034799991</c:v>
                </c:pt>
                <c:pt idx="42">
                  <c:v>0.11823935078267324</c:v>
                </c:pt>
                <c:pt idx="43">
                  <c:v>0.12098558050235969</c:v>
                </c:pt>
                <c:pt idx="44">
                  <c:v>0.10762172746667295</c:v>
                </c:pt>
                <c:pt idx="45">
                  <c:v>0.10396955292614432</c:v>
                </c:pt>
                <c:pt idx="46">
                  <c:v>0.11922290954453871</c:v>
                </c:pt>
                <c:pt idx="47">
                  <c:v>0.13243899868672995</c:v>
                </c:pt>
                <c:pt idx="48">
                  <c:v>0.15472519993436304</c:v>
                </c:pt>
                <c:pt idx="49">
                  <c:v>0.16500390260344602</c:v>
                </c:pt>
                <c:pt idx="50">
                  <c:v>0.14791913089529757</c:v>
                </c:pt>
                <c:pt idx="51">
                  <c:v>0.14375332019452922</c:v>
                </c:pt>
                <c:pt idx="52">
                  <c:v>0.1510811354558714</c:v>
                </c:pt>
                <c:pt idx="53">
                  <c:v>0.14821205540406093</c:v>
                </c:pt>
                <c:pt idx="54">
                  <c:v>0.11776726977975245</c:v>
                </c:pt>
                <c:pt idx="55">
                  <c:v>8.1401991339262195E-2</c:v>
                </c:pt>
                <c:pt idx="56">
                  <c:v>9.2795861664738272E-2</c:v>
                </c:pt>
                <c:pt idx="57">
                  <c:v>8.6102097275121137E-2</c:v>
                </c:pt>
                <c:pt idx="58">
                  <c:v>8.0023807004457326E-2</c:v>
                </c:pt>
                <c:pt idx="59">
                  <c:v>8.1914691175522858E-2</c:v>
                </c:pt>
                <c:pt idx="60">
                  <c:v>9.8355981859558558E-2</c:v>
                </c:pt>
                <c:pt idx="61">
                  <c:v>0.10503157483699609</c:v>
                </c:pt>
                <c:pt idx="62">
                  <c:v>0.10189589716272748</c:v>
                </c:pt>
                <c:pt idx="63">
                  <c:v>8.3460104635951576E-2</c:v>
                </c:pt>
                <c:pt idx="64">
                  <c:v>6.2969763369136567E-2</c:v>
                </c:pt>
                <c:pt idx="65">
                  <c:v>9.0928771710985706E-2</c:v>
                </c:pt>
                <c:pt idx="66">
                  <c:v>0.10715817761986672</c:v>
                </c:pt>
                <c:pt idx="67">
                  <c:v>9.18299550022975E-2</c:v>
                </c:pt>
                <c:pt idx="68">
                  <c:v>6.1196292079348374E-2</c:v>
                </c:pt>
                <c:pt idx="69">
                  <c:v>2.5129741503583596E-2</c:v>
                </c:pt>
                <c:pt idx="70">
                  <c:v>3.8497203845761788E-2</c:v>
                </c:pt>
                <c:pt idx="71">
                  <c:v>3.5849875281460719E-2</c:v>
                </c:pt>
                <c:pt idx="72">
                  <c:v>4.4725952216518504E-2</c:v>
                </c:pt>
                <c:pt idx="73">
                  <c:v>3.7905408080507685E-2</c:v>
                </c:pt>
                <c:pt idx="74">
                  <c:v>6.8571907573347412E-5</c:v>
                </c:pt>
                <c:pt idx="75">
                  <c:v>3.7401436140273406E-4</c:v>
                </c:pt>
                <c:pt idx="76">
                  <c:v>3.5847261194504728E-3</c:v>
                </c:pt>
                <c:pt idx="77">
                  <c:v>6.3941320049656749E-3</c:v>
                </c:pt>
                <c:pt idx="78">
                  <c:v>1.3978462585040755E-5</c:v>
                </c:pt>
                <c:pt idx="79">
                  <c:v>1.3194724292719365E-5</c:v>
                </c:pt>
                <c:pt idx="80">
                  <c:v>8.55845686017234E-7</c:v>
                </c:pt>
                <c:pt idx="81">
                  <c:v>6.0953013493156744E-6</c:v>
                </c:pt>
                <c:pt idx="82">
                  <c:v>3.2759165194793729E-6</c:v>
                </c:pt>
                <c:pt idx="83">
                  <c:v>2.5360108186143301E-6</c:v>
                </c:pt>
                <c:pt idx="84">
                  <c:v>1.2937498334153598E-6</c:v>
                </c:pt>
                <c:pt idx="85">
                  <c:v>1.2009014645728758E-7</c:v>
                </c:pt>
                <c:pt idx="86">
                  <c:v>3.5270725691644603E-6</c:v>
                </c:pt>
                <c:pt idx="87">
                  <c:v>3.7048235179250025E-6</c:v>
                </c:pt>
                <c:pt idx="88">
                  <c:v>3.6791252159369253E-6</c:v>
                </c:pt>
                <c:pt idx="89">
                  <c:v>3.7468003554526717E-6</c:v>
                </c:pt>
                <c:pt idx="90">
                  <c:v>8.138424912651074E-6</c:v>
                </c:pt>
                <c:pt idx="91">
                  <c:v>7.3520884061471465E-6</c:v>
                </c:pt>
                <c:pt idx="92">
                  <c:v>8.0720162010765114E-6</c:v>
                </c:pt>
                <c:pt idx="93">
                  <c:v>6.8258107302824471E-6</c:v>
                </c:pt>
                <c:pt idx="94">
                  <c:v>9.7920855276813138E-6</c:v>
                </c:pt>
                <c:pt idx="95">
                  <c:v>9.1071249805294803E-6</c:v>
                </c:pt>
                <c:pt idx="96">
                  <c:v>8.2209902985782642E-6</c:v>
                </c:pt>
                <c:pt idx="97">
                  <c:v>7.4907288419614908E-6</c:v>
                </c:pt>
                <c:pt idx="98">
                  <c:v>1.2013828955046365E-5</c:v>
                </c:pt>
                <c:pt idx="99">
                  <c:v>1.195378793305165E-5</c:v>
                </c:pt>
                <c:pt idx="100">
                  <c:v>8.4135954574379306E-6</c:v>
                </c:pt>
                <c:pt idx="101">
                  <c:v>8.7833548981514776E-6</c:v>
                </c:pt>
                <c:pt idx="102">
                  <c:v>9.1960677242856891E-6</c:v>
                </c:pt>
                <c:pt idx="103">
                  <c:v>9.5940936048449715E-6</c:v>
                </c:pt>
                <c:pt idx="104">
                  <c:v>6.3987980559723302E-6</c:v>
                </c:pt>
                <c:pt idx="105">
                  <c:v>1.095630989484103E-5</c:v>
                </c:pt>
                <c:pt idx="106">
                  <c:v>8.9989856866641049E-6</c:v>
                </c:pt>
                <c:pt idx="107">
                  <c:v>9.1998760475095943E-6</c:v>
                </c:pt>
                <c:pt idx="108">
                  <c:v>2.7758071114136621E-5</c:v>
                </c:pt>
                <c:pt idx="109">
                  <c:v>1.074482975282896E-5</c:v>
                </c:pt>
                <c:pt idx="110">
                  <c:v>6.7315472261560275E-6</c:v>
                </c:pt>
                <c:pt idx="111">
                  <c:v>4.5678573443322596E-4</c:v>
                </c:pt>
                <c:pt idx="112">
                  <c:v>8.3791139056115633E-5</c:v>
                </c:pt>
                <c:pt idx="113">
                  <c:v>2.7109333896290351E-5</c:v>
                </c:pt>
                <c:pt idx="114">
                  <c:v>6.9897000439055827E-5</c:v>
                </c:pt>
                <c:pt idx="115">
                  <c:v>3.9946681676124097E-5</c:v>
                </c:pt>
                <c:pt idx="116">
                  <c:v>4.9703524572756139E-5</c:v>
                </c:pt>
                <c:pt idx="117">
                  <c:v>5.5243665661264417E-5</c:v>
                </c:pt>
                <c:pt idx="118">
                  <c:v>3.3943722670632392E-5</c:v>
                </c:pt>
                <c:pt idx="119">
                  <c:v>3.0923718939992027E-5</c:v>
                </c:pt>
                <c:pt idx="120">
                  <c:v>4.2308795181607813E-6</c:v>
                </c:pt>
                <c:pt idx="121">
                  <c:v>1.3792568887659681E-5</c:v>
                </c:pt>
                <c:pt idx="122">
                  <c:v>1.8303547267175215E-5</c:v>
                </c:pt>
                <c:pt idx="123">
                  <c:v>4.5339557060826562E-6</c:v>
                </c:pt>
                <c:pt idx="124">
                  <c:v>5.215541669591713E-7</c:v>
                </c:pt>
                <c:pt idx="125">
                  <c:v>1.6400501248590851E-5</c:v>
                </c:pt>
                <c:pt idx="126">
                  <c:v>1.4975521771549227E-5</c:v>
                </c:pt>
                <c:pt idx="127">
                  <c:v>7.9415569713816817E-6</c:v>
                </c:pt>
                <c:pt idx="128">
                  <c:v>3.8213573733601534E-2</c:v>
                </c:pt>
                <c:pt idx="129">
                  <c:v>6.9158293163943743E-2</c:v>
                </c:pt>
                <c:pt idx="130">
                  <c:v>2.6107833534067874E-2</c:v>
                </c:pt>
                <c:pt idx="131">
                  <c:v>3.1015748268637545E-2</c:v>
                </c:pt>
                <c:pt idx="132">
                  <c:v>3.1610581692009712E-2</c:v>
                </c:pt>
                <c:pt idx="133">
                  <c:v>1.0190676612895045E-2</c:v>
                </c:pt>
                <c:pt idx="134">
                  <c:v>4.8880670824246486E-6</c:v>
                </c:pt>
                <c:pt idx="135">
                  <c:v>5.1174163118352845E-5</c:v>
                </c:pt>
                <c:pt idx="136">
                  <c:v>2.6272548940888305E-5</c:v>
                </c:pt>
                <c:pt idx="137">
                  <c:v>1.0858220401067304E-5</c:v>
                </c:pt>
                <c:pt idx="138">
                  <c:v>4.9834232824355929E-5</c:v>
                </c:pt>
                <c:pt idx="139">
                  <c:v>7.5445729180176303E-5</c:v>
                </c:pt>
                <c:pt idx="140">
                  <c:v>3.5793109923235893E-5</c:v>
                </c:pt>
                <c:pt idx="141">
                  <c:v>1.8862744828695875E-5</c:v>
                </c:pt>
                <c:pt idx="142">
                  <c:v>7.4499648879569152E-6</c:v>
                </c:pt>
                <c:pt idx="143">
                  <c:v>2.6485679701812027E-5</c:v>
                </c:pt>
                <c:pt idx="144">
                  <c:v>7.2955288386794465E-7</c:v>
                </c:pt>
                <c:pt idx="145">
                  <c:v>1.2116534820004349E-5</c:v>
                </c:pt>
                <c:pt idx="146">
                  <c:v>1.3746309166800778E-5</c:v>
                </c:pt>
                <c:pt idx="147">
                  <c:v>1.2081809365937127E-5</c:v>
                </c:pt>
                <c:pt idx="148">
                  <c:v>2.1813384106379372E-5</c:v>
                </c:pt>
                <c:pt idx="149">
                  <c:v>1.2138669698907725E-5</c:v>
                </c:pt>
                <c:pt idx="150">
                  <c:v>3.0760659789542117E-5</c:v>
                </c:pt>
                <c:pt idx="151">
                  <c:v>3.8317574867140645E-5</c:v>
                </c:pt>
                <c:pt idx="152">
                  <c:v>4.6138806185205471E-5</c:v>
                </c:pt>
                <c:pt idx="153">
                  <c:v>7.0761214872533295E-5</c:v>
                </c:pt>
                <c:pt idx="154">
                  <c:v>6.6996850528684801E-5</c:v>
                </c:pt>
                <c:pt idx="155">
                  <c:v>7.659794065360038E-5</c:v>
                </c:pt>
                <c:pt idx="156">
                  <c:v>8.312414658688205E-5</c:v>
                </c:pt>
                <c:pt idx="157">
                  <c:v>7.8915203209081465E-5</c:v>
                </c:pt>
                <c:pt idx="158">
                  <c:v>3.6165188898595543E-4</c:v>
                </c:pt>
                <c:pt idx="159">
                  <c:v>8.6020482318546545E-5</c:v>
                </c:pt>
                <c:pt idx="160">
                  <c:v>3.9521028299025453E-5</c:v>
                </c:pt>
                <c:pt idx="161">
                  <c:v>3.0220037601404539E-5</c:v>
                </c:pt>
                <c:pt idx="162">
                  <c:v>8.6119450887575357E-5</c:v>
                </c:pt>
                <c:pt idx="163">
                  <c:v>6.9312055405135927E-5</c:v>
                </c:pt>
                <c:pt idx="164">
                  <c:v>4.840562427065517E-5</c:v>
                </c:pt>
                <c:pt idx="165">
                  <c:v>4.8537213391126058E-5</c:v>
                </c:pt>
                <c:pt idx="166">
                  <c:v>6.6470770184453958E-4</c:v>
                </c:pt>
                <c:pt idx="167">
                  <c:v>1.2483295596730528E-2</c:v>
                </c:pt>
                <c:pt idx="168">
                  <c:v>2.5766695445367533E-5</c:v>
                </c:pt>
                <c:pt idx="169">
                  <c:v>1.0153275267357586E-5</c:v>
                </c:pt>
                <c:pt idx="170">
                  <c:v>7.0750309758068127E-6</c:v>
                </c:pt>
                <c:pt idx="171">
                  <c:v>3.1058681938433463E-5</c:v>
                </c:pt>
                <c:pt idx="172">
                  <c:v>1.0348950382755451E-6</c:v>
                </c:pt>
                <c:pt idx="173">
                  <c:v>5.8319259945191423E-6</c:v>
                </c:pt>
                <c:pt idx="174">
                  <c:v>4.6255487060076541E-6</c:v>
                </c:pt>
                <c:pt idx="175">
                  <c:v>4.2029235862099547E-7</c:v>
                </c:pt>
                <c:pt idx="176">
                  <c:v>8.5212359784478201E-6</c:v>
                </c:pt>
                <c:pt idx="177">
                  <c:v>8.1943095035765778E-6</c:v>
                </c:pt>
                <c:pt idx="178">
                  <c:v>1.2730727876891725E-6</c:v>
                </c:pt>
                <c:pt idx="179">
                  <c:v>2.6364980709759571E-7</c:v>
                </c:pt>
                <c:pt idx="180">
                  <c:v>4.4941996120171049E-6</c:v>
                </c:pt>
                <c:pt idx="181">
                  <c:v>1.122018395307514E-5</c:v>
                </c:pt>
                <c:pt idx="182">
                  <c:v>1.0658639251118746E-5</c:v>
                </c:pt>
                <c:pt idx="183">
                  <c:v>3.8395809335828711E-6</c:v>
                </c:pt>
                <c:pt idx="184">
                  <c:v>3.1527231184278059E-5</c:v>
                </c:pt>
                <c:pt idx="185">
                  <c:v>6.8259818941733336E-6</c:v>
                </c:pt>
                <c:pt idx="186">
                  <c:v>6.148455714855016E-6</c:v>
                </c:pt>
                <c:pt idx="187">
                  <c:v>1.8944786735918546E-5</c:v>
                </c:pt>
                <c:pt idx="188">
                  <c:v>2.5351371146056758E-6</c:v>
                </c:pt>
                <c:pt idx="189">
                  <c:v>1.1498052189087017E-5</c:v>
                </c:pt>
                <c:pt idx="190">
                  <c:v>8.9369239347193187E-7</c:v>
                </c:pt>
                <c:pt idx="191">
                  <c:v>4.310024956456131E-7</c:v>
                </c:pt>
                <c:pt idx="192">
                  <c:v>2.5901710282338423E-7</c:v>
                </c:pt>
                <c:pt idx="193">
                  <c:v>1.7600522006933182E-6</c:v>
                </c:pt>
                <c:pt idx="194">
                  <c:v>4.8490264889270369E-6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3F-4729-B474-298F34384C2D}"/>
            </c:ext>
          </c:extLst>
        </c:ser>
        <c:ser>
          <c:idx val="9"/>
          <c:order val="9"/>
          <c:tx>
            <c:strRef>
              <c:f>强势组合!$K$1</c:f>
              <c:strCache>
                <c:ptCount val="1"/>
                <c:pt idx="0">
                  <c:v>全指电信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强势组合!$K$2:$K$196</c:f>
              <c:numCache>
                <c:formatCode>0.00%</c:formatCode>
                <c:ptCount val="195"/>
                <c:pt idx="0">
                  <c:v>2.136835246451001E-2</c:v>
                </c:pt>
                <c:pt idx="1">
                  <c:v>8.4693785804372578E-5</c:v>
                </c:pt>
                <c:pt idx="2">
                  <c:v>5.4617392095728488E-3</c:v>
                </c:pt>
                <c:pt idx="3">
                  <c:v>2.5926483782764301E-2</c:v>
                </c:pt>
                <c:pt idx="4">
                  <c:v>2.7888847515346038E-2</c:v>
                </c:pt>
                <c:pt idx="5">
                  <c:v>2.1038172739602106E-2</c:v>
                </c:pt>
                <c:pt idx="6">
                  <c:v>8.3765452158982031E-5</c:v>
                </c:pt>
                <c:pt idx="7">
                  <c:v>3.1573748540555144E-4</c:v>
                </c:pt>
                <c:pt idx="8">
                  <c:v>2.9025698321198921E-2</c:v>
                </c:pt>
                <c:pt idx="9">
                  <c:v>4.4723946768344243E-2</c:v>
                </c:pt>
                <c:pt idx="10">
                  <c:v>7.8966152482140645E-2</c:v>
                </c:pt>
                <c:pt idx="11">
                  <c:v>0.10985162673342311</c:v>
                </c:pt>
                <c:pt idx="12">
                  <c:v>9.2246677311242239E-2</c:v>
                </c:pt>
                <c:pt idx="13">
                  <c:v>8.3246235227165927E-2</c:v>
                </c:pt>
                <c:pt idx="14">
                  <c:v>8.0378493596948611E-2</c:v>
                </c:pt>
                <c:pt idx="15">
                  <c:v>9.8846717244356827E-2</c:v>
                </c:pt>
                <c:pt idx="16">
                  <c:v>9.7359370331094069E-2</c:v>
                </c:pt>
                <c:pt idx="17">
                  <c:v>0.10060842226948823</c:v>
                </c:pt>
                <c:pt idx="18">
                  <c:v>9.7497863511239014E-2</c:v>
                </c:pt>
                <c:pt idx="19">
                  <c:v>0.10264716887044531</c:v>
                </c:pt>
                <c:pt idx="20">
                  <c:v>0.10113799162348984</c:v>
                </c:pt>
                <c:pt idx="21">
                  <c:v>5.4145291533249512E-2</c:v>
                </c:pt>
                <c:pt idx="22">
                  <c:v>5.5105210711523994E-2</c:v>
                </c:pt>
                <c:pt idx="23">
                  <c:v>5.3999052926176024E-2</c:v>
                </c:pt>
                <c:pt idx="24">
                  <c:v>5.3815675794080753E-2</c:v>
                </c:pt>
                <c:pt idx="25">
                  <c:v>3.8443428337539574E-2</c:v>
                </c:pt>
                <c:pt idx="26">
                  <c:v>4.0825442571887707E-2</c:v>
                </c:pt>
                <c:pt idx="27">
                  <c:v>2.3152196746686688E-2</c:v>
                </c:pt>
                <c:pt idx="28">
                  <c:v>4.9118583022418116E-2</c:v>
                </c:pt>
                <c:pt idx="29">
                  <c:v>4.0141063876778148E-2</c:v>
                </c:pt>
                <c:pt idx="30">
                  <c:v>1.1060335783534218E-2</c:v>
                </c:pt>
                <c:pt idx="31">
                  <c:v>3.7239302127747669E-2</c:v>
                </c:pt>
                <c:pt idx="32">
                  <c:v>4.6411152786370556E-2</c:v>
                </c:pt>
                <c:pt idx="33">
                  <c:v>0.12854950743268467</c:v>
                </c:pt>
                <c:pt idx="34">
                  <c:v>0.12330701727666608</c:v>
                </c:pt>
                <c:pt idx="35">
                  <c:v>0.12261337857054429</c:v>
                </c:pt>
                <c:pt idx="36">
                  <c:v>0.10940148952876255</c:v>
                </c:pt>
                <c:pt idx="37">
                  <c:v>0.10308807720901661</c:v>
                </c:pt>
                <c:pt idx="38">
                  <c:v>0.10037312391544728</c:v>
                </c:pt>
                <c:pt idx="39">
                  <c:v>0.16806003161469482</c:v>
                </c:pt>
                <c:pt idx="40">
                  <c:v>0.23925617781719019</c:v>
                </c:pt>
                <c:pt idx="41">
                  <c:v>0.28512453104065055</c:v>
                </c:pt>
                <c:pt idx="42">
                  <c:v>0.26997371519279018</c:v>
                </c:pt>
                <c:pt idx="43">
                  <c:v>0.26886775273001473</c:v>
                </c:pt>
                <c:pt idx="44">
                  <c:v>0.28055568118330437</c:v>
                </c:pt>
                <c:pt idx="45">
                  <c:v>0.28714964734612747</c:v>
                </c:pt>
                <c:pt idx="46">
                  <c:v>0.30890507619292168</c:v>
                </c:pt>
                <c:pt idx="47">
                  <c:v>0.29870471792916797</c:v>
                </c:pt>
                <c:pt idx="48">
                  <c:v>0.25443552689685622</c:v>
                </c:pt>
                <c:pt idx="49">
                  <c:v>0.24227768031479488</c:v>
                </c:pt>
                <c:pt idx="50">
                  <c:v>0.24628402402106991</c:v>
                </c:pt>
                <c:pt idx="51">
                  <c:v>0.24920096469537492</c:v>
                </c:pt>
                <c:pt idx="52">
                  <c:v>0.23182721275015461</c:v>
                </c:pt>
                <c:pt idx="53">
                  <c:v>0.22567704464822658</c:v>
                </c:pt>
                <c:pt idx="54">
                  <c:v>0.20936024693696662</c:v>
                </c:pt>
                <c:pt idx="55">
                  <c:v>0.20745079229434116</c:v>
                </c:pt>
                <c:pt idx="56">
                  <c:v>0.20957912971233791</c:v>
                </c:pt>
                <c:pt idx="57">
                  <c:v>0.21076060992029139</c:v>
                </c:pt>
                <c:pt idx="58">
                  <c:v>0.21819460263581994</c:v>
                </c:pt>
                <c:pt idx="59">
                  <c:v>0.22151767217928278</c:v>
                </c:pt>
                <c:pt idx="60">
                  <c:v>0.21151888946849229</c:v>
                </c:pt>
                <c:pt idx="61">
                  <c:v>0.24042226933127075</c:v>
                </c:pt>
                <c:pt idx="62">
                  <c:v>0.23966635248328605</c:v>
                </c:pt>
                <c:pt idx="63">
                  <c:v>0.24600384893020763</c:v>
                </c:pt>
                <c:pt idx="64">
                  <c:v>0.22534355577875989</c:v>
                </c:pt>
                <c:pt idx="65">
                  <c:v>0.27510515827366033</c:v>
                </c:pt>
                <c:pt idx="66">
                  <c:v>0.21509623471734499</c:v>
                </c:pt>
                <c:pt idx="67">
                  <c:v>0.20048096659728215</c:v>
                </c:pt>
                <c:pt idx="68">
                  <c:v>0.21701929702820996</c:v>
                </c:pt>
                <c:pt idx="69">
                  <c:v>0.19226396742968477</c:v>
                </c:pt>
                <c:pt idx="70">
                  <c:v>0.19665152997164265</c:v>
                </c:pt>
                <c:pt idx="71">
                  <c:v>0.19584954308398142</c:v>
                </c:pt>
                <c:pt idx="72">
                  <c:v>0.21004581173603318</c:v>
                </c:pt>
                <c:pt idx="73">
                  <c:v>0.18981231524692124</c:v>
                </c:pt>
                <c:pt idx="74">
                  <c:v>0.1350651551776349</c:v>
                </c:pt>
                <c:pt idx="75">
                  <c:v>0.14110884627650669</c:v>
                </c:pt>
                <c:pt idx="76">
                  <c:v>0.14341380163335252</c:v>
                </c:pt>
                <c:pt idx="77">
                  <c:v>0.14333132382013344</c:v>
                </c:pt>
                <c:pt idx="78">
                  <c:v>0.12718849166813298</c:v>
                </c:pt>
                <c:pt idx="79">
                  <c:v>0.12470823347333758</c:v>
                </c:pt>
                <c:pt idx="80">
                  <c:v>9.9053282272254545E-2</c:v>
                </c:pt>
                <c:pt idx="81">
                  <c:v>2.3518986235970187E-5</c:v>
                </c:pt>
                <c:pt idx="82">
                  <c:v>1.2422603857339726E-5</c:v>
                </c:pt>
                <c:pt idx="83">
                  <c:v>1.3325309998002141E-5</c:v>
                </c:pt>
                <c:pt idx="84">
                  <c:v>7.7512608759256413E-6</c:v>
                </c:pt>
                <c:pt idx="85">
                  <c:v>9.8260186986692639E-7</c:v>
                </c:pt>
                <c:pt idx="86">
                  <c:v>1.5229579000959483E-5</c:v>
                </c:pt>
                <c:pt idx="87">
                  <c:v>2.5388505003997714E-5</c:v>
                </c:pt>
                <c:pt idx="88">
                  <c:v>2.3810391513578499E-5</c:v>
                </c:pt>
                <c:pt idx="89">
                  <c:v>2.141970835333423E-5</c:v>
                </c:pt>
                <c:pt idx="90">
                  <c:v>2.7009683536076595E-5</c:v>
                </c:pt>
                <c:pt idx="91">
                  <c:v>2.561384169067464E-5</c:v>
                </c:pt>
                <c:pt idx="92">
                  <c:v>2.6568011911869712E-5</c:v>
                </c:pt>
                <c:pt idx="93">
                  <c:v>2.024221476591132E-5</c:v>
                </c:pt>
                <c:pt idx="94">
                  <c:v>3.9378639547891535E-5</c:v>
                </c:pt>
                <c:pt idx="95">
                  <c:v>5.1578785977626583E-5</c:v>
                </c:pt>
                <c:pt idx="96">
                  <c:v>5.9711632443288107E-5</c:v>
                </c:pt>
                <c:pt idx="97">
                  <c:v>4.8011241912995127E-5</c:v>
                </c:pt>
                <c:pt idx="98">
                  <c:v>3.5046331714120747E-5</c:v>
                </c:pt>
                <c:pt idx="99">
                  <c:v>4.0743918911307709E-5</c:v>
                </c:pt>
                <c:pt idx="100">
                  <c:v>3.9661277401534352E-5</c:v>
                </c:pt>
                <c:pt idx="101">
                  <c:v>3.0774189065039903E-5</c:v>
                </c:pt>
                <c:pt idx="102">
                  <c:v>2.6961002204644522E-5</c:v>
                </c:pt>
                <c:pt idx="103">
                  <c:v>2.9522968933726777E-5</c:v>
                </c:pt>
                <c:pt idx="104">
                  <c:v>1.9974834978283881E-5</c:v>
                </c:pt>
                <c:pt idx="105">
                  <c:v>3.7656991269935425E-5</c:v>
                </c:pt>
                <c:pt idx="106">
                  <c:v>4.6206945564960177E-5</c:v>
                </c:pt>
                <c:pt idx="107">
                  <c:v>3.6325638412439519E-5</c:v>
                </c:pt>
                <c:pt idx="108">
                  <c:v>2.519430327167909E-2</c:v>
                </c:pt>
                <c:pt idx="109">
                  <c:v>3.0887220813670239E-2</c:v>
                </c:pt>
                <c:pt idx="110">
                  <c:v>2.9773834493315127E-2</c:v>
                </c:pt>
                <c:pt idx="111">
                  <c:v>1.4171150914577187E-2</c:v>
                </c:pt>
                <c:pt idx="112">
                  <c:v>1.7983293142766109E-2</c:v>
                </c:pt>
                <c:pt idx="113">
                  <c:v>2.7121284759027905E-2</c:v>
                </c:pt>
                <c:pt idx="114">
                  <c:v>3.8588200993380756E-2</c:v>
                </c:pt>
                <c:pt idx="115">
                  <c:v>3.447150032529054E-2</c:v>
                </c:pt>
                <c:pt idx="116">
                  <c:v>2.8694029386717036E-2</c:v>
                </c:pt>
                <c:pt idx="117">
                  <c:v>1.8872634193175062E-2</c:v>
                </c:pt>
                <c:pt idx="118">
                  <c:v>1.8721056557518771E-2</c:v>
                </c:pt>
                <c:pt idx="119">
                  <c:v>1.7804468327300014E-2</c:v>
                </c:pt>
                <c:pt idx="120">
                  <c:v>1.777498645922667E-2</c:v>
                </c:pt>
                <c:pt idx="121">
                  <c:v>1.708934194196458E-2</c:v>
                </c:pt>
                <c:pt idx="122">
                  <c:v>1.0663466425644532E-2</c:v>
                </c:pt>
                <c:pt idx="123">
                  <c:v>1.4505348118812125E-3</c:v>
                </c:pt>
                <c:pt idx="124">
                  <c:v>9.1386466097188035E-3</c:v>
                </c:pt>
                <c:pt idx="125">
                  <c:v>1.0775701268756056E-2</c:v>
                </c:pt>
                <c:pt idx="126">
                  <c:v>8.4807375413577836E-3</c:v>
                </c:pt>
                <c:pt idx="127">
                  <c:v>1.7225911175398145E-5</c:v>
                </c:pt>
                <c:pt idx="128">
                  <c:v>2.8268134837821736E-5</c:v>
                </c:pt>
                <c:pt idx="129">
                  <c:v>3.4761785419223035E-5</c:v>
                </c:pt>
                <c:pt idx="130">
                  <c:v>2.2214798359466506E-5</c:v>
                </c:pt>
                <c:pt idx="131">
                  <c:v>8.4358644795119886E-6</c:v>
                </c:pt>
                <c:pt idx="132">
                  <c:v>7.9373348386688568E-6</c:v>
                </c:pt>
                <c:pt idx="133">
                  <c:v>4.3946586063517089E-5</c:v>
                </c:pt>
                <c:pt idx="134">
                  <c:v>2.1005552729375974E-5</c:v>
                </c:pt>
                <c:pt idx="135">
                  <c:v>1.2657976772586916E-2</c:v>
                </c:pt>
                <c:pt idx="136">
                  <c:v>4.9516298440419083E-3</c:v>
                </c:pt>
                <c:pt idx="137">
                  <c:v>1.4995428362565408E-3</c:v>
                </c:pt>
                <c:pt idx="138">
                  <c:v>4.6527647888355985E-5</c:v>
                </c:pt>
                <c:pt idx="139">
                  <c:v>9.9482099801059859E-6</c:v>
                </c:pt>
                <c:pt idx="140">
                  <c:v>2.2239709703928307E-5</c:v>
                </c:pt>
                <c:pt idx="141">
                  <c:v>4.9553377329612592E-3</c:v>
                </c:pt>
                <c:pt idx="142">
                  <c:v>8.9417358399052787E-5</c:v>
                </c:pt>
                <c:pt idx="143">
                  <c:v>8.5249762533922923E-5</c:v>
                </c:pt>
                <c:pt idx="144">
                  <c:v>1.7090056552469324E-4</c:v>
                </c:pt>
                <c:pt idx="145">
                  <c:v>9.0255227185793204E-5</c:v>
                </c:pt>
                <c:pt idx="146">
                  <c:v>8.6208211427423677E-5</c:v>
                </c:pt>
                <c:pt idx="147">
                  <c:v>7.0451592158129479E-3</c:v>
                </c:pt>
                <c:pt idx="148">
                  <c:v>3.05892510033021E-2</c:v>
                </c:pt>
                <c:pt idx="149">
                  <c:v>6.562406605018274E-3</c:v>
                </c:pt>
                <c:pt idx="150">
                  <c:v>1.915897081201735E-2</c:v>
                </c:pt>
                <c:pt idx="151">
                  <c:v>2.0575531818737901E-2</c:v>
                </c:pt>
                <c:pt idx="152">
                  <c:v>3.8423034292441385E-2</c:v>
                </c:pt>
                <c:pt idx="153">
                  <c:v>5.7620409027642025E-2</c:v>
                </c:pt>
                <c:pt idx="154">
                  <c:v>6.0456733264152941E-2</c:v>
                </c:pt>
                <c:pt idx="155">
                  <c:v>5.1337672956303662E-2</c:v>
                </c:pt>
                <c:pt idx="156">
                  <c:v>4.354790085606778E-2</c:v>
                </c:pt>
                <c:pt idx="157">
                  <c:v>4.3431692491505434E-2</c:v>
                </c:pt>
                <c:pt idx="158">
                  <c:v>7.9545604093727088E-2</c:v>
                </c:pt>
                <c:pt idx="159">
                  <c:v>7.6073246872104386E-2</c:v>
                </c:pt>
                <c:pt idx="160">
                  <c:v>5.6341636218722756E-2</c:v>
                </c:pt>
                <c:pt idx="161">
                  <c:v>5.2265240903306899E-2</c:v>
                </c:pt>
                <c:pt idx="162">
                  <c:v>5.5189259462467312E-2</c:v>
                </c:pt>
                <c:pt idx="163">
                  <c:v>5.4375963804146235E-2</c:v>
                </c:pt>
                <c:pt idx="164">
                  <c:v>4.9704097679552181E-2</c:v>
                </c:pt>
                <c:pt idx="165">
                  <c:v>5.0469693854302201E-2</c:v>
                </c:pt>
                <c:pt idx="166">
                  <c:v>5.8812037394383197E-2</c:v>
                </c:pt>
                <c:pt idx="167">
                  <c:v>8.6793627423336808E-2</c:v>
                </c:pt>
                <c:pt idx="168">
                  <c:v>9.0693194991098708E-2</c:v>
                </c:pt>
                <c:pt idx="169">
                  <c:v>7.2187502828748237E-2</c:v>
                </c:pt>
                <c:pt idx="170">
                  <c:v>3.1041882156962013E-2</c:v>
                </c:pt>
                <c:pt idx="171">
                  <c:v>3.017421524561998E-2</c:v>
                </c:pt>
                <c:pt idx="172">
                  <c:v>4.0603120013960083E-2</c:v>
                </c:pt>
                <c:pt idx="173">
                  <c:v>4.0873997119385191E-2</c:v>
                </c:pt>
                <c:pt idx="174">
                  <c:v>4.7543960793165259E-2</c:v>
                </c:pt>
                <c:pt idx="175">
                  <c:v>4.8889177647635416E-2</c:v>
                </c:pt>
                <c:pt idx="176">
                  <c:v>5.2636488333008206E-2</c:v>
                </c:pt>
                <c:pt idx="177">
                  <c:v>5.8521936025642998E-2</c:v>
                </c:pt>
                <c:pt idx="178">
                  <c:v>7.5719440681564387E-2</c:v>
                </c:pt>
                <c:pt idx="179">
                  <c:v>7.5361692957967796E-2</c:v>
                </c:pt>
                <c:pt idx="180">
                  <c:v>7.4179664936476139E-2</c:v>
                </c:pt>
                <c:pt idx="181">
                  <c:v>7.1700770888473681E-2</c:v>
                </c:pt>
                <c:pt idx="182">
                  <c:v>7.4721118873684808E-2</c:v>
                </c:pt>
                <c:pt idx="183">
                  <c:v>7.4514604886986774E-2</c:v>
                </c:pt>
                <c:pt idx="184">
                  <c:v>7.4460000342377361E-2</c:v>
                </c:pt>
                <c:pt idx="185">
                  <c:v>7.2134925630452748E-2</c:v>
                </c:pt>
                <c:pt idx="186">
                  <c:v>7.6719298979924286E-2</c:v>
                </c:pt>
                <c:pt idx="187">
                  <c:v>7.1492134818880726E-2</c:v>
                </c:pt>
                <c:pt idx="188">
                  <c:v>6.4764003369980075E-2</c:v>
                </c:pt>
                <c:pt idx="189">
                  <c:v>4.4592637853103412E-2</c:v>
                </c:pt>
                <c:pt idx="190">
                  <c:v>3.2664325830638961E-2</c:v>
                </c:pt>
                <c:pt idx="191">
                  <c:v>3.3005636528928579E-2</c:v>
                </c:pt>
                <c:pt idx="192">
                  <c:v>2.9196354973616823E-2</c:v>
                </c:pt>
                <c:pt idx="193">
                  <c:v>1.3040166920267104E-2</c:v>
                </c:pt>
                <c:pt idx="194">
                  <c:v>1.7774896804091854E-2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3F-4729-B474-298F34384C2D}"/>
            </c:ext>
          </c:extLst>
        </c:ser>
        <c:ser>
          <c:idx val="10"/>
          <c:order val="10"/>
          <c:tx>
            <c:strRef>
              <c:f>强势组合!$L$1</c:f>
              <c:strCache>
                <c:ptCount val="1"/>
                <c:pt idx="0">
                  <c:v>现金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强势组合!$A$2:$A$196</c:f>
              <c:numCache>
                <c:formatCode>m/d/yyyy</c:formatCode>
                <c:ptCount val="195"/>
                <c:pt idx="0">
                  <c:v>41785.5</c:v>
                </c:pt>
                <c:pt idx="1">
                  <c:v>41792.5</c:v>
                </c:pt>
                <c:pt idx="2">
                  <c:v>41799.5</c:v>
                </c:pt>
                <c:pt idx="3">
                  <c:v>41806</c:v>
                </c:pt>
                <c:pt idx="4">
                  <c:v>41813.5</c:v>
                </c:pt>
                <c:pt idx="5">
                  <c:v>41820.5</c:v>
                </c:pt>
                <c:pt idx="6">
                  <c:v>41827.5</c:v>
                </c:pt>
                <c:pt idx="7">
                  <c:v>41834.5</c:v>
                </c:pt>
                <c:pt idx="8">
                  <c:v>41841.5</c:v>
                </c:pt>
                <c:pt idx="9">
                  <c:v>41848.5</c:v>
                </c:pt>
                <c:pt idx="10">
                  <c:v>41855.5</c:v>
                </c:pt>
                <c:pt idx="11">
                  <c:v>41862.5</c:v>
                </c:pt>
                <c:pt idx="12">
                  <c:v>41868.5</c:v>
                </c:pt>
                <c:pt idx="13">
                  <c:v>41876.5</c:v>
                </c:pt>
                <c:pt idx="14">
                  <c:v>41883.5</c:v>
                </c:pt>
                <c:pt idx="15">
                  <c:v>41890.5</c:v>
                </c:pt>
                <c:pt idx="16">
                  <c:v>41896.5</c:v>
                </c:pt>
                <c:pt idx="17">
                  <c:v>41904.5</c:v>
                </c:pt>
                <c:pt idx="18">
                  <c:v>41911.5</c:v>
                </c:pt>
                <c:pt idx="19">
                  <c:v>41917</c:v>
                </c:pt>
                <c:pt idx="20">
                  <c:v>41925.5</c:v>
                </c:pt>
                <c:pt idx="21">
                  <c:v>41932.5</c:v>
                </c:pt>
                <c:pt idx="22">
                  <c:v>41939.5</c:v>
                </c:pt>
                <c:pt idx="23">
                  <c:v>41946.5</c:v>
                </c:pt>
                <c:pt idx="24">
                  <c:v>41953.5</c:v>
                </c:pt>
                <c:pt idx="25">
                  <c:v>41960.5</c:v>
                </c:pt>
                <c:pt idx="26">
                  <c:v>41967.5</c:v>
                </c:pt>
                <c:pt idx="27">
                  <c:v>41974.5</c:v>
                </c:pt>
                <c:pt idx="28">
                  <c:v>41981.5</c:v>
                </c:pt>
                <c:pt idx="29">
                  <c:v>41988</c:v>
                </c:pt>
                <c:pt idx="30">
                  <c:v>41995.5</c:v>
                </c:pt>
                <c:pt idx="31">
                  <c:v>42002.5</c:v>
                </c:pt>
                <c:pt idx="32">
                  <c:v>42009.5</c:v>
                </c:pt>
                <c:pt idx="33">
                  <c:v>42016.5</c:v>
                </c:pt>
                <c:pt idx="34">
                  <c:v>42023.5</c:v>
                </c:pt>
                <c:pt idx="35">
                  <c:v>42030.5</c:v>
                </c:pt>
                <c:pt idx="36">
                  <c:v>42037.5</c:v>
                </c:pt>
                <c:pt idx="37">
                  <c:v>42044.5</c:v>
                </c:pt>
                <c:pt idx="38">
                  <c:v>42050</c:v>
                </c:pt>
                <c:pt idx="39">
                  <c:v>42058.5</c:v>
                </c:pt>
                <c:pt idx="40">
                  <c:v>42065.5</c:v>
                </c:pt>
                <c:pt idx="41">
                  <c:v>42072.5</c:v>
                </c:pt>
                <c:pt idx="42">
                  <c:v>42079.5</c:v>
                </c:pt>
                <c:pt idx="43">
                  <c:v>42086.5</c:v>
                </c:pt>
                <c:pt idx="44">
                  <c:v>42093.5</c:v>
                </c:pt>
                <c:pt idx="45">
                  <c:v>42100.5</c:v>
                </c:pt>
                <c:pt idx="46">
                  <c:v>42107.5</c:v>
                </c:pt>
                <c:pt idx="47">
                  <c:v>42113.5</c:v>
                </c:pt>
                <c:pt idx="48">
                  <c:v>42121.5</c:v>
                </c:pt>
                <c:pt idx="49">
                  <c:v>42128.5</c:v>
                </c:pt>
                <c:pt idx="50">
                  <c:v>42135.5</c:v>
                </c:pt>
                <c:pt idx="51">
                  <c:v>42140.5</c:v>
                </c:pt>
                <c:pt idx="52">
                  <c:v>42149.5</c:v>
                </c:pt>
                <c:pt idx="53">
                  <c:v>42156.5</c:v>
                </c:pt>
                <c:pt idx="54">
                  <c:v>42163.5</c:v>
                </c:pt>
                <c:pt idx="55">
                  <c:v>42170.5</c:v>
                </c:pt>
                <c:pt idx="56">
                  <c:v>42177.5</c:v>
                </c:pt>
                <c:pt idx="57">
                  <c:v>42184.5</c:v>
                </c:pt>
                <c:pt idx="58">
                  <c:v>42190</c:v>
                </c:pt>
                <c:pt idx="59">
                  <c:v>42198.5</c:v>
                </c:pt>
                <c:pt idx="60">
                  <c:v>42205.5</c:v>
                </c:pt>
                <c:pt idx="61">
                  <c:v>42212.5</c:v>
                </c:pt>
                <c:pt idx="62">
                  <c:v>42219.5</c:v>
                </c:pt>
                <c:pt idx="63">
                  <c:v>42226.5</c:v>
                </c:pt>
                <c:pt idx="64">
                  <c:v>42233</c:v>
                </c:pt>
                <c:pt idx="65">
                  <c:v>42240.5</c:v>
                </c:pt>
                <c:pt idx="66">
                  <c:v>42247.5</c:v>
                </c:pt>
                <c:pt idx="67">
                  <c:v>42254.5</c:v>
                </c:pt>
                <c:pt idx="68">
                  <c:v>42260.5</c:v>
                </c:pt>
                <c:pt idx="69">
                  <c:v>42268.5</c:v>
                </c:pt>
                <c:pt idx="70">
                  <c:v>42279</c:v>
                </c:pt>
                <c:pt idx="71">
                  <c:v>42286</c:v>
                </c:pt>
                <c:pt idx="72">
                  <c:v>42293</c:v>
                </c:pt>
                <c:pt idx="73">
                  <c:v>42300</c:v>
                </c:pt>
                <c:pt idx="74">
                  <c:v>42307</c:v>
                </c:pt>
                <c:pt idx="75">
                  <c:v>42314</c:v>
                </c:pt>
                <c:pt idx="76">
                  <c:v>42321</c:v>
                </c:pt>
                <c:pt idx="77">
                  <c:v>42328</c:v>
                </c:pt>
                <c:pt idx="78">
                  <c:v>42335</c:v>
                </c:pt>
                <c:pt idx="79">
                  <c:v>42342</c:v>
                </c:pt>
                <c:pt idx="80">
                  <c:v>42349</c:v>
                </c:pt>
                <c:pt idx="81">
                  <c:v>42356</c:v>
                </c:pt>
                <c:pt idx="82">
                  <c:v>42363</c:v>
                </c:pt>
                <c:pt idx="83">
                  <c:v>42370</c:v>
                </c:pt>
                <c:pt idx="84">
                  <c:v>42377</c:v>
                </c:pt>
                <c:pt idx="85">
                  <c:v>42384</c:v>
                </c:pt>
                <c:pt idx="86">
                  <c:v>42389</c:v>
                </c:pt>
                <c:pt idx="87">
                  <c:v>42398</c:v>
                </c:pt>
                <c:pt idx="88">
                  <c:v>42405</c:v>
                </c:pt>
                <c:pt idx="89">
                  <c:v>42412</c:v>
                </c:pt>
                <c:pt idx="90">
                  <c:v>42418</c:v>
                </c:pt>
                <c:pt idx="91">
                  <c:v>42426</c:v>
                </c:pt>
                <c:pt idx="92">
                  <c:v>42433</c:v>
                </c:pt>
                <c:pt idx="93">
                  <c:v>42440</c:v>
                </c:pt>
                <c:pt idx="94">
                  <c:v>42447</c:v>
                </c:pt>
                <c:pt idx="95">
                  <c:v>42454</c:v>
                </c:pt>
                <c:pt idx="96">
                  <c:v>42461</c:v>
                </c:pt>
                <c:pt idx="97">
                  <c:v>42468</c:v>
                </c:pt>
                <c:pt idx="98">
                  <c:v>42475</c:v>
                </c:pt>
                <c:pt idx="99">
                  <c:v>42482</c:v>
                </c:pt>
                <c:pt idx="100">
                  <c:v>42488</c:v>
                </c:pt>
                <c:pt idx="101">
                  <c:v>42496</c:v>
                </c:pt>
                <c:pt idx="102">
                  <c:v>42503</c:v>
                </c:pt>
                <c:pt idx="103">
                  <c:v>42513</c:v>
                </c:pt>
                <c:pt idx="104">
                  <c:v>42520.5</c:v>
                </c:pt>
                <c:pt idx="105">
                  <c:v>42527.5</c:v>
                </c:pt>
                <c:pt idx="106">
                  <c:v>42534.5</c:v>
                </c:pt>
                <c:pt idx="107">
                  <c:v>42541</c:v>
                </c:pt>
                <c:pt idx="108">
                  <c:v>42548.5</c:v>
                </c:pt>
                <c:pt idx="109">
                  <c:v>42559</c:v>
                </c:pt>
                <c:pt idx="110">
                  <c:v>42566</c:v>
                </c:pt>
                <c:pt idx="111">
                  <c:v>42573</c:v>
                </c:pt>
                <c:pt idx="112">
                  <c:v>42580</c:v>
                </c:pt>
                <c:pt idx="113">
                  <c:v>42587</c:v>
                </c:pt>
                <c:pt idx="114">
                  <c:v>42594</c:v>
                </c:pt>
                <c:pt idx="115">
                  <c:v>42601</c:v>
                </c:pt>
                <c:pt idx="116">
                  <c:v>42608</c:v>
                </c:pt>
                <c:pt idx="117">
                  <c:v>42615</c:v>
                </c:pt>
                <c:pt idx="118">
                  <c:v>42621.5</c:v>
                </c:pt>
                <c:pt idx="119">
                  <c:v>42629</c:v>
                </c:pt>
                <c:pt idx="120">
                  <c:v>42636</c:v>
                </c:pt>
                <c:pt idx="121">
                  <c:v>42643</c:v>
                </c:pt>
                <c:pt idx="122">
                  <c:v>42650</c:v>
                </c:pt>
                <c:pt idx="123">
                  <c:v>42657</c:v>
                </c:pt>
                <c:pt idx="124">
                  <c:v>42664</c:v>
                </c:pt>
                <c:pt idx="125">
                  <c:v>42670</c:v>
                </c:pt>
                <c:pt idx="126">
                  <c:v>42678</c:v>
                </c:pt>
                <c:pt idx="127">
                  <c:v>42685</c:v>
                </c:pt>
                <c:pt idx="128">
                  <c:v>42692</c:v>
                </c:pt>
                <c:pt idx="129">
                  <c:v>42699</c:v>
                </c:pt>
                <c:pt idx="130">
                  <c:v>42706</c:v>
                </c:pt>
                <c:pt idx="131">
                  <c:v>42713</c:v>
                </c:pt>
                <c:pt idx="132">
                  <c:v>42720</c:v>
                </c:pt>
                <c:pt idx="133">
                  <c:v>42727</c:v>
                </c:pt>
                <c:pt idx="134">
                  <c:v>42734</c:v>
                </c:pt>
                <c:pt idx="135">
                  <c:v>42741</c:v>
                </c:pt>
                <c:pt idx="136">
                  <c:v>42748</c:v>
                </c:pt>
                <c:pt idx="137">
                  <c:v>42755</c:v>
                </c:pt>
                <c:pt idx="138">
                  <c:v>42762</c:v>
                </c:pt>
                <c:pt idx="139">
                  <c:v>42768</c:v>
                </c:pt>
                <c:pt idx="140">
                  <c:v>42776</c:v>
                </c:pt>
                <c:pt idx="141">
                  <c:v>42783</c:v>
                </c:pt>
                <c:pt idx="142">
                  <c:v>42793.5</c:v>
                </c:pt>
                <c:pt idx="143">
                  <c:v>42800.5</c:v>
                </c:pt>
                <c:pt idx="144">
                  <c:v>42807.5</c:v>
                </c:pt>
                <c:pt idx="145">
                  <c:v>42814.5</c:v>
                </c:pt>
                <c:pt idx="146">
                  <c:v>42821.5</c:v>
                </c:pt>
                <c:pt idx="147">
                  <c:v>42828.5</c:v>
                </c:pt>
                <c:pt idx="148">
                  <c:v>42835.5</c:v>
                </c:pt>
                <c:pt idx="149">
                  <c:v>42842.5</c:v>
                </c:pt>
                <c:pt idx="150">
                  <c:v>42849.5</c:v>
                </c:pt>
                <c:pt idx="151">
                  <c:v>42856.5</c:v>
                </c:pt>
                <c:pt idx="152">
                  <c:v>42863.5</c:v>
                </c:pt>
                <c:pt idx="153">
                  <c:v>42870.5</c:v>
                </c:pt>
                <c:pt idx="154">
                  <c:v>42881</c:v>
                </c:pt>
                <c:pt idx="155">
                  <c:v>42888</c:v>
                </c:pt>
                <c:pt idx="156">
                  <c:v>42895</c:v>
                </c:pt>
                <c:pt idx="157">
                  <c:v>42901.5</c:v>
                </c:pt>
                <c:pt idx="158">
                  <c:v>42909</c:v>
                </c:pt>
                <c:pt idx="159">
                  <c:v>42916</c:v>
                </c:pt>
                <c:pt idx="160">
                  <c:v>42923</c:v>
                </c:pt>
                <c:pt idx="161">
                  <c:v>42930</c:v>
                </c:pt>
                <c:pt idx="162">
                  <c:v>42937</c:v>
                </c:pt>
                <c:pt idx="163">
                  <c:v>42944</c:v>
                </c:pt>
                <c:pt idx="164">
                  <c:v>42951</c:v>
                </c:pt>
                <c:pt idx="165">
                  <c:v>42958</c:v>
                </c:pt>
                <c:pt idx="166">
                  <c:v>42965</c:v>
                </c:pt>
                <c:pt idx="167">
                  <c:v>42972</c:v>
                </c:pt>
                <c:pt idx="168">
                  <c:v>42979</c:v>
                </c:pt>
                <c:pt idx="169">
                  <c:v>42986</c:v>
                </c:pt>
                <c:pt idx="170">
                  <c:v>42993</c:v>
                </c:pt>
                <c:pt idx="171">
                  <c:v>43000</c:v>
                </c:pt>
                <c:pt idx="172">
                  <c:v>43006</c:v>
                </c:pt>
                <c:pt idx="173">
                  <c:v>43014</c:v>
                </c:pt>
                <c:pt idx="174">
                  <c:v>43021</c:v>
                </c:pt>
                <c:pt idx="175">
                  <c:v>43028</c:v>
                </c:pt>
                <c:pt idx="176">
                  <c:v>43035</c:v>
                </c:pt>
                <c:pt idx="177">
                  <c:v>43042</c:v>
                </c:pt>
                <c:pt idx="178">
                  <c:v>43049</c:v>
                </c:pt>
                <c:pt idx="179">
                  <c:v>43055</c:v>
                </c:pt>
                <c:pt idx="180">
                  <c:v>43063</c:v>
                </c:pt>
                <c:pt idx="181">
                  <c:v>43070</c:v>
                </c:pt>
                <c:pt idx="182">
                  <c:v>43077</c:v>
                </c:pt>
                <c:pt idx="183">
                  <c:v>43084</c:v>
                </c:pt>
                <c:pt idx="184">
                  <c:v>43091</c:v>
                </c:pt>
                <c:pt idx="185">
                  <c:v>43098</c:v>
                </c:pt>
                <c:pt idx="186">
                  <c:v>43105</c:v>
                </c:pt>
                <c:pt idx="187">
                  <c:v>43112</c:v>
                </c:pt>
                <c:pt idx="188">
                  <c:v>43119</c:v>
                </c:pt>
                <c:pt idx="189">
                  <c:v>43126</c:v>
                </c:pt>
                <c:pt idx="190">
                  <c:v>43133</c:v>
                </c:pt>
                <c:pt idx="191">
                  <c:v>43140</c:v>
                </c:pt>
                <c:pt idx="192">
                  <c:v>43147</c:v>
                </c:pt>
                <c:pt idx="193">
                  <c:v>43157.5</c:v>
                </c:pt>
                <c:pt idx="194">
                  <c:v>43164.5</c:v>
                </c:pt>
              </c:numCache>
            </c:numRef>
          </c:cat>
          <c:val>
            <c:numRef>
              <c:f>强势组合!$L$2:$L$196</c:f>
              <c:numCache>
                <c:formatCode>0.00%</c:formatCode>
                <c:ptCount val="195"/>
                <c:pt idx="0">
                  <c:v>0.13711233769042588</c:v>
                </c:pt>
                <c:pt idx="1">
                  <c:v>0.12074484607612054</c:v>
                </c:pt>
                <c:pt idx="2">
                  <c:v>0.11626416186068558</c:v>
                </c:pt>
                <c:pt idx="3">
                  <c:v>0.13031881997659611</c:v>
                </c:pt>
                <c:pt idx="4">
                  <c:v>0.12600506000875308</c:v>
                </c:pt>
                <c:pt idx="5">
                  <c:v>0.1293349778576306</c:v>
                </c:pt>
                <c:pt idx="6">
                  <c:v>0.11361631288830087</c:v>
                </c:pt>
                <c:pt idx="7">
                  <c:v>8.9846850835079664E-2</c:v>
                </c:pt>
                <c:pt idx="8">
                  <c:v>7.9559012599612219E-2</c:v>
                </c:pt>
                <c:pt idx="9">
                  <c:v>9.8877048459446115E-2</c:v>
                </c:pt>
                <c:pt idx="10">
                  <c:v>8.877342072549127E-2</c:v>
                </c:pt>
                <c:pt idx="11">
                  <c:v>8.6588498546018342E-2</c:v>
                </c:pt>
                <c:pt idx="12">
                  <c:v>0.10474462599840037</c:v>
                </c:pt>
                <c:pt idx="13">
                  <c:v>0.10481654575778544</c:v>
                </c:pt>
                <c:pt idx="14">
                  <c:v>9.9323309732853512E-2</c:v>
                </c:pt>
                <c:pt idx="15">
                  <c:v>0.1018434967146314</c:v>
                </c:pt>
                <c:pt idx="16">
                  <c:v>9.2751727582799814E-2</c:v>
                </c:pt>
                <c:pt idx="17">
                  <c:v>7.5913303931211262E-2</c:v>
                </c:pt>
                <c:pt idx="18">
                  <c:v>8.2692202856665301E-2</c:v>
                </c:pt>
                <c:pt idx="19">
                  <c:v>8.0969509435136741E-2</c:v>
                </c:pt>
                <c:pt idx="20">
                  <c:v>8.3172008843583986E-2</c:v>
                </c:pt>
                <c:pt idx="21">
                  <c:v>7.1089912214456999E-2</c:v>
                </c:pt>
                <c:pt idx="22">
                  <c:v>6.4356768009702664E-2</c:v>
                </c:pt>
                <c:pt idx="23">
                  <c:v>6.1783866930082608E-2</c:v>
                </c:pt>
                <c:pt idx="24">
                  <c:v>5.8533360293928735E-2</c:v>
                </c:pt>
                <c:pt idx="25">
                  <c:v>5.7275951800983813E-2</c:v>
                </c:pt>
                <c:pt idx="26">
                  <c:v>5.0777850860031101E-2</c:v>
                </c:pt>
                <c:pt idx="27">
                  <c:v>4.9836891329283144E-2</c:v>
                </c:pt>
                <c:pt idx="28">
                  <c:v>4.9949673458652671E-2</c:v>
                </c:pt>
                <c:pt idx="29">
                  <c:v>5.0220445912376947E-2</c:v>
                </c:pt>
                <c:pt idx="30">
                  <c:v>3.1103534147462968E-2</c:v>
                </c:pt>
                <c:pt idx="31">
                  <c:v>1.6275945833437493E-2</c:v>
                </c:pt>
                <c:pt idx="32">
                  <c:v>8.0304759472848091E-5</c:v>
                </c:pt>
                <c:pt idx="33">
                  <c:v>4.3490449708999887E-3</c:v>
                </c:pt>
                <c:pt idx="34">
                  <c:v>8.5132566287299261E-3</c:v>
                </c:pt>
                <c:pt idx="35">
                  <c:v>4.5430818961763554E-3</c:v>
                </c:pt>
                <c:pt idx="36">
                  <c:v>2.2937692124570763E-2</c:v>
                </c:pt>
                <c:pt idx="37">
                  <c:v>3.4634467361812506E-2</c:v>
                </c:pt>
                <c:pt idx="38">
                  <c:v>2.7425498306885052E-2</c:v>
                </c:pt>
                <c:pt idx="39">
                  <c:v>4.0656893096176316E-2</c:v>
                </c:pt>
                <c:pt idx="40">
                  <c:v>2.512937566188252E-2</c:v>
                </c:pt>
                <c:pt idx="41">
                  <c:v>2.9161279707382495E-2</c:v>
                </c:pt>
                <c:pt idx="42">
                  <c:v>3.9954702924657484E-2</c:v>
                </c:pt>
                <c:pt idx="43">
                  <c:v>3.9802189223593895E-2</c:v>
                </c:pt>
                <c:pt idx="44">
                  <c:v>4.1192555983946812E-2</c:v>
                </c:pt>
                <c:pt idx="45">
                  <c:v>5.3783940628608896E-2</c:v>
                </c:pt>
                <c:pt idx="46">
                  <c:v>6.0209862108329945E-2</c:v>
                </c:pt>
                <c:pt idx="47">
                  <c:v>6.7977624312780982E-2</c:v>
                </c:pt>
                <c:pt idx="48">
                  <c:v>7.6005772746462738E-2</c:v>
                </c:pt>
                <c:pt idx="49">
                  <c:v>8.1740204230669827E-2</c:v>
                </c:pt>
                <c:pt idx="50">
                  <c:v>8.14375758962681E-2</c:v>
                </c:pt>
                <c:pt idx="51">
                  <c:v>8.3144023148873245E-2</c:v>
                </c:pt>
                <c:pt idx="52">
                  <c:v>9.9688537428036669E-2</c:v>
                </c:pt>
                <c:pt idx="53">
                  <c:v>0.10062444869800544</c:v>
                </c:pt>
                <c:pt idx="54">
                  <c:v>0.11400935431971675</c:v>
                </c:pt>
                <c:pt idx="55">
                  <c:v>0.12148079829330204</c:v>
                </c:pt>
                <c:pt idx="56">
                  <c:v>0.1170736713975626</c:v>
                </c:pt>
                <c:pt idx="57">
                  <c:v>0.11921333497600317</c:v>
                </c:pt>
                <c:pt idx="58">
                  <c:v>0.11913422135265196</c:v>
                </c:pt>
                <c:pt idx="59">
                  <c:v>0.11923687884203384</c:v>
                </c:pt>
                <c:pt idx="60">
                  <c:v>0.11236572228536668</c:v>
                </c:pt>
                <c:pt idx="61">
                  <c:v>0.11253955736933884</c:v>
                </c:pt>
                <c:pt idx="62">
                  <c:v>0.11711601330529514</c:v>
                </c:pt>
                <c:pt idx="63">
                  <c:v>0.11718973524883713</c:v>
                </c:pt>
                <c:pt idx="64">
                  <c:v>0.11734376736479094</c:v>
                </c:pt>
                <c:pt idx="65">
                  <c:v>0.12418945000206061</c:v>
                </c:pt>
                <c:pt idx="66">
                  <c:v>0.1409666172353411</c:v>
                </c:pt>
                <c:pt idx="67">
                  <c:v>0.14491296940177331</c:v>
                </c:pt>
                <c:pt idx="68">
                  <c:v>0.15256615997835704</c:v>
                </c:pt>
                <c:pt idx="69">
                  <c:v>0.14967716028682587</c:v>
                </c:pt>
                <c:pt idx="70">
                  <c:v>0.15222498432540596</c:v>
                </c:pt>
                <c:pt idx="71">
                  <c:v>0.15202782647002722</c:v>
                </c:pt>
                <c:pt idx="72">
                  <c:v>0.15926798941118608</c:v>
                </c:pt>
                <c:pt idx="73">
                  <c:v>0.15507347423200979</c:v>
                </c:pt>
                <c:pt idx="74">
                  <c:v>0.16221265423271208</c:v>
                </c:pt>
                <c:pt idx="75">
                  <c:v>0.16275637867379156</c:v>
                </c:pt>
                <c:pt idx="76">
                  <c:v>0.16447863921234906</c:v>
                </c:pt>
                <c:pt idx="77">
                  <c:v>0.16536502150114804</c:v>
                </c:pt>
                <c:pt idx="78">
                  <c:v>0.19080572330093556</c:v>
                </c:pt>
                <c:pt idx="79">
                  <c:v>0.17816328407457066</c:v>
                </c:pt>
                <c:pt idx="80">
                  <c:v>0.1866355176122951</c:v>
                </c:pt>
                <c:pt idx="81">
                  <c:v>0.1889256419913305</c:v>
                </c:pt>
                <c:pt idx="82">
                  <c:v>0.19288413969704318</c:v>
                </c:pt>
                <c:pt idx="83">
                  <c:v>0.19313486356167045</c:v>
                </c:pt>
                <c:pt idx="84">
                  <c:v>0.1964597353917216</c:v>
                </c:pt>
                <c:pt idx="85">
                  <c:v>0.20903446167625198</c:v>
                </c:pt>
                <c:pt idx="86">
                  <c:v>0.19553225085694906</c:v>
                </c:pt>
                <c:pt idx="87">
                  <c:v>0.19403119004449543</c:v>
                </c:pt>
                <c:pt idx="88">
                  <c:v>0.19089545835397739</c:v>
                </c:pt>
                <c:pt idx="89">
                  <c:v>0.18821700932572655</c:v>
                </c:pt>
                <c:pt idx="90">
                  <c:v>0.17922482688527816</c:v>
                </c:pt>
                <c:pt idx="91">
                  <c:v>0.17482672206127345</c:v>
                </c:pt>
                <c:pt idx="92">
                  <c:v>0.17095802769132043</c:v>
                </c:pt>
                <c:pt idx="93">
                  <c:v>0.17007229455738157</c:v>
                </c:pt>
                <c:pt idx="94">
                  <c:v>0.17070303082149191</c:v>
                </c:pt>
                <c:pt idx="95">
                  <c:v>0.16807009959313349</c:v>
                </c:pt>
                <c:pt idx="96">
                  <c:v>0.18481598906938151</c:v>
                </c:pt>
                <c:pt idx="97">
                  <c:v>0.18183980691593063</c:v>
                </c:pt>
                <c:pt idx="98">
                  <c:v>0.18109036496913566</c:v>
                </c:pt>
                <c:pt idx="99">
                  <c:v>0.18278637152935096</c:v>
                </c:pt>
                <c:pt idx="100">
                  <c:v>0.18316636306141598</c:v>
                </c:pt>
                <c:pt idx="101">
                  <c:v>0.17792563708760317</c:v>
                </c:pt>
                <c:pt idx="102">
                  <c:v>0.18445902263861572</c:v>
                </c:pt>
                <c:pt idx="103">
                  <c:v>0.18712339603956696</c:v>
                </c:pt>
                <c:pt idx="104">
                  <c:v>0.19087230120142756</c:v>
                </c:pt>
                <c:pt idx="105">
                  <c:v>0.21609281431018326</c:v>
                </c:pt>
                <c:pt idx="106">
                  <c:v>0.20598495843516368</c:v>
                </c:pt>
                <c:pt idx="107">
                  <c:v>0.20737304856730474</c:v>
                </c:pt>
                <c:pt idx="108">
                  <c:v>0.12516673304384685</c:v>
                </c:pt>
                <c:pt idx="109">
                  <c:v>0.11963245060468541</c:v>
                </c:pt>
                <c:pt idx="110">
                  <c:v>0.11777518713272377</c:v>
                </c:pt>
                <c:pt idx="111">
                  <c:v>0.1301880302872766</c:v>
                </c:pt>
                <c:pt idx="112">
                  <c:v>0.11403183582889696</c:v>
                </c:pt>
                <c:pt idx="113">
                  <c:v>0.12010897598928909</c:v>
                </c:pt>
                <c:pt idx="114">
                  <c:v>0.13584016400237742</c:v>
                </c:pt>
                <c:pt idx="115">
                  <c:v>0.13666828183341564</c:v>
                </c:pt>
                <c:pt idx="116">
                  <c:v>0.13849458503532908</c:v>
                </c:pt>
                <c:pt idx="117">
                  <c:v>0.13891835754314838</c:v>
                </c:pt>
                <c:pt idx="118">
                  <c:v>0.14013790313376071</c:v>
                </c:pt>
                <c:pt idx="119">
                  <c:v>0.13852864492916203</c:v>
                </c:pt>
                <c:pt idx="120">
                  <c:v>0.13611618142516652</c:v>
                </c:pt>
                <c:pt idx="121">
                  <c:v>0.13666644546372272</c:v>
                </c:pt>
                <c:pt idx="122">
                  <c:v>0.13919190378017207</c:v>
                </c:pt>
                <c:pt idx="123">
                  <c:v>0.14660790392081999</c:v>
                </c:pt>
                <c:pt idx="124">
                  <c:v>0.13966427121822958</c:v>
                </c:pt>
                <c:pt idx="125">
                  <c:v>0.12020773558225996</c:v>
                </c:pt>
                <c:pt idx="126">
                  <c:v>0.11916870280364525</c:v>
                </c:pt>
                <c:pt idx="127">
                  <c:v>0.12392675974262728</c:v>
                </c:pt>
                <c:pt idx="128">
                  <c:v>0.10372866176994509</c:v>
                </c:pt>
                <c:pt idx="129">
                  <c:v>9.5097531022006854E-2</c:v>
                </c:pt>
                <c:pt idx="130">
                  <c:v>0.12059998377123288</c:v>
                </c:pt>
                <c:pt idx="131">
                  <c:v>0.12769612595328711</c:v>
                </c:pt>
                <c:pt idx="132">
                  <c:v>0.12866107579525657</c:v>
                </c:pt>
                <c:pt idx="133">
                  <c:v>0.13891507897442498</c:v>
                </c:pt>
                <c:pt idx="134">
                  <c:v>0.1499756201238398</c:v>
                </c:pt>
                <c:pt idx="135">
                  <c:v>0.11969002899201028</c:v>
                </c:pt>
                <c:pt idx="136">
                  <c:v>0.11023969381944022</c:v>
                </c:pt>
                <c:pt idx="137">
                  <c:v>0.10232679501737167</c:v>
                </c:pt>
                <c:pt idx="138">
                  <c:v>9.9016903739708076E-2</c:v>
                </c:pt>
                <c:pt idx="139">
                  <c:v>9.8154057715275689E-2</c:v>
                </c:pt>
                <c:pt idx="140">
                  <c:v>9.5352149572514949E-2</c:v>
                </c:pt>
                <c:pt idx="141">
                  <c:v>0.10142316787083154</c:v>
                </c:pt>
                <c:pt idx="142">
                  <c:v>0.10097251883582506</c:v>
                </c:pt>
                <c:pt idx="143">
                  <c:v>0.10915289983743073</c:v>
                </c:pt>
                <c:pt idx="144">
                  <c:v>0.10345276449268162</c:v>
                </c:pt>
                <c:pt idx="145">
                  <c:v>0.10173150124507661</c:v>
                </c:pt>
                <c:pt idx="146">
                  <c:v>9.7412445772667056E-2</c:v>
                </c:pt>
                <c:pt idx="147">
                  <c:v>8.0974327548022473E-2</c:v>
                </c:pt>
                <c:pt idx="148">
                  <c:v>7.7536171808790924E-2</c:v>
                </c:pt>
                <c:pt idx="149">
                  <c:v>5.9628035848772222E-2</c:v>
                </c:pt>
                <c:pt idx="150">
                  <c:v>6.3306044893025451E-2</c:v>
                </c:pt>
                <c:pt idx="151">
                  <c:v>6.2691003439414444E-2</c:v>
                </c:pt>
                <c:pt idx="152">
                  <c:v>7.1346594355483239E-2</c:v>
                </c:pt>
                <c:pt idx="153">
                  <c:v>6.7800246895038802E-2</c:v>
                </c:pt>
                <c:pt idx="154">
                  <c:v>7.0271248040009851E-2</c:v>
                </c:pt>
                <c:pt idx="155">
                  <c:v>7.0622709824602989E-2</c:v>
                </c:pt>
                <c:pt idx="156">
                  <c:v>7.7009936792538786E-2</c:v>
                </c:pt>
                <c:pt idx="157">
                  <c:v>6.9756352342251346E-2</c:v>
                </c:pt>
                <c:pt idx="158">
                  <c:v>4.6205710880164313E-2</c:v>
                </c:pt>
                <c:pt idx="159">
                  <c:v>4.5470358416771058E-2</c:v>
                </c:pt>
                <c:pt idx="160">
                  <c:v>4.5559197019817352E-2</c:v>
                </c:pt>
                <c:pt idx="161">
                  <c:v>5.0299905828184929E-2</c:v>
                </c:pt>
                <c:pt idx="162">
                  <c:v>4.3075231310869717E-2</c:v>
                </c:pt>
                <c:pt idx="163">
                  <c:v>2.0727796327155261E-2</c:v>
                </c:pt>
                <c:pt idx="164">
                  <c:v>7.3089446919824682E-3</c:v>
                </c:pt>
                <c:pt idx="165">
                  <c:v>6.0652489256783106E-3</c:v>
                </c:pt>
                <c:pt idx="166">
                  <c:v>6.0961445204597439E-2</c:v>
                </c:pt>
                <c:pt idx="167">
                  <c:v>5.5434298295639478E-2</c:v>
                </c:pt>
                <c:pt idx="168">
                  <c:v>8.1637535314769916E-2</c:v>
                </c:pt>
                <c:pt idx="169">
                  <c:v>7.0667524299662429E-2</c:v>
                </c:pt>
                <c:pt idx="170">
                  <c:v>0.15490260727337954</c:v>
                </c:pt>
                <c:pt idx="171">
                  <c:v>9.4064728213934301E-2</c:v>
                </c:pt>
                <c:pt idx="172">
                  <c:v>6.4220043095251075E-2</c:v>
                </c:pt>
                <c:pt idx="173">
                  <c:v>5.8967618169783194E-2</c:v>
                </c:pt>
                <c:pt idx="174">
                  <c:v>5.2222398749730024E-2</c:v>
                </c:pt>
                <c:pt idx="175">
                  <c:v>5.9022228264491342E-2</c:v>
                </c:pt>
                <c:pt idx="176">
                  <c:v>5.5381178807044885E-2</c:v>
                </c:pt>
                <c:pt idx="177">
                  <c:v>5.6206048289533857E-2</c:v>
                </c:pt>
                <c:pt idx="178">
                  <c:v>3.9842617488862551E-2</c:v>
                </c:pt>
                <c:pt idx="179">
                  <c:v>4.1078561759365008E-2</c:v>
                </c:pt>
                <c:pt idx="180">
                  <c:v>4.2988063229419053E-2</c:v>
                </c:pt>
                <c:pt idx="181">
                  <c:v>4.5703618859282938E-2</c:v>
                </c:pt>
                <c:pt idx="182">
                  <c:v>4.4721186789461485E-2</c:v>
                </c:pt>
                <c:pt idx="183">
                  <c:v>4.2790118036061295E-2</c:v>
                </c:pt>
                <c:pt idx="184">
                  <c:v>5.5961209433392792E-2</c:v>
                </c:pt>
                <c:pt idx="185">
                  <c:v>6.0218600611629196E-2</c:v>
                </c:pt>
                <c:pt idx="186">
                  <c:v>5.9768325604413718E-2</c:v>
                </c:pt>
                <c:pt idx="187">
                  <c:v>7.0662157252641314E-2</c:v>
                </c:pt>
                <c:pt idx="188">
                  <c:v>6.8819023720678205E-2</c:v>
                </c:pt>
                <c:pt idx="189">
                  <c:v>7.5971510689241725E-2</c:v>
                </c:pt>
                <c:pt idx="190">
                  <c:v>8.1790587638234352E-2</c:v>
                </c:pt>
                <c:pt idx="191">
                  <c:v>8.1886565664689021E-2</c:v>
                </c:pt>
                <c:pt idx="192">
                  <c:v>8.6491869831179805E-2</c:v>
                </c:pt>
                <c:pt idx="193">
                  <c:v>8.046126680499234E-2</c:v>
                </c:pt>
                <c:pt idx="194">
                  <c:v>8.1546083399323011E-2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83F-4729-B474-298F34384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106080"/>
        <c:axId val="966094432"/>
      </c:areaChart>
      <c:dateAx>
        <c:axId val="966106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094432"/>
        <c:crosses val="autoZero"/>
        <c:auto val="1"/>
        <c:lblOffset val="100"/>
        <c:baseTimeUnit val="days"/>
      </c:dateAx>
      <c:valAx>
        <c:axId val="96609443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610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866775</xdr:colOff>
          <xdr:row>2</xdr:row>
          <xdr:rowOff>161925</xdr:rowOff>
        </xdr:from>
        <xdr:to>
          <xdr:col>26</xdr:col>
          <xdr:colOff>1000125</xdr:colOff>
          <xdr:row>4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计算Beta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247649</xdr:colOff>
      <xdr:row>286</xdr:row>
      <xdr:rowOff>66675</xdr:rowOff>
    </xdr:from>
    <xdr:to>
      <xdr:col>16</xdr:col>
      <xdr:colOff>200025</xdr:colOff>
      <xdr:row>305</xdr:row>
      <xdr:rowOff>61912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20</xdr:col>
      <xdr:colOff>38100</xdr:colOff>
      <xdr:row>17</xdr:row>
      <xdr:rowOff>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20</xdr:col>
      <xdr:colOff>38100</xdr:colOff>
      <xdr:row>17</xdr:row>
      <xdr:rowOff>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20</xdr:col>
      <xdr:colOff>38100</xdr:colOff>
      <xdr:row>17</xdr:row>
      <xdr:rowOff>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478631</xdr:colOff>
      <xdr:row>174</xdr:row>
      <xdr:rowOff>130968</xdr:rowOff>
    </xdr:from>
    <xdr:to>
      <xdr:col>12</xdr:col>
      <xdr:colOff>516731</xdr:colOff>
      <xdr:row>190</xdr:row>
      <xdr:rowOff>130968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WindFunc"/>
    </sheetNames>
    <definedNames>
      <definedName name="f_info_name"/>
      <definedName name="f_info_setupdate"/>
      <definedName name="f_nav_adjusted"/>
      <definedName name="f_nav_adjustedreturn"/>
      <definedName name="HisQuote"/>
      <definedName name="i_dq_pctchange"/>
      <definedName name="i_pq_pctchang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2125"/>
  <sheetViews>
    <sheetView topLeftCell="U16" workbookViewId="0">
      <selection activeCell="Z28" sqref="Z28"/>
    </sheetView>
  </sheetViews>
  <sheetFormatPr defaultRowHeight="13.5" x14ac:dyDescent="0.3"/>
  <cols>
    <col min="1" max="1" width="12.86328125" customWidth="1"/>
    <col min="2" max="2" width="19.46484375" customWidth="1"/>
    <col min="3" max="3" width="16.3984375" customWidth="1"/>
    <col min="4" max="4" width="14.73046875" customWidth="1"/>
    <col min="5" max="12" width="14.3984375" customWidth="1"/>
    <col min="13" max="13" width="10" customWidth="1"/>
    <col min="15" max="15" width="11.3984375" customWidth="1"/>
    <col min="16" max="16" width="12.3984375" customWidth="1"/>
    <col min="17" max="17" width="11.73046875" customWidth="1"/>
    <col min="26" max="26" width="12.265625" customWidth="1"/>
    <col min="27" max="27" width="14.46484375" customWidth="1"/>
    <col min="28" max="28" width="9.46484375" bestFit="1" customWidth="1"/>
    <col min="29" max="29" width="11" customWidth="1"/>
    <col min="32" max="32" width="12.265625" customWidth="1"/>
    <col min="33" max="33" width="13.86328125" customWidth="1"/>
    <col min="34" max="34" width="20.1328125" customWidth="1"/>
    <col min="35" max="35" width="19.46484375" customWidth="1"/>
    <col min="36" max="36" width="21.46484375" customWidth="1"/>
    <col min="37" max="37" width="19.1328125" customWidth="1"/>
    <col min="38" max="38" width="19.59765625" customWidth="1"/>
    <col min="39" max="45" width="13.59765625" customWidth="1"/>
    <col min="46" max="46" width="20.33203125" customWidth="1"/>
    <col min="49" max="49" width="6.1328125" customWidth="1"/>
    <col min="50" max="50" width="11.59765625" bestFit="1" customWidth="1"/>
    <col min="51" max="51" width="13.59765625" customWidth="1"/>
    <col min="52" max="52" width="12.86328125" customWidth="1"/>
    <col min="53" max="53" width="15.86328125" customWidth="1"/>
    <col min="54" max="54" width="14.3984375" customWidth="1"/>
    <col min="55" max="55" width="13.1328125" customWidth="1"/>
    <col min="56" max="66" width="11.46484375" customWidth="1"/>
    <col min="72" max="72" width="14.1328125" style="23" customWidth="1"/>
    <col min="73" max="74" width="9" style="23"/>
    <col min="75" max="75" width="10.59765625" style="23" customWidth="1"/>
  </cols>
  <sheetData>
    <row r="1" spans="1:74" x14ac:dyDescent="0.3">
      <c r="A1" s="2"/>
      <c r="B1" s="1" t="s">
        <v>11</v>
      </c>
      <c r="C1" s="1" t="s">
        <v>62</v>
      </c>
      <c r="D1" s="1" t="s">
        <v>54</v>
      </c>
      <c r="E1" s="1" t="s">
        <v>56</v>
      </c>
      <c r="F1" s="1" t="s">
        <v>52</v>
      </c>
      <c r="G1" s="1" t="s">
        <v>64</v>
      </c>
      <c r="H1" s="1" t="s">
        <v>58</v>
      </c>
      <c r="I1" s="1" t="s">
        <v>60</v>
      </c>
      <c r="J1" s="1" t="s">
        <v>50</v>
      </c>
      <c r="K1" s="1" t="s">
        <v>68</v>
      </c>
      <c r="L1" s="1" t="s">
        <v>66</v>
      </c>
      <c r="M1" s="8" t="s">
        <v>85</v>
      </c>
      <c r="O1" s="7" t="s">
        <v>5</v>
      </c>
      <c r="P1" s="7" t="s">
        <v>6</v>
      </c>
      <c r="Q1" s="7" t="s">
        <v>7</v>
      </c>
      <c r="R1" s="7" t="s">
        <v>19</v>
      </c>
      <c r="S1" s="7" t="s">
        <v>69</v>
      </c>
      <c r="T1" s="7" t="s">
        <v>70</v>
      </c>
      <c r="U1" s="7" t="s">
        <v>71</v>
      </c>
      <c r="V1" s="7" t="s">
        <v>72</v>
      </c>
      <c r="W1" s="7" t="s">
        <v>73</v>
      </c>
      <c r="X1" s="7" t="s">
        <v>74</v>
      </c>
      <c r="Y1" s="7" t="s">
        <v>75</v>
      </c>
      <c r="Z1" t="s">
        <v>2</v>
      </c>
      <c r="AA1">
        <v>1</v>
      </c>
      <c r="AB1" s="5">
        <f>AVERAGE(B4:B23)</f>
        <v>9.0018516728976344E-2</v>
      </c>
      <c r="AC1" t="s">
        <v>10</v>
      </c>
      <c r="AD1" s="9">
        <f>SUM(P4:P23)</f>
        <v>30.535630156499742</v>
      </c>
      <c r="AE1" t="e">
        <f>SUM(O4:O63)</f>
        <v>#N/A</v>
      </c>
      <c r="AF1" s="11" t="e">
        <f>1-AD1/AE1</f>
        <v>#N/A</v>
      </c>
      <c r="AX1" t="s">
        <v>30</v>
      </c>
      <c r="AY1" s="2"/>
      <c r="AZ1" s="1" t="str">
        <f>BM1</f>
        <v>163406.OF</v>
      </c>
      <c r="BA1" s="2" t="str">
        <f>[1]!HisQuote("[000992.SH,000988.CSI,000989.SH,000987.SH,000993.SH,000990.SH,000991.SH,000986.SH,000995.CSI,000994.CSI]","[PctChg]","1",AH9,AH10,-1,"M",1,2,1,1,1,1,2,1,1,,1)</f>
        <v>Wind</v>
      </c>
      <c r="BB1" s="1" t="s">
        <v>61</v>
      </c>
      <c r="BC1" s="1" t="s">
        <v>53</v>
      </c>
      <c r="BD1" s="1" t="s">
        <v>55</v>
      </c>
      <c r="BE1" s="1" t="s">
        <v>51</v>
      </c>
      <c r="BF1" s="1" t="s">
        <v>63</v>
      </c>
      <c r="BG1" s="1" t="s">
        <v>57</v>
      </c>
      <c r="BH1" s="1" t="s">
        <v>59</v>
      </c>
      <c r="BI1" s="1" t="s">
        <v>49</v>
      </c>
      <c r="BJ1" s="1" t="s">
        <v>67</v>
      </c>
      <c r="BK1" s="1" t="s">
        <v>65</v>
      </c>
      <c r="BL1" s="2" t="s">
        <v>78</v>
      </c>
      <c r="BM1" s="1" t="s">
        <v>77</v>
      </c>
      <c r="BN1" s="1"/>
      <c r="BS1" t="b">
        <f>IF(BS3&lt;0.00001,TRUE,fasle)</f>
        <v>1</v>
      </c>
    </row>
    <row r="2" spans="1:74" x14ac:dyDescent="0.3">
      <c r="B2" s="1"/>
      <c r="C2" s="19">
        <v>0.14000000000000001</v>
      </c>
      <c r="D2" s="19">
        <v>0.32</v>
      </c>
      <c r="E2" s="19">
        <v>0</v>
      </c>
      <c r="F2" s="19">
        <v>0</v>
      </c>
      <c r="G2" s="19">
        <v>0</v>
      </c>
      <c r="H2" s="19">
        <v>0</v>
      </c>
      <c r="I2" s="19">
        <v>0</v>
      </c>
      <c r="J2" s="19">
        <v>0</v>
      </c>
      <c r="K2" s="19">
        <v>0</v>
      </c>
      <c r="L2" s="19">
        <v>0</v>
      </c>
      <c r="M2" s="19">
        <v>0.54</v>
      </c>
      <c r="N2" s="7" t="s">
        <v>4</v>
      </c>
      <c r="O2" s="19">
        <v>0.14000000000000001</v>
      </c>
      <c r="P2" s="19">
        <v>0.32</v>
      </c>
      <c r="Q2" s="19">
        <v>0</v>
      </c>
      <c r="R2" s="19">
        <v>0.54</v>
      </c>
      <c r="S2" s="19">
        <v>0</v>
      </c>
      <c r="T2" s="19">
        <v>0</v>
      </c>
      <c r="U2" s="19">
        <v>0</v>
      </c>
      <c r="V2" s="19">
        <v>0</v>
      </c>
      <c r="W2" s="19">
        <v>0</v>
      </c>
      <c r="X2" s="19">
        <v>0</v>
      </c>
      <c r="Y2" s="19">
        <v>0</v>
      </c>
      <c r="Z2" t="s">
        <v>3</v>
      </c>
      <c r="AA2" s="20">
        <f>SUM(N4:N23)/100/60</f>
        <v>9.1040346685253085E-3</v>
      </c>
      <c r="AB2" t="s">
        <v>45</v>
      </c>
      <c r="AD2" t="s">
        <v>43</v>
      </c>
      <c r="AE2" s="9" t="s">
        <v>42</v>
      </c>
      <c r="AF2" t="s">
        <v>44</v>
      </c>
      <c r="AZ2" s="1" t="str">
        <f>BM2</f>
        <v>熊市</v>
      </c>
      <c r="BB2" s="1" t="s">
        <v>62</v>
      </c>
      <c r="BC2" s="1" t="s">
        <v>54</v>
      </c>
      <c r="BD2" s="1" t="s">
        <v>56</v>
      </c>
      <c r="BE2" s="1" t="s">
        <v>52</v>
      </c>
      <c r="BF2" s="1" t="s">
        <v>64</v>
      </c>
      <c r="BG2" s="1" t="s">
        <v>58</v>
      </c>
      <c r="BH2" s="1" t="s">
        <v>60</v>
      </c>
      <c r="BI2" s="1" t="s">
        <v>50</v>
      </c>
      <c r="BJ2" s="1" t="s">
        <v>68</v>
      </c>
      <c r="BK2" s="1" t="s">
        <v>66</v>
      </c>
      <c r="BL2" s="1"/>
      <c r="BM2" s="1" t="s">
        <v>84</v>
      </c>
      <c r="BN2" s="4">
        <f>BA4-7</f>
        <v>41635</v>
      </c>
    </row>
    <row r="3" spans="1:74" x14ac:dyDescent="0.3">
      <c r="A3" s="1" t="s">
        <v>0</v>
      </c>
      <c r="B3" s="1" t="s">
        <v>1</v>
      </c>
      <c r="O3" t="s">
        <v>9</v>
      </c>
      <c r="P3" t="s">
        <v>37</v>
      </c>
      <c r="Q3" t="s">
        <v>8</v>
      </c>
      <c r="R3" s="11">
        <v>2.8790272224141389E-3</v>
      </c>
      <c r="S3" s="11"/>
      <c r="T3" s="11"/>
      <c r="U3" s="11"/>
      <c r="V3" s="11"/>
      <c r="W3" s="11"/>
      <c r="X3" s="11"/>
      <c r="Y3" s="11"/>
      <c r="AH3" t="b">
        <f>BL4=BA4</f>
        <v>1</v>
      </c>
      <c r="AX3" s="3"/>
      <c r="AY3" s="1" t="s">
        <v>0</v>
      </c>
      <c r="AZ3" s="1"/>
      <c r="BA3" s="1" t="s">
        <v>0</v>
      </c>
      <c r="BB3" s="1" t="s">
        <v>34</v>
      </c>
      <c r="BC3" s="1" t="s">
        <v>34</v>
      </c>
      <c r="BD3" s="1" t="s">
        <v>34</v>
      </c>
      <c r="BE3" s="1" t="s">
        <v>34</v>
      </c>
      <c r="BF3" s="1" t="s">
        <v>34</v>
      </c>
      <c r="BG3" s="1" t="s">
        <v>34</v>
      </c>
      <c r="BH3" s="1" t="s">
        <v>34</v>
      </c>
      <c r="BI3" s="1" t="s">
        <v>34</v>
      </c>
      <c r="BJ3" s="1" t="s">
        <v>34</v>
      </c>
      <c r="BK3" s="1" t="s">
        <v>34</v>
      </c>
      <c r="BL3" s="1" t="s">
        <v>0</v>
      </c>
      <c r="BM3" s="1" t="s">
        <v>47</v>
      </c>
      <c r="BN3" s="1">
        <f>[1]!f_nav_adjusted(BM1,BN2)</f>
        <v>1.1558076516</v>
      </c>
      <c r="BO3" s="1" t="s">
        <v>48</v>
      </c>
      <c r="BS3" s="23">
        <f>SUM(BS5:BV23)</f>
        <v>-3.331790550831915</v>
      </c>
    </row>
    <row r="4" spans="1:74" x14ac:dyDescent="0.3">
      <c r="A4" s="4">
        <v>43035</v>
      </c>
      <c r="B4" s="6">
        <v>1.8217142717041668</v>
      </c>
      <c r="C4" s="6">
        <v>1.6976100000000001</v>
      </c>
      <c r="D4" s="6">
        <v>0.82194599999999995</v>
      </c>
      <c r="E4" s="6">
        <v>1.6075839999999999</v>
      </c>
      <c r="F4" s="6">
        <v>0.29183999999999999</v>
      </c>
      <c r="G4" s="6">
        <v>1.3486290000000001</v>
      </c>
      <c r="H4" s="6">
        <v>4.0496309999999998</v>
      </c>
      <c r="I4" s="6">
        <v>1.8433660000000001</v>
      </c>
      <c r="J4" s="6">
        <v>0.57915300000000003</v>
      </c>
      <c r="K4" s="6">
        <v>0.35051300000000002</v>
      </c>
      <c r="L4" s="6">
        <v>2.585413</v>
      </c>
      <c r="M4">
        <v>0</v>
      </c>
      <c r="N4">
        <f>(SUMPRODUCT(C$2:M$2,C4:M4)-B4)^2</f>
        <v>1.7451100934863204</v>
      </c>
      <c r="O4">
        <f>(B4-$AB$1)^2</f>
        <v>2.9987701877990944</v>
      </c>
      <c r="P4" s="9">
        <f>(SUMPRODUCT($O$2:$Y$2,C4:M4)-B4)^2</f>
        <v>1.3535753023648689</v>
      </c>
      <c r="AH4" t="b">
        <f>AH7=AZ2</f>
        <v>0</v>
      </c>
      <c r="AX4">
        <v>1</v>
      </c>
      <c r="AY4" s="4">
        <f>BA4</f>
        <v>41642</v>
      </c>
      <c r="AZ4" s="6">
        <f>BN4</f>
        <v>-14.209166888875224</v>
      </c>
      <c r="BA4" s="4">
        <v>41642</v>
      </c>
      <c r="BB4" s="6">
        <v>-2.8219940000000001</v>
      </c>
      <c r="BC4" s="6">
        <v>-0.60995999999999995</v>
      </c>
      <c r="BD4" s="6">
        <v>-0.70096800000000004</v>
      </c>
      <c r="BE4" s="6">
        <v>-0.51692700000000003</v>
      </c>
      <c r="BF4" s="6">
        <v>3.01207</v>
      </c>
      <c r="BG4" s="6">
        <v>-1.5030920000000001</v>
      </c>
      <c r="BH4" s="6">
        <v>1.4995289999999999</v>
      </c>
      <c r="BI4" s="6">
        <v>-2.1409400000000001</v>
      </c>
      <c r="BJ4" s="6">
        <v>-1.3680049999999999</v>
      </c>
      <c r="BK4" s="6">
        <v>2.5965950000000002</v>
      </c>
      <c r="BL4" s="4">
        <v>41642</v>
      </c>
      <c r="BM4" s="6">
        <f>VLOOKUP(BL4,Sheet1!$A$2:$E$1114,2,FALSE)</f>
        <v>0.99157701346976646</v>
      </c>
      <c r="BN4" s="6">
        <f>(BM4/BN3-1)*100</f>
        <v>-14.209166888875224</v>
      </c>
      <c r="BO4" s="22">
        <f>[1]!f_nav_adjustedreturn(BM$1,BN2+1,BL4)</f>
        <v>0.45556128588619438</v>
      </c>
      <c r="BP4" s="1" t="s">
        <v>26</v>
      </c>
      <c r="BQ4" s="1" t="s">
        <v>27</v>
      </c>
      <c r="BR4" s="1" t="s">
        <v>28</v>
      </c>
      <c r="BS4" s="23">
        <f>BN4-BO4</f>
        <v>-14.664728174761418</v>
      </c>
    </row>
    <row r="5" spans="1:74" x14ac:dyDescent="0.3">
      <c r="A5" s="4">
        <v>43042</v>
      </c>
      <c r="B5" s="6">
        <v>-1.7430437253115882</v>
      </c>
      <c r="C5" s="6">
        <v>-1.299132</v>
      </c>
      <c r="D5" s="6">
        <v>-2.2646980000000001</v>
      </c>
      <c r="E5" s="6">
        <v>-3.2962880000000001</v>
      </c>
      <c r="F5" s="6">
        <v>-3.6815169999999999</v>
      </c>
      <c r="G5" s="6">
        <v>-1.306808</v>
      </c>
      <c r="H5" s="6">
        <v>-0.856796</v>
      </c>
      <c r="I5" s="6">
        <v>-1.440971</v>
      </c>
      <c r="J5" s="6">
        <v>-2.135195</v>
      </c>
      <c r="K5" s="6">
        <v>-2.0840770000000002</v>
      </c>
      <c r="L5" s="6">
        <v>-0.47708299999999998</v>
      </c>
      <c r="M5">
        <v>0</v>
      </c>
      <c r="N5">
        <f t="shared" ref="N5:N23" si="0">(SUMPRODUCT(C$2:M$2,C5:M5)-B5)^2</f>
        <v>0.69966848557901651</v>
      </c>
      <c r="O5">
        <f t="shared" ref="O5:O23" si="1">(B5-$AB$1)^2</f>
        <v>3.3601171831947818</v>
      </c>
      <c r="P5" s="9">
        <f t="shared" ref="P5:P43" si="2">(SUMPRODUCT($O$2:$Y$2,C5:M5)-B5)^2</f>
        <v>1.3260842029500939</v>
      </c>
      <c r="AH5" t="b">
        <f>BS1</f>
        <v>1</v>
      </c>
      <c r="AJ5" s="14"/>
      <c r="AW5">
        <f>IF(AY5&lt;=AY4,1,0)</f>
        <v>0</v>
      </c>
      <c r="AX5">
        <v>2</v>
      </c>
      <c r="AY5" s="4">
        <f t="shared" ref="AY5:AY68" si="3">BA5</f>
        <v>41649</v>
      </c>
      <c r="AZ5" s="6">
        <f t="shared" ref="AZ5:AZ68" si="4">BN5</f>
        <v>-2.7033556077593501</v>
      </c>
      <c r="BA5" s="4">
        <v>41649</v>
      </c>
      <c r="BB5" s="6">
        <v>-2.5918079999999999</v>
      </c>
      <c r="BC5" s="6">
        <v>-5.1489349999999998</v>
      </c>
      <c r="BD5" s="6">
        <v>-3.8635709999999999</v>
      </c>
      <c r="BE5" s="6">
        <v>-6.1237880000000002</v>
      </c>
      <c r="BF5" s="6">
        <v>-2.9326560000000002</v>
      </c>
      <c r="BG5" s="6">
        <v>-3.921408</v>
      </c>
      <c r="BH5" s="6">
        <v>-2.8620999999999999</v>
      </c>
      <c r="BI5" s="6">
        <v>-3.893856</v>
      </c>
      <c r="BJ5" s="6">
        <v>-4.6942389999999996</v>
      </c>
      <c r="BK5" s="6">
        <v>-3.1325020000000001</v>
      </c>
      <c r="BL5" s="4">
        <v>41649</v>
      </c>
      <c r="BM5" s="6">
        <f>VLOOKUP(BL5,Sheet1!$A$2:$E$1114,2,FALSE)</f>
        <v>0.96477116067087887</v>
      </c>
      <c r="BN5" s="6">
        <f>(BM5/BM4-1)*100</f>
        <v>-2.7033556077593501</v>
      </c>
      <c r="BO5">
        <f>[1]!f_nav_adjustedreturn(BM$1,$BL4+1,$BL5)</f>
        <v>-2.4557200308034695</v>
      </c>
      <c r="BP5">
        <f>[1]!i_pq_pctchange(BB$1,$AY4+1,$AY5)</f>
        <v>-2.5918083130761826</v>
      </c>
      <c r="BQ5">
        <f>[1]!i_pq_pctchange(BC$1,$AY4+1,$AY5)</f>
        <v>-5.1489345342842778</v>
      </c>
      <c r="BR5">
        <f>[1]!i_pq_pctchange(BD$1,$AY4+1,$AY5)</f>
        <v>-3.8635710929115108</v>
      </c>
      <c r="BS5" s="23">
        <f t="shared" ref="BS5:BS23" si="5">BN5-BO5</f>
        <v>-0.24763557695588068</v>
      </c>
      <c r="BT5" s="23">
        <f>BB5-BP5</f>
        <v>3.1307618275633331E-7</v>
      </c>
      <c r="BU5" s="23">
        <f>BC5-BQ5</f>
        <v>-4.6571572198672584E-7</v>
      </c>
      <c r="BV5" s="23">
        <f>BD5-BR5</f>
        <v>9.2911510929383212E-8</v>
      </c>
    </row>
    <row r="6" spans="1:74" x14ac:dyDescent="0.3">
      <c r="A6" s="16">
        <v>43049</v>
      </c>
      <c r="B6" s="6">
        <v>3.2758184195848195</v>
      </c>
      <c r="C6" s="6">
        <v>1.6929080000000001</v>
      </c>
      <c r="D6" s="6">
        <v>1.825882</v>
      </c>
      <c r="E6" s="6">
        <v>3.9791829999999999</v>
      </c>
      <c r="F6" s="6">
        <v>2.0141</v>
      </c>
      <c r="G6" s="6">
        <v>5.134004</v>
      </c>
      <c r="H6" s="6">
        <v>4.11226</v>
      </c>
      <c r="I6" s="6">
        <v>2.8296389999999998</v>
      </c>
      <c r="J6" s="6">
        <v>2.1026639999999999</v>
      </c>
      <c r="K6" s="6">
        <v>1.5302420000000001</v>
      </c>
      <c r="L6" s="6">
        <v>7.1595529999999998</v>
      </c>
      <c r="M6">
        <v>0</v>
      </c>
      <c r="N6">
        <f t="shared" si="0"/>
        <v>6.0247129043463374</v>
      </c>
      <c r="O6">
        <f t="shared" si="1"/>
        <v>10.1493210210363</v>
      </c>
      <c r="P6" s="9">
        <f t="shared" si="2"/>
        <v>1.8684567801197705</v>
      </c>
      <c r="Q6" t="e">
        <f ca="1">[1]!i_dq_pctchange(D$1,$A6)</f>
        <v>#NAME?</v>
      </c>
      <c r="R6" t="e">
        <f ca="1">[1]!i_dq_pctchange(E$1,$A6)</f>
        <v>#NAME?</v>
      </c>
      <c r="AG6" t="s">
        <v>21</v>
      </c>
      <c r="AH6" s="17" t="s">
        <v>76</v>
      </c>
      <c r="AJ6" t="s">
        <v>32</v>
      </c>
      <c r="AK6">
        <v>0</v>
      </c>
      <c r="AW6">
        <f t="shared" ref="AW6:AW69" si="6">IF(AY6&lt;=AY5,1,0)</f>
        <v>0</v>
      </c>
      <c r="AX6">
        <v>3</v>
      </c>
      <c r="AY6" s="4">
        <f t="shared" si="3"/>
        <v>41656</v>
      </c>
      <c r="AZ6" s="6">
        <f t="shared" si="4"/>
        <v>1.1466651408207795</v>
      </c>
      <c r="BA6" s="4">
        <v>41656</v>
      </c>
      <c r="BB6" s="6">
        <v>-1.3251820000000001</v>
      </c>
      <c r="BC6" s="6">
        <v>8.7032999999999999E-2</v>
      </c>
      <c r="BD6" s="6">
        <v>0.73489499999999996</v>
      </c>
      <c r="BE6" s="6">
        <v>0.68832599999999999</v>
      </c>
      <c r="BF6" s="6">
        <v>2.4106399999999999</v>
      </c>
      <c r="BG6" s="6">
        <v>-0.32607999999999998</v>
      </c>
      <c r="BH6" s="6">
        <v>0.34213399999999999</v>
      </c>
      <c r="BI6" s="6">
        <v>-1.489652</v>
      </c>
      <c r="BJ6" s="6">
        <v>-3.7343000000000001E-2</v>
      </c>
      <c r="BK6" s="6">
        <v>1.401248</v>
      </c>
      <c r="BL6" s="4">
        <v>41656</v>
      </c>
      <c r="BM6" s="6">
        <f>VLOOKUP(BL6,Sheet1!$A$2:$E$1114,2,FALSE)</f>
        <v>0.97583385525898392</v>
      </c>
      <c r="BN6" s="6">
        <f t="shared" ref="BN6:BN69" si="7">(BM6/BM5-1)*100</f>
        <v>1.1466651408207795</v>
      </c>
      <c r="BO6">
        <f>[1]!f_nav_adjustedreturn(BM$1,$BL5+1,$BL6)</f>
        <v>0.27192982456142206</v>
      </c>
      <c r="BP6">
        <f>[1]!i_pq_pctchange(BB$1,$AY5+1,$AY6)</f>
        <v>-1.3251822145253223</v>
      </c>
      <c r="BQ6">
        <f>[1]!i_pq_pctchange(BC$1,$AY5+1,$AY6)</f>
        <v>8.7033226034494149E-2</v>
      </c>
      <c r="BR6">
        <f>[1]!i_pq_pctchange(BD$1,$AY5+1,$AY6)</f>
        <v>0.73489464520464232</v>
      </c>
      <c r="BS6" s="23">
        <f t="shared" si="5"/>
        <v>0.87473531625935741</v>
      </c>
      <c r="BT6" s="23">
        <f t="shared" ref="BT6:BT23" si="8">BB6-BP6</f>
        <v>2.1452532217303144E-7</v>
      </c>
      <c r="BU6" s="23">
        <f t="shared" ref="BU6:BU23" si="9">BC6-BQ6</f>
        <v>-2.260344941495962E-7</v>
      </c>
      <c r="BV6" s="23">
        <f t="shared" ref="BV6:BV23" si="10">BD6-BR6</f>
        <v>3.5479535764881831E-7</v>
      </c>
    </row>
    <row r="7" spans="1:74" x14ac:dyDescent="0.3">
      <c r="A7" s="4">
        <v>43056</v>
      </c>
      <c r="B7" s="6">
        <v>-1.0601086011289396</v>
      </c>
      <c r="C7" s="6">
        <v>2.392506</v>
      </c>
      <c r="D7" s="6">
        <v>-4.2338009999999997</v>
      </c>
      <c r="E7" s="6">
        <v>-3.4476979999999999</v>
      </c>
      <c r="F7" s="6">
        <v>-3.9099529999999998</v>
      </c>
      <c r="G7" s="6">
        <v>-4.8874259999999996</v>
      </c>
      <c r="H7" s="6">
        <v>-1.0520620000000001</v>
      </c>
      <c r="I7" s="6">
        <v>-1.920293</v>
      </c>
      <c r="J7" s="6">
        <v>-3.0288520000000001</v>
      </c>
      <c r="K7" s="6">
        <v>-2.7999749999999999</v>
      </c>
      <c r="L7" s="6">
        <v>-2.8164349999999998</v>
      </c>
      <c r="M7">
        <v>0</v>
      </c>
      <c r="N7">
        <f t="shared" si="0"/>
        <v>1.6195087981985207E-3</v>
      </c>
      <c r="O7">
        <f t="shared" si="1"/>
        <v>1.3227923872321565</v>
      </c>
      <c r="P7" s="9">
        <f t="shared" si="2"/>
        <v>4.2895856856158829</v>
      </c>
      <c r="AG7" t="s">
        <v>22</v>
      </c>
      <c r="AH7" t="str">
        <f>[1]!f_info_name(AH6)</f>
        <v>兴全合润分级</v>
      </c>
      <c r="AJ7" t="s">
        <v>33</v>
      </c>
      <c r="AK7">
        <v>0</v>
      </c>
      <c r="AW7">
        <f t="shared" si="6"/>
        <v>0</v>
      </c>
      <c r="AX7">
        <v>4</v>
      </c>
      <c r="AY7" s="4">
        <f t="shared" si="3"/>
        <v>41663</v>
      </c>
      <c r="AZ7" s="6">
        <f t="shared" si="4"/>
        <v>4.6320754004889109</v>
      </c>
      <c r="BA7" s="4">
        <v>41663</v>
      </c>
      <c r="BB7" s="6">
        <v>2.5891929999999999</v>
      </c>
      <c r="BC7" s="6">
        <v>4.891699</v>
      </c>
      <c r="BD7" s="6">
        <v>6.3810510000000003</v>
      </c>
      <c r="BE7" s="6">
        <v>3.6235029999999999</v>
      </c>
      <c r="BF7" s="6">
        <v>7.1796139999999999</v>
      </c>
      <c r="BG7" s="6">
        <v>3.0371269999999999</v>
      </c>
      <c r="BH7" s="6">
        <v>2.7887849999999998</v>
      </c>
      <c r="BI7" s="6">
        <v>1.9697990000000001</v>
      </c>
      <c r="BJ7" s="6">
        <v>3.5598879999999999</v>
      </c>
      <c r="BK7" s="6">
        <v>6.2104939999999997</v>
      </c>
      <c r="BL7" s="4">
        <v>41663</v>
      </c>
      <c r="BM7" s="6">
        <f>VLOOKUP(BL7,Sheet1!$A$2:$E$1114,2,FALSE)</f>
        <v>1.0210352152180779</v>
      </c>
      <c r="BN7" s="6">
        <f t="shared" si="7"/>
        <v>4.6320754004889109</v>
      </c>
      <c r="BO7">
        <f>[1]!f_nav_adjustedreturn(BM$1,$BL6+1,$BL7)</f>
        <v>3.2543084594523535</v>
      </c>
      <c r="BP7">
        <f>[1]!i_pq_pctchange(BB$1,$AY6+1,$AY7)</f>
        <v>2.5891934679284523</v>
      </c>
      <c r="BQ7">
        <f>[1]!i_pq_pctchange(BC$1,$AY6+1,$AY7)</f>
        <v>4.8916993211041149</v>
      </c>
      <c r="BR7">
        <f>[1]!i_pq_pctchange(BD$1,$AY6+1,$AY7)</f>
        <v>6.3810509445131114</v>
      </c>
      <c r="BS7" s="23">
        <f t="shared" si="5"/>
        <v>1.3777669410365574</v>
      </c>
      <c r="BT7" s="23">
        <f t="shared" si="8"/>
        <v>-4.6792845243004422E-7</v>
      </c>
      <c r="BU7" s="23">
        <f t="shared" si="9"/>
        <v>-3.2110411485319901E-7</v>
      </c>
      <c r="BV7" s="23">
        <f t="shared" si="10"/>
        <v>5.5486888861366879E-8</v>
      </c>
    </row>
    <row r="8" spans="1:74" x14ac:dyDescent="0.3">
      <c r="A8" s="4">
        <v>43063</v>
      </c>
      <c r="B8" s="6">
        <v>-1.2196827221027218</v>
      </c>
      <c r="C8" s="6">
        <v>1.1869959999999999</v>
      </c>
      <c r="D8" s="6">
        <v>-0.99302699999999999</v>
      </c>
      <c r="E8" s="6">
        <v>-1.779053</v>
      </c>
      <c r="F8" s="6">
        <v>4.2410999999999997E-2</v>
      </c>
      <c r="G8" s="6">
        <v>-2.5452270000000001</v>
      </c>
      <c r="H8" s="6">
        <v>-4.7222650000000002</v>
      </c>
      <c r="I8" s="6">
        <v>-2.7676720000000001</v>
      </c>
      <c r="J8" s="6">
        <v>1.310667</v>
      </c>
      <c r="K8" s="6">
        <v>-0.64444599999999996</v>
      </c>
      <c r="L8" s="6">
        <v>-1.49E-3</v>
      </c>
      <c r="M8">
        <v>0</v>
      </c>
      <c r="N8">
        <f t="shared" si="0"/>
        <v>1.1408237719577972</v>
      </c>
      <c r="O8">
        <f t="shared" si="1"/>
        <v>1.715317334997285</v>
      </c>
      <c r="P8" s="9">
        <f t="shared" si="2"/>
        <v>1.1902710983287315</v>
      </c>
      <c r="AG8" t="s">
        <v>23</v>
      </c>
      <c r="AH8" t="str">
        <f>[1]!f_info_setupdate($AH$6)</f>
        <v>2010-04-22</v>
      </c>
      <c r="AI8" t="s">
        <v>38</v>
      </c>
      <c r="AJ8" t="s">
        <v>36</v>
      </c>
      <c r="AK8">
        <f>(VLOOKUP(1,AW4:AX3113,2,FALSE))-1</f>
        <v>237</v>
      </c>
      <c r="AL8" s="15"/>
      <c r="AW8">
        <f t="shared" si="6"/>
        <v>0</v>
      </c>
      <c r="AX8">
        <v>5</v>
      </c>
      <c r="AY8" s="4">
        <f t="shared" si="3"/>
        <v>41669</v>
      </c>
      <c r="AZ8" s="6">
        <f t="shared" si="4"/>
        <v>-0.22171626409051015</v>
      </c>
      <c r="BA8" s="4">
        <v>41669</v>
      </c>
      <c r="BB8" s="6">
        <v>-1.3926909999999999</v>
      </c>
      <c r="BC8" s="6">
        <v>-0.64980899999999997</v>
      </c>
      <c r="BD8" s="6">
        <v>-0.26018999999999998</v>
      </c>
      <c r="BE8" s="6">
        <v>-1.3095300000000001</v>
      </c>
      <c r="BF8" s="6">
        <v>0.85283500000000001</v>
      </c>
      <c r="BG8" s="6">
        <v>-3.9566080000000001</v>
      </c>
      <c r="BH8" s="6">
        <v>1.6886000000000002E-2</v>
      </c>
      <c r="BI8" s="6">
        <v>-3.1508319999999999</v>
      </c>
      <c r="BJ8" s="6">
        <v>-0.36458699999999999</v>
      </c>
      <c r="BK8" s="6">
        <v>0.65027699999999999</v>
      </c>
      <c r="BL8" s="4">
        <v>41669</v>
      </c>
      <c r="BM8" s="6">
        <f>VLOOKUP(BL8,Sheet1!$A$2:$E$1114,2,FALSE)</f>
        <v>1.018771414083848</v>
      </c>
      <c r="BN8" s="6">
        <f t="shared" si="7"/>
        <v>-0.22171626409051015</v>
      </c>
      <c r="BO8">
        <f>[1]!f_nav_adjustedreturn(BM$1,$BL7+1,$BL8)</f>
        <v>0.72015589256969814</v>
      </c>
      <c r="BP8">
        <f>[1]!i_pq_pctchange(BB$1,$AY7+1,$AY8)</f>
        <v>-1.3926913685157416</v>
      </c>
      <c r="BQ8">
        <f>[1]!i_pq_pctchange(BC$1,$AY7+1,$AY8)</f>
        <v>-0.64980891391870355</v>
      </c>
      <c r="BR8">
        <f>[1]!i_pq_pctchange(BD$1,$AY7+1,$AY8)</f>
        <v>-0.26019007962794216</v>
      </c>
      <c r="BS8" s="23">
        <f t="shared" si="5"/>
        <v>-0.94187215666020829</v>
      </c>
      <c r="BT8" s="23">
        <f t="shared" si="8"/>
        <v>3.6851574169993739E-7</v>
      </c>
      <c r="BU8" s="23">
        <f t="shared" si="9"/>
        <v>-8.6081296424289633E-8</v>
      </c>
      <c r="BV8" s="23">
        <f t="shared" si="10"/>
        <v>7.9627942184412603E-8</v>
      </c>
    </row>
    <row r="9" spans="1:74" x14ac:dyDescent="0.3">
      <c r="A9" s="4">
        <v>43070</v>
      </c>
      <c r="B9" s="6">
        <v>-1.152744279584017</v>
      </c>
      <c r="C9" s="6">
        <v>-2.9979469999999999</v>
      </c>
      <c r="D9" s="6">
        <v>-7.1529999999999996E-3</v>
      </c>
      <c r="E9" s="6">
        <v>-1.801682</v>
      </c>
      <c r="F9" s="6">
        <v>1.9169320000000001</v>
      </c>
      <c r="G9" s="6">
        <v>0.26885700000000001</v>
      </c>
      <c r="H9" s="6">
        <v>-2.5319919999999998</v>
      </c>
      <c r="I9" s="6">
        <v>-0.64313299999999995</v>
      </c>
      <c r="J9" s="6">
        <v>0.44575599999999999</v>
      </c>
      <c r="K9" s="6">
        <v>-0.84551100000000001</v>
      </c>
      <c r="L9" s="6">
        <v>-2.2401970000000002</v>
      </c>
      <c r="M9">
        <v>0</v>
      </c>
      <c r="N9">
        <f t="shared" si="0"/>
        <v>0.53398495145475455</v>
      </c>
      <c r="O9">
        <f t="shared" si="1"/>
        <v>1.544459367899691</v>
      </c>
      <c r="P9" s="9">
        <f t="shared" si="2"/>
        <v>3.1183534341622838</v>
      </c>
      <c r="AG9" t="s">
        <v>25</v>
      </c>
      <c r="AH9" s="13">
        <v>41640</v>
      </c>
      <c r="AJ9" t="s">
        <v>35</v>
      </c>
      <c r="AK9" s="15"/>
      <c r="AW9">
        <f t="shared" si="6"/>
        <v>0</v>
      </c>
      <c r="AX9">
        <v>6</v>
      </c>
      <c r="AY9" s="4">
        <f t="shared" si="3"/>
        <v>41677</v>
      </c>
      <c r="AZ9" s="6">
        <f t="shared" si="4"/>
        <v>1.3738959954928687</v>
      </c>
      <c r="BA9" s="4">
        <v>41677</v>
      </c>
      <c r="BB9" s="6">
        <v>-0.22403699999999999</v>
      </c>
      <c r="BC9" s="6">
        <v>1.488545</v>
      </c>
      <c r="BD9" s="6">
        <v>1.6713709999999999</v>
      </c>
      <c r="BE9" s="6">
        <v>1.43716</v>
      </c>
      <c r="BF9" s="6">
        <v>2.8817560000000002</v>
      </c>
      <c r="BG9" s="6">
        <v>1.3192630000000001</v>
      </c>
      <c r="BH9" s="6">
        <v>0.41443799999999997</v>
      </c>
      <c r="BI9" s="6">
        <v>0.99677499999999997</v>
      </c>
      <c r="BJ9" s="6">
        <v>0.78714799999999996</v>
      </c>
      <c r="BK9" s="6">
        <v>3.026742</v>
      </c>
      <c r="BL9" s="4">
        <v>41677</v>
      </c>
      <c r="BM9" s="6">
        <f>VLOOKUP(BL9,Sheet1!$A$2:$E$1114,2,FALSE)</f>
        <v>1.032768273745172</v>
      </c>
      <c r="BN9" s="6">
        <f t="shared" si="7"/>
        <v>1.3738959954928687</v>
      </c>
      <c r="BO9">
        <f>[1]!f_nav_adjustedreturn(BM$1,$BL8+1,$BL9)</f>
        <v>1.186069986541048</v>
      </c>
      <c r="BP9">
        <f>[1]!i_pq_pctchange(BB$1,$AY8+1,$AY9)</f>
        <v>-0.22403689722165776</v>
      </c>
      <c r="BQ9">
        <f>[1]!i_pq_pctchange(BC$1,$AY8+1,$AY9)</f>
        <v>1.4885452962946522</v>
      </c>
      <c r="BR9">
        <f>[1]!i_pq_pctchange(BD$1,$AY8+1,$AY9)</f>
        <v>1.6713714142734259</v>
      </c>
      <c r="BS9" s="23">
        <f t="shared" si="5"/>
        <v>0.18782600895182067</v>
      </c>
      <c r="BT9" s="23">
        <f t="shared" si="8"/>
        <v>-1.0277834222582882E-7</v>
      </c>
      <c r="BU9" s="23">
        <f t="shared" si="9"/>
        <v>-2.9629465214675577E-7</v>
      </c>
      <c r="BV9" s="23">
        <f t="shared" si="10"/>
        <v>-4.1427342600819372E-7</v>
      </c>
    </row>
    <row r="10" spans="1:74" x14ac:dyDescent="0.3">
      <c r="A10" s="4">
        <v>43077</v>
      </c>
      <c r="B10" s="6">
        <v>-0.65019869564606481</v>
      </c>
      <c r="C10" s="6">
        <v>0.19261</v>
      </c>
      <c r="D10" s="6">
        <v>-1.608751</v>
      </c>
      <c r="E10" s="6">
        <v>-0.99753800000000004</v>
      </c>
      <c r="F10" s="6">
        <v>-2.6994159999999998</v>
      </c>
      <c r="G10" s="6">
        <v>-0.37304399999999999</v>
      </c>
      <c r="H10" s="6">
        <v>1.354365</v>
      </c>
      <c r="I10" s="6">
        <v>-0.401111</v>
      </c>
      <c r="J10" s="6">
        <v>-2.5694210000000002</v>
      </c>
      <c r="K10" s="6">
        <v>-1.0074730000000001</v>
      </c>
      <c r="L10" s="6">
        <v>-0.80069400000000002</v>
      </c>
      <c r="M10">
        <v>0</v>
      </c>
      <c r="N10">
        <f t="shared" si="0"/>
        <v>2.6361995642045683E-2</v>
      </c>
      <c r="O10">
        <f t="shared" si="1"/>
        <v>0.54792152149627671</v>
      </c>
      <c r="P10" s="9">
        <f t="shared" si="2"/>
        <v>1.6778561416306261</v>
      </c>
      <c r="AG10" t="s">
        <v>24</v>
      </c>
      <c r="AH10" s="13">
        <v>42397</v>
      </c>
      <c r="AI10" s="14"/>
      <c r="AJ10" t="s">
        <v>46</v>
      </c>
      <c r="AK10">
        <f>AK8</f>
        <v>237</v>
      </c>
      <c r="AW10">
        <f t="shared" si="6"/>
        <v>0</v>
      </c>
      <c r="AX10">
        <v>7</v>
      </c>
      <c r="AY10" s="4">
        <f t="shared" si="3"/>
        <v>41684</v>
      </c>
      <c r="AZ10" s="6">
        <f t="shared" si="4"/>
        <v>2.2163385779470524</v>
      </c>
      <c r="BA10" s="4">
        <v>41684</v>
      </c>
      <c r="BB10" s="6">
        <v>3.6170499999999999</v>
      </c>
      <c r="BC10" s="6">
        <v>4.9946210000000004</v>
      </c>
      <c r="BD10" s="6">
        <v>3.5691419999999998</v>
      </c>
      <c r="BE10" s="6">
        <v>4.8354679999999997</v>
      </c>
      <c r="BF10" s="6">
        <v>1.2238370000000001</v>
      </c>
      <c r="BG10" s="6">
        <v>4.9337359999999997</v>
      </c>
      <c r="BH10" s="6">
        <v>3.9927709999999998</v>
      </c>
      <c r="BI10" s="6">
        <v>3.4806699999999999</v>
      </c>
      <c r="BJ10" s="6">
        <v>2.8046660000000001</v>
      </c>
      <c r="BK10" s="6">
        <v>2.0187719999999998</v>
      </c>
      <c r="BL10" s="4">
        <v>41684</v>
      </c>
      <c r="BM10" s="6">
        <f>VLOOKUP(BL10,Sheet1!$A$2:$E$1114,2,FALSE)</f>
        <v>1.0556579154169841</v>
      </c>
      <c r="BN10" s="6">
        <f t="shared" si="7"/>
        <v>2.2163385779470524</v>
      </c>
      <c r="BO10">
        <f>[1]!f_nav_adjustedreturn(BM$1,$BL9+1,$BL10)</f>
        <v>5.3869814614681282</v>
      </c>
      <c r="BP10">
        <f>[1]!i_pq_pctchange(BB$1,$AY9+1,$AY10)</f>
        <v>3.6170498388770733</v>
      </c>
      <c r="BQ10">
        <f>[1]!i_pq_pctchange(BC$1,$AY9+1,$AY10)</f>
        <v>4.9946208734811925</v>
      </c>
      <c r="BR10">
        <f>[1]!i_pq_pctchange(BD$1,$AY9+1,$AY10)</f>
        <v>3.5691421980273974</v>
      </c>
      <c r="BS10" s="23">
        <f t="shared" si="5"/>
        <v>-3.1706428835210758</v>
      </c>
      <c r="BT10" s="23">
        <f t="shared" si="8"/>
        <v>1.6112292655634519E-7</v>
      </c>
      <c r="BU10" s="23">
        <f t="shared" si="9"/>
        <v>1.2651880787473146E-7</v>
      </c>
      <c r="BV10" s="23">
        <f t="shared" si="10"/>
        <v>-1.9802739759100518E-7</v>
      </c>
    </row>
    <row r="11" spans="1:74" x14ac:dyDescent="0.3">
      <c r="A11" s="4">
        <v>43084</v>
      </c>
      <c r="B11" s="6">
        <v>-0.16099378883498439</v>
      </c>
      <c r="C11" s="6">
        <v>-2.3239519999999998</v>
      </c>
      <c r="D11" s="6">
        <v>-5.7990000000000003E-3</v>
      </c>
      <c r="E11" s="6">
        <v>1.411543</v>
      </c>
      <c r="F11" s="6">
        <v>-0.202121</v>
      </c>
      <c r="G11" s="6">
        <v>0.200099</v>
      </c>
      <c r="H11" s="6">
        <v>3.1272280000000001</v>
      </c>
      <c r="I11" s="6">
        <v>1.2154590000000001</v>
      </c>
      <c r="J11" s="6">
        <v>-1.1998530000000001</v>
      </c>
      <c r="K11" s="6">
        <v>-0.30006899999999997</v>
      </c>
      <c r="L11" s="6">
        <v>0.109345</v>
      </c>
      <c r="M11">
        <v>0</v>
      </c>
      <c r="N11">
        <f t="shared" si="0"/>
        <v>2.7627483125415454E-2</v>
      </c>
      <c r="O11">
        <f t="shared" si="1"/>
        <v>6.3007177544535178E-2</v>
      </c>
      <c r="P11" s="9">
        <f t="shared" si="2"/>
        <v>7.5823411109058741E-2</v>
      </c>
      <c r="AG11" t="s">
        <v>29</v>
      </c>
      <c r="AH11" s="14"/>
      <c r="AW11">
        <f t="shared" si="6"/>
        <v>0</v>
      </c>
      <c r="AX11">
        <v>8</v>
      </c>
      <c r="AY11" s="4">
        <f t="shared" si="3"/>
        <v>41691</v>
      </c>
      <c r="AZ11" s="6">
        <f t="shared" si="4"/>
        <v>-0.26929266296971122</v>
      </c>
      <c r="BA11" s="4">
        <v>41691</v>
      </c>
      <c r="BB11" s="6">
        <v>-2.595043</v>
      </c>
      <c r="BC11" s="6">
        <v>-0.769486</v>
      </c>
      <c r="BD11" s="6">
        <v>-0.245087</v>
      </c>
      <c r="BE11" s="6">
        <v>-1.051466</v>
      </c>
      <c r="BF11" s="6">
        <v>0.89428399999999997</v>
      </c>
      <c r="BG11" s="6">
        <v>-0.38125900000000001</v>
      </c>
      <c r="BH11" s="6">
        <v>1.1571400000000001</v>
      </c>
      <c r="BI11" s="6">
        <v>0.39205499999999999</v>
      </c>
      <c r="BJ11" s="6">
        <v>-0.37767800000000001</v>
      </c>
      <c r="BK11" s="6">
        <v>0.51993</v>
      </c>
      <c r="BL11" s="4">
        <v>41691</v>
      </c>
      <c r="BM11" s="6">
        <f>VLOOKUP(BL11,Sheet1!$A$2:$E$1114,2,FALSE)</f>
        <v>1.0528151061047071</v>
      </c>
      <c r="BN11" s="6">
        <f t="shared" si="7"/>
        <v>-0.26929266296971122</v>
      </c>
      <c r="BO11">
        <f>[1]!f_nav_adjustedreturn(BM$1,$BL10+1,$BL11)</f>
        <v>0.38652678078407682</v>
      </c>
      <c r="BP11">
        <f>[1]!i_pq_pctchange(BB$1,$AY10+1,$AY11)</f>
        <v>-2.5950430546511805</v>
      </c>
      <c r="BQ11">
        <f>[1]!i_pq_pctchange(BC$1,$AY10+1,$AY11)</f>
        <v>-0.76948595843997492</v>
      </c>
      <c r="BR11">
        <f>[1]!i_pq_pctchange(BD$1,$AY10+1,$AY11)</f>
        <v>-0.24508661829638623</v>
      </c>
      <c r="BS11" s="23">
        <f t="shared" si="5"/>
        <v>-0.65581944375378809</v>
      </c>
      <c r="BT11" s="23">
        <f t="shared" si="8"/>
        <v>5.4651180469988958E-8</v>
      </c>
      <c r="BU11" s="23">
        <f t="shared" si="9"/>
        <v>-4.1560025088038799E-8</v>
      </c>
      <c r="BV11" s="23">
        <f t="shared" si="10"/>
        <v>-3.8170361377209971E-7</v>
      </c>
    </row>
    <row r="12" spans="1:74" x14ac:dyDescent="0.3">
      <c r="A12" s="4">
        <v>43091</v>
      </c>
      <c r="B12" s="6">
        <v>1.7990047113810803</v>
      </c>
      <c r="C12" s="6">
        <v>1.1467499999999999</v>
      </c>
      <c r="D12" s="6">
        <v>-0.17899799999999999</v>
      </c>
      <c r="E12" s="6">
        <v>0.28498600000000002</v>
      </c>
      <c r="F12" s="6">
        <v>0.33372000000000002</v>
      </c>
      <c r="G12" s="6">
        <v>-0.73621300000000001</v>
      </c>
      <c r="H12" s="6">
        <v>3.0821939999999999</v>
      </c>
      <c r="I12" s="6">
        <v>1.1066739999999999</v>
      </c>
      <c r="J12" s="6">
        <v>3.5050780000000001</v>
      </c>
      <c r="K12" s="6">
        <v>0.28837099999999999</v>
      </c>
      <c r="L12" s="6">
        <v>0.415184</v>
      </c>
      <c r="M12">
        <v>0</v>
      </c>
      <c r="N12">
        <f t="shared" si="0"/>
        <v>2.8755309982083683</v>
      </c>
      <c r="O12">
        <f t="shared" si="1"/>
        <v>2.9206338135114787</v>
      </c>
      <c r="P12" s="9">
        <f t="shared" si="2"/>
        <v>2.296832003472411</v>
      </c>
      <c r="AW12">
        <f t="shared" si="6"/>
        <v>0</v>
      </c>
      <c r="AX12">
        <v>9</v>
      </c>
      <c r="AY12" s="4">
        <f t="shared" si="3"/>
        <v>41698</v>
      </c>
      <c r="AZ12" s="6">
        <f t="shared" si="4"/>
        <v>-2.8781945538602804</v>
      </c>
      <c r="BA12" s="4">
        <v>41698</v>
      </c>
      <c r="BB12" s="6">
        <v>-3.1745670000000001</v>
      </c>
      <c r="BC12" s="6">
        <v>-3.8580990000000002</v>
      </c>
      <c r="BD12" s="6">
        <v>-5.0640020000000003</v>
      </c>
      <c r="BE12" s="6">
        <v>-3.0245359999999999</v>
      </c>
      <c r="BF12" s="6">
        <v>-3.4071669999999998</v>
      </c>
      <c r="BG12" s="6">
        <v>-4.0935610000000002</v>
      </c>
      <c r="BH12" s="6">
        <v>-3.7749899999999998</v>
      </c>
      <c r="BI12" s="6">
        <v>-3.6947860000000001</v>
      </c>
      <c r="BJ12" s="6">
        <v>-1.041539</v>
      </c>
      <c r="BK12" s="6">
        <v>-4.0107860000000004</v>
      </c>
      <c r="BL12" s="4">
        <v>41698</v>
      </c>
      <c r="BM12" s="6">
        <f>VLOOKUP(BL12,Sheet1!$A$2:$E$1114,2,FALSE)</f>
        <v>1.022513039058583</v>
      </c>
      <c r="BN12" s="6">
        <f t="shared" si="7"/>
        <v>-2.8781945538602804</v>
      </c>
      <c r="BO12">
        <f>[1]!f_nav_adjustedreturn(BM$1,$BL11+1,$BL12)</f>
        <v>-2.9467232437529409</v>
      </c>
      <c r="BP12">
        <f>[1]!i_pq_pctchange(BB$1,$AY11+1,$AY12)</f>
        <v>-3.1745673233320004</v>
      </c>
      <c r="BQ12">
        <f>[1]!i_pq_pctchange(BC$1,$AY11+1,$AY12)</f>
        <v>-3.8580987867715799</v>
      </c>
      <c r="BR12">
        <f>[1]!i_pq_pctchange(BD$1,$AY11+1,$AY12)</f>
        <v>-5.0640016661414826</v>
      </c>
      <c r="BS12" s="23">
        <f t="shared" si="5"/>
        <v>6.8528689892660477E-2</v>
      </c>
      <c r="BT12" s="23">
        <f t="shared" si="8"/>
        <v>3.2333200028489273E-7</v>
      </c>
      <c r="BU12" s="23">
        <f t="shared" si="9"/>
        <v>-2.1322842025384148E-7</v>
      </c>
      <c r="BV12" s="23">
        <f t="shared" si="10"/>
        <v>-3.3385851772038677E-7</v>
      </c>
    </row>
    <row r="13" spans="1:74" x14ac:dyDescent="0.3">
      <c r="A13" s="4">
        <v>43098</v>
      </c>
      <c r="B13" s="6">
        <v>-0.30924112645348556</v>
      </c>
      <c r="C13" s="6">
        <v>-0.41543400000000003</v>
      </c>
      <c r="D13" s="6">
        <v>6.6649999999999999E-3</v>
      </c>
      <c r="E13" s="6">
        <v>0.215866</v>
      </c>
      <c r="F13" s="6">
        <v>1.5561780000000001</v>
      </c>
      <c r="G13" s="6">
        <v>-1.984966</v>
      </c>
      <c r="H13" s="6">
        <v>-0.76702000000000004</v>
      </c>
      <c r="I13" s="6">
        <v>-0.51004799999999995</v>
      </c>
      <c r="J13" s="6">
        <v>0.48227700000000001</v>
      </c>
      <c r="K13" s="6">
        <v>-1.3979090000000001</v>
      </c>
      <c r="L13" s="6">
        <v>-2.6182850000000002</v>
      </c>
      <c r="M13">
        <v>0</v>
      </c>
      <c r="N13">
        <f t="shared" si="0"/>
        <v>6.4116907665400596E-2</v>
      </c>
      <c r="O13">
        <f t="shared" si="1"/>
        <v>0.15940826267418678</v>
      </c>
      <c r="P13" s="9">
        <f t="shared" si="2"/>
        <v>1.1958500419029277</v>
      </c>
      <c r="AF13" t="s">
        <v>12</v>
      </c>
      <c r="AG13" t="s">
        <v>13</v>
      </c>
      <c r="AH13" t="s">
        <v>39</v>
      </c>
      <c r="AI13" t="s">
        <v>14</v>
      </c>
      <c r="AJ13" s="7" t="s">
        <v>20</v>
      </c>
      <c r="AK13" s="7" t="s">
        <v>16</v>
      </c>
      <c r="AL13" s="7" t="s">
        <v>31</v>
      </c>
      <c r="AM13" s="8" t="s">
        <v>17</v>
      </c>
      <c r="AN13" s="8"/>
      <c r="AO13" s="8"/>
      <c r="AP13" s="8"/>
      <c r="AQ13" s="8"/>
      <c r="AR13" s="8"/>
      <c r="AS13" s="8"/>
      <c r="AT13" s="7"/>
      <c r="AU13" s="7"/>
      <c r="AV13" s="7"/>
      <c r="AW13">
        <f t="shared" si="6"/>
        <v>0</v>
      </c>
      <c r="AX13">
        <v>10</v>
      </c>
      <c r="AY13" s="4">
        <f t="shared" si="3"/>
        <v>41705</v>
      </c>
      <c r="AZ13" s="6">
        <f t="shared" si="4"/>
        <v>0.64018602155702098</v>
      </c>
      <c r="BA13" s="4">
        <v>41705</v>
      </c>
      <c r="BB13" s="6">
        <v>-0.578538</v>
      </c>
      <c r="BC13" s="6">
        <v>0.90135600000000005</v>
      </c>
      <c r="BD13" s="6">
        <v>1.1477189999999999</v>
      </c>
      <c r="BE13" s="6">
        <v>1.0203070000000001</v>
      </c>
      <c r="BF13" s="6">
        <v>-0.26303599999999999</v>
      </c>
      <c r="BG13" s="6">
        <v>1.789415</v>
      </c>
      <c r="BH13" s="6">
        <v>0.54317099999999996</v>
      </c>
      <c r="BI13" s="6">
        <v>-0.20460200000000001</v>
      </c>
      <c r="BJ13" s="6">
        <v>-0.78703900000000004</v>
      </c>
      <c r="BK13" s="6">
        <v>1.913322</v>
      </c>
      <c r="BL13" s="4">
        <v>41705</v>
      </c>
      <c r="BM13" s="6">
        <f>VLOOKUP(BL13,Sheet1!$A$2:$E$1114,2,FALSE)</f>
        <v>1.0290590246032341</v>
      </c>
      <c r="BN13" s="6">
        <f t="shared" si="7"/>
        <v>0.64018602155702098</v>
      </c>
      <c r="BO13">
        <f>[1]!f_nav_adjustedreturn(BM$1,$BL12+1,$BL13)</f>
        <v>2.1536717674682295</v>
      </c>
      <c r="BP13">
        <f>[1]!i_pq_pctchange(BB$1,$AY12+1,$AY13)</f>
        <v>-0.57853769955371614</v>
      </c>
      <c r="BQ13">
        <f>[1]!i_pq_pctchange(BC$1,$AY12+1,$AY13)</f>
        <v>0.90135562998918672</v>
      </c>
      <c r="BR13">
        <f>[1]!i_pq_pctchange(BD$1,$AY12+1,$AY13)</f>
        <v>1.1477192410156212</v>
      </c>
      <c r="BS13" s="23">
        <f t="shared" si="5"/>
        <v>-1.5134857459112085</v>
      </c>
      <c r="BT13" s="23">
        <f t="shared" si="8"/>
        <v>-3.0044628385184069E-7</v>
      </c>
      <c r="BU13" s="23">
        <f t="shared" si="9"/>
        <v>3.7001081332199703E-7</v>
      </c>
      <c r="BV13" s="23">
        <f t="shared" si="10"/>
        <v>-2.4101562123846065E-7</v>
      </c>
    </row>
    <row r="14" spans="1:74" x14ac:dyDescent="0.3">
      <c r="A14" s="4">
        <v>43105</v>
      </c>
      <c r="B14" s="6">
        <v>1.9275758639155649</v>
      </c>
      <c r="C14" s="6">
        <v>2.8345720000000001</v>
      </c>
      <c r="D14" s="6">
        <v>2.1710430000000001</v>
      </c>
      <c r="E14" s="6">
        <v>2.043555</v>
      </c>
      <c r="F14" s="6">
        <v>3.9075929999999999</v>
      </c>
      <c r="G14" s="6">
        <v>1.2947439999999999</v>
      </c>
      <c r="H14" s="6">
        <v>3.3212000000000002</v>
      </c>
      <c r="I14" s="6">
        <v>1.5071699999999999</v>
      </c>
      <c r="J14" s="6">
        <v>5.7475639999999997</v>
      </c>
      <c r="K14" s="6">
        <v>2.2931349999999999</v>
      </c>
      <c r="L14" s="6">
        <v>1.5977189999999999</v>
      </c>
      <c r="M14">
        <v>0</v>
      </c>
      <c r="N14">
        <f t="shared" si="0"/>
        <v>0.69889938399092055</v>
      </c>
      <c r="O14">
        <f t="shared" si="1"/>
        <v>3.3766170041994124</v>
      </c>
      <c r="P14" s="9">
        <f t="shared" si="2"/>
        <v>1.6233262132656121</v>
      </c>
      <c r="AF14" t="str">
        <f>AH6</f>
        <v>163406.OF</v>
      </c>
      <c r="AG14">
        <f>CORREL(B4:B23,D4:D23)</f>
        <v>0.80821613821354521</v>
      </c>
      <c r="AH14" s="3">
        <f>A23</f>
        <v>43168</v>
      </c>
      <c r="AI14" s="3">
        <f>A4</f>
        <v>43035</v>
      </c>
      <c r="AJ14">
        <f>O2</f>
        <v>0.14000000000000001</v>
      </c>
      <c r="AK14">
        <f>P2</f>
        <v>0.32</v>
      </c>
      <c r="AL14">
        <f>Q2</f>
        <v>0</v>
      </c>
      <c r="AM14" s="12">
        <f>R2</f>
        <v>0.54</v>
      </c>
      <c r="AN14" s="12"/>
      <c r="AO14" s="12"/>
      <c r="AP14" s="12"/>
      <c r="AQ14" s="12"/>
      <c r="AR14" s="12"/>
      <c r="AS14" s="12"/>
      <c r="AT14" s="11"/>
      <c r="AU14" s="11"/>
      <c r="AV14" s="11"/>
      <c r="AW14">
        <f t="shared" si="6"/>
        <v>0</v>
      </c>
      <c r="AX14">
        <v>11</v>
      </c>
      <c r="AY14" s="4">
        <f t="shared" si="3"/>
        <v>41712</v>
      </c>
      <c r="AZ14" s="6">
        <f t="shared" si="4"/>
        <v>-1.418651474342858</v>
      </c>
      <c r="BA14" s="4">
        <v>41712</v>
      </c>
      <c r="BB14" s="6">
        <v>-1.412512</v>
      </c>
      <c r="BC14" s="6">
        <v>-3.8133140000000001</v>
      </c>
      <c r="BD14" s="6">
        <v>-3.5298129999999999</v>
      </c>
      <c r="BE14" s="6">
        <v>-2.5125679999999999</v>
      </c>
      <c r="BF14" s="6">
        <v>-3.150039</v>
      </c>
      <c r="BG14" s="6">
        <v>0.40800599999999998</v>
      </c>
      <c r="BH14" s="6">
        <v>-1.3919919999999999</v>
      </c>
      <c r="BI14" s="6">
        <v>-4.332052</v>
      </c>
      <c r="BJ14" s="6">
        <v>-2.0460020000000001</v>
      </c>
      <c r="BK14" s="6">
        <v>-5.5429009999999996</v>
      </c>
      <c r="BL14" s="4">
        <v>41712</v>
      </c>
      <c r="BM14" s="6">
        <f>VLOOKUP(BL14,Sheet1!$A$2:$E$1114,2,FALSE)</f>
        <v>1.014460263578842</v>
      </c>
      <c r="BN14" s="6">
        <f t="shared" si="7"/>
        <v>-1.418651474342858</v>
      </c>
      <c r="BO14">
        <f>[1]!f_nav_adjustedreturn(BM$1,$BL13+1,$BL14)</f>
        <v>-1.5217563604660431</v>
      </c>
      <c r="BP14">
        <f>[1]!i_pq_pctchange(BB$1,$AY13+1,$AY14)</f>
        <v>-1.4125116742561561</v>
      </c>
      <c r="BQ14">
        <f>[1]!i_pq_pctchange(BC$1,$AY13+1,$AY14)</f>
        <v>-3.8133142144841647</v>
      </c>
      <c r="BR14">
        <f>[1]!i_pq_pctchange(BD$1,$AY13+1,$AY14)</f>
        <v>-3.5298133207196325</v>
      </c>
      <c r="BS14" s="23">
        <f t="shared" si="5"/>
        <v>0.10310488612318514</v>
      </c>
      <c r="BT14" s="23">
        <f t="shared" si="8"/>
        <v>-3.2574384389860711E-7</v>
      </c>
      <c r="BU14" s="23">
        <f t="shared" si="9"/>
        <v>2.1448416465119635E-7</v>
      </c>
      <c r="BV14" s="23">
        <f t="shared" si="10"/>
        <v>3.2071963262936265E-7</v>
      </c>
    </row>
    <row r="15" spans="1:74" x14ac:dyDescent="0.3">
      <c r="A15" s="4">
        <v>43112</v>
      </c>
      <c r="B15" s="6">
        <v>0.75219286455103784</v>
      </c>
      <c r="C15" s="6">
        <v>2.403203</v>
      </c>
      <c r="D15" s="6">
        <v>-1.422048</v>
      </c>
      <c r="E15" s="6">
        <v>1.639151</v>
      </c>
      <c r="F15" s="6">
        <v>-0.64439000000000002</v>
      </c>
      <c r="G15" s="6">
        <v>0.56211299999999997</v>
      </c>
      <c r="H15" s="6">
        <v>3.4922309999999999</v>
      </c>
      <c r="I15" s="6">
        <v>1.1345000000000001</v>
      </c>
      <c r="J15" s="6">
        <v>0.66651899999999997</v>
      </c>
      <c r="K15" s="6">
        <v>-0.62655499999999997</v>
      </c>
      <c r="L15" s="6">
        <v>-2.5154049999999999</v>
      </c>
      <c r="M15">
        <v>0</v>
      </c>
      <c r="N15">
        <f t="shared" si="0"/>
        <v>0.75829229960612576</v>
      </c>
      <c r="O15">
        <f t="shared" si="1"/>
        <v>0.43847486691357251</v>
      </c>
      <c r="P15" s="9">
        <f t="shared" si="2"/>
        <v>1.4854012990095007</v>
      </c>
      <c r="AW15">
        <f t="shared" si="6"/>
        <v>0</v>
      </c>
      <c r="AX15">
        <v>12</v>
      </c>
      <c r="AY15" s="4">
        <f t="shared" si="3"/>
        <v>41719</v>
      </c>
      <c r="AZ15" s="6">
        <f t="shared" si="4"/>
        <v>0.83341356650299403</v>
      </c>
      <c r="BA15" s="4">
        <v>41719</v>
      </c>
      <c r="BB15" s="6">
        <v>3.5225089999999999</v>
      </c>
      <c r="BC15" s="6">
        <v>1.554881</v>
      </c>
      <c r="BD15" s="6">
        <v>0.73849100000000001</v>
      </c>
      <c r="BE15" s="6">
        <v>1.8148219999999999</v>
      </c>
      <c r="BF15" s="6">
        <v>0.51909300000000003</v>
      </c>
      <c r="BG15" s="6">
        <v>-6.7240999999999995E-2</v>
      </c>
      <c r="BH15" s="6">
        <v>0.19497</v>
      </c>
      <c r="BI15" s="6">
        <v>2.3402150000000002</v>
      </c>
      <c r="BJ15" s="6">
        <v>1.763136</v>
      </c>
      <c r="BK15" s="6">
        <v>2.0939619999999999</v>
      </c>
      <c r="BL15" s="4">
        <v>41719</v>
      </c>
      <c r="BM15" s="6">
        <f>VLOOKUP(BL15,Sheet1!$A$2:$E$1114,2,FALSE)</f>
        <v>1.0229149130422901</v>
      </c>
      <c r="BN15" s="6">
        <f t="shared" si="7"/>
        <v>0.83341356650299403</v>
      </c>
      <c r="BO15">
        <f>[1]!f_nav_adjustedreturn(BM$1,$BL14+1,$BL15)</f>
        <v>-0.51509054325956516</v>
      </c>
      <c r="BP15">
        <f>[1]!i_pq_pctchange(BB$1,$AY14+1,$AY15)</f>
        <v>3.5225089674922661</v>
      </c>
      <c r="BQ15">
        <f>[1]!i_pq_pctchange(BC$1,$AY14+1,$AY15)</f>
        <v>1.5548807602881576</v>
      </c>
      <c r="BR15">
        <f>[1]!i_pq_pctchange(BD$1,$AY14+1,$AY15)</f>
        <v>0.73849095774820572</v>
      </c>
      <c r="BS15" s="23">
        <f t="shared" si="5"/>
        <v>1.3485041097625592</v>
      </c>
      <c r="BT15" s="23">
        <f t="shared" si="8"/>
        <v>3.2507733838116337E-8</v>
      </c>
      <c r="BU15" s="23">
        <f t="shared" si="9"/>
        <v>2.3971184237581156E-7</v>
      </c>
      <c r="BV15" s="23">
        <f t="shared" si="10"/>
        <v>4.2251794285519395E-8</v>
      </c>
    </row>
    <row r="16" spans="1:74" x14ac:dyDescent="0.3">
      <c r="A16" s="4">
        <v>43119</v>
      </c>
      <c r="B16" s="6">
        <v>0.4555109217909914</v>
      </c>
      <c r="C16" s="6">
        <v>5.4654850000000001</v>
      </c>
      <c r="D16" s="6">
        <v>-1.3420270000000001</v>
      </c>
      <c r="E16" s="6">
        <v>-2.0045380000000002</v>
      </c>
      <c r="F16" s="6">
        <v>-1.5032810000000001</v>
      </c>
      <c r="G16" s="6">
        <v>-3.7696559999999999</v>
      </c>
      <c r="H16" s="6">
        <v>-2.087561</v>
      </c>
      <c r="I16" s="6">
        <v>-1.6031489999999999</v>
      </c>
      <c r="J16" s="6">
        <v>-1.0902940000000001</v>
      </c>
      <c r="K16" s="6">
        <v>-0.70838800000000002</v>
      </c>
      <c r="L16" s="6">
        <v>-2.5706199999999999</v>
      </c>
      <c r="M16">
        <v>0</v>
      </c>
      <c r="N16">
        <f t="shared" si="0"/>
        <v>1.435004223464725E-2</v>
      </c>
      <c r="O16">
        <f t="shared" si="1"/>
        <v>0.1335846981580161</v>
      </c>
      <c r="P16" s="9">
        <f t="shared" si="2"/>
        <v>0.86781037155640406</v>
      </c>
      <c r="Z16" s="11"/>
      <c r="AW16">
        <f t="shared" si="6"/>
        <v>0</v>
      </c>
      <c r="AX16">
        <v>13</v>
      </c>
      <c r="AY16" s="4">
        <f t="shared" si="3"/>
        <v>41726</v>
      </c>
      <c r="AZ16" s="6">
        <f t="shared" si="4"/>
        <v>-2.3646949331968536</v>
      </c>
      <c r="BA16" s="4">
        <v>41726</v>
      </c>
      <c r="BB16" s="6">
        <v>1.051936</v>
      </c>
      <c r="BC16" s="6">
        <v>-1.8189070000000001</v>
      </c>
      <c r="BD16" s="6">
        <v>-1.467454</v>
      </c>
      <c r="BE16" s="6">
        <v>-1.013703</v>
      </c>
      <c r="BF16" s="6">
        <v>-5.969964</v>
      </c>
      <c r="BG16" s="6">
        <v>-3.8937300000000001</v>
      </c>
      <c r="BH16" s="6">
        <v>-3.1683460000000001</v>
      </c>
      <c r="BI16" s="6">
        <v>-2.385615</v>
      </c>
      <c r="BJ16" s="6">
        <v>-0.57299800000000001</v>
      </c>
      <c r="BK16" s="6">
        <v>-5.3437130000000002</v>
      </c>
      <c r="BL16" s="4">
        <v>41726</v>
      </c>
      <c r="BM16" s="6">
        <f>VLOOKUP(BL16,Sheet1!$A$2:$E$1114,2,FALSE)</f>
        <v>0.99872609592266404</v>
      </c>
      <c r="BN16" s="6">
        <f t="shared" si="7"/>
        <v>-2.3646949331968536</v>
      </c>
      <c r="BO16">
        <f>[1]!f_nav_adjustedreturn(BM$1,$BL15+1,$BL16)</f>
        <v>-3.4382331526575389</v>
      </c>
      <c r="BP16">
        <f>[1]!i_pq_pctchange(BB$1,$AY15+1,$AY16)</f>
        <v>1.0519355249668072</v>
      </c>
      <c r="BQ16">
        <f>[1]!i_pq_pctchange(BC$1,$AY15+1,$AY16)</f>
        <v>-1.818906687618127</v>
      </c>
      <c r="BR16">
        <f>[1]!i_pq_pctchange(BD$1,$AY15+1,$AY16)</f>
        <v>-1.4674542794642642</v>
      </c>
      <c r="BS16" s="23">
        <f t="shared" si="5"/>
        <v>1.0735382194606853</v>
      </c>
      <c r="BT16" s="23">
        <f t="shared" si="8"/>
        <v>4.7503319278163758E-7</v>
      </c>
      <c r="BU16" s="23">
        <f t="shared" si="9"/>
        <v>-3.1238187303550546E-7</v>
      </c>
      <c r="BV16" s="23">
        <f t="shared" si="10"/>
        <v>2.7946426417457815E-7</v>
      </c>
    </row>
    <row r="17" spans="1:74" x14ac:dyDescent="0.3">
      <c r="A17" s="4">
        <v>43126</v>
      </c>
      <c r="B17" s="6">
        <v>1.8740516255091766</v>
      </c>
      <c r="C17" s="6">
        <v>1.423662</v>
      </c>
      <c r="D17" s="6">
        <v>1.812746</v>
      </c>
      <c r="E17" s="6">
        <v>3.7640630000000002</v>
      </c>
      <c r="F17" s="6">
        <v>1.7217180000000001</v>
      </c>
      <c r="G17" s="6">
        <v>2.4494020000000001</v>
      </c>
      <c r="H17" s="6">
        <v>1.9974179999999999</v>
      </c>
      <c r="I17" s="6">
        <v>1.13171</v>
      </c>
      <c r="J17" s="6">
        <v>2.9099689999999998</v>
      </c>
      <c r="K17" s="6">
        <v>0.86375400000000002</v>
      </c>
      <c r="L17" s="6">
        <v>-0.75268800000000002</v>
      </c>
      <c r="M17">
        <v>0</v>
      </c>
      <c r="N17">
        <f t="shared" si="0"/>
        <v>1.198281009311801</v>
      </c>
      <c r="O17">
        <f t="shared" si="1"/>
        <v>3.1827741332239454</v>
      </c>
      <c r="P17" s="9">
        <f t="shared" si="2"/>
        <v>2.7202731373534496E-2</v>
      </c>
      <c r="AW17">
        <f t="shared" si="6"/>
        <v>0</v>
      </c>
      <c r="AX17">
        <v>14</v>
      </c>
      <c r="AY17" s="4">
        <f t="shared" si="3"/>
        <v>41733</v>
      </c>
      <c r="AZ17" s="6">
        <f t="shared" si="4"/>
        <v>1.8853267584398647</v>
      </c>
      <c r="BA17" s="4">
        <v>41733</v>
      </c>
      <c r="BB17" s="6">
        <v>1.43408</v>
      </c>
      <c r="BC17" s="6">
        <v>0.997278</v>
      </c>
      <c r="BD17" s="6">
        <v>1.5666329999999999</v>
      </c>
      <c r="BE17" s="6">
        <v>2.2453310000000002</v>
      </c>
      <c r="BF17" s="6">
        <v>3.3795760000000001</v>
      </c>
      <c r="BG17" s="6">
        <v>2.7164190000000001</v>
      </c>
      <c r="BH17" s="6">
        <v>9.2393000000000003E-2</v>
      </c>
      <c r="BI17" s="6">
        <v>0.66061800000000004</v>
      </c>
      <c r="BJ17" s="6">
        <v>1.3964700000000001</v>
      </c>
      <c r="BK17" s="6">
        <v>2.1475810000000002</v>
      </c>
      <c r="BL17" s="4">
        <v>41733</v>
      </c>
      <c r="BM17" s="6">
        <f>VLOOKUP(BL17,Sheet1!$A$2:$E$1114,2,FALSE)</f>
        <v>1.0175553462526159</v>
      </c>
      <c r="BN17" s="6">
        <f t="shared" si="7"/>
        <v>1.8853267584398647</v>
      </c>
      <c r="BO17">
        <f>[1]!f_nav_adjustedreturn(BM$1,$BL16+1,$BL17)</f>
        <v>3.2422922252010515</v>
      </c>
      <c r="BP17">
        <f>[1]!i_pq_pctchange(BB$1,$AY16+1,$AY17)</f>
        <v>1.4340796369664899</v>
      </c>
      <c r="BQ17">
        <f>[1]!i_pq_pctchange(BC$1,$AY16+1,$AY17)</f>
        <v>0.99727818110459943</v>
      </c>
      <c r="BR17">
        <f>[1]!i_pq_pctchange(BD$1,$AY16+1,$AY17)</f>
        <v>1.5666332765167379</v>
      </c>
      <c r="BS17" s="23">
        <f t="shared" si="5"/>
        <v>-1.3569654667611868</v>
      </c>
      <c r="BT17" s="23">
        <f t="shared" si="8"/>
        <v>3.6303351014232987E-7</v>
      </c>
      <c r="BU17" s="23">
        <f t="shared" si="9"/>
        <v>-1.8110459942821677E-7</v>
      </c>
      <c r="BV17" s="23">
        <f t="shared" si="10"/>
        <v>-2.7651673795148213E-7</v>
      </c>
    </row>
    <row r="18" spans="1:74" x14ac:dyDescent="0.3">
      <c r="A18" s="4">
        <v>43133</v>
      </c>
      <c r="B18" s="6">
        <v>-1.6649655496569715</v>
      </c>
      <c r="C18" s="6">
        <v>-2.1280230000000002</v>
      </c>
      <c r="D18" s="6">
        <v>-6.582001</v>
      </c>
      <c r="E18" s="6">
        <v>-5.0813189999999997</v>
      </c>
      <c r="F18" s="6">
        <v>-3.0725500000000001</v>
      </c>
      <c r="G18" s="6">
        <v>-8.2026529999999998</v>
      </c>
      <c r="H18" s="6">
        <v>-5.681711</v>
      </c>
      <c r="I18" s="6">
        <v>-5.3479460000000003</v>
      </c>
      <c r="J18" s="6">
        <v>1.472361</v>
      </c>
      <c r="K18" s="6">
        <v>-4.4091680000000002</v>
      </c>
      <c r="L18" s="6">
        <v>-8.1506310000000006</v>
      </c>
      <c r="M18">
        <v>0</v>
      </c>
      <c r="N18">
        <f t="shared" si="0"/>
        <v>0.5464136689271718</v>
      </c>
      <c r="O18">
        <f t="shared" si="1"/>
        <v>3.0799690732685572</v>
      </c>
      <c r="P18" s="9">
        <f t="shared" si="2"/>
        <v>5.7522025943029238</v>
      </c>
      <c r="AW18">
        <f t="shared" si="6"/>
        <v>0</v>
      </c>
      <c r="AX18">
        <v>15</v>
      </c>
      <c r="AY18" s="4">
        <f t="shared" si="3"/>
        <v>41740</v>
      </c>
      <c r="AZ18" s="6">
        <f t="shared" si="4"/>
        <v>2.3049047002065004</v>
      </c>
      <c r="BA18" s="4">
        <v>41740</v>
      </c>
      <c r="BB18" s="6">
        <v>3.9118469999999999</v>
      </c>
      <c r="BC18" s="6">
        <v>2.7507929999999998</v>
      </c>
      <c r="BD18" s="6">
        <v>2.975009</v>
      </c>
      <c r="BE18" s="6">
        <v>1.6049990000000001</v>
      </c>
      <c r="BF18" s="6">
        <v>1.8644769999999999</v>
      </c>
      <c r="BG18" s="6">
        <v>3.9834429999999998</v>
      </c>
      <c r="BH18" s="6">
        <v>2.8171840000000001</v>
      </c>
      <c r="BI18" s="6">
        <v>2.9743179999999998</v>
      </c>
      <c r="BJ18" s="6">
        <v>2.4437229999999999</v>
      </c>
      <c r="BK18" s="6">
        <v>2.8444229999999999</v>
      </c>
      <c r="BL18" s="4">
        <v>41740</v>
      </c>
      <c r="BM18" s="6">
        <f>VLOOKUP(BL18,Sheet1!$A$2:$E$1114,2,FALSE)</f>
        <v>1.041009027255595</v>
      </c>
      <c r="BN18" s="6">
        <f t="shared" si="7"/>
        <v>2.3049047002065004</v>
      </c>
      <c r="BO18">
        <f>[1]!f_nav_adjustedreturn(BM$1,$BL17+1,$BL18)</f>
        <v>3.3595715329059623</v>
      </c>
      <c r="BP18">
        <f>[1]!i_pq_pctchange(BB$1,$AY17+1,$AY18)</f>
        <v>3.9118467769417853</v>
      </c>
      <c r="BQ18">
        <f>[1]!i_pq_pctchange(BC$1,$AY17+1,$AY18)</f>
        <v>2.7507930693539961</v>
      </c>
      <c r="BR18">
        <f>[1]!i_pq_pctchange(BD$1,$AY17+1,$AY18)</f>
        <v>2.975009291895403</v>
      </c>
      <c r="BS18" s="23">
        <f t="shared" si="5"/>
        <v>-1.0546668326994619</v>
      </c>
      <c r="BT18" s="23">
        <f t="shared" si="8"/>
        <v>2.2305821456569674E-7</v>
      </c>
      <c r="BU18" s="23">
        <f t="shared" si="9"/>
        <v>-6.9353996323684441E-8</v>
      </c>
      <c r="BV18" s="23">
        <f t="shared" si="10"/>
        <v>-2.9189540295959659E-7</v>
      </c>
    </row>
    <row r="19" spans="1:74" x14ac:dyDescent="0.3">
      <c r="A19" s="4">
        <v>43140</v>
      </c>
      <c r="B19" s="6">
        <v>-9.2855520462653658</v>
      </c>
      <c r="C19" s="6">
        <v>-11.180287999999999</v>
      </c>
      <c r="D19" s="6">
        <v>-7.8970779999999996</v>
      </c>
      <c r="E19" s="6">
        <v>-7.6207209999999996</v>
      </c>
      <c r="F19" s="6">
        <v>-9.3151989999999998</v>
      </c>
      <c r="G19" s="6">
        <v>-6.0738050000000001</v>
      </c>
      <c r="H19" s="6">
        <v>-8.6890739999999997</v>
      </c>
      <c r="I19" s="6">
        <v>-6.7881710000000002</v>
      </c>
      <c r="J19" s="6">
        <v>-13.242153</v>
      </c>
      <c r="K19" s="6">
        <v>-5.824122</v>
      </c>
      <c r="L19" s="6">
        <v>-5.1265409999999996</v>
      </c>
      <c r="M19">
        <v>0</v>
      </c>
      <c r="N19">
        <f t="shared" si="0"/>
        <v>26.969811975325683</v>
      </c>
      <c r="O19">
        <f t="shared" si="1"/>
        <v>87.901323381686055</v>
      </c>
      <c r="P19" s="9">
        <f t="shared" si="2"/>
        <v>2.6581815387491343E-2</v>
      </c>
      <c r="AW19">
        <f t="shared" si="6"/>
        <v>0</v>
      </c>
      <c r="AX19">
        <v>16</v>
      </c>
      <c r="AY19" s="4">
        <f t="shared" si="3"/>
        <v>41747</v>
      </c>
      <c r="AZ19" s="6">
        <f t="shared" si="4"/>
        <v>-1.2044523570727494</v>
      </c>
      <c r="BA19" s="4">
        <v>41747</v>
      </c>
      <c r="BB19" s="6">
        <v>-2.5384799999999998</v>
      </c>
      <c r="BC19" s="6">
        <v>-0.42378900000000003</v>
      </c>
      <c r="BD19" s="6">
        <v>-0.33750999999999998</v>
      </c>
      <c r="BE19" s="6">
        <v>-0.67843600000000004</v>
      </c>
      <c r="BF19" s="6">
        <v>0.827345</v>
      </c>
      <c r="BG19" s="6">
        <v>-0.383102</v>
      </c>
      <c r="BH19" s="6">
        <v>-0.47369800000000001</v>
      </c>
      <c r="BI19" s="6">
        <v>-1.199781</v>
      </c>
      <c r="BJ19" s="6">
        <v>-0.85910200000000003</v>
      </c>
      <c r="BK19" s="6">
        <v>2.010796</v>
      </c>
      <c r="BL19" s="4">
        <v>41747</v>
      </c>
      <c r="BM19" s="6">
        <f>VLOOKUP(BL19,Sheet1!$A$2:$E$1114,2,FALSE)</f>
        <v>1.0284705694894749</v>
      </c>
      <c r="BN19" s="6">
        <f t="shared" si="7"/>
        <v>-1.2044523570727494</v>
      </c>
      <c r="BO19">
        <f>[1]!f_nav_adjustedreturn(BM$1,$BL18+1,$BL19)</f>
        <v>-0.61238910261443469</v>
      </c>
      <c r="BP19">
        <f>[1]!i_pq_pctchange(BB$1,$AY18+1,$AY19)</f>
        <v>-2.5384796401522247</v>
      </c>
      <c r="BQ19">
        <f>[1]!i_pq_pctchange(BC$1,$AY18+1,$AY19)</f>
        <v>-0.42378934141565905</v>
      </c>
      <c r="BR19">
        <f>[1]!i_pq_pctchange(BD$1,$AY18+1,$AY19)</f>
        <v>-0.33751046250229955</v>
      </c>
      <c r="BS19" s="23">
        <f t="shared" si="5"/>
        <v>-0.59206325445831476</v>
      </c>
      <c r="BT19" s="23">
        <f t="shared" si="8"/>
        <v>-3.598477751332041E-7</v>
      </c>
      <c r="BU19" s="23">
        <f t="shared" si="9"/>
        <v>3.4141565902201521E-7</v>
      </c>
      <c r="BV19" s="23">
        <f t="shared" si="10"/>
        <v>4.6250229956967814E-7</v>
      </c>
    </row>
    <row r="20" spans="1:74" x14ac:dyDescent="0.3">
      <c r="A20" s="4">
        <v>43145</v>
      </c>
      <c r="B20" s="6">
        <v>3.5856239737471318</v>
      </c>
      <c r="C20" s="6">
        <v>1.998605</v>
      </c>
      <c r="D20" s="6">
        <v>2.4893730000000001</v>
      </c>
      <c r="E20" s="6">
        <v>4.4124840000000001</v>
      </c>
      <c r="F20" s="6">
        <v>4.4607929999999998</v>
      </c>
      <c r="G20" s="6">
        <v>3.537131</v>
      </c>
      <c r="H20" s="6">
        <v>4.2778790000000004</v>
      </c>
      <c r="I20" s="6">
        <v>4.0821350000000001</v>
      </c>
      <c r="J20" s="6">
        <v>1.570163</v>
      </c>
      <c r="K20" s="6">
        <v>1.2179679999999999</v>
      </c>
      <c r="L20" s="6">
        <v>3.6133259999999998</v>
      </c>
      <c r="M20">
        <v>0</v>
      </c>
      <c r="N20">
        <f t="shared" si="0"/>
        <v>6.2961845755451629</v>
      </c>
      <c r="O20">
        <f t="shared" si="1"/>
        <v>12.219257511135108</v>
      </c>
      <c r="P20" s="9">
        <f t="shared" si="2"/>
        <v>1.0078492173417825E-2</v>
      </c>
      <c r="AW20">
        <f t="shared" si="6"/>
        <v>0</v>
      </c>
      <c r="AX20">
        <v>17</v>
      </c>
      <c r="AY20" s="4">
        <f t="shared" si="3"/>
        <v>41754</v>
      </c>
      <c r="AZ20" s="6">
        <f t="shared" si="4"/>
        <v>-3.3605213008806478</v>
      </c>
      <c r="BA20" s="4">
        <v>41754</v>
      </c>
      <c r="BB20" s="6">
        <v>-0.76172499999999999</v>
      </c>
      <c r="BC20" s="6">
        <v>-4.7258329999999997</v>
      </c>
      <c r="BD20" s="6">
        <v>-5.3522699999999999</v>
      </c>
      <c r="BE20" s="6">
        <v>-4.4144009999999998</v>
      </c>
      <c r="BF20" s="6">
        <v>-6.5716409999999996</v>
      </c>
      <c r="BG20" s="6">
        <v>-4.732615</v>
      </c>
      <c r="BH20" s="6">
        <v>-5.3900779999999999</v>
      </c>
      <c r="BI20" s="6">
        <v>-2.5133909999999999</v>
      </c>
      <c r="BJ20" s="6">
        <v>-3.3004669999999998</v>
      </c>
      <c r="BK20" s="6">
        <v>-6.3363350000000001</v>
      </c>
      <c r="BL20" s="4">
        <v>41754</v>
      </c>
      <c r="BM20" s="6">
        <f>VLOOKUP(BL20,Sheet1!$A$2:$E$1114,2,FALSE)</f>
        <v>0.99390859692849265</v>
      </c>
      <c r="BN20" s="6">
        <f t="shared" si="7"/>
        <v>-3.3605213008806478</v>
      </c>
      <c r="BO20">
        <f>[1]!f_nav_adjustedreturn(BM$1,$BL19+1,$BL20)</f>
        <v>-3.7127735208152131</v>
      </c>
      <c r="BP20">
        <f>[1]!i_pq_pctchange(BB$1,$AY19+1,$AY20)</f>
        <v>-0.76172460725738578</v>
      </c>
      <c r="BQ20">
        <f>[1]!i_pq_pctchange(BC$1,$AY19+1,$AY20)</f>
        <v>-4.7258328842698649</v>
      </c>
      <c r="BR20">
        <f>[1]!i_pq_pctchange(BD$1,$AY19+1,$AY20)</f>
        <v>-5.3522701386656157</v>
      </c>
      <c r="BS20" s="23">
        <f t="shared" si="5"/>
        <v>0.35225221993456524</v>
      </c>
      <c r="BT20" s="23">
        <f t="shared" si="8"/>
        <v>-3.9274261420807477E-7</v>
      </c>
      <c r="BU20" s="23">
        <f t="shared" si="9"/>
        <v>-1.1573013480870031E-7</v>
      </c>
      <c r="BV20" s="23">
        <f t="shared" si="10"/>
        <v>1.3866561587860815E-7</v>
      </c>
    </row>
    <row r="21" spans="1:74" x14ac:dyDescent="0.3">
      <c r="A21" s="4">
        <v>43154</v>
      </c>
      <c r="B21" s="6">
        <v>2.7982740048992927</v>
      </c>
      <c r="C21" s="6">
        <v>2.7415340000000001</v>
      </c>
      <c r="D21" s="6">
        <v>2.3673799999999998</v>
      </c>
      <c r="E21" s="6">
        <v>1.5318480000000001</v>
      </c>
      <c r="F21" s="6">
        <v>3.4204089999999998</v>
      </c>
      <c r="G21" s="6">
        <v>2.1184799999999999</v>
      </c>
      <c r="H21" s="6">
        <v>2.5880519999999998</v>
      </c>
      <c r="I21" s="6">
        <v>1.640207</v>
      </c>
      <c r="J21" s="6">
        <v>3.5392800000000002</v>
      </c>
      <c r="K21" s="6">
        <v>1.7348460000000001</v>
      </c>
      <c r="L21" s="6">
        <v>1.959157</v>
      </c>
      <c r="M21">
        <v>0</v>
      </c>
      <c r="N21">
        <f t="shared" si="0"/>
        <v>2.7453098056728225</v>
      </c>
      <c r="O21">
        <f t="shared" si="1"/>
        <v>7.3346477892046389</v>
      </c>
      <c r="P21" s="9">
        <f t="shared" si="2"/>
        <v>3.6146836920229811E-2</v>
      </c>
      <c r="AW21">
        <f t="shared" si="6"/>
        <v>0</v>
      </c>
      <c r="AX21">
        <v>18</v>
      </c>
      <c r="AY21" s="4">
        <f t="shared" si="3"/>
        <v>41759</v>
      </c>
      <c r="AZ21" s="6">
        <f t="shared" si="4"/>
        <v>-0.48670249889569694</v>
      </c>
      <c r="BA21" s="4">
        <v>41759</v>
      </c>
      <c r="BB21" s="6">
        <v>-0.64241700000000002</v>
      </c>
      <c r="BC21" s="6">
        <v>-1.0350459999999999</v>
      </c>
      <c r="BD21" s="6">
        <v>6.1962000000000003E-2</v>
      </c>
      <c r="BE21" s="6">
        <v>-1.3436079999999999</v>
      </c>
      <c r="BF21" s="6">
        <v>-0.75607199999999997</v>
      </c>
      <c r="BG21" s="6">
        <v>-0.46238200000000002</v>
      </c>
      <c r="BH21" s="6">
        <v>-0.46000400000000002</v>
      </c>
      <c r="BI21" s="6">
        <v>-2.1756899999999999</v>
      </c>
      <c r="BJ21" s="6">
        <v>-0.390926</v>
      </c>
      <c r="BK21" s="6">
        <v>-1.2684249999999999</v>
      </c>
      <c r="BL21" s="4">
        <v>41759</v>
      </c>
      <c r="BM21" s="6">
        <f>VLOOKUP(BL21,Sheet1!$A$2:$E$1114,2,FALSE)</f>
        <v>0.98907121895050254</v>
      </c>
      <c r="BN21" s="6">
        <f t="shared" si="7"/>
        <v>-0.48670249889569694</v>
      </c>
      <c r="BO21">
        <f>[1]!f_nav_adjustedreturn(BM$1,$BL20+1,$BL21)</f>
        <v>-0.37738944950367881</v>
      </c>
      <c r="BP21">
        <f>[1]!i_pq_pctchange(BB$1,$AY20+1,$AY21)</f>
        <v>-0.64241680381600386</v>
      </c>
      <c r="BQ21">
        <f>[1]!i_pq_pctchange(BC$1,$AY20+1,$AY21)</f>
        <v>-1.0350455526175084</v>
      </c>
      <c r="BR21">
        <f>[1]!i_pq_pctchange(BD$1,$AY20+1,$AY21)</f>
        <v>6.1962098995982373E-2</v>
      </c>
      <c r="BS21" s="23">
        <f t="shared" si="5"/>
        <v>-0.10931304939201814</v>
      </c>
      <c r="BT21" s="23">
        <f t="shared" si="8"/>
        <v>-1.9618399615950466E-7</v>
      </c>
      <c r="BU21" s="23">
        <f t="shared" si="9"/>
        <v>-4.4738249149745002E-7</v>
      </c>
      <c r="BV21" s="23">
        <f t="shared" si="10"/>
        <v>-9.8995982369953772E-8</v>
      </c>
    </row>
    <row r="22" spans="1:74" x14ac:dyDescent="0.3">
      <c r="A22" s="4">
        <v>43161</v>
      </c>
      <c r="B22" s="6">
        <v>-0.95576098940530763</v>
      </c>
      <c r="C22" s="6">
        <v>-2.9373710000000002</v>
      </c>
      <c r="D22" s="6">
        <v>2.5154999999999998</v>
      </c>
      <c r="E22" s="6">
        <v>1.0883860000000001</v>
      </c>
      <c r="F22" s="6">
        <v>0.20099800000000001</v>
      </c>
      <c r="G22" s="6">
        <v>7.2152050000000001</v>
      </c>
      <c r="H22" s="6">
        <v>-2.1405539999999998</v>
      </c>
      <c r="I22" s="6">
        <v>2.0380319999999998</v>
      </c>
      <c r="J22" s="6">
        <v>-3.2287159999999999</v>
      </c>
      <c r="K22" s="6">
        <v>2.2137790000000002</v>
      </c>
      <c r="L22" s="6">
        <v>5.3664680000000002</v>
      </c>
      <c r="M22">
        <v>0</v>
      </c>
      <c r="N22">
        <f t="shared" si="0"/>
        <v>1.8211206944648406</v>
      </c>
      <c r="O22">
        <f t="shared" si="1"/>
        <v>1.0936547754504671</v>
      </c>
      <c r="P22" s="9">
        <f t="shared" si="2"/>
        <v>2.1258455595681642</v>
      </c>
      <c r="AW22">
        <f t="shared" si="6"/>
        <v>0</v>
      </c>
      <c r="AX22">
        <v>19</v>
      </c>
      <c r="AY22" s="4">
        <f t="shared" si="3"/>
        <v>41768</v>
      </c>
      <c r="AZ22" s="6">
        <f t="shared" si="4"/>
        <v>-1.1315319707601024</v>
      </c>
      <c r="BA22" s="4">
        <v>41768</v>
      </c>
      <c r="BB22" s="6">
        <v>-1.290708</v>
      </c>
      <c r="BC22" s="6">
        <v>-1.29135</v>
      </c>
      <c r="BD22" s="6">
        <v>-2.1373350000000002</v>
      </c>
      <c r="BE22" s="6">
        <v>1.3521999999999999E-2</v>
      </c>
      <c r="BF22" s="6">
        <v>-1.172194</v>
      </c>
      <c r="BG22" s="6">
        <v>-1.3704909999999999</v>
      </c>
      <c r="BH22" s="6">
        <v>-0.86372599999999999</v>
      </c>
      <c r="BI22" s="6">
        <v>0.448237</v>
      </c>
      <c r="BJ22" s="6">
        <v>-0.94211800000000001</v>
      </c>
      <c r="BK22" s="6">
        <v>-1.0439210000000001</v>
      </c>
      <c r="BL22" s="4">
        <v>41768</v>
      </c>
      <c r="BM22" s="6">
        <f>VLOOKUP(BL22,Sheet1!$A$2:$E$1114,2,FALSE)</f>
        <v>0.97787956189449099</v>
      </c>
      <c r="BN22" s="6">
        <f t="shared" si="7"/>
        <v>-1.1315319707601024</v>
      </c>
      <c r="BO22">
        <f>[1]!f_nav_adjustedreturn(BM$1,$BL21+1,$BL22)</f>
        <v>-1.1446924153833369</v>
      </c>
      <c r="BP22">
        <f>[1]!i_pq_pctchange(BB$1,$AY21+1,$AY22)</f>
        <v>-1.2907077836454839</v>
      </c>
      <c r="BQ22">
        <f>[1]!i_pq_pctchange(BC$1,$AY21+1,$AY22)</f>
        <v>-1.2913502810524502</v>
      </c>
      <c r="BR22">
        <f>[1]!i_pq_pctchange(BD$1,$AY21+1,$AY22)</f>
        <v>-2.1373353462810329</v>
      </c>
      <c r="BS22" s="23">
        <f t="shared" si="5"/>
        <v>1.3160444623234513E-2</v>
      </c>
      <c r="BT22" s="23">
        <f t="shared" si="8"/>
        <v>-2.1635451608048584E-7</v>
      </c>
      <c r="BU22" s="23">
        <f t="shared" si="9"/>
        <v>2.810524502017131E-7</v>
      </c>
      <c r="BV22" s="23">
        <f t="shared" si="10"/>
        <v>3.4628103273703914E-7</v>
      </c>
    </row>
    <row r="23" spans="1:74" x14ac:dyDescent="0.3">
      <c r="A23" s="4">
        <v>43168</v>
      </c>
      <c r="B23" s="6">
        <v>1.7128952018857113</v>
      </c>
      <c r="C23" s="6">
        <v>2.2039369999999998</v>
      </c>
      <c r="D23" s="6">
        <v>2.3251580000000001</v>
      </c>
      <c r="E23" s="6">
        <v>2.5544419999999999</v>
      </c>
      <c r="F23" s="6">
        <v>0.41908299999999998</v>
      </c>
      <c r="G23" s="6">
        <v>5.0124129999999996</v>
      </c>
      <c r="H23" s="6">
        <v>1.3280559999999999</v>
      </c>
      <c r="I23" s="6">
        <v>5.8892300000000004</v>
      </c>
      <c r="J23" s="6">
        <v>0.35692499999999999</v>
      </c>
      <c r="K23" s="6">
        <v>3.0916410000000001</v>
      </c>
      <c r="L23" s="6">
        <v>3.1463809999999999</v>
      </c>
      <c r="M23">
        <v>0</v>
      </c>
      <c r="N23">
        <f t="shared" si="0"/>
        <v>0.43598745580901721</v>
      </c>
      <c r="O23">
        <f t="shared" si="1"/>
        <v>2.6337287352253118</v>
      </c>
      <c r="P23" s="9">
        <f t="shared" si="2"/>
        <v>0.18834614128580415</v>
      </c>
      <c r="AW23">
        <f t="shared" si="6"/>
        <v>0</v>
      </c>
      <c r="AX23">
        <v>20</v>
      </c>
      <c r="AY23" s="4">
        <f t="shared" si="3"/>
        <v>41775</v>
      </c>
      <c r="AZ23" s="6">
        <f t="shared" si="4"/>
        <v>0.23648293279174837</v>
      </c>
      <c r="BA23" s="4">
        <v>41775</v>
      </c>
      <c r="BB23" s="6">
        <v>0.78819799999999995</v>
      </c>
      <c r="BC23" s="6">
        <v>0.56941399999999998</v>
      </c>
      <c r="BD23" s="6">
        <v>-5.3427000000000002E-2</v>
      </c>
      <c r="BE23" s="6">
        <v>0.68507700000000005</v>
      </c>
      <c r="BF23" s="6">
        <v>-0.66494399999999998</v>
      </c>
      <c r="BG23" s="6">
        <v>-0.56094200000000005</v>
      </c>
      <c r="BH23" s="6">
        <v>-1.030189</v>
      </c>
      <c r="BI23" s="6">
        <v>2.2029359999999998</v>
      </c>
      <c r="BJ23" s="6">
        <v>0.76259600000000005</v>
      </c>
      <c r="BK23" s="6">
        <v>0.111289</v>
      </c>
      <c r="BL23" s="4">
        <v>41775</v>
      </c>
      <c r="BM23" s="6">
        <f>VLOOKUP(BL23,Sheet1!$A$2:$E$1114,2,FALSE)</f>
        <v>0.98019208016163017</v>
      </c>
      <c r="BN23" s="6">
        <f t="shared" si="7"/>
        <v>0.23648293279174837</v>
      </c>
      <c r="BO23">
        <f>[1]!f_nav_adjustedreturn(BM$1,$BL22+1,$BL23)</f>
        <v>-0.67477507497501887</v>
      </c>
      <c r="BP23">
        <f>[1]!i_pq_pctchange(BB$1,$AY22+1,$AY23)</f>
        <v>0.78819785817243471</v>
      </c>
      <c r="BQ23">
        <f>[1]!i_pq_pctchange(BC$1,$AY22+1,$AY23)</f>
        <v>0.56941441250459857</v>
      </c>
      <c r="BR23">
        <f>[1]!i_pq_pctchange(BD$1,$AY22+1,$AY23)</f>
        <v>-5.3427385675131056E-2</v>
      </c>
      <c r="BS23" s="23">
        <f t="shared" si="5"/>
        <v>0.91125800776676724</v>
      </c>
      <c r="BT23" s="23">
        <f t="shared" si="8"/>
        <v>1.4182756524760975E-7</v>
      </c>
      <c r="BU23" s="23">
        <f t="shared" si="9"/>
        <v>-4.1250459859032418E-7</v>
      </c>
      <c r="BV23" s="23">
        <f t="shared" si="10"/>
        <v>3.8567513105380868E-7</v>
      </c>
    </row>
    <row r="24" spans="1:74" x14ac:dyDescent="0.3">
      <c r="A24" s="4">
        <v>43175</v>
      </c>
      <c r="B24" s="6">
        <v>-1.3466017651091455</v>
      </c>
      <c r="C24" s="6">
        <v>-2.0011489999999998</v>
      </c>
      <c r="D24" s="6">
        <v>-1.02233</v>
      </c>
      <c r="E24" s="6">
        <v>-0.269872</v>
      </c>
      <c r="F24" s="6">
        <v>0.60247600000000001</v>
      </c>
      <c r="G24" s="6">
        <v>-2.0098600000000002</v>
      </c>
      <c r="H24" s="6">
        <v>-0.23940900000000001</v>
      </c>
      <c r="I24" s="6">
        <v>-1.27081</v>
      </c>
      <c r="J24" s="6">
        <v>-0.66173700000000002</v>
      </c>
      <c r="K24" s="6">
        <v>-1.2828919999999999</v>
      </c>
      <c r="L24" s="6">
        <v>-2.4874800000000001</v>
      </c>
      <c r="M24">
        <v>0</v>
      </c>
      <c r="N24">
        <f t="shared" ref="N24:N43" si="11">(SUMPRODUCT(C$2:M$2,C24:M24)-B24)^2</f>
        <v>0.54655754815642454</v>
      </c>
      <c r="O24">
        <f t="shared" ref="O24:O43" si="12">(B24-$AB$1)^2</f>
        <v>2.063877834188645</v>
      </c>
      <c r="P24" s="9">
        <f t="shared" si="2"/>
        <v>1.1334420302525987</v>
      </c>
      <c r="AW24">
        <f t="shared" si="6"/>
        <v>0</v>
      </c>
      <c r="AX24">
        <v>21</v>
      </c>
      <c r="AY24" s="4">
        <f t="shared" si="3"/>
        <v>41782</v>
      </c>
      <c r="AZ24" s="6">
        <f t="shared" si="4"/>
        <v>1.3331444780792179</v>
      </c>
      <c r="BA24" s="4">
        <v>41782</v>
      </c>
      <c r="BB24" s="6">
        <v>0.49165199999999998</v>
      </c>
      <c r="BC24" s="6">
        <v>0.44700600000000001</v>
      </c>
      <c r="BD24" s="6">
        <v>1.290268</v>
      </c>
      <c r="BE24" s="6">
        <v>0.16012199999999999</v>
      </c>
      <c r="BF24" s="6">
        <v>4.5969189999999998</v>
      </c>
      <c r="BG24" s="6">
        <v>4.0399999999999998E-2</v>
      </c>
      <c r="BH24" s="6">
        <v>1.353804</v>
      </c>
      <c r="BI24" s="6">
        <v>-0.156971</v>
      </c>
      <c r="BJ24" s="6">
        <v>1.348123</v>
      </c>
      <c r="BK24" s="6">
        <v>3.4284189999999999</v>
      </c>
      <c r="BL24" s="4">
        <v>41782</v>
      </c>
      <c r="BM24" s="6">
        <f>VLOOKUP(BL24,Sheet1!$A$2:$E$1114,2,FALSE)</f>
        <v>0.99325945675287475</v>
      </c>
      <c r="BN24" s="6">
        <f t="shared" si="7"/>
        <v>1.3331444780792179</v>
      </c>
    </row>
    <row r="25" spans="1:74" x14ac:dyDescent="0.3">
      <c r="A25" s="4">
        <v>43182</v>
      </c>
      <c r="B25" s="6">
        <v>-4.2329488961620365</v>
      </c>
      <c r="C25" s="6">
        <v>-3.4717090000000002</v>
      </c>
      <c r="D25" s="6">
        <v>-4.6498910000000002</v>
      </c>
      <c r="E25" s="6">
        <v>-5.7312289999999999</v>
      </c>
      <c r="F25" s="6">
        <v>-6.9491199999999997</v>
      </c>
      <c r="G25" s="6">
        <v>-6.1411819999999997</v>
      </c>
      <c r="H25" s="6">
        <v>-3.8051089999999999</v>
      </c>
      <c r="I25" s="6">
        <v>-0.99403200000000003</v>
      </c>
      <c r="J25" s="6">
        <v>-4.3944369999999999</v>
      </c>
      <c r="K25" s="6">
        <v>-3.5224799999999998</v>
      </c>
      <c r="L25" s="6">
        <v>-7.7586510000000004</v>
      </c>
      <c r="M25">
        <v>0</v>
      </c>
      <c r="N25">
        <f t="shared" si="11"/>
        <v>5.1028303270985358</v>
      </c>
      <c r="O25">
        <f t="shared" si="12"/>
        <v>18.68804725291762</v>
      </c>
      <c r="P25" s="9">
        <f t="shared" si="2"/>
        <v>2.2307820642694915</v>
      </c>
      <c r="AW25">
        <f t="shared" si="6"/>
        <v>0</v>
      </c>
      <c r="AX25">
        <v>22</v>
      </c>
      <c r="AY25" s="4">
        <f t="shared" si="3"/>
        <v>41789</v>
      </c>
      <c r="AZ25" s="6">
        <f t="shared" si="4"/>
        <v>0.75170796013976915</v>
      </c>
      <c r="BA25" s="4">
        <v>41789</v>
      </c>
      <c r="BB25" s="6">
        <v>3.3760999999999999E-2</v>
      </c>
      <c r="BC25" s="6">
        <v>0.47478999999999999</v>
      </c>
      <c r="BD25" s="6">
        <v>1.18286</v>
      </c>
      <c r="BE25" s="6">
        <v>0.18632299999999999</v>
      </c>
      <c r="BF25" s="6">
        <v>2.9945140000000001</v>
      </c>
      <c r="BG25" s="6">
        <v>0.38330799999999998</v>
      </c>
      <c r="BH25" s="6">
        <v>2.0655009999999998</v>
      </c>
      <c r="BI25" s="6">
        <v>-0.46709699999999998</v>
      </c>
      <c r="BJ25" s="6">
        <v>-0.38511499999999999</v>
      </c>
      <c r="BK25" s="6">
        <v>3.310619</v>
      </c>
      <c r="BL25" s="4">
        <v>41789</v>
      </c>
      <c r="BM25" s="6">
        <f>VLOOKUP(BL25,Sheet1!$A$2:$E$1114,2,FALSE)</f>
        <v>1.000725867154127</v>
      </c>
      <c r="BN25" s="6">
        <f t="shared" si="7"/>
        <v>0.75170796013976915</v>
      </c>
    </row>
    <row r="26" spans="1:74" x14ac:dyDescent="0.3">
      <c r="A26" s="4">
        <v>43189</v>
      </c>
      <c r="B26" s="6">
        <v>2.0119357500103741</v>
      </c>
      <c r="C26" s="6">
        <v>-0.61900299999999997</v>
      </c>
      <c r="D26" s="6">
        <v>3.8372130000000002</v>
      </c>
      <c r="E26" s="6">
        <v>0.94970500000000002</v>
      </c>
      <c r="F26" s="6">
        <v>3.353345</v>
      </c>
      <c r="G26" s="6">
        <v>8.9524500000000007</v>
      </c>
      <c r="H26" s="6">
        <v>-0.95283200000000001</v>
      </c>
      <c r="I26" s="6">
        <v>5.8332119999999996</v>
      </c>
      <c r="J26" s="6">
        <v>-0.29970000000000002</v>
      </c>
      <c r="K26" s="6">
        <v>1.688374</v>
      </c>
      <c r="L26" s="6">
        <v>7.0404070000000001</v>
      </c>
      <c r="M26">
        <v>0</v>
      </c>
      <c r="N26">
        <f t="shared" si="11"/>
        <v>0.75809761077582516</v>
      </c>
      <c r="O26">
        <f t="shared" si="12"/>
        <v>3.6937658515840224</v>
      </c>
      <c r="P26" s="9">
        <f t="shared" si="2"/>
        <v>0.88382239917301875</v>
      </c>
      <c r="AW26">
        <f t="shared" si="6"/>
        <v>0</v>
      </c>
      <c r="AX26">
        <v>23</v>
      </c>
      <c r="AY26" s="4">
        <f t="shared" si="3"/>
        <v>41796</v>
      </c>
      <c r="AZ26" s="6">
        <f t="shared" si="4"/>
        <v>-0.11584476986464809</v>
      </c>
      <c r="BA26" s="4">
        <v>41796</v>
      </c>
      <c r="BB26" s="6">
        <v>-0.85299199999999997</v>
      </c>
      <c r="BC26" s="6">
        <v>-0.36433100000000002</v>
      </c>
      <c r="BD26" s="6">
        <v>-0.14047799999999999</v>
      </c>
      <c r="BE26" s="6">
        <v>-0.67134799999999994</v>
      </c>
      <c r="BF26" s="6">
        <v>1.5768999999999998E-2</v>
      </c>
      <c r="BG26" s="6">
        <v>-1.368992</v>
      </c>
      <c r="BH26" s="6">
        <v>7.9019000000000006E-2</v>
      </c>
      <c r="BI26" s="6">
        <v>-0.26829599999999998</v>
      </c>
      <c r="BJ26" s="6">
        <v>-0.36266700000000002</v>
      </c>
      <c r="BK26" s="6">
        <v>-0.63455099999999998</v>
      </c>
      <c r="BL26" s="4">
        <v>41796</v>
      </c>
      <c r="BM26" s="6">
        <f>VLOOKUP(BL26,Sheet1!$A$2:$E$1114,2,FALSE)</f>
        <v>0.99956657857634634</v>
      </c>
      <c r="BN26" s="6">
        <f t="shared" si="7"/>
        <v>-0.11584476986464809</v>
      </c>
    </row>
    <row r="27" spans="1:74" x14ac:dyDescent="0.3">
      <c r="A27" s="4">
        <v>43194</v>
      </c>
      <c r="B27" s="6">
        <v>-0.72273714005255396</v>
      </c>
      <c r="C27" s="6">
        <v>-1.145529</v>
      </c>
      <c r="D27" s="6">
        <v>-1.4088959999999999</v>
      </c>
      <c r="E27" s="6">
        <v>-1.450027</v>
      </c>
      <c r="F27" s="6">
        <v>-1.7927690000000001</v>
      </c>
      <c r="G27" s="6">
        <v>-2.5150109999999999</v>
      </c>
      <c r="H27" s="6">
        <v>3.1429420000000001</v>
      </c>
      <c r="I27" s="6">
        <v>-0.78616399999999997</v>
      </c>
      <c r="J27" s="6">
        <v>-2.086983</v>
      </c>
      <c r="K27" s="6">
        <v>-1.8959090000000001</v>
      </c>
      <c r="L27" s="6">
        <v>-2.2519290000000001</v>
      </c>
      <c r="M27">
        <v>0</v>
      </c>
      <c r="N27">
        <f t="shared" si="11"/>
        <v>1.2435898559370849E-2</v>
      </c>
      <c r="O27">
        <f t="shared" si="12"/>
        <v>0.66057175763037668</v>
      </c>
      <c r="P27" s="9">
        <f t="shared" si="2"/>
        <v>0.73372741183517698</v>
      </c>
      <c r="AF27" t="s">
        <v>90</v>
      </c>
      <c r="AG27" s="13">
        <f>(AH27+AI27)/2</f>
        <v>0</v>
      </c>
      <c r="AW27">
        <f t="shared" si="6"/>
        <v>0</v>
      </c>
      <c r="AX27">
        <v>24</v>
      </c>
      <c r="AY27" s="4">
        <f t="shared" si="3"/>
        <v>41803</v>
      </c>
      <c r="AZ27" s="6">
        <f t="shared" si="4"/>
        <v>1.6161996607127138</v>
      </c>
      <c r="BA27" s="4">
        <v>41803</v>
      </c>
      <c r="BB27" s="6">
        <v>2.167672</v>
      </c>
      <c r="BC27" s="6">
        <v>2.189435</v>
      </c>
      <c r="BD27" s="6">
        <v>2.4106550000000002</v>
      </c>
      <c r="BE27" s="6">
        <v>1.6656869999999999</v>
      </c>
      <c r="BF27" s="6">
        <v>2.704113</v>
      </c>
      <c r="BG27" s="6">
        <v>1.3668</v>
      </c>
      <c r="BH27" s="6">
        <v>1.639974</v>
      </c>
      <c r="BI27" s="6">
        <v>1.0472630000000001</v>
      </c>
      <c r="BJ27" s="6">
        <v>1.0899019999999999</v>
      </c>
      <c r="BK27" s="6">
        <v>2.0798209999999999</v>
      </c>
      <c r="BL27" s="4">
        <v>41803</v>
      </c>
      <c r="BM27" s="6">
        <f>VLOOKUP(BL27,Sheet1!$A$2:$E$1114,2,FALSE)</f>
        <v>1.015721570227895</v>
      </c>
      <c r="BN27" s="6">
        <f t="shared" si="7"/>
        <v>1.6161996607127138</v>
      </c>
    </row>
    <row r="28" spans="1:74" x14ac:dyDescent="0.3">
      <c r="A28" s="4">
        <v>43203</v>
      </c>
      <c r="B28" s="6">
        <v>0.65671708128853812</v>
      </c>
      <c r="C28" s="6">
        <v>1.145054</v>
      </c>
      <c r="D28" s="6">
        <v>-0.13281699999999999</v>
      </c>
      <c r="E28" s="6">
        <v>-0.362508</v>
      </c>
      <c r="F28" s="6">
        <v>1.106714</v>
      </c>
      <c r="G28" s="6">
        <v>0.74461999999999995</v>
      </c>
      <c r="H28" s="6">
        <v>-1.960348</v>
      </c>
      <c r="I28" s="6">
        <v>-0.35139799999999999</v>
      </c>
      <c r="J28" s="6">
        <v>1.0797300000000001</v>
      </c>
      <c r="K28" s="6">
        <v>-0.148649</v>
      </c>
      <c r="L28" s="6">
        <v>0.51218699999999995</v>
      </c>
      <c r="M28">
        <v>0</v>
      </c>
      <c r="N28">
        <f t="shared" si="11"/>
        <v>0.29042502419693622</v>
      </c>
      <c r="O28">
        <f t="shared" si="12"/>
        <v>0.32114726307386782</v>
      </c>
      <c r="P28" s="9">
        <f t="shared" si="2"/>
        <v>3.447404101848003E-3</v>
      </c>
      <c r="AW28">
        <f t="shared" si="6"/>
        <v>0</v>
      </c>
      <c r="AX28">
        <v>25</v>
      </c>
      <c r="AY28" s="4">
        <f t="shared" si="3"/>
        <v>41810</v>
      </c>
      <c r="AZ28" s="6">
        <f t="shared" si="4"/>
        <v>-1.901452157826744</v>
      </c>
      <c r="BA28" s="4">
        <v>41810</v>
      </c>
      <c r="BB28" s="6">
        <v>-1.5583670000000001</v>
      </c>
      <c r="BC28" s="6">
        <v>-2.205775</v>
      </c>
      <c r="BD28" s="6">
        <v>-3.1168870000000002</v>
      </c>
      <c r="BE28" s="6">
        <v>-1.721284</v>
      </c>
      <c r="BF28" s="6">
        <v>-2.834492</v>
      </c>
      <c r="BG28" s="6">
        <v>-2.7335910000000001</v>
      </c>
      <c r="BH28" s="6">
        <v>-2.6022020000000001</v>
      </c>
      <c r="BI28" s="6">
        <v>-1.91625</v>
      </c>
      <c r="BJ28" s="6">
        <v>-2.1130300000000002</v>
      </c>
      <c r="BK28" s="6">
        <v>-2.4789789999999998</v>
      </c>
      <c r="BL28" s="4">
        <v>41810</v>
      </c>
      <c r="BM28" s="6">
        <f>VLOOKUP(BL28,Sheet1!$A$2:$E$1114,2,FALSE)</f>
        <v>0.99640811051328504</v>
      </c>
      <c r="BN28" s="6">
        <f t="shared" si="7"/>
        <v>-1.901452157826744</v>
      </c>
    </row>
    <row r="29" spans="1:74" x14ac:dyDescent="0.3">
      <c r="A29" s="4">
        <v>43210</v>
      </c>
      <c r="B29" s="6">
        <v>-2.4126541197692308</v>
      </c>
      <c r="C29" s="6">
        <v>-3.4676</v>
      </c>
      <c r="D29" s="6">
        <v>-2.7594539999999999</v>
      </c>
      <c r="E29" s="6">
        <v>-3.3249200000000001</v>
      </c>
      <c r="F29" s="6">
        <v>-3.2936529999999999</v>
      </c>
      <c r="G29" s="6">
        <v>-2.2876470000000002</v>
      </c>
      <c r="H29" s="6">
        <v>-1.125453</v>
      </c>
      <c r="I29" s="6">
        <v>-2.1935690000000001</v>
      </c>
      <c r="J29" s="6">
        <v>-1.765666</v>
      </c>
      <c r="K29" s="6">
        <v>-3.0420020000000001</v>
      </c>
      <c r="L29" s="6">
        <v>-3.8873030000000002</v>
      </c>
      <c r="M29">
        <v>0</v>
      </c>
      <c r="N29">
        <f t="shared" si="11"/>
        <v>1.0902802126103033</v>
      </c>
      <c r="O29">
        <f t="shared" si="12"/>
        <v>6.2633703254768864</v>
      </c>
      <c r="P29" s="9">
        <f t="shared" si="2"/>
        <v>0.53935478766348599</v>
      </c>
      <c r="AF29" t="s">
        <v>12</v>
      </c>
      <c r="AG29" t="s">
        <v>86</v>
      </c>
      <c r="AH29" t="s">
        <v>15</v>
      </c>
      <c r="AI29" t="s">
        <v>14</v>
      </c>
      <c r="AJ29" s="1" t="str">
        <f>C1</f>
        <v>全指金融</v>
      </c>
      <c r="AK29" s="1" t="str">
        <f t="shared" ref="AK29:AT29" si="13">D1</f>
        <v>全指工业</v>
      </c>
      <c r="AL29" s="1" t="str">
        <f t="shared" si="13"/>
        <v>全指可选</v>
      </c>
      <c r="AM29" s="1" t="str">
        <f t="shared" si="13"/>
        <v>全指材料</v>
      </c>
      <c r="AN29" s="1" t="str">
        <f t="shared" si="13"/>
        <v>全指信息</v>
      </c>
      <c r="AO29" s="1" t="str">
        <f t="shared" si="13"/>
        <v>全指消费</v>
      </c>
      <c r="AP29" s="1" t="str">
        <f t="shared" si="13"/>
        <v>全指医药</v>
      </c>
      <c r="AQ29" s="1" t="str">
        <f t="shared" si="13"/>
        <v>全指能源</v>
      </c>
      <c r="AR29" s="1" t="str">
        <f t="shared" si="13"/>
        <v>全指公用</v>
      </c>
      <c r="AS29" s="1" t="str">
        <f t="shared" si="13"/>
        <v>全指电信</v>
      </c>
      <c r="AT29" s="1" t="str">
        <f t="shared" si="13"/>
        <v>现金</v>
      </c>
      <c r="AU29" s="7" t="s">
        <v>18</v>
      </c>
      <c r="AW29">
        <f t="shared" si="6"/>
        <v>0</v>
      </c>
      <c r="AX29">
        <v>26</v>
      </c>
      <c r="AY29" s="4">
        <f t="shared" si="3"/>
        <v>41817</v>
      </c>
      <c r="AZ29" s="6">
        <f t="shared" si="4"/>
        <v>2.3168020941651379</v>
      </c>
      <c r="BA29" s="4">
        <v>41817</v>
      </c>
      <c r="BB29" s="6">
        <v>-0.63532299999999997</v>
      </c>
      <c r="BC29" s="6">
        <v>2.3381630000000002</v>
      </c>
      <c r="BD29" s="6">
        <v>3.0899209999999999</v>
      </c>
      <c r="BE29" s="6">
        <v>2.9373040000000001</v>
      </c>
      <c r="BF29" s="6">
        <v>3.318025</v>
      </c>
      <c r="BG29" s="6">
        <v>2.574176</v>
      </c>
      <c r="BH29" s="6">
        <v>2.8417979999999998</v>
      </c>
      <c r="BI29" s="6">
        <v>1.8704289999999999</v>
      </c>
      <c r="BJ29" s="6">
        <v>0.97864399999999996</v>
      </c>
      <c r="BK29" s="6">
        <v>4.0680170000000002</v>
      </c>
      <c r="BL29" s="4">
        <v>41817</v>
      </c>
      <c r="BM29" s="6">
        <f>VLOOKUP(BL29,Sheet1!$A$2:$E$1114,2,FALSE)</f>
        <v>1.0194929144840881</v>
      </c>
      <c r="BN29" s="6">
        <f t="shared" si="7"/>
        <v>2.3168020941651379</v>
      </c>
    </row>
    <row r="30" spans="1:74" x14ac:dyDescent="0.3">
      <c r="A30" s="4">
        <v>43217</v>
      </c>
      <c r="B30" s="6">
        <v>0.41482136461938879</v>
      </c>
      <c r="C30" s="6">
        <v>0.29441600000000001</v>
      </c>
      <c r="D30" s="6">
        <v>0.189972</v>
      </c>
      <c r="E30" s="6">
        <v>-0.89085800000000004</v>
      </c>
      <c r="F30" s="6">
        <v>-0.83088700000000004</v>
      </c>
      <c r="G30" s="6">
        <v>-1.540332</v>
      </c>
      <c r="H30" s="6">
        <v>-1.5402530000000001</v>
      </c>
      <c r="I30" s="6">
        <v>3.5147210000000002</v>
      </c>
      <c r="J30" s="6">
        <v>0.110829</v>
      </c>
      <c r="K30" s="6">
        <v>0.218334</v>
      </c>
      <c r="L30" s="6">
        <v>1.250651</v>
      </c>
      <c r="M30">
        <v>0</v>
      </c>
      <c r="N30">
        <f t="shared" si="11"/>
        <v>9.7851400283927664E-2</v>
      </c>
      <c r="O30">
        <f t="shared" si="12"/>
        <v>0.10549688999772242</v>
      </c>
      <c r="P30" s="9">
        <f t="shared" si="2"/>
        <v>0.57986864149517026</v>
      </c>
      <c r="AE30">
        <v>1</v>
      </c>
      <c r="AF30" t="s">
        <v>77</v>
      </c>
      <c r="AG30" s="13">
        <f>(AH30+AI30)/2</f>
        <v>41777</v>
      </c>
      <c r="AH30" s="13">
        <v>41912</v>
      </c>
      <c r="AI30" s="13">
        <v>41642</v>
      </c>
      <c r="AJ30" s="11">
        <v>0.26569000555895367</v>
      </c>
      <c r="AK30" s="11">
        <v>1.7244533045353221E-5</v>
      </c>
      <c r="AL30" s="11">
        <v>0.25763682149993422</v>
      </c>
      <c r="AM30" s="11">
        <v>1.2373937351774004E-5</v>
      </c>
      <c r="AN30" s="11">
        <v>6.0804436167058098E-6</v>
      </c>
      <c r="AO30" s="11">
        <v>0.14332542167102996</v>
      </c>
      <c r="AP30" s="11">
        <v>4.6076421185425215E-6</v>
      </c>
      <c r="AQ30" s="11">
        <v>2.6550349268022605E-2</v>
      </c>
      <c r="AR30" s="11">
        <v>0.30673233391100641</v>
      </c>
      <c r="AS30" s="11">
        <v>5.9305563731262761E-6</v>
      </c>
      <c r="AT30" s="11">
        <v>1.8830978547666753E-5</v>
      </c>
      <c r="AU30">
        <v>0.49244763604350328</v>
      </c>
      <c r="AW30">
        <f t="shared" si="6"/>
        <v>0</v>
      </c>
      <c r="AX30">
        <v>27</v>
      </c>
      <c r="AY30" s="4">
        <f t="shared" si="3"/>
        <v>41824</v>
      </c>
      <c r="AZ30" s="6">
        <f t="shared" si="4"/>
        <v>1.7413153719721075</v>
      </c>
      <c r="BA30" s="4">
        <v>41824</v>
      </c>
      <c r="BB30" s="6">
        <v>1.4678370000000001</v>
      </c>
      <c r="BC30" s="6">
        <v>2.5568360000000001</v>
      </c>
      <c r="BD30" s="6">
        <v>1.649821</v>
      </c>
      <c r="BE30" s="6">
        <v>2.2059489999999999</v>
      </c>
      <c r="BF30" s="6">
        <v>2.9232649999999998</v>
      </c>
      <c r="BG30" s="6">
        <v>1.4613689999999999</v>
      </c>
      <c r="BH30" s="6">
        <v>2.9710899999999998</v>
      </c>
      <c r="BI30" s="6">
        <v>0.74540399999999996</v>
      </c>
      <c r="BJ30" s="6">
        <v>1.7737019999999999</v>
      </c>
      <c r="BK30" s="6">
        <v>2.5782060000000002</v>
      </c>
      <c r="BL30" s="4">
        <v>41824</v>
      </c>
      <c r="BM30" s="6">
        <f>VLOOKUP(BL30,Sheet1!$A$2:$E$1114,2,FALSE)</f>
        <v>1.037245501320166</v>
      </c>
      <c r="BN30" s="6">
        <f t="shared" si="7"/>
        <v>1.7413153719721075</v>
      </c>
    </row>
    <row r="31" spans="1:74" x14ac:dyDescent="0.3">
      <c r="A31" s="4">
        <v>43224</v>
      </c>
      <c r="B31" s="6">
        <v>0.89613365327174677</v>
      </c>
      <c r="C31" s="6">
        <v>-0.29022199999999998</v>
      </c>
      <c r="D31" s="6">
        <v>8.2553000000000001E-2</v>
      </c>
      <c r="E31" s="6">
        <v>1.1157410000000001</v>
      </c>
      <c r="F31" s="6">
        <v>0.50187999999999999</v>
      </c>
      <c r="G31" s="6">
        <v>0.38264500000000001</v>
      </c>
      <c r="H31" s="6">
        <v>2.12086</v>
      </c>
      <c r="I31" s="6">
        <v>2.163726</v>
      </c>
      <c r="J31" s="6">
        <v>-5.4398000000000002E-2</v>
      </c>
      <c r="K31" s="6">
        <v>0.62758000000000003</v>
      </c>
      <c r="L31" s="6">
        <v>9.1425000000000006E-2</v>
      </c>
      <c r="M31">
        <v>0</v>
      </c>
      <c r="N31">
        <f t="shared" si="11"/>
        <v>0.8287330683008276</v>
      </c>
      <c r="O31">
        <f t="shared" si="12"/>
        <v>0.64982161336336941</v>
      </c>
      <c r="P31" s="9">
        <f t="shared" si="2"/>
        <v>0.40874613924627345</v>
      </c>
      <c r="AE31">
        <f>AE30+1</f>
        <v>2</v>
      </c>
      <c r="AF31" t="s">
        <v>77</v>
      </c>
      <c r="AG31" s="13">
        <f t="shared" ref="AG31:AG94" si="14">(AH31+AI31)/2</f>
        <v>41785.5</v>
      </c>
      <c r="AH31" s="13">
        <v>41922</v>
      </c>
      <c r="AI31" s="13">
        <v>41649</v>
      </c>
      <c r="AJ31" s="11">
        <v>0.12320242990483234</v>
      </c>
      <c r="AK31" s="11">
        <v>8.8277083073709094E-5</v>
      </c>
      <c r="AL31" s="11">
        <v>0.18923338512025098</v>
      </c>
      <c r="AM31" s="11">
        <v>5.2212483960308795E-2</v>
      </c>
      <c r="AN31" s="11">
        <v>0.19691881356708615</v>
      </c>
      <c r="AO31" s="11">
        <v>0.11256411061763713</v>
      </c>
      <c r="AP31" s="11">
        <v>1.8241804129288998E-5</v>
      </c>
      <c r="AQ31" s="11">
        <v>8.4887136974737944E-6</v>
      </c>
      <c r="AR31" s="11">
        <v>0.16727307907404829</v>
      </c>
      <c r="AS31" s="11">
        <v>2.136835246451001E-2</v>
      </c>
      <c r="AT31" s="11">
        <v>0.13711233769042588</v>
      </c>
      <c r="AU31">
        <v>0.96195732935628853</v>
      </c>
      <c r="AW31">
        <f t="shared" si="6"/>
        <v>0</v>
      </c>
      <c r="AX31">
        <v>28</v>
      </c>
      <c r="AY31" s="4">
        <f t="shared" si="3"/>
        <v>41831</v>
      </c>
      <c r="AZ31" s="6">
        <f t="shared" si="4"/>
        <v>-0.53669577574275706</v>
      </c>
      <c r="BA31" s="4">
        <v>41831</v>
      </c>
      <c r="BB31" s="6">
        <v>-1.4695</v>
      </c>
      <c r="BC31" s="6">
        <v>0.74063699999999999</v>
      </c>
      <c r="BD31" s="6">
        <v>-0.46165800000000001</v>
      </c>
      <c r="BE31" s="6">
        <v>0.454961</v>
      </c>
      <c r="BF31" s="6">
        <v>-2.8468900000000001</v>
      </c>
      <c r="BG31" s="6">
        <v>-1.590109</v>
      </c>
      <c r="BH31" s="6">
        <v>-1.4783109999999999</v>
      </c>
      <c r="BI31" s="6">
        <v>-1.5091129999999999</v>
      </c>
      <c r="BJ31" s="6">
        <v>0.68859899999999996</v>
      </c>
      <c r="BK31" s="6">
        <v>1.4884109999999999</v>
      </c>
      <c r="BL31" s="4">
        <v>41831</v>
      </c>
      <c r="BM31" s="6">
        <f>VLOOKUP(BL31,Sheet1!$A$2:$E$1114,2,FALSE)</f>
        <v>1.031678648530499</v>
      </c>
      <c r="BN31" s="6">
        <f t="shared" si="7"/>
        <v>-0.53669577574275706</v>
      </c>
    </row>
    <row r="32" spans="1:74" x14ac:dyDescent="0.3">
      <c r="A32" s="4">
        <v>43231</v>
      </c>
      <c r="B32" s="6">
        <v>1.5849514350716021</v>
      </c>
      <c r="C32" s="6">
        <v>2.1932309999999999</v>
      </c>
      <c r="D32" s="6">
        <v>1.546165</v>
      </c>
      <c r="E32" s="6">
        <v>2.7424979999999999</v>
      </c>
      <c r="F32" s="6">
        <v>2.5943139999999998</v>
      </c>
      <c r="G32" s="6">
        <v>0.301292</v>
      </c>
      <c r="H32" s="6">
        <v>4.9222720000000004</v>
      </c>
      <c r="I32" s="6">
        <v>1.649241</v>
      </c>
      <c r="J32" s="6">
        <v>4.2077710000000002</v>
      </c>
      <c r="K32" s="6">
        <v>0.65982200000000002</v>
      </c>
      <c r="L32" s="6">
        <v>0.44142300000000001</v>
      </c>
      <c r="M32">
        <v>0</v>
      </c>
      <c r="N32">
        <f t="shared" si="11"/>
        <v>0.61328679403257391</v>
      </c>
      <c r="O32">
        <f t="shared" si="12"/>
        <v>2.2348244303443994</v>
      </c>
      <c r="P32" s="9">
        <f t="shared" si="2"/>
        <v>0.38168087415618801</v>
      </c>
      <c r="AE32">
        <f t="shared" ref="AE32:AE95" si="15">AE31+1</f>
        <v>3</v>
      </c>
      <c r="AF32" t="s">
        <v>77</v>
      </c>
      <c r="AG32" s="13">
        <f t="shared" si="14"/>
        <v>41792.5</v>
      </c>
      <c r="AH32" s="13">
        <v>41929</v>
      </c>
      <c r="AI32" s="13">
        <v>41656</v>
      </c>
      <c r="AJ32" s="11">
        <v>0.10387336109401887</v>
      </c>
      <c r="AK32" s="11">
        <v>5.9072383498096871E-5</v>
      </c>
      <c r="AL32" s="11">
        <v>0.18286497822360628</v>
      </c>
      <c r="AM32" s="11">
        <v>0.10077189720539725</v>
      </c>
      <c r="AN32" s="11">
        <v>0.1980156873243166</v>
      </c>
      <c r="AO32" s="11">
        <v>0.10587860891126327</v>
      </c>
      <c r="AP32" s="11">
        <v>1.681426822809908E-5</v>
      </c>
      <c r="AQ32" s="11">
        <v>6.0390149796125153E-6</v>
      </c>
      <c r="AR32" s="11">
        <v>0.187684001712767</v>
      </c>
      <c r="AS32" s="11">
        <v>8.4693785804372578E-5</v>
      </c>
      <c r="AT32" s="11">
        <v>0.12074484607612054</v>
      </c>
      <c r="AU32">
        <v>0.96317009713200508</v>
      </c>
      <c r="AW32">
        <f t="shared" si="6"/>
        <v>0</v>
      </c>
      <c r="AX32">
        <v>29</v>
      </c>
      <c r="AY32" s="4">
        <f t="shared" si="3"/>
        <v>41838</v>
      </c>
      <c r="AZ32" s="6">
        <f t="shared" si="4"/>
        <v>0.72808868962765949</v>
      </c>
      <c r="BA32" s="4">
        <v>41838</v>
      </c>
      <c r="BB32" s="6">
        <v>0.70411400000000002</v>
      </c>
      <c r="BC32" s="6">
        <v>-0.23314699999999999</v>
      </c>
      <c r="BD32" s="6">
        <v>-0.25522699999999998</v>
      </c>
      <c r="BE32" s="6">
        <v>1.1548579999999999</v>
      </c>
      <c r="BF32" s="6">
        <v>-2.4999769999999999</v>
      </c>
      <c r="BG32" s="6">
        <v>3.986021</v>
      </c>
      <c r="BH32" s="6">
        <v>-0.81442599999999998</v>
      </c>
      <c r="BI32" s="6">
        <v>-0.439222</v>
      </c>
      <c r="BJ32" s="6">
        <v>1.268688</v>
      </c>
      <c r="BK32" s="6">
        <v>-2.464899</v>
      </c>
      <c r="BL32" s="4">
        <v>41838</v>
      </c>
      <c r="BM32" s="6">
        <f>VLOOKUP(BL32,Sheet1!$A$2:$E$1114,2,FALSE)</f>
        <v>1.039190184083753</v>
      </c>
      <c r="BN32" s="6">
        <f t="shared" si="7"/>
        <v>0.72808868962765949</v>
      </c>
    </row>
    <row r="33" spans="1:66" x14ac:dyDescent="0.3">
      <c r="A33" s="4">
        <v>43238</v>
      </c>
      <c r="B33" s="6">
        <v>0.30445249832871113</v>
      </c>
      <c r="C33" s="6">
        <v>-0.22450100000000001</v>
      </c>
      <c r="D33" s="6">
        <v>-0.38271899999999998</v>
      </c>
      <c r="E33" s="6">
        <v>0.45735199999999998</v>
      </c>
      <c r="F33" s="6">
        <v>0.46325699999999997</v>
      </c>
      <c r="G33" s="6">
        <v>-0.49539</v>
      </c>
      <c r="H33" s="6">
        <v>2.5324710000000001</v>
      </c>
      <c r="I33" s="6">
        <v>1.9726459999999999</v>
      </c>
      <c r="J33" s="6">
        <v>4.1812829999999996</v>
      </c>
      <c r="K33" s="6">
        <v>1.200396</v>
      </c>
      <c r="L33" s="6">
        <v>-0.58281000000000005</v>
      </c>
      <c r="M33">
        <v>0</v>
      </c>
      <c r="N33">
        <f t="shared" si="11"/>
        <v>0.21008721439931882</v>
      </c>
      <c r="O33">
        <f t="shared" si="12"/>
        <v>4.5981932464715394E-2</v>
      </c>
      <c r="P33" s="9">
        <f t="shared" si="2"/>
        <v>4.3344715956819165E-2</v>
      </c>
      <c r="AE33">
        <f t="shared" si="15"/>
        <v>4</v>
      </c>
      <c r="AF33" t="s">
        <v>77</v>
      </c>
      <c r="AG33" s="13">
        <f t="shared" si="14"/>
        <v>41799.5</v>
      </c>
      <c r="AH33" s="13">
        <v>41936</v>
      </c>
      <c r="AI33" s="13">
        <v>41663</v>
      </c>
      <c r="AJ33" s="11">
        <v>0.11365708008791824</v>
      </c>
      <c r="AK33" s="11">
        <v>8.514899522490244E-5</v>
      </c>
      <c r="AL33" s="11">
        <v>0.18560961322185035</v>
      </c>
      <c r="AM33" s="11">
        <v>8.2409426618874293E-2</v>
      </c>
      <c r="AN33" s="11">
        <v>0.18563934627875547</v>
      </c>
      <c r="AO33" s="11">
        <v>0.11401999088603693</v>
      </c>
      <c r="AP33" s="11">
        <v>1.295093101499541E-5</v>
      </c>
      <c r="AQ33" s="11">
        <v>4.9145040030792835E-6</v>
      </c>
      <c r="AR33" s="11">
        <v>0.19683562740606339</v>
      </c>
      <c r="AS33" s="11">
        <v>5.4617392095728488E-3</v>
      </c>
      <c r="AT33" s="11">
        <v>0.11626416186068558</v>
      </c>
      <c r="AU33">
        <v>0.96767770714806223</v>
      </c>
      <c r="AW33">
        <f t="shared" si="6"/>
        <v>0</v>
      </c>
      <c r="AX33">
        <v>30</v>
      </c>
      <c r="AY33" s="4">
        <f t="shared" si="3"/>
        <v>41845</v>
      </c>
      <c r="AZ33" s="6">
        <f t="shared" si="4"/>
        <v>2.2319501810559528</v>
      </c>
      <c r="BA33" s="4">
        <v>41845</v>
      </c>
      <c r="BB33" s="6">
        <v>5.6115649999999997</v>
      </c>
      <c r="BC33" s="6">
        <v>1.79745</v>
      </c>
      <c r="BD33" s="6">
        <v>1.7571810000000001</v>
      </c>
      <c r="BE33" s="6">
        <v>3.6845650000000001</v>
      </c>
      <c r="BF33" s="6">
        <v>-0.26167400000000002</v>
      </c>
      <c r="BG33" s="6">
        <v>1.804133</v>
      </c>
      <c r="BH33" s="6">
        <v>-0.123168</v>
      </c>
      <c r="BI33" s="6">
        <v>3.852668</v>
      </c>
      <c r="BJ33" s="6">
        <v>2.0382419999999999</v>
      </c>
      <c r="BK33" s="6">
        <v>-0.88052799999999998</v>
      </c>
      <c r="BL33" s="4">
        <v>41845</v>
      </c>
      <c r="BM33" s="6">
        <f>VLOOKUP(BL33,Sheet1!$A$2:$E$1114,2,FALSE)</f>
        <v>1.0623843912789259</v>
      </c>
      <c r="BN33" s="6">
        <f t="shared" si="7"/>
        <v>2.2319501810559528</v>
      </c>
    </row>
    <row r="34" spans="1:66" x14ac:dyDescent="0.3">
      <c r="A34" s="4">
        <v>43245</v>
      </c>
      <c r="B34" s="6">
        <v>-1.4871741850806863</v>
      </c>
      <c r="C34" s="6">
        <v>-3.1036540000000001</v>
      </c>
      <c r="D34" s="6">
        <v>-1.7375860000000001</v>
      </c>
      <c r="E34" s="6">
        <v>-1.147124</v>
      </c>
      <c r="F34" s="6">
        <v>-2.3997320000000002</v>
      </c>
      <c r="G34" s="6">
        <v>-1.9390799999999999</v>
      </c>
      <c r="H34" s="6">
        <v>-1.035007</v>
      </c>
      <c r="I34" s="6">
        <v>2.5714079999999999</v>
      </c>
      <c r="J34" s="6">
        <v>-5.5212440000000003</v>
      </c>
      <c r="K34" s="6">
        <v>1.462402</v>
      </c>
      <c r="L34" s="6">
        <v>9.162E-3</v>
      </c>
      <c r="M34">
        <v>0</v>
      </c>
      <c r="N34">
        <f t="shared" si="11"/>
        <v>0.24664642759850433</v>
      </c>
      <c r="O34">
        <f t="shared" si="12"/>
        <v>2.4875368186416638</v>
      </c>
      <c r="P34" s="9">
        <f t="shared" si="2"/>
        <v>0.63875288799805841</v>
      </c>
      <c r="AE34">
        <f t="shared" si="15"/>
        <v>5</v>
      </c>
      <c r="AF34" t="s">
        <v>77</v>
      </c>
      <c r="AG34" s="13">
        <f t="shared" si="14"/>
        <v>41806</v>
      </c>
      <c r="AH34" s="13">
        <v>41943</v>
      </c>
      <c r="AI34" s="13">
        <v>41669</v>
      </c>
      <c r="AJ34" s="11">
        <v>0.11853667736020841</v>
      </c>
      <c r="AK34" s="11">
        <v>8.3024373368269079E-5</v>
      </c>
      <c r="AL34" s="11">
        <v>0.13780033278286982</v>
      </c>
      <c r="AM34" s="11">
        <v>9.7865078931640093E-2</v>
      </c>
      <c r="AN34" s="11">
        <v>0.17463211223031808</v>
      </c>
      <c r="AO34" s="11">
        <v>0.1284001733900185</v>
      </c>
      <c r="AP34" s="11">
        <v>8.7579477918183387E-6</v>
      </c>
      <c r="AQ34" s="11">
        <v>1.4424373387591953E-6</v>
      </c>
      <c r="AR34" s="11">
        <v>0.18642709678708583</v>
      </c>
      <c r="AS34" s="11">
        <v>2.5926483782764301E-2</v>
      </c>
      <c r="AT34" s="11">
        <v>0.13031881997659611</v>
      </c>
      <c r="AU34">
        <v>0.96893175839889001</v>
      </c>
      <c r="AW34">
        <f t="shared" si="6"/>
        <v>0</v>
      </c>
      <c r="AX34">
        <v>31</v>
      </c>
      <c r="AY34" s="4">
        <f t="shared" si="3"/>
        <v>41852</v>
      </c>
      <c r="AZ34" s="6">
        <f t="shared" si="4"/>
        <v>1.9588110487848365</v>
      </c>
      <c r="BA34" s="4">
        <v>41852</v>
      </c>
      <c r="BB34" s="6">
        <v>3.6122939999999999</v>
      </c>
      <c r="BC34" s="6">
        <v>2.5391370000000002</v>
      </c>
      <c r="BD34" s="6">
        <v>2.5736400000000001</v>
      </c>
      <c r="BE34" s="6">
        <v>2.5334240000000001</v>
      </c>
      <c r="BF34" s="6">
        <v>3.016813</v>
      </c>
      <c r="BG34" s="6">
        <v>3.7290179999999999</v>
      </c>
      <c r="BH34" s="6">
        <v>4.0973800000000002</v>
      </c>
      <c r="BI34" s="6">
        <v>5.4664780000000004</v>
      </c>
      <c r="BJ34" s="6">
        <v>1.1341730000000001</v>
      </c>
      <c r="BK34" s="6">
        <v>1.5655809999999999</v>
      </c>
      <c r="BL34" s="4">
        <v>41852</v>
      </c>
      <c r="BM34" s="6">
        <f>VLOOKUP(BL34,Sheet1!$A$2:$E$1114,2,FALSE)</f>
        <v>1.0831944941158631</v>
      </c>
      <c r="BN34" s="6">
        <f t="shared" si="7"/>
        <v>1.9588110487848365</v>
      </c>
    </row>
    <row r="35" spans="1:66" x14ac:dyDescent="0.3">
      <c r="A35" s="4">
        <v>43252</v>
      </c>
      <c r="B35" s="6">
        <v>-1.6730603163476854</v>
      </c>
      <c r="C35" s="6">
        <v>-2.2084489999999999</v>
      </c>
      <c r="D35" s="6">
        <v>-4.1903059999999996</v>
      </c>
      <c r="E35" s="6">
        <v>-0.185138</v>
      </c>
      <c r="F35" s="6">
        <v>-3.8208739999999999</v>
      </c>
      <c r="G35" s="6">
        <v>-4.8426549999999997</v>
      </c>
      <c r="H35" s="6">
        <v>3.3453140000000001</v>
      </c>
      <c r="I35" s="6">
        <v>-4.8195569999999996</v>
      </c>
      <c r="J35" s="6">
        <v>-2.5973899999999999</v>
      </c>
      <c r="K35" s="6">
        <v>-2.6324000000000001</v>
      </c>
      <c r="L35" s="6">
        <v>-4.5014019999999997</v>
      </c>
      <c r="M35">
        <v>0</v>
      </c>
      <c r="N35">
        <f t="shared" si="11"/>
        <v>5.2805909075459719E-4</v>
      </c>
      <c r="O35">
        <f t="shared" si="12"/>
        <v>3.1084469716429637</v>
      </c>
      <c r="P35" s="9">
        <f t="shared" si="2"/>
        <v>4.1627931740130375</v>
      </c>
      <c r="AE35">
        <f t="shared" si="15"/>
        <v>6</v>
      </c>
      <c r="AF35" t="s">
        <v>77</v>
      </c>
      <c r="AG35" s="13">
        <f t="shared" si="14"/>
        <v>41813.5</v>
      </c>
      <c r="AH35" s="13">
        <v>41950</v>
      </c>
      <c r="AI35" s="13">
        <v>41677</v>
      </c>
      <c r="AJ35" s="11">
        <v>0.11772639801792111</v>
      </c>
      <c r="AK35" s="11">
        <v>1.31358390705949E-2</v>
      </c>
      <c r="AL35" s="11">
        <v>0.10817813530031946</v>
      </c>
      <c r="AM35" s="11">
        <v>9.6935920109165949E-2</v>
      </c>
      <c r="AN35" s="11">
        <v>0.16852821259039424</v>
      </c>
      <c r="AO35" s="11">
        <v>0.15747029839258672</v>
      </c>
      <c r="AP35" s="11">
        <v>1.0248152567915449E-5</v>
      </c>
      <c r="AQ35" s="11">
        <v>5.0752842043439786E-6</v>
      </c>
      <c r="AR35" s="11">
        <v>0.1841159655581463</v>
      </c>
      <c r="AS35" s="11">
        <v>2.7888847515346038E-2</v>
      </c>
      <c r="AT35" s="11">
        <v>0.12600506000875308</v>
      </c>
      <c r="AU35">
        <v>0.97143336707690675</v>
      </c>
      <c r="AW35">
        <f t="shared" si="6"/>
        <v>0</v>
      </c>
      <c r="AX35">
        <v>32</v>
      </c>
      <c r="AY35" s="4">
        <f t="shared" si="3"/>
        <v>41859</v>
      </c>
      <c r="AZ35" s="6">
        <f t="shared" si="4"/>
        <v>1.206478746308326</v>
      </c>
      <c r="BA35" s="4">
        <v>41859</v>
      </c>
      <c r="BB35" s="6">
        <v>-0.83602900000000002</v>
      </c>
      <c r="BC35" s="6">
        <v>1.8112079999999999</v>
      </c>
      <c r="BD35" s="6">
        <v>1.492027</v>
      </c>
      <c r="BE35" s="6">
        <v>3.4388939999999999</v>
      </c>
      <c r="BF35" s="6">
        <v>3.9543550000000001</v>
      </c>
      <c r="BG35" s="6">
        <v>0.20063</v>
      </c>
      <c r="BH35" s="6">
        <v>0.617622</v>
      </c>
      <c r="BI35" s="6">
        <v>0.70406999999999997</v>
      </c>
      <c r="BJ35" s="6">
        <v>0.80258799999999997</v>
      </c>
      <c r="BK35" s="6">
        <v>3.1886580000000002</v>
      </c>
      <c r="BL35" s="4">
        <v>41859</v>
      </c>
      <c r="BM35" s="6">
        <f>VLOOKUP(BL35,Sheet1!$A$2:$E$1114,2,FALSE)</f>
        <v>1.0962630054685529</v>
      </c>
      <c r="BN35" s="6">
        <f t="shared" si="7"/>
        <v>1.206478746308326</v>
      </c>
    </row>
    <row r="36" spans="1:66" x14ac:dyDescent="0.3">
      <c r="A36" s="4">
        <v>43259</v>
      </c>
      <c r="B36" s="6">
        <v>1.1681582413916036</v>
      </c>
      <c r="C36" s="6">
        <v>-0.70463299999999995</v>
      </c>
      <c r="D36" s="6">
        <v>-1.2637640000000001</v>
      </c>
      <c r="E36" s="6">
        <v>-0.111151</v>
      </c>
      <c r="F36" s="6">
        <v>0.63933600000000002</v>
      </c>
      <c r="G36" s="6">
        <v>1.147491</v>
      </c>
      <c r="H36" s="6">
        <v>0.62674099999999999</v>
      </c>
      <c r="I36" s="6">
        <v>1.5038020000000001</v>
      </c>
      <c r="J36" s="6">
        <v>-1.542295</v>
      </c>
      <c r="K36" s="6">
        <v>-1.9339010000000001</v>
      </c>
      <c r="L36" s="6">
        <v>0.46964299999999998</v>
      </c>
      <c r="M36">
        <v>0</v>
      </c>
      <c r="N36">
        <f t="shared" si="11"/>
        <v>2.792947347595923</v>
      </c>
      <c r="O36">
        <f t="shared" si="12"/>
        <v>1.1623852658956055</v>
      </c>
      <c r="P36" s="9">
        <f t="shared" si="2"/>
        <v>1.7581961793964593</v>
      </c>
      <c r="AE36">
        <f t="shared" si="15"/>
        <v>7</v>
      </c>
      <c r="AF36" t="s">
        <v>77</v>
      </c>
      <c r="AG36" s="13">
        <f t="shared" si="14"/>
        <v>41820.5</v>
      </c>
      <c r="AH36" s="13">
        <v>41957</v>
      </c>
      <c r="AI36" s="13">
        <v>41684</v>
      </c>
      <c r="AJ36" s="11">
        <v>0.11319311968817244</v>
      </c>
      <c r="AK36" s="11">
        <v>2.3427887078397082E-2</v>
      </c>
      <c r="AL36" s="11">
        <v>0.10992369076879834</v>
      </c>
      <c r="AM36" s="11">
        <v>9.5774928452596567E-2</v>
      </c>
      <c r="AN36" s="11">
        <v>0.17179857133245957</v>
      </c>
      <c r="AO36" s="11">
        <v>0.15347308897639733</v>
      </c>
      <c r="AP36" s="11">
        <v>3.6034079617246092E-5</v>
      </c>
      <c r="AQ36" s="11">
        <v>1.4943990501243338E-5</v>
      </c>
      <c r="AR36" s="11">
        <v>0.18198458503582751</v>
      </c>
      <c r="AS36" s="11">
        <v>2.1038172739602106E-2</v>
      </c>
      <c r="AT36" s="11">
        <v>0.1293349778576306</v>
      </c>
      <c r="AU36">
        <v>0.97134709325849422</v>
      </c>
      <c r="AW36">
        <f t="shared" si="6"/>
        <v>0</v>
      </c>
      <c r="AX36">
        <v>33</v>
      </c>
      <c r="AY36" s="4">
        <f t="shared" si="3"/>
        <v>41866</v>
      </c>
      <c r="AZ36" s="6">
        <f t="shared" si="4"/>
        <v>2.08590064717038</v>
      </c>
      <c r="BA36" s="4">
        <v>41866</v>
      </c>
      <c r="BB36" s="6">
        <v>1.2342900000000001</v>
      </c>
      <c r="BC36" s="6">
        <v>2.3814160000000002</v>
      </c>
      <c r="BD36" s="6">
        <v>2.2495150000000002</v>
      </c>
      <c r="BE36" s="6">
        <v>1.578093</v>
      </c>
      <c r="BF36" s="6">
        <v>2.840427</v>
      </c>
      <c r="BG36" s="6">
        <v>2.1972200000000002</v>
      </c>
      <c r="BH36" s="6">
        <v>1.233776</v>
      </c>
      <c r="BI36" s="6">
        <v>1.383065</v>
      </c>
      <c r="BJ36" s="6">
        <v>2.0890439999999999</v>
      </c>
      <c r="BK36" s="6">
        <v>3.0981830000000001</v>
      </c>
      <c r="BL36" s="4">
        <v>41866</v>
      </c>
      <c r="BM36" s="6">
        <f>VLOOKUP(BL36,Sheet1!$A$2:$E$1114,2,FALSE)</f>
        <v>1.119129962594311</v>
      </c>
      <c r="BN36" s="6">
        <f t="shared" si="7"/>
        <v>2.08590064717038</v>
      </c>
    </row>
    <row r="37" spans="1:66" x14ac:dyDescent="0.3">
      <c r="A37" s="4">
        <v>43266</v>
      </c>
      <c r="B37" s="6">
        <v>-1.1486051854619816</v>
      </c>
      <c r="C37" s="6">
        <v>0.71638500000000005</v>
      </c>
      <c r="D37" s="6">
        <v>-3.0032700000000001</v>
      </c>
      <c r="E37" s="6">
        <v>-1.9894810000000001</v>
      </c>
      <c r="F37" s="6">
        <v>-2.1579980000000001</v>
      </c>
      <c r="G37" s="6">
        <v>-4.3771950000000004</v>
      </c>
      <c r="H37" s="6">
        <v>-2.6493500000000001</v>
      </c>
      <c r="I37" s="6">
        <v>-5.109515</v>
      </c>
      <c r="J37" s="6">
        <v>-0.460532</v>
      </c>
      <c r="K37" s="6">
        <v>-0.26222000000000001</v>
      </c>
      <c r="L37" s="6">
        <v>-7.852811</v>
      </c>
      <c r="M37">
        <v>0</v>
      </c>
      <c r="N37">
        <f t="shared" si="11"/>
        <v>8.2859168527674526E-2</v>
      </c>
      <c r="O37">
        <f t="shared" si="12"/>
        <v>1.5341886756292351</v>
      </c>
      <c r="P37" s="9">
        <f t="shared" si="2"/>
        <v>0.76994699275432876</v>
      </c>
      <c r="AE37">
        <f t="shared" si="15"/>
        <v>8</v>
      </c>
      <c r="AF37" t="s">
        <v>77</v>
      </c>
      <c r="AG37" s="13">
        <f t="shared" si="14"/>
        <v>41827.5</v>
      </c>
      <c r="AH37" s="13">
        <v>41964</v>
      </c>
      <c r="AI37" s="13">
        <v>41691</v>
      </c>
      <c r="AJ37" s="11">
        <v>9.9100103505034523E-2</v>
      </c>
      <c r="AK37" s="11">
        <v>8.434561333014727E-2</v>
      </c>
      <c r="AL37" s="11">
        <v>0.11199812272683773</v>
      </c>
      <c r="AM37" s="11">
        <v>0.11652647641504268</v>
      </c>
      <c r="AN37" s="11">
        <v>0.16315555883563027</v>
      </c>
      <c r="AO37" s="11">
        <v>0.15683106170585037</v>
      </c>
      <c r="AP37" s="11">
        <v>6.4991047178941419E-5</v>
      </c>
      <c r="AQ37" s="11">
        <v>1.1413979495856125E-5</v>
      </c>
      <c r="AR37" s="11">
        <v>0.15426658011432254</v>
      </c>
      <c r="AS37" s="11">
        <v>8.3765452158982031E-5</v>
      </c>
      <c r="AT37" s="11">
        <v>0.11361631288830087</v>
      </c>
      <c r="AU37">
        <v>0.97269532199854591</v>
      </c>
      <c r="AW37">
        <f t="shared" si="6"/>
        <v>0</v>
      </c>
      <c r="AX37">
        <v>34</v>
      </c>
      <c r="AY37" s="4">
        <f t="shared" si="3"/>
        <v>41873</v>
      </c>
      <c r="AZ37" s="6">
        <f t="shared" si="4"/>
        <v>1.7666954043212613</v>
      </c>
      <c r="BA37" s="4">
        <v>41873</v>
      </c>
      <c r="BB37" s="6">
        <v>-0.71148900000000004</v>
      </c>
      <c r="BC37" s="6">
        <v>2.2866149999999998</v>
      </c>
      <c r="BD37" s="6">
        <v>2.626795</v>
      </c>
      <c r="BE37" s="6">
        <v>1.2207589999999999</v>
      </c>
      <c r="BF37" s="6">
        <v>3.4767429999999999</v>
      </c>
      <c r="BG37" s="6">
        <v>0.63028099999999998</v>
      </c>
      <c r="BH37" s="6">
        <v>1.5845819999999999</v>
      </c>
      <c r="BI37" s="6">
        <v>0.447598</v>
      </c>
      <c r="BJ37" s="6">
        <v>2.1472190000000002</v>
      </c>
      <c r="BK37" s="6">
        <v>2.9874800000000001</v>
      </c>
      <c r="BL37" s="4">
        <v>41873</v>
      </c>
      <c r="BM37" s="6">
        <f>VLOOKUP(BL37,Sheet1!$A$2:$E$1114,2,FALSE)</f>
        <v>1.138901580211847</v>
      </c>
      <c r="BN37" s="6">
        <f t="shared" si="7"/>
        <v>1.7666954043212613</v>
      </c>
    </row>
    <row r="38" spans="1:66" x14ac:dyDescent="0.3">
      <c r="A38" s="4">
        <v>43273</v>
      </c>
      <c r="B38" s="6">
        <v>-3.2812902679050127</v>
      </c>
      <c r="C38" s="6">
        <v>-3.941945</v>
      </c>
      <c r="D38" s="6">
        <v>-5.4584849999999996</v>
      </c>
      <c r="E38" s="6">
        <v>-5.1124429999999998</v>
      </c>
      <c r="F38" s="6">
        <v>-5.5661500000000004</v>
      </c>
      <c r="G38" s="6">
        <v>-8.3804010000000009</v>
      </c>
      <c r="H38" s="6">
        <v>-3.1640630000000001</v>
      </c>
      <c r="I38" s="6">
        <v>-1.5241530000000001</v>
      </c>
      <c r="J38" s="6">
        <v>-4.0128430000000002</v>
      </c>
      <c r="K38" s="6">
        <v>-6.2308190000000003</v>
      </c>
      <c r="L38" s="6">
        <v>-10.008106</v>
      </c>
      <c r="M38">
        <v>0</v>
      </c>
      <c r="N38">
        <f t="shared" si="11"/>
        <v>0.96570473004817314</v>
      </c>
      <c r="O38">
        <f t="shared" si="12"/>
        <v>11.365722921350303</v>
      </c>
      <c r="P38" s="9">
        <f t="shared" si="2"/>
        <v>4.0926027673887297</v>
      </c>
      <c r="AE38">
        <f t="shared" si="15"/>
        <v>9</v>
      </c>
      <c r="AF38" t="s">
        <v>77</v>
      </c>
      <c r="AG38" s="13">
        <f t="shared" si="14"/>
        <v>41834.5</v>
      </c>
      <c r="AH38" s="13">
        <v>41971</v>
      </c>
      <c r="AI38" s="13">
        <v>41698</v>
      </c>
      <c r="AJ38" s="11">
        <v>0.22174849010398021</v>
      </c>
      <c r="AK38" s="11">
        <v>0.1658720432261572</v>
      </c>
      <c r="AL38" s="11">
        <v>7.350635045562371E-3</v>
      </c>
      <c r="AM38" s="11">
        <v>9.6247232743757488E-2</v>
      </c>
      <c r="AN38" s="11">
        <v>0.22315501849034514</v>
      </c>
      <c r="AO38" s="11">
        <v>0.12099133141590984</v>
      </c>
      <c r="AP38" s="11">
        <v>5.9235262113944673E-7</v>
      </c>
      <c r="AQ38" s="11">
        <v>1.4143116003579033E-7</v>
      </c>
      <c r="AR38" s="11">
        <v>7.4471926870021368E-2</v>
      </c>
      <c r="AS38" s="11">
        <v>3.1573748540555144E-4</v>
      </c>
      <c r="AT38" s="11">
        <v>8.9846850835079664E-2</v>
      </c>
      <c r="AU38">
        <v>0.97079669702942417</v>
      </c>
      <c r="AW38">
        <f t="shared" si="6"/>
        <v>0</v>
      </c>
      <c r="AX38">
        <v>35</v>
      </c>
      <c r="AY38" s="4">
        <f t="shared" si="3"/>
        <v>41880</v>
      </c>
      <c r="AZ38" s="6">
        <f t="shared" si="4"/>
        <v>-1.5394148677871589</v>
      </c>
      <c r="BA38" s="4">
        <v>41880</v>
      </c>
      <c r="BB38" s="6">
        <v>-1.478183</v>
      </c>
      <c r="BC38" s="6">
        <v>-1.473705</v>
      </c>
      <c r="BD38" s="6">
        <v>-2.1175269999999999</v>
      </c>
      <c r="BE38" s="6">
        <v>-2.1662759999999999</v>
      </c>
      <c r="BF38" s="6">
        <v>-1.103083</v>
      </c>
      <c r="BG38" s="6">
        <v>-1.1629130000000001</v>
      </c>
      <c r="BH38" s="6">
        <v>-2.2389670000000002</v>
      </c>
      <c r="BI38" s="6">
        <v>0.11232300000000001</v>
      </c>
      <c r="BJ38" s="6">
        <v>-0.32597500000000001</v>
      </c>
      <c r="BK38" s="6">
        <v>-2.0319609999999999</v>
      </c>
      <c r="BL38" s="4">
        <v>41880</v>
      </c>
      <c r="BM38" s="6">
        <f>VLOOKUP(BL38,Sheet1!$A$2:$E$1114,2,FALSE)</f>
        <v>1.1213691599566029</v>
      </c>
      <c r="BN38" s="6">
        <f t="shared" si="7"/>
        <v>-1.5394148677871589</v>
      </c>
    </row>
    <row r="39" spans="1:66" x14ac:dyDescent="0.3">
      <c r="A39" s="4">
        <v>43280</v>
      </c>
      <c r="B39" s="6">
        <v>-1.7716946003508927</v>
      </c>
      <c r="C39" s="6">
        <v>-3.8775469999999999</v>
      </c>
      <c r="D39" s="6">
        <v>-7.8584000000000001E-2</v>
      </c>
      <c r="E39" s="6">
        <v>-0.83584899999999995</v>
      </c>
      <c r="F39" s="6">
        <v>-0.96536699999999998</v>
      </c>
      <c r="G39" s="6">
        <v>4.9091760000000004</v>
      </c>
      <c r="H39" s="6">
        <v>-2.9322780000000002</v>
      </c>
      <c r="I39" s="6">
        <v>-0.49029400000000001</v>
      </c>
      <c r="J39" s="6">
        <v>-0.28151900000000002</v>
      </c>
      <c r="K39" s="6">
        <v>-0.95882400000000001</v>
      </c>
      <c r="L39" s="6">
        <v>2.089928</v>
      </c>
      <c r="M39">
        <v>0</v>
      </c>
      <c r="N39">
        <f t="shared" si="11"/>
        <v>1.4488723613592327</v>
      </c>
      <c r="O39">
        <f t="shared" si="12"/>
        <v>3.4659757303072425</v>
      </c>
      <c r="P39" s="9">
        <f t="shared" si="2"/>
        <v>0.46566015233645502</v>
      </c>
      <c r="AE39">
        <f t="shared" si="15"/>
        <v>10</v>
      </c>
      <c r="AF39" t="s">
        <v>77</v>
      </c>
      <c r="AG39" s="13">
        <f t="shared" si="14"/>
        <v>41841.5</v>
      </c>
      <c r="AH39" s="13">
        <v>41978</v>
      </c>
      <c r="AI39" s="13">
        <v>41705</v>
      </c>
      <c r="AJ39" s="11">
        <v>0.24336513237001195</v>
      </c>
      <c r="AK39" s="11">
        <v>0.12755878234546061</v>
      </c>
      <c r="AL39" s="11">
        <v>3.4220412473258723E-2</v>
      </c>
      <c r="AM39" s="11">
        <v>7.5552148276422038E-2</v>
      </c>
      <c r="AN39" s="11">
        <v>0.20595887439186572</v>
      </c>
      <c r="AO39" s="11">
        <v>0.12060490108101027</v>
      </c>
      <c r="AP39" s="11">
        <v>2.8091347877433643E-5</v>
      </c>
      <c r="AQ39" s="11">
        <v>7.4717248344861402E-6</v>
      </c>
      <c r="AR39" s="11">
        <v>8.4119475068447677E-2</v>
      </c>
      <c r="AS39" s="11">
        <v>2.9025698321198921E-2</v>
      </c>
      <c r="AT39" s="11">
        <v>7.9559012599612219E-2</v>
      </c>
      <c r="AU39">
        <v>0.97278677870592067</v>
      </c>
      <c r="AW39">
        <f t="shared" si="6"/>
        <v>0</v>
      </c>
      <c r="AX39">
        <v>36</v>
      </c>
      <c r="AY39" s="4">
        <f t="shared" si="3"/>
        <v>41887</v>
      </c>
      <c r="AZ39" s="6">
        <f t="shared" si="4"/>
        <v>4.9324710895311652</v>
      </c>
      <c r="BA39" s="4">
        <v>41887</v>
      </c>
      <c r="BB39" s="6">
        <v>4.3955770000000003</v>
      </c>
      <c r="BC39" s="6">
        <v>6.8572439999999997</v>
      </c>
      <c r="BD39" s="6">
        <v>4.6618490000000001</v>
      </c>
      <c r="BE39" s="6">
        <v>4.8245709999999997</v>
      </c>
      <c r="BF39" s="6">
        <v>5.4671019999999997</v>
      </c>
      <c r="BG39" s="6">
        <v>4.2162730000000002</v>
      </c>
      <c r="BH39" s="6">
        <v>4.0893160000000002</v>
      </c>
      <c r="BI39" s="6">
        <v>3.784764</v>
      </c>
      <c r="BJ39" s="6">
        <v>5.7045709999999996</v>
      </c>
      <c r="BK39" s="6">
        <v>6.010516</v>
      </c>
      <c r="BL39" s="4">
        <v>41887</v>
      </c>
      <c r="BM39" s="6">
        <f>VLOOKUP(BL39,Sheet1!$A$2:$E$1114,2,FALSE)</f>
        <v>1.176680369578381</v>
      </c>
      <c r="BN39" s="6">
        <f t="shared" si="7"/>
        <v>4.9324710895311652</v>
      </c>
    </row>
    <row r="40" spans="1:66" x14ac:dyDescent="0.3">
      <c r="A40" s="4">
        <v>43287</v>
      </c>
      <c r="B40" s="6">
        <v>-3.6714028470027582</v>
      </c>
      <c r="C40" s="6">
        <v>-3.3560979999999998</v>
      </c>
      <c r="D40" s="6">
        <v>-4.5379909999999999</v>
      </c>
      <c r="E40" s="6">
        <v>-5.2669329999999999</v>
      </c>
      <c r="F40" s="6">
        <v>-4.6924999999999999</v>
      </c>
      <c r="G40" s="6">
        <v>-3.9423119999999998</v>
      </c>
      <c r="H40" s="6">
        <v>-3.9637020000000001</v>
      </c>
      <c r="I40" s="6">
        <v>-5.2156849999999997</v>
      </c>
      <c r="J40" s="6">
        <v>-5.6217420000000002</v>
      </c>
      <c r="K40" s="6">
        <v>-1.1990959999999999</v>
      </c>
      <c r="L40" s="6">
        <v>-2.8233130000000002</v>
      </c>
      <c r="M40">
        <v>0</v>
      </c>
      <c r="N40">
        <f t="shared" si="11"/>
        <v>3.0603723941651384</v>
      </c>
      <c r="O40">
        <f t="shared" si="12"/>
        <v>14.148290675537501</v>
      </c>
      <c r="P40" s="9">
        <f t="shared" si="2"/>
        <v>0.61553124437585927</v>
      </c>
      <c r="AE40">
        <f t="shared" si="15"/>
        <v>11</v>
      </c>
      <c r="AF40" t="s">
        <v>77</v>
      </c>
      <c r="AG40" s="13">
        <f t="shared" si="14"/>
        <v>41848.5</v>
      </c>
      <c r="AH40" s="13">
        <v>41985</v>
      </c>
      <c r="AI40" s="13">
        <v>41712</v>
      </c>
      <c r="AJ40" s="11">
        <v>0.26435849903942699</v>
      </c>
      <c r="AK40" s="11">
        <v>1.7835942837509111E-2</v>
      </c>
      <c r="AL40" s="11">
        <v>5.2183502172989164E-2</v>
      </c>
      <c r="AM40" s="11">
        <v>0.11562636640695911</v>
      </c>
      <c r="AN40" s="11">
        <v>0.24130989919927584</v>
      </c>
      <c r="AO40" s="11">
        <v>8.9471358808539278E-2</v>
      </c>
      <c r="AP40" s="11">
        <v>8.7522021400457666E-5</v>
      </c>
      <c r="AQ40" s="11">
        <v>1.2668494964619051E-6</v>
      </c>
      <c r="AR40" s="11">
        <v>7.552464743661326E-2</v>
      </c>
      <c r="AS40" s="11">
        <v>4.4723946768344243E-2</v>
      </c>
      <c r="AT40" s="11">
        <v>9.8877048459446115E-2</v>
      </c>
      <c r="AU40">
        <v>0.96984384128615808</v>
      </c>
      <c r="AW40">
        <f t="shared" si="6"/>
        <v>0</v>
      </c>
      <c r="AX40">
        <v>37</v>
      </c>
      <c r="AY40" s="4">
        <f t="shared" si="3"/>
        <v>41894</v>
      </c>
      <c r="AZ40" s="6">
        <f t="shared" si="4"/>
        <v>0.7065368676149486</v>
      </c>
      <c r="BA40" s="4">
        <v>41894</v>
      </c>
      <c r="BB40" s="6">
        <v>-1.415978</v>
      </c>
      <c r="BC40" s="6">
        <v>2.5915940000000002</v>
      </c>
      <c r="BD40" s="6">
        <v>1.637186</v>
      </c>
      <c r="BE40" s="6">
        <v>1.5454639999999999</v>
      </c>
      <c r="BF40" s="6">
        <v>0.962121</v>
      </c>
      <c r="BG40" s="6">
        <v>-2.8576000000000001E-2</v>
      </c>
      <c r="BH40" s="6">
        <v>0.88544900000000004</v>
      </c>
      <c r="BI40" s="6">
        <v>2.6619999999999999E-3</v>
      </c>
      <c r="BJ40" s="6">
        <v>2.1118760000000001</v>
      </c>
      <c r="BK40" s="6">
        <v>2.277841</v>
      </c>
      <c r="BL40" s="4">
        <v>41894</v>
      </c>
      <c r="BM40" s="6">
        <f>VLOOKUP(BL40,Sheet1!$A$2:$E$1114,2,FALSE)</f>
        <v>1.18499405020344</v>
      </c>
      <c r="BN40" s="6">
        <f t="shared" si="7"/>
        <v>0.7065368676149486</v>
      </c>
    </row>
    <row r="41" spans="1:66" x14ac:dyDescent="0.3">
      <c r="A41" s="4">
        <v>43294</v>
      </c>
      <c r="B41" s="6">
        <v>4.4562573465111832</v>
      </c>
      <c r="C41" s="6">
        <v>2.1791900000000002</v>
      </c>
      <c r="D41" s="6">
        <v>2.4797820000000002</v>
      </c>
      <c r="E41" s="6">
        <v>2.987412</v>
      </c>
      <c r="F41" s="6">
        <v>5.5164020000000002</v>
      </c>
      <c r="G41" s="6">
        <v>4.5544450000000003</v>
      </c>
      <c r="H41" s="6">
        <v>5.6311080000000002</v>
      </c>
      <c r="I41" s="6">
        <v>8.0988769999999999</v>
      </c>
      <c r="J41" s="6">
        <v>0.97494000000000003</v>
      </c>
      <c r="K41" s="6">
        <v>1.2185010000000001</v>
      </c>
      <c r="L41" s="6">
        <v>4.7995669999999997</v>
      </c>
      <c r="M41">
        <v>0</v>
      </c>
      <c r="N41">
        <f t="shared" si="11"/>
        <v>11.273749770964674</v>
      </c>
      <c r="O41">
        <f t="shared" si="12"/>
        <v>19.064041518697891</v>
      </c>
      <c r="P41" s="9">
        <f t="shared" si="2"/>
        <v>0.14347688419955221</v>
      </c>
      <c r="AE41">
        <f t="shared" si="15"/>
        <v>12</v>
      </c>
      <c r="AF41" t="s">
        <v>77</v>
      </c>
      <c r="AG41" s="13">
        <f t="shared" si="14"/>
        <v>41855.5</v>
      </c>
      <c r="AH41" s="13">
        <v>41992</v>
      </c>
      <c r="AI41" s="13">
        <v>41719</v>
      </c>
      <c r="AJ41" s="11">
        <v>0.26728412106841137</v>
      </c>
      <c r="AK41" s="11">
        <v>8.4692224797757999E-5</v>
      </c>
      <c r="AL41" s="11">
        <v>0.13805492487722507</v>
      </c>
      <c r="AM41" s="11">
        <v>0.12330198945376392</v>
      </c>
      <c r="AN41" s="11">
        <v>0.19830602041178591</v>
      </c>
      <c r="AO41" s="11">
        <v>5.7869581926540667E-2</v>
      </c>
      <c r="AP41" s="11">
        <v>1.3025827568445336E-5</v>
      </c>
      <c r="AQ41" s="11">
        <v>5.0475540415859361E-6</v>
      </c>
      <c r="AR41" s="11">
        <v>4.7341023448233342E-2</v>
      </c>
      <c r="AS41" s="11">
        <v>7.8966152482140645E-2</v>
      </c>
      <c r="AT41" s="11">
        <v>8.877342072549127E-2</v>
      </c>
      <c r="AU41">
        <v>0.97195547797729809</v>
      </c>
      <c r="AW41">
        <f t="shared" si="6"/>
        <v>0</v>
      </c>
      <c r="AX41">
        <v>38</v>
      </c>
      <c r="AY41" s="4">
        <f t="shared" si="3"/>
        <v>41901</v>
      </c>
      <c r="AZ41" s="6">
        <f t="shared" si="4"/>
        <v>-0.47242205628954537</v>
      </c>
      <c r="BA41" s="4">
        <v>41901</v>
      </c>
      <c r="BB41" s="6">
        <v>-0.24543100000000001</v>
      </c>
      <c r="BC41" s="6">
        <v>-0.27391500000000002</v>
      </c>
      <c r="BD41" s="6">
        <v>-0.55964800000000003</v>
      </c>
      <c r="BE41" s="6">
        <v>-0.20629500000000001</v>
      </c>
      <c r="BF41" s="6">
        <v>-1.48543</v>
      </c>
      <c r="BG41" s="6">
        <v>0.29067199999999999</v>
      </c>
      <c r="BH41" s="6">
        <v>1.2586619999999999</v>
      </c>
      <c r="BI41" s="6">
        <v>-0.70845800000000003</v>
      </c>
      <c r="BJ41" s="6">
        <v>1.366973</v>
      </c>
      <c r="BK41" s="6">
        <v>-0.58178600000000003</v>
      </c>
      <c r="BL41" s="4">
        <v>41901</v>
      </c>
      <c r="BM41" s="6">
        <f>VLOOKUP(BL41,Sheet1!$A$2:$E$1114,2,FALSE)</f>
        <v>1.1793958769445601</v>
      </c>
      <c r="BN41" s="6">
        <f t="shared" si="7"/>
        <v>-0.47242205628954537</v>
      </c>
    </row>
    <row r="42" spans="1:66" x14ac:dyDescent="0.3">
      <c r="A42" s="4">
        <v>43301</v>
      </c>
      <c r="B42" s="6">
        <v>-0.37042024876065005</v>
      </c>
      <c r="C42" s="6">
        <v>1.1086370000000001</v>
      </c>
      <c r="D42" s="6">
        <v>-0.28413899999999997</v>
      </c>
      <c r="E42" s="6">
        <v>-1.344284</v>
      </c>
      <c r="F42" s="6">
        <v>-0.679095</v>
      </c>
      <c r="G42" s="6">
        <v>0.77607800000000005</v>
      </c>
      <c r="H42" s="6">
        <v>-1.9705170000000001</v>
      </c>
      <c r="I42" s="6">
        <v>-2.8157839999999998</v>
      </c>
      <c r="J42" s="6">
        <v>-0.21920400000000001</v>
      </c>
      <c r="K42" s="6">
        <v>3.9773800000000001</v>
      </c>
      <c r="L42" s="6">
        <v>2.2771240000000001</v>
      </c>
      <c r="M42">
        <v>0</v>
      </c>
      <c r="N42">
        <f t="shared" si="11"/>
        <v>0.1889683924769994</v>
      </c>
      <c r="O42">
        <f t="shared" si="12"/>
        <v>0.21200385676561115</v>
      </c>
      <c r="P42" s="9">
        <f t="shared" si="2"/>
        <v>4.6231362717866495E-3</v>
      </c>
      <c r="AE42">
        <f t="shared" si="15"/>
        <v>13</v>
      </c>
      <c r="AF42" t="s">
        <v>77</v>
      </c>
      <c r="AG42" s="13">
        <f t="shared" si="14"/>
        <v>41862.5</v>
      </c>
      <c r="AH42" s="13">
        <v>41999</v>
      </c>
      <c r="AI42" s="13">
        <v>41726</v>
      </c>
      <c r="AJ42" s="11">
        <v>0.27304384708071</v>
      </c>
      <c r="AK42" s="11">
        <v>8.7509281553600088E-5</v>
      </c>
      <c r="AL42" s="11">
        <v>0.12228290196808442</v>
      </c>
      <c r="AM42" s="11">
        <v>0.15233136976254075</v>
      </c>
      <c r="AN42" s="11">
        <v>0.1762363056061895</v>
      </c>
      <c r="AO42" s="11">
        <v>4.2528434554713473E-2</v>
      </c>
      <c r="AP42" s="11">
        <v>2.9067470285634835E-5</v>
      </c>
      <c r="AQ42" s="11">
        <v>1.282232988928704E-5</v>
      </c>
      <c r="AR42" s="11">
        <v>3.7007616666591837E-2</v>
      </c>
      <c r="AS42" s="11">
        <v>0.10985162673342311</v>
      </c>
      <c r="AT42" s="11">
        <v>8.6588498546018342E-2</v>
      </c>
      <c r="AU42">
        <v>0.97594055823797365</v>
      </c>
      <c r="AW42">
        <f t="shared" si="6"/>
        <v>0</v>
      </c>
      <c r="AX42">
        <v>39</v>
      </c>
      <c r="AY42" s="4">
        <f t="shared" si="3"/>
        <v>41908</v>
      </c>
      <c r="AZ42" s="6">
        <f t="shared" si="4"/>
        <v>1.5290605546105063</v>
      </c>
      <c r="BA42" s="4">
        <v>41908</v>
      </c>
      <c r="BB42" s="6">
        <v>6.9579000000000002E-2</v>
      </c>
      <c r="BC42" s="6">
        <v>2.1933259999999999</v>
      </c>
      <c r="BD42" s="6">
        <v>0.95670500000000003</v>
      </c>
      <c r="BE42" s="6">
        <v>1.444278</v>
      </c>
      <c r="BF42" s="6">
        <v>1.935408</v>
      </c>
      <c r="BG42" s="6">
        <v>0.838225</v>
      </c>
      <c r="BH42" s="6">
        <v>0.88135200000000002</v>
      </c>
      <c r="BI42" s="6">
        <v>0.43738199999999999</v>
      </c>
      <c r="BJ42" s="6">
        <v>1.892787</v>
      </c>
      <c r="BK42" s="6">
        <v>4.6605189999999999</v>
      </c>
      <c r="BL42" s="4">
        <v>41908</v>
      </c>
      <c r="BM42" s="6">
        <f>VLOOKUP(BL42,Sheet1!$A$2:$E$1114,2,FALSE)</f>
        <v>1.197429554081622</v>
      </c>
      <c r="BN42" s="6">
        <f t="shared" si="7"/>
        <v>1.5290605546105063</v>
      </c>
    </row>
    <row r="43" spans="1:66" x14ac:dyDescent="0.3">
      <c r="A43" s="4">
        <v>43308</v>
      </c>
      <c r="B43" s="6" t="e">
        <v>#N/A</v>
      </c>
      <c r="C43" s="6">
        <v>1.5446249999999999</v>
      </c>
      <c r="D43" s="6">
        <v>3.310927</v>
      </c>
      <c r="E43" s="6">
        <v>0.59122699999999995</v>
      </c>
      <c r="F43" s="6">
        <v>3.062643</v>
      </c>
      <c r="G43" s="6">
        <v>-0.52742500000000003</v>
      </c>
      <c r="H43" s="6">
        <v>1.0524990000000001</v>
      </c>
      <c r="I43" s="6">
        <v>-3.1172049999999998</v>
      </c>
      <c r="J43" s="6">
        <v>4.045401</v>
      </c>
      <c r="K43" s="6">
        <v>1.1524669999999999</v>
      </c>
      <c r="L43" s="6">
        <v>0.26236399999999999</v>
      </c>
      <c r="M43">
        <v>0</v>
      </c>
      <c r="N43" t="e">
        <f t="shared" si="11"/>
        <v>#N/A</v>
      </c>
      <c r="O43" t="e">
        <f t="shared" si="12"/>
        <v>#N/A</v>
      </c>
      <c r="P43" s="9" t="e">
        <f t="shared" si="2"/>
        <v>#N/A</v>
      </c>
      <c r="AE43">
        <f t="shared" si="15"/>
        <v>14</v>
      </c>
      <c r="AF43" t="s">
        <v>77</v>
      </c>
      <c r="AG43" s="13">
        <f t="shared" si="14"/>
        <v>41868.5</v>
      </c>
      <c r="AH43" s="13">
        <v>42004</v>
      </c>
      <c r="AI43" s="13">
        <v>41733</v>
      </c>
      <c r="AJ43" s="11">
        <v>0.29402756555809245</v>
      </c>
      <c r="AK43" s="11">
        <v>1.3439238330996929E-2</v>
      </c>
      <c r="AL43" s="11">
        <v>0.16388073416889312</v>
      </c>
      <c r="AM43" s="11">
        <v>0.16630010569404549</v>
      </c>
      <c r="AN43" s="11">
        <v>0.12918259717892835</v>
      </c>
      <c r="AO43" s="11">
        <v>5.9873020723969104E-3</v>
      </c>
      <c r="AP43" s="11">
        <v>1.207086629012585E-2</v>
      </c>
      <c r="AQ43" s="11">
        <v>3.168797774675268E-6</v>
      </c>
      <c r="AR43" s="11">
        <v>1.8117118599103539E-2</v>
      </c>
      <c r="AS43" s="11">
        <v>9.2246677311242239E-2</v>
      </c>
      <c r="AT43" s="11">
        <v>0.10474462599840037</v>
      </c>
      <c r="AU43">
        <v>0.96386244397287135</v>
      </c>
      <c r="AW43">
        <f t="shared" si="6"/>
        <v>0</v>
      </c>
      <c r="AX43">
        <v>40</v>
      </c>
      <c r="AY43" s="4">
        <f t="shared" si="3"/>
        <v>41912</v>
      </c>
      <c r="AZ43" s="6">
        <f t="shared" si="4"/>
        <v>1.0031668335592991</v>
      </c>
      <c r="BA43" s="4">
        <v>41912</v>
      </c>
      <c r="BB43" s="6">
        <v>0.26435900000000001</v>
      </c>
      <c r="BC43" s="6">
        <v>1.2638499999999999</v>
      </c>
      <c r="BD43" s="6">
        <v>0.899335</v>
      </c>
      <c r="BE43" s="6">
        <v>1.1033820000000001</v>
      </c>
      <c r="BF43" s="6">
        <v>2.631872</v>
      </c>
      <c r="BG43" s="6">
        <v>1.040303</v>
      </c>
      <c r="BH43" s="6">
        <v>1.4084939999999999</v>
      </c>
      <c r="BI43" s="6">
        <v>1.620212</v>
      </c>
      <c r="BJ43" s="6">
        <v>1.4047149999999999</v>
      </c>
      <c r="BK43" s="6">
        <v>2.0524559999999998</v>
      </c>
      <c r="BL43" s="4">
        <v>41912</v>
      </c>
      <c r="BM43" s="6">
        <f>VLOOKUP(BL43,Sheet1!$A$2:$E$1114,2,FALSE)</f>
        <v>1.2094417702234059</v>
      </c>
      <c r="BN43" s="6">
        <f t="shared" si="7"/>
        <v>1.0031668335592991</v>
      </c>
    </row>
    <row r="44" spans="1:66" x14ac:dyDescent="0.3">
      <c r="A44" s="4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P44" s="9"/>
      <c r="AE44">
        <f t="shared" si="15"/>
        <v>15</v>
      </c>
      <c r="AF44" t="s">
        <v>77</v>
      </c>
      <c r="AG44" s="13">
        <f t="shared" si="14"/>
        <v>41876.5</v>
      </c>
      <c r="AH44" s="13">
        <v>42013</v>
      </c>
      <c r="AI44" s="13">
        <v>41740</v>
      </c>
      <c r="AJ44" s="11">
        <v>0.29455578496336537</v>
      </c>
      <c r="AK44" s="11">
        <v>2.4472672191041867E-2</v>
      </c>
      <c r="AL44" s="11">
        <v>0.20242473831669036</v>
      </c>
      <c r="AM44" s="11">
        <v>0.1537080018459524</v>
      </c>
      <c r="AN44" s="11">
        <v>0.122940280011772</v>
      </c>
      <c r="AO44" s="11">
        <v>9.6752477145344568E-5</v>
      </c>
      <c r="AP44" s="11">
        <v>9.0398735528595363E-3</v>
      </c>
      <c r="AQ44" s="11">
        <v>6.7529963166497354E-7</v>
      </c>
      <c r="AR44" s="11">
        <v>4.6984403565900387E-3</v>
      </c>
      <c r="AS44" s="11">
        <v>8.3246235227165927E-2</v>
      </c>
      <c r="AT44" s="11">
        <v>0.10481654575778544</v>
      </c>
      <c r="AU44">
        <v>0.96340298763393417</v>
      </c>
      <c r="AW44">
        <f t="shared" si="6"/>
        <v>0</v>
      </c>
      <c r="AX44">
        <v>41</v>
      </c>
      <c r="AY44" s="4">
        <f t="shared" si="3"/>
        <v>41922</v>
      </c>
      <c r="AZ44" s="6">
        <f t="shared" si="4"/>
        <v>0.58775100310375361</v>
      </c>
      <c r="BA44" s="4">
        <v>41922</v>
      </c>
      <c r="BB44" s="6">
        <v>0.895783</v>
      </c>
      <c r="BC44" s="6">
        <v>1.6612960000000001</v>
      </c>
      <c r="BD44" s="6">
        <v>1.005066</v>
      </c>
      <c r="BE44" s="6">
        <v>1.292975</v>
      </c>
      <c r="BF44" s="6">
        <v>7.221E-3</v>
      </c>
      <c r="BG44" s="6">
        <v>0.441552</v>
      </c>
      <c r="BH44" s="6">
        <v>3.2088269999999999</v>
      </c>
      <c r="BI44" s="6">
        <v>0.269621</v>
      </c>
      <c r="BJ44" s="6">
        <v>-0.32124200000000003</v>
      </c>
      <c r="BK44" s="6">
        <v>1.0759259999999999</v>
      </c>
      <c r="BL44" s="4">
        <v>41922</v>
      </c>
      <c r="BM44" s="6">
        <f>VLOOKUP(BL44,Sheet1!$A$2:$E$1114,2,FALSE)</f>
        <v>1.2165502763598499</v>
      </c>
      <c r="BN44" s="6">
        <f t="shared" si="7"/>
        <v>0.58775100310375361</v>
      </c>
    </row>
    <row r="45" spans="1:66" x14ac:dyDescent="0.3">
      <c r="A45" s="4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P45" s="9"/>
      <c r="AE45">
        <f t="shared" si="15"/>
        <v>16</v>
      </c>
      <c r="AF45" t="s">
        <v>77</v>
      </c>
      <c r="AG45" s="13">
        <f t="shared" si="14"/>
        <v>41883.5</v>
      </c>
      <c r="AH45" s="13">
        <v>42020</v>
      </c>
      <c r="AI45" s="13">
        <v>41747</v>
      </c>
      <c r="AJ45" s="11">
        <v>0.29702100428484834</v>
      </c>
      <c r="AK45" s="11">
        <v>3.3820725612891893E-2</v>
      </c>
      <c r="AL45" s="11">
        <v>0.21561268890085791</v>
      </c>
      <c r="AM45" s="11">
        <v>0.12540211026186598</v>
      </c>
      <c r="AN45" s="11">
        <v>0.12670280104019935</v>
      </c>
      <c r="AO45" s="11">
        <v>9.621148236178963E-3</v>
      </c>
      <c r="AP45" s="11">
        <v>1.0242155069344507E-2</v>
      </c>
      <c r="AQ45" s="11">
        <v>1.4600830489673196E-6</v>
      </c>
      <c r="AR45" s="11">
        <v>1.8741031809619804E-3</v>
      </c>
      <c r="AS45" s="11">
        <v>8.0378493596948611E-2</v>
      </c>
      <c r="AT45" s="11">
        <v>9.9323309732853512E-2</v>
      </c>
      <c r="AU45">
        <v>0.96409052827868813</v>
      </c>
      <c r="AW45">
        <f t="shared" si="6"/>
        <v>0</v>
      </c>
      <c r="AX45">
        <v>42</v>
      </c>
      <c r="AY45" s="4">
        <f t="shared" si="3"/>
        <v>41929</v>
      </c>
      <c r="AZ45" s="6">
        <f t="shared" si="4"/>
        <v>-1.5961303632873625</v>
      </c>
      <c r="BA45" s="4">
        <v>41929</v>
      </c>
      <c r="BB45" s="6">
        <v>-0.47513100000000003</v>
      </c>
      <c r="BC45" s="6">
        <v>-2.2068289999999999</v>
      </c>
      <c r="BD45" s="6">
        <v>-1.984367</v>
      </c>
      <c r="BE45" s="6">
        <v>-1.9649920000000001</v>
      </c>
      <c r="BF45" s="6">
        <v>-2.8154569999999999</v>
      </c>
      <c r="BG45" s="6">
        <v>-1.7273989999999999</v>
      </c>
      <c r="BH45" s="6">
        <v>-2.8138E-2</v>
      </c>
      <c r="BI45" s="6">
        <v>-3.2492640000000002</v>
      </c>
      <c r="BJ45" s="6">
        <v>-2.4627940000000001</v>
      </c>
      <c r="BK45" s="6">
        <v>-4.1015360000000003</v>
      </c>
      <c r="BL45" s="4">
        <v>41929</v>
      </c>
      <c r="BM45" s="6">
        <f>VLOOKUP(BL45,Sheet1!$A$2:$E$1114,2,FALSE)</f>
        <v>1.1971325480142141</v>
      </c>
      <c r="BN45" s="6">
        <f t="shared" si="7"/>
        <v>-1.5961303632873625</v>
      </c>
    </row>
    <row r="46" spans="1:66" x14ac:dyDescent="0.3">
      <c r="A46" s="4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P46" s="9"/>
      <c r="AE46">
        <f t="shared" si="15"/>
        <v>17</v>
      </c>
      <c r="AF46" t="s">
        <v>77</v>
      </c>
      <c r="AG46" s="13">
        <f t="shared" si="14"/>
        <v>41890.5</v>
      </c>
      <c r="AH46" s="13">
        <v>42027</v>
      </c>
      <c r="AI46" s="13">
        <v>41754</v>
      </c>
      <c r="AJ46" s="11">
        <v>0.29602291472060543</v>
      </c>
      <c r="AK46" s="11">
        <v>2.9762539963750667E-2</v>
      </c>
      <c r="AL46" s="11">
        <v>0.20552757383418122</v>
      </c>
      <c r="AM46" s="11">
        <v>0.10575655725934739</v>
      </c>
      <c r="AN46" s="11">
        <v>0.12849138931042081</v>
      </c>
      <c r="AO46" s="11">
        <v>2.4256835388535434E-2</v>
      </c>
      <c r="AP46" s="11">
        <v>8.4447903752773586E-5</v>
      </c>
      <c r="AQ46" s="11">
        <v>5.4799350715326487E-6</v>
      </c>
      <c r="AR46" s="11">
        <v>9.4020477253464151E-3</v>
      </c>
      <c r="AS46" s="11">
        <v>9.8846717244356827E-2</v>
      </c>
      <c r="AT46" s="11">
        <v>0.1018434967146314</v>
      </c>
      <c r="AU46">
        <v>0.96474501856496242</v>
      </c>
      <c r="AW46">
        <f t="shared" si="6"/>
        <v>0</v>
      </c>
      <c r="AX46">
        <v>43</v>
      </c>
      <c r="AY46" s="4">
        <f t="shared" si="3"/>
        <v>41936</v>
      </c>
      <c r="AZ46" s="6">
        <f t="shared" si="4"/>
        <v>-1.5574570925706466</v>
      </c>
      <c r="BA46" s="4">
        <v>41936</v>
      </c>
      <c r="BB46" s="6">
        <v>-1.544635</v>
      </c>
      <c r="BC46" s="6">
        <v>-1.9728289999999999</v>
      </c>
      <c r="BD46" s="6">
        <v>-1.835405</v>
      </c>
      <c r="BE46" s="6">
        <v>-2.6823350000000001</v>
      </c>
      <c r="BF46" s="6">
        <v>-1.072905</v>
      </c>
      <c r="BG46" s="6">
        <v>-2.7985229999999999</v>
      </c>
      <c r="BH46" s="6">
        <v>-2.9674100000000001</v>
      </c>
      <c r="BI46" s="6">
        <v>-3.399251</v>
      </c>
      <c r="BJ46" s="6">
        <v>-1.3238380000000001</v>
      </c>
      <c r="BK46" s="6">
        <v>-1.043469</v>
      </c>
      <c r="BL46" s="4">
        <v>41936</v>
      </c>
      <c r="BM46" s="6">
        <f>VLOOKUP(BL46,Sheet1!$A$2:$E$1114,2,FALSE)</f>
        <v>1.178487722237695</v>
      </c>
      <c r="BN46" s="6">
        <f t="shared" si="7"/>
        <v>-1.5574570925706466</v>
      </c>
    </row>
    <row r="47" spans="1:66" x14ac:dyDescent="0.3">
      <c r="A47" s="4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P47" s="9"/>
      <c r="AE47">
        <f t="shared" si="15"/>
        <v>18</v>
      </c>
      <c r="AF47" t="s">
        <v>77</v>
      </c>
      <c r="AG47" s="13">
        <f t="shared" si="14"/>
        <v>41896.5</v>
      </c>
      <c r="AH47" s="13">
        <v>42034</v>
      </c>
      <c r="AI47" s="13">
        <v>41759</v>
      </c>
      <c r="AJ47" s="11">
        <v>0.28916817699878145</v>
      </c>
      <c r="AK47" s="11">
        <v>7.7156611842310778E-3</v>
      </c>
      <c r="AL47" s="11">
        <v>0.19850101312251181</v>
      </c>
      <c r="AM47" s="11">
        <v>0.11781136032648948</v>
      </c>
      <c r="AN47" s="11">
        <v>0.13924096764747784</v>
      </c>
      <c r="AO47" s="11">
        <v>2.957386467640925E-2</v>
      </c>
      <c r="AP47" s="11">
        <v>8.6340966567511186E-5</v>
      </c>
      <c r="AQ47" s="11">
        <v>2.2499467477749362E-6</v>
      </c>
      <c r="AR47" s="11">
        <v>2.7789267216889894E-2</v>
      </c>
      <c r="AS47" s="11">
        <v>9.7359370331094069E-2</v>
      </c>
      <c r="AT47" s="11">
        <v>9.2751727582799814E-2</v>
      </c>
      <c r="AU47">
        <v>0.96122807449072289</v>
      </c>
      <c r="AW47">
        <f t="shared" si="6"/>
        <v>0</v>
      </c>
      <c r="AX47">
        <v>44</v>
      </c>
      <c r="AY47" s="4">
        <f t="shared" si="3"/>
        <v>41943</v>
      </c>
      <c r="AZ47" s="6">
        <f t="shared" si="4"/>
        <v>4.1837011453957684</v>
      </c>
      <c r="BA47" s="4">
        <v>41943</v>
      </c>
      <c r="BB47" s="6">
        <v>5.704326</v>
      </c>
      <c r="BC47" s="6">
        <v>5.7529529999999998</v>
      </c>
      <c r="BD47" s="6">
        <v>4.0346469999999997</v>
      </c>
      <c r="BE47" s="6">
        <v>5.057315</v>
      </c>
      <c r="BF47" s="6">
        <v>3.4365920000000001</v>
      </c>
      <c r="BG47" s="6">
        <v>2.1184639999999999</v>
      </c>
      <c r="BH47" s="6">
        <v>2.9345089999999998</v>
      </c>
      <c r="BI47" s="6">
        <v>4.7199359999999997</v>
      </c>
      <c r="BJ47" s="6">
        <v>8.1028059999999993</v>
      </c>
      <c r="BK47" s="6">
        <v>3.1514090000000001</v>
      </c>
      <c r="BL47" s="4">
        <v>41943</v>
      </c>
      <c r="BM47" s="6">
        <f>VLOOKUP(BL47,Sheet1!$A$2:$E$1114,2,FALSE)</f>
        <v>1.2277921265713021</v>
      </c>
      <c r="BN47" s="6">
        <f t="shared" si="7"/>
        <v>4.1837011453957684</v>
      </c>
    </row>
    <row r="48" spans="1:66" x14ac:dyDescent="0.3">
      <c r="A48" s="4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P48" s="9"/>
      <c r="AE48">
        <f t="shared" si="15"/>
        <v>19</v>
      </c>
      <c r="AF48" t="s">
        <v>77</v>
      </c>
      <c r="AG48" s="13">
        <f t="shared" si="14"/>
        <v>41904.5</v>
      </c>
      <c r="AH48" s="13">
        <v>42041</v>
      </c>
      <c r="AI48" s="13">
        <v>41768</v>
      </c>
      <c r="AJ48" s="11">
        <v>0.28574701858371043</v>
      </c>
      <c r="AK48" s="11">
        <v>3.0176883708947599E-3</v>
      </c>
      <c r="AL48" s="11">
        <v>0.17979682864263127</v>
      </c>
      <c r="AM48" s="11">
        <v>0.12435602891730291</v>
      </c>
      <c r="AN48" s="11">
        <v>0.12115543314996695</v>
      </c>
      <c r="AO48" s="11">
        <v>2.5413019382938801E-2</v>
      </c>
      <c r="AP48" s="11">
        <v>3.4177604255976046E-2</v>
      </c>
      <c r="AQ48" s="11">
        <v>2.3111270444809852E-6</v>
      </c>
      <c r="AR48" s="11">
        <v>4.9812341368834966E-2</v>
      </c>
      <c r="AS48" s="11">
        <v>0.10060842226948823</v>
      </c>
      <c r="AT48" s="11">
        <v>7.5913303931211262E-2</v>
      </c>
      <c r="AU48">
        <v>0.96122794955594915</v>
      </c>
      <c r="AW48">
        <f t="shared" si="6"/>
        <v>0</v>
      </c>
      <c r="AX48">
        <v>45</v>
      </c>
      <c r="AY48" s="4">
        <f t="shared" si="3"/>
        <v>41950</v>
      </c>
      <c r="AZ48" s="6">
        <f t="shared" si="4"/>
        <v>-2.8378720179866868E-2</v>
      </c>
      <c r="BA48" s="4">
        <v>41950</v>
      </c>
      <c r="BB48" s="6">
        <v>0.115498</v>
      </c>
      <c r="BC48" s="6">
        <v>1.621545</v>
      </c>
      <c r="BD48" s="6">
        <v>-0.37643700000000002</v>
      </c>
      <c r="BE48" s="6">
        <v>-0.488375</v>
      </c>
      <c r="BF48" s="6">
        <v>0.238986</v>
      </c>
      <c r="BG48" s="6">
        <v>-2.088873</v>
      </c>
      <c r="BH48" s="6">
        <v>-1.925276</v>
      </c>
      <c r="BI48" s="6">
        <v>-1.469902</v>
      </c>
      <c r="BJ48" s="6">
        <v>1.4102269999999999</v>
      </c>
      <c r="BK48" s="6">
        <v>-0.63983199999999996</v>
      </c>
      <c r="BL48" s="4">
        <v>41950</v>
      </c>
      <c r="BM48" s="6">
        <f>VLOOKUP(BL48,Sheet1!$A$2:$E$1114,2,FALSE)</f>
        <v>1.2274436948793119</v>
      </c>
      <c r="BN48" s="6">
        <f t="shared" si="7"/>
        <v>-2.8378720179866868E-2</v>
      </c>
    </row>
    <row r="49" spans="1:66" x14ac:dyDescent="0.3">
      <c r="A49" s="4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P49" s="9"/>
      <c r="AE49">
        <f t="shared" si="15"/>
        <v>20</v>
      </c>
      <c r="AF49" t="s">
        <v>77</v>
      </c>
      <c r="AG49" s="13">
        <f t="shared" si="14"/>
        <v>41911.5</v>
      </c>
      <c r="AH49" s="13">
        <v>42048</v>
      </c>
      <c r="AI49" s="13">
        <v>41775</v>
      </c>
      <c r="AJ49" s="11">
        <v>0.28598693214357768</v>
      </c>
      <c r="AK49" s="11">
        <v>3.0089743158777911E-3</v>
      </c>
      <c r="AL49" s="11">
        <v>0.17922766390683328</v>
      </c>
      <c r="AM49" s="11">
        <v>0.13293221061660299</v>
      </c>
      <c r="AN49" s="11">
        <v>0.11830062444981918</v>
      </c>
      <c r="AO49" s="11">
        <v>1.5843028411041803E-2</v>
      </c>
      <c r="AP49" s="11">
        <v>3.6302235092048205E-2</v>
      </c>
      <c r="AQ49" s="11">
        <v>2.7227513849671624E-6</v>
      </c>
      <c r="AR49" s="11">
        <v>4.8205541944909856E-2</v>
      </c>
      <c r="AS49" s="11">
        <v>9.7497863511239014E-2</v>
      </c>
      <c r="AT49" s="11">
        <v>8.2692202856665301E-2</v>
      </c>
      <c r="AU49">
        <v>0.9620161333968289</v>
      </c>
      <c r="AW49">
        <f t="shared" si="6"/>
        <v>0</v>
      </c>
      <c r="AX49">
        <v>46</v>
      </c>
      <c r="AY49" s="4">
        <f t="shared" si="3"/>
        <v>41957</v>
      </c>
      <c r="AZ49" s="6">
        <f t="shared" si="4"/>
        <v>0.11966445127753467</v>
      </c>
      <c r="BA49" s="4">
        <v>41957</v>
      </c>
      <c r="BB49" s="6">
        <v>4.8663059999999998</v>
      </c>
      <c r="BC49" s="6">
        <v>-1.4830540000000001</v>
      </c>
      <c r="BD49" s="6">
        <v>-1.0137069999999999</v>
      </c>
      <c r="BE49" s="6">
        <v>0.106111</v>
      </c>
      <c r="BF49" s="6">
        <v>-3.7851469999999998</v>
      </c>
      <c r="BG49" s="6">
        <v>2.94001</v>
      </c>
      <c r="BH49" s="6">
        <v>-1.7682439999999999</v>
      </c>
      <c r="BI49" s="6">
        <v>1.013585</v>
      </c>
      <c r="BJ49" s="6">
        <v>0.24767700000000001</v>
      </c>
      <c r="BK49" s="6">
        <v>-2.9287909999999999</v>
      </c>
      <c r="BL49" s="4">
        <v>41957</v>
      </c>
      <c r="BM49" s="6">
        <f>VLOOKUP(BL49,Sheet1!$A$2:$E$1114,2,FALSE)</f>
        <v>1.22891250864153</v>
      </c>
      <c r="BN49" s="6">
        <f t="shared" si="7"/>
        <v>0.11966445127753467</v>
      </c>
    </row>
    <row r="50" spans="1:66" x14ac:dyDescent="0.3">
      <c r="A50" s="4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P50" s="9"/>
      <c r="AE50">
        <f t="shared" si="15"/>
        <v>21</v>
      </c>
      <c r="AF50" t="s">
        <v>77</v>
      </c>
      <c r="AG50" s="13">
        <f t="shared" si="14"/>
        <v>41917</v>
      </c>
      <c r="AH50" s="13">
        <v>42052</v>
      </c>
      <c r="AI50" s="13">
        <v>41782</v>
      </c>
      <c r="AJ50" s="11">
        <v>0.28728094444255514</v>
      </c>
      <c r="AK50" s="11">
        <v>1.2622907341729515E-3</v>
      </c>
      <c r="AL50" s="11">
        <v>0.20138989925863554</v>
      </c>
      <c r="AM50" s="11">
        <v>0.12466965780761136</v>
      </c>
      <c r="AN50" s="11">
        <v>0.11075453521933286</v>
      </c>
      <c r="AO50" s="11">
        <v>1.0450000108359996E-2</v>
      </c>
      <c r="AP50" s="11">
        <v>3.3594984237424699E-2</v>
      </c>
      <c r="AQ50" s="11">
        <v>9.8695520112200308E-7</v>
      </c>
      <c r="AR50" s="11">
        <v>4.6980022931124292E-2</v>
      </c>
      <c r="AS50" s="11">
        <v>0.10264716887044531</v>
      </c>
      <c r="AT50" s="11">
        <v>8.0969509435136741E-2</v>
      </c>
      <c r="AU50">
        <v>0.96181195374557371</v>
      </c>
      <c r="AW50">
        <f t="shared" si="6"/>
        <v>0</v>
      </c>
      <c r="AX50">
        <v>47</v>
      </c>
      <c r="AY50" s="4">
        <f t="shared" si="3"/>
        <v>41964</v>
      </c>
      <c r="AZ50" s="6">
        <f t="shared" si="4"/>
        <v>2.1990201674209509</v>
      </c>
      <c r="BA50" s="4">
        <v>41964</v>
      </c>
      <c r="BB50" s="6">
        <v>0.20766499999999999</v>
      </c>
      <c r="BC50" s="6">
        <v>2.2012200000000002</v>
      </c>
      <c r="BD50" s="6">
        <v>2.6206990000000001</v>
      </c>
      <c r="BE50" s="6">
        <v>1.608033</v>
      </c>
      <c r="BF50" s="6">
        <v>3.6185049999999999</v>
      </c>
      <c r="BG50" s="6">
        <v>-0.22023200000000001</v>
      </c>
      <c r="BH50" s="6">
        <v>1.71231</v>
      </c>
      <c r="BI50" s="6">
        <v>-0.669906</v>
      </c>
      <c r="BJ50" s="6">
        <v>1.7798879999999999</v>
      </c>
      <c r="BK50" s="6">
        <v>3.0424280000000001</v>
      </c>
      <c r="BL50" s="4">
        <v>41964</v>
      </c>
      <c r="BM50" s="6">
        <f>VLOOKUP(BL50,Sheet1!$A$2:$E$1114,2,FALSE)</f>
        <v>1.2559365425465161</v>
      </c>
      <c r="BN50" s="6">
        <f t="shared" si="7"/>
        <v>2.1990201674209509</v>
      </c>
    </row>
    <row r="51" spans="1:66" x14ac:dyDescent="0.3">
      <c r="A51" s="4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P51" s="9"/>
      <c r="AE51">
        <f t="shared" si="15"/>
        <v>22</v>
      </c>
      <c r="AF51" t="s">
        <v>77</v>
      </c>
      <c r="AG51" s="13">
        <f t="shared" si="14"/>
        <v>41925.5</v>
      </c>
      <c r="AH51" s="13">
        <v>42062</v>
      </c>
      <c r="AI51" s="13">
        <v>41789</v>
      </c>
      <c r="AJ51" s="11">
        <v>0.28939427587569971</v>
      </c>
      <c r="AK51" s="11">
        <v>6.8385096066987634E-5</v>
      </c>
      <c r="AL51" s="11">
        <v>0.2217199242753877</v>
      </c>
      <c r="AM51" s="11">
        <v>0.1121165692176813</v>
      </c>
      <c r="AN51" s="11">
        <v>0.10652794919768833</v>
      </c>
      <c r="AO51" s="11">
        <v>5.055522293456528E-3</v>
      </c>
      <c r="AP51" s="11">
        <v>3.5628046000043302E-2</v>
      </c>
      <c r="AQ51" s="11">
        <v>4.3343728719639276E-6</v>
      </c>
      <c r="AR51" s="11">
        <v>4.517499320403031E-2</v>
      </c>
      <c r="AS51" s="11">
        <v>0.10113799162348984</v>
      </c>
      <c r="AT51" s="11">
        <v>8.3172008843583986E-2</v>
      </c>
      <c r="AU51">
        <v>0.96134565822359086</v>
      </c>
      <c r="AW51">
        <f t="shared" si="6"/>
        <v>0</v>
      </c>
      <c r="AX51">
        <v>48</v>
      </c>
      <c r="AY51" s="4">
        <f t="shared" si="3"/>
        <v>41971</v>
      </c>
      <c r="AZ51" s="6">
        <f t="shared" si="4"/>
        <v>6.9188109843764334</v>
      </c>
      <c r="BA51" s="4">
        <v>41971</v>
      </c>
      <c r="BB51" s="6">
        <v>14.887594999999999</v>
      </c>
      <c r="BC51" s="6">
        <v>5.021852</v>
      </c>
      <c r="BD51" s="6">
        <v>3.3381940000000001</v>
      </c>
      <c r="BE51" s="6">
        <v>4.4937269999999998</v>
      </c>
      <c r="BF51" s="6">
        <v>4.9230489999999998</v>
      </c>
      <c r="BG51" s="6">
        <v>2.3571810000000002</v>
      </c>
      <c r="BH51" s="6">
        <v>1.8452329999999999</v>
      </c>
      <c r="BI51" s="6">
        <v>4.9081239999999999</v>
      </c>
      <c r="BJ51" s="6">
        <v>4.086792</v>
      </c>
      <c r="BK51" s="6">
        <v>2.8189980000000001</v>
      </c>
      <c r="BL51" s="4">
        <v>41971</v>
      </c>
      <c r="BM51" s="6">
        <f>VLOOKUP(BL51,Sheet1!$A$2:$E$1114,2,FALSE)</f>
        <v>1.3428324180090221</v>
      </c>
      <c r="BN51" s="6">
        <f t="shared" si="7"/>
        <v>6.9188109843764334</v>
      </c>
    </row>
    <row r="52" spans="1:66" x14ac:dyDescent="0.3">
      <c r="A52" s="4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P52" s="9"/>
      <c r="AE52">
        <f t="shared" si="15"/>
        <v>23</v>
      </c>
      <c r="AF52" t="s">
        <v>77</v>
      </c>
      <c r="AG52" s="13">
        <f t="shared" si="14"/>
        <v>41932.5</v>
      </c>
      <c r="AH52" s="13">
        <v>42069</v>
      </c>
      <c r="AI52" s="13">
        <v>41796</v>
      </c>
      <c r="AJ52" s="11">
        <v>0.27935451438118114</v>
      </c>
      <c r="AK52" s="11">
        <v>2.8459412670917593E-5</v>
      </c>
      <c r="AL52" s="11">
        <v>0.17432210412149851</v>
      </c>
      <c r="AM52" s="11">
        <v>0.18610388155102295</v>
      </c>
      <c r="AN52" s="11">
        <v>0.13080956454270645</v>
      </c>
      <c r="AO52" s="11">
        <v>8.8106252012747882E-5</v>
      </c>
      <c r="AP52" s="11">
        <v>6.5707151250610926E-2</v>
      </c>
      <c r="AQ52" s="11">
        <v>2.3549911708930822E-6</v>
      </c>
      <c r="AR52" s="11">
        <v>3.8348659749418847E-2</v>
      </c>
      <c r="AS52" s="11">
        <v>5.4145291533249512E-2</v>
      </c>
      <c r="AT52" s="11">
        <v>7.1089912214456999E-2</v>
      </c>
      <c r="AU52">
        <v>0.95613648587922717</v>
      </c>
      <c r="AW52">
        <f t="shared" si="6"/>
        <v>0</v>
      </c>
      <c r="AX52">
        <v>49</v>
      </c>
      <c r="AY52" s="4">
        <f t="shared" si="3"/>
        <v>41978</v>
      </c>
      <c r="AZ52" s="6">
        <f t="shared" si="4"/>
        <v>6.1431594851734994</v>
      </c>
      <c r="BA52" s="4">
        <v>41978</v>
      </c>
      <c r="BB52" s="6">
        <v>17.06278</v>
      </c>
      <c r="BC52" s="6">
        <v>2.5250430000000001</v>
      </c>
      <c r="BD52" s="6">
        <v>2.3411230000000001</v>
      </c>
      <c r="BE52" s="6">
        <v>2.415184</v>
      </c>
      <c r="BF52" s="6">
        <v>1.4519629999999999</v>
      </c>
      <c r="BG52" s="6">
        <v>3.313069</v>
      </c>
      <c r="BH52" s="6">
        <v>0.90576500000000004</v>
      </c>
      <c r="BI52" s="6">
        <v>10.298793</v>
      </c>
      <c r="BJ52" s="6">
        <v>4.930415</v>
      </c>
      <c r="BK52" s="6">
        <v>2.607507</v>
      </c>
      <c r="BL52" s="4">
        <v>41978</v>
      </c>
      <c r="BM52" s="6">
        <f>VLOOKUP(BL52,Sheet1!$A$2:$E$1114,2,FALSE)</f>
        <v>1.425324755065928</v>
      </c>
      <c r="BN52" s="6">
        <f t="shared" si="7"/>
        <v>6.1431594851734994</v>
      </c>
    </row>
    <row r="53" spans="1:66" x14ac:dyDescent="0.3">
      <c r="A53" s="4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P53" s="9"/>
      <c r="AE53">
        <f t="shared" si="15"/>
        <v>24</v>
      </c>
      <c r="AF53" t="s">
        <v>77</v>
      </c>
      <c r="AG53" s="13">
        <f t="shared" si="14"/>
        <v>41939.5</v>
      </c>
      <c r="AH53" s="13">
        <v>42076</v>
      </c>
      <c r="AI53" s="13">
        <v>41803</v>
      </c>
      <c r="AJ53" s="11">
        <v>0.27989703170599339</v>
      </c>
      <c r="AK53" s="11">
        <v>8.740763735059118E-5</v>
      </c>
      <c r="AL53" s="11">
        <v>0.17821552353180306</v>
      </c>
      <c r="AM53" s="11">
        <v>0.17454580775863462</v>
      </c>
      <c r="AN53" s="11">
        <v>0.13606253674205257</v>
      </c>
      <c r="AO53" s="11">
        <v>1.2325611163702061E-2</v>
      </c>
      <c r="AP53" s="11">
        <v>6.0162786344635261E-2</v>
      </c>
      <c r="AQ53" s="11">
        <v>7.5501364683454104E-6</v>
      </c>
      <c r="AR53" s="11">
        <v>3.9233766258133483E-2</v>
      </c>
      <c r="AS53" s="11">
        <v>5.5105210711523994E-2</v>
      </c>
      <c r="AT53" s="11">
        <v>6.4356768009702664E-2</v>
      </c>
      <c r="AU53">
        <v>0.95778070647610913</v>
      </c>
      <c r="AW53">
        <f t="shared" si="6"/>
        <v>0</v>
      </c>
      <c r="AX53">
        <v>50</v>
      </c>
      <c r="AY53" s="4">
        <f t="shared" si="3"/>
        <v>41985</v>
      </c>
      <c r="AZ53" s="6">
        <f t="shared" si="4"/>
        <v>0.78081277906179025</v>
      </c>
      <c r="BA53" s="4">
        <v>41985</v>
      </c>
      <c r="BB53" s="6">
        <v>-1.517541</v>
      </c>
      <c r="BC53" s="6">
        <v>6.6126509999999996</v>
      </c>
      <c r="BD53" s="6">
        <v>3.508365</v>
      </c>
      <c r="BE53" s="6">
        <v>3.900722</v>
      </c>
      <c r="BF53" s="6">
        <v>0.43099799999999999</v>
      </c>
      <c r="BG53" s="6">
        <v>3.2360259999999998</v>
      </c>
      <c r="BH53" s="6">
        <v>0.64567099999999999</v>
      </c>
      <c r="BI53" s="6">
        <v>-2.1365789999999998</v>
      </c>
      <c r="BJ53" s="6">
        <v>7.1529689999999997</v>
      </c>
      <c r="BK53" s="6">
        <v>1.7920370000000001</v>
      </c>
      <c r="BL53" s="4">
        <v>41985</v>
      </c>
      <c r="BM53" s="6">
        <f>VLOOKUP(BL53,Sheet1!$A$2:$E$1114,2,FALSE)</f>
        <v>1.4364538728966141</v>
      </c>
      <c r="BN53" s="6">
        <f t="shared" si="7"/>
        <v>0.78081277906179025</v>
      </c>
    </row>
    <row r="54" spans="1:66" x14ac:dyDescent="0.3">
      <c r="A54" s="4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P54" s="9"/>
      <c r="AE54">
        <f t="shared" si="15"/>
        <v>25</v>
      </c>
      <c r="AF54" t="s">
        <v>77</v>
      </c>
      <c r="AG54" s="13">
        <f t="shared" si="14"/>
        <v>41946.5</v>
      </c>
      <c r="AH54" s="13">
        <v>42083</v>
      </c>
      <c r="AI54" s="13">
        <v>41810</v>
      </c>
      <c r="AJ54" s="11">
        <v>0.28101919658440655</v>
      </c>
      <c r="AK54" s="11">
        <v>8.5895063333260962E-5</v>
      </c>
      <c r="AL54" s="11">
        <v>0.19192090287091765</v>
      </c>
      <c r="AM54" s="11">
        <v>0.17276279940406086</v>
      </c>
      <c r="AN54" s="11">
        <v>0.13343854078503392</v>
      </c>
      <c r="AO54" s="11">
        <v>9.7040263055528219E-3</v>
      </c>
      <c r="AP54" s="11">
        <v>5.8485456067374923E-2</v>
      </c>
      <c r="AQ54" s="11">
        <v>3.3943596444737716E-6</v>
      </c>
      <c r="AR54" s="11">
        <v>3.6796868703416939E-2</v>
      </c>
      <c r="AS54" s="11">
        <v>5.3999052926176024E-2</v>
      </c>
      <c r="AT54" s="11">
        <v>6.1783866930082608E-2</v>
      </c>
      <c r="AU54">
        <v>0.96598231492392017</v>
      </c>
      <c r="AW54">
        <f t="shared" si="6"/>
        <v>0</v>
      </c>
      <c r="AX54">
        <v>51</v>
      </c>
      <c r="AY54" s="4">
        <f t="shared" si="3"/>
        <v>41992</v>
      </c>
      <c r="AZ54" s="6">
        <f t="shared" si="4"/>
        <v>1.9485988236065177</v>
      </c>
      <c r="BA54" s="4">
        <v>41992</v>
      </c>
      <c r="BB54" s="6">
        <v>8.3546270000000007</v>
      </c>
      <c r="BC54" s="6">
        <v>5.1896060000000004</v>
      </c>
      <c r="BD54" s="6">
        <v>-1.5491470000000001</v>
      </c>
      <c r="BE54" s="6">
        <v>5.6661000000000003E-2</v>
      </c>
      <c r="BF54" s="6">
        <v>-0.65886900000000004</v>
      </c>
      <c r="BG54" s="6">
        <v>-1.3773519999999999</v>
      </c>
      <c r="BH54" s="6">
        <v>-2.2896619999999999</v>
      </c>
      <c r="BI54" s="6">
        <v>4.3654320000000002</v>
      </c>
      <c r="BJ54" s="6">
        <v>6.1018280000000003</v>
      </c>
      <c r="BK54" s="6">
        <v>-0.41245300000000001</v>
      </c>
      <c r="BL54" s="4">
        <v>41992</v>
      </c>
      <c r="BM54" s="6">
        <f>VLOOKUP(BL54,Sheet1!$A$2:$E$1114,2,FALSE)</f>
        <v>1.4644445961655279</v>
      </c>
      <c r="BN54" s="6">
        <f t="shared" si="7"/>
        <v>1.9485988236065177</v>
      </c>
    </row>
    <row r="55" spans="1:66" x14ac:dyDescent="0.3">
      <c r="A55" s="4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P55" s="9"/>
      <c r="AE55">
        <f t="shared" si="15"/>
        <v>26</v>
      </c>
      <c r="AF55" t="s">
        <v>77</v>
      </c>
      <c r="AG55" s="13">
        <f t="shared" si="14"/>
        <v>41953.5</v>
      </c>
      <c r="AH55" s="13">
        <v>42090</v>
      </c>
      <c r="AI55" s="13">
        <v>41817</v>
      </c>
      <c r="AJ55" s="11">
        <v>0.28099053223554366</v>
      </c>
      <c r="AK55" s="11">
        <v>8.8305015282875946E-5</v>
      </c>
      <c r="AL55" s="11">
        <v>0.20176770297243715</v>
      </c>
      <c r="AM55" s="11">
        <v>0.16451848399720206</v>
      </c>
      <c r="AN55" s="11">
        <v>0.13054078377122874</v>
      </c>
      <c r="AO55" s="11">
        <v>1.1586230145202733E-2</v>
      </c>
      <c r="AP55" s="11">
        <v>6.0645740438648683E-2</v>
      </c>
      <c r="AQ55" s="11">
        <v>3.0530614564834246E-6</v>
      </c>
      <c r="AR55" s="11">
        <v>3.7510132274988214E-2</v>
      </c>
      <c r="AS55" s="11">
        <v>5.3815675794080753E-2</v>
      </c>
      <c r="AT55" s="11">
        <v>5.8533360293928735E-2</v>
      </c>
      <c r="AU55">
        <v>0.96436891656013146</v>
      </c>
      <c r="AW55">
        <f t="shared" si="6"/>
        <v>0</v>
      </c>
      <c r="AX55">
        <v>52</v>
      </c>
      <c r="AY55" s="4">
        <f t="shared" si="3"/>
        <v>41999</v>
      </c>
      <c r="AZ55" s="6">
        <f t="shared" si="4"/>
        <v>-8.5346988769841037E-2</v>
      </c>
      <c r="BA55" s="4">
        <v>41999</v>
      </c>
      <c r="BB55" s="6">
        <v>4.4230900000000002</v>
      </c>
      <c r="BC55" s="6">
        <v>-2.5166810000000002</v>
      </c>
      <c r="BD55" s="6">
        <v>-1.1019730000000001</v>
      </c>
      <c r="BE55" s="6">
        <v>-1.092838</v>
      </c>
      <c r="BF55" s="6">
        <v>-4.185683</v>
      </c>
      <c r="BG55" s="6">
        <v>0.948017</v>
      </c>
      <c r="BH55" s="6">
        <v>-2.2312729999999998</v>
      </c>
      <c r="BI55" s="6">
        <v>-0.48259099999999999</v>
      </c>
      <c r="BJ55" s="6">
        <v>3.419994</v>
      </c>
      <c r="BK55" s="6">
        <v>-3.4966750000000002</v>
      </c>
      <c r="BL55" s="4">
        <v>41999</v>
      </c>
      <c r="BM55" s="6">
        <f>VLOOKUP(BL55,Sheet1!$A$2:$E$1114,2,FALSE)</f>
        <v>1.4631947368004981</v>
      </c>
      <c r="BN55" s="6">
        <f t="shared" si="7"/>
        <v>-8.5346988769841037E-2</v>
      </c>
    </row>
    <row r="56" spans="1:66" x14ac:dyDescent="0.3">
      <c r="A56" s="4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P56" s="9"/>
      <c r="AE56">
        <f t="shared" si="15"/>
        <v>27</v>
      </c>
      <c r="AF56" t="s">
        <v>77</v>
      </c>
      <c r="AG56" s="13">
        <f t="shared" si="14"/>
        <v>41960.5</v>
      </c>
      <c r="AH56" s="13">
        <v>42097</v>
      </c>
      <c r="AI56" s="13">
        <v>41824</v>
      </c>
      <c r="AJ56" s="11">
        <v>0.28250501620759716</v>
      </c>
      <c r="AK56" s="11">
        <v>9.5149380915762386E-5</v>
      </c>
      <c r="AL56" s="11">
        <v>0.20742048743121891</v>
      </c>
      <c r="AM56" s="11">
        <v>0.16323352051144535</v>
      </c>
      <c r="AN56" s="11">
        <v>0.13407382431075238</v>
      </c>
      <c r="AO56" s="11">
        <v>1.2668120260194018E-5</v>
      </c>
      <c r="AP56" s="11">
        <v>7.3531012844767443E-2</v>
      </c>
      <c r="AQ56" s="11">
        <v>4.4279759436390836E-7</v>
      </c>
      <c r="AR56" s="11">
        <v>4.3408498256925027E-2</v>
      </c>
      <c r="AS56" s="11">
        <v>3.8443428337539574E-2</v>
      </c>
      <c r="AT56" s="11">
        <v>5.7275951800983813E-2</v>
      </c>
      <c r="AU56">
        <v>0.9685349338453928</v>
      </c>
      <c r="AW56">
        <f t="shared" si="6"/>
        <v>0</v>
      </c>
      <c r="AX56">
        <v>53</v>
      </c>
      <c r="AY56" s="4">
        <f t="shared" si="3"/>
        <v>42004</v>
      </c>
      <c r="AZ56" s="6">
        <f t="shared" si="4"/>
        <v>1.5302776487183811</v>
      </c>
      <c r="BA56" s="4">
        <v>42004</v>
      </c>
      <c r="BB56" s="6">
        <v>5.6493209999999996</v>
      </c>
      <c r="BC56" s="6">
        <v>-1.1702360000000001</v>
      </c>
      <c r="BD56" s="6">
        <v>-2.3618160000000001</v>
      </c>
      <c r="BE56" s="6">
        <v>-1.354484</v>
      </c>
      <c r="BF56" s="6">
        <v>-3.885275</v>
      </c>
      <c r="BG56" s="6">
        <v>-0.31192999999999999</v>
      </c>
      <c r="BH56" s="6">
        <v>-1.1356930000000001</v>
      </c>
      <c r="BI56" s="6">
        <v>-0.10106999999999999</v>
      </c>
      <c r="BJ56" s="6">
        <v>-0.27773300000000001</v>
      </c>
      <c r="BK56" s="6">
        <v>-3.7791169999999998</v>
      </c>
      <c r="BL56" s="4">
        <v>42004</v>
      </c>
      <c r="BM56" s="6">
        <f>VLOOKUP(BL56,Sheet1!$A$2:$E$1114,2,FALSE)</f>
        <v>1.4855856788149799</v>
      </c>
      <c r="BN56" s="6">
        <f t="shared" si="7"/>
        <v>1.5302776487183811</v>
      </c>
    </row>
    <row r="57" spans="1:66" x14ac:dyDescent="0.3">
      <c r="A57" s="4"/>
      <c r="B57" s="6"/>
      <c r="C57" s="9"/>
      <c r="D57" s="9"/>
      <c r="E57" s="9"/>
      <c r="F57" s="9"/>
      <c r="G57" s="9"/>
      <c r="H57" s="9"/>
      <c r="I57" s="9"/>
      <c r="J57" s="9"/>
      <c r="K57" s="9"/>
      <c r="L57" s="9"/>
      <c r="P57" s="9"/>
      <c r="AE57">
        <f t="shared" si="15"/>
        <v>28</v>
      </c>
      <c r="AF57" t="s">
        <v>77</v>
      </c>
      <c r="AG57" s="13">
        <f t="shared" si="14"/>
        <v>41967.5</v>
      </c>
      <c r="AH57" s="13">
        <v>42104</v>
      </c>
      <c r="AI57" s="13">
        <v>41831</v>
      </c>
      <c r="AJ57" s="11">
        <v>0.28357070589584826</v>
      </c>
      <c r="AK57" s="11">
        <v>4.9681328939367424E-3</v>
      </c>
      <c r="AL57" s="11">
        <v>0.1732787972859621</v>
      </c>
      <c r="AM57" s="11">
        <v>0.15906949656529054</v>
      </c>
      <c r="AN57" s="11">
        <v>0.13939204795778939</v>
      </c>
      <c r="AO57" s="11">
        <v>9.6331276931895873E-3</v>
      </c>
      <c r="AP57" s="11">
        <v>9.3974655158353321E-2</v>
      </c>
      <c r="AQ57" s="11">
        <v>2.3533585888729686E-6</v>
      </c>
      <c r="AR57" s="11">
        <v>4.4507389759122322E-2</v>
      </c>
      <c r="AS57" s="11">
        <v>4.0825442571887707E-2</v>
      </c>
      <c r="AT57" s="11">
        <v>5.0777850860031101E-2</v>
      </c>
      <c r="AU57">
        <v>0.96879307873735965</v>
      </c>
      <c r="AW57">
        <f t="shared" si="6"/>
        <v>0</v>
      </c>
      <c r="AX57">
        <v>54</v>
      </c>
      <c r="AY57" s="4">
        <f t="shared" si="3"/>
        <v>42013</v>
      </c>
      <c r="AZ57" s="6">
        <f t="shared" si="4"/>
        <v>1.2650076277356703</v>
      </c>
      <c r="BA57" s="4">
        <v>42013</v>
      </c>
      <c r="BB57" s="6">
        <v>-3.0779030000000001</v>
      </c>
      <c r="BC57" s="6">
        <v>1.483252</v>
      </c>
      <c r="BD57" s="6">
        <v>4.1340490000000001</v>
      </c>
      <c r="BE57" s="6">
        <v>2.0264820000000001</v>
      </c>
      <c r="BF57" s="6">
        <v>4.3025019999999996</v>
      </c>
      <c r="BG57" s="6">
        <v>2.355575</v>
      </c>
      <c r="BH57" s="6">
        <v>2.8252190000000001</v>
      </c>
      <c r="BI57" s="6">
        <v>4.687926</v>
      </c>
      <c r="BJ57" s="6">
        <v>-1.3077350000000001</v>
      </c>
      <c r="BK57" s="6">
        <v>2.4600770000000001</v>
      </c>
      <c r="BL57" s="4">
        <v>42013</v>
      </c>
      <c r="BM57" s="6">
        <f>VLOOKUP(BL57,Sheet1!$A$2:$E$1114,2,FALSE)</f>
        <v>1.5043784509685381</v>
      </c>
      <c r="BN57" s="6">
        <f t="shared" si="7"/>
        <v>1.2650076277356703</v>
      </c>
    </row>
    <row r="58" spans="1:66" x14ac:dyDescent="0.3">
      <c r="A58" s="4"/>
      <c r="B58" s="6"/>
      <c r="C58" s="9"/>
      <c r="D58" s="9"/>
      <c r="E58" s="9"/>
      <c r="F58" s="9"/>
      <c r="G58" s="9"/>
      <c r="H58" s="9"/>
      <c r="I58" s="9"/>
      <c r="J58" s="9"/>
      <c r="K58" s="9"/>
      <c r="L58" s="9"/>
      <c r="P58" s="9"/>
      <c r="AE58">
        <f t="shared" si="15"/>
        <v>29</v>
      </c>
      <c r="AF58" t="s">
        <v>77</v>
      </c>
      <c r="AG58" s="13">
        <f t="shared" si="14"/>
        <v>41974.5</v>
      </c>
      <c r="AH58" s="13">
        <v>42111</v>
      </c>
      <c r="AI58" s="13">
        <v>41838</v>
      </c>
      <c r="AJ58" s="11">
        <v>0.28046712626360137</v>
      </c>
      <c r="AK58" s="11">
        <v>3.6350087580656013E-2</v>
      </c>
      <c r="AL58" s="11">
        <v>0.16321262954220131</v>
      </c>
      <c r="AM58" s="11">
        <v>0.119980551209512</v>
      </c>
      <c r="AN58" s="11">
        <v>0.14723746247487077</v>
      </c>
      <c r="AO58" s="11">
        <v>2.7037643271422135E-2</v>
      </c>
      <c r="AP58" s="11">
        <v>0.10673275358613513</v>
      </c>
      <c r="AQ58" s="11">
        <v>3.0612252560122546E-5</v>
      </c>
      <c r="AR58" s="11">
        <v>4.5962045743071299E-2</v>
      </c>
      <c r="AS58" s="11">
        <v>2.3152196746686688E-2</v>
      </c>
      <c r="AT58" s="11">
        <v>4.9836891329283144E-2</v>
      </c>
      <c r="AU58">
        <v>0.96820674599655665</v>
      </c>
      <c r="AW58">
        <f t="shared" si="6"/>
        <v>0</v>
      </c>
      <c r="AX58">
        <v>55</v>
      </c>
      <c r="AY58" s="4">
        <f t="shared" si="3"/>
        <v>42020</v>
      </c>
      <c r="AZ58" s="6">
        <f t="shared" si="4"/>
        <v>2.79191620915622</v>
      </c>
      <c r="BA58" s="4">
        <v>42020</v>
      </c>
      <c r="BB58" s="6">
        <v>2.8940039999999998</v>
      </c>
      <c r="BC58" s="6">
        <v>1.424933</v>
      </c>
      <c r="BD58" s="6">
        <v>2.7192080000000001</v>
      </c>
      <c r="BE58" s="6">
        <v>0.12220300000000001</v>
      </c>
      <c r="BF58" s="6">
        <v>7.5126289999999996</v>
      </c>
      <c r="BG58" s="6">
        <v>-8.4885000000000002E-2</v>
      </c>
      <c r="BH58" s="6">
        <v>2.430193</v>
      </c>
      <c r="BI58" s="6">
        <v>0.199153</v>
      </c>
      <c r="BJ58" s="6">
        <v>3.0855E-2</v>
      </c>
      <c r="BK58" s="6">
        <v>2.2140110000000002</v>
      </c>
      <c r="BL58" s="4">
        <v>42020</v>
      </c>
      <c r="BM58" s="6">
        <f>VLOOKUP(BL58,Sheet1!$A$2:$E$1114,2,FALSE)</f>
        <v>1.546379436788182</v>
      </c>
      <c r="BN58" s="6">
        <f t="shared" si="7"/>
        <v>2.79191620915622</v>
      </c>
    </row>
    <row r="59" spans="1:66" x14ac:dyDescent="0.3">
      <c r="A59" s="4"/>
      <c r="B59" s="6"/>
      <c r="C59" s="9"/>
      <c r="D59" s="9"/>
      <c r="E59" s="9"/>
      <c r="F59" s="9"/>
      <c r="G59" s="9"/>
      <c r="H59" s="9"/>
      <c r="I59" s="9"/>
      <c r="J59" s="9"/>
      <c r="K59" s="9"/>
      <c r="L59" s="9"/>
      <c r="P59" s="9"/>
      <c r="AE59">
        <f t="shared" si="15"/>
        <v>30</v>
      </c>
      <c r="AF59" t="s">
        <v>77</v>
      </c>
      <c r="AG59" s="13">
        <f t="shared" si="14"/>
        <v>41981.5</v>
      </c>
      <c r="AH59" s="13">
        <v>42118</v>
      </c>
      <c r="AI59" s="13">
        <v>41845</v>
      </c>
      <c r="AJ59" s="11">
        <v>0.28380078950157345</v>
      </c>
      <c r="AK59" s="11">
        <v>3.3346278460779893E-2</v>
      </c>
      <c r="AL59" s="11">
        <v>0.16695660897902309</v>
      </c>
      <c r="AM59" s="11">
        <v>0.10625252299867627</v>
      </c>
      <c r="AN59" s="11">
        <v>0.14020748099991145</v>
      </c>
      <c r="AO59" s="11">
        <v>8.3845408148417076E-5</v>
      </c>
      <c r="AP59" s="11">
        <v>0.12259215626361888</v>
      </c>
      <c r="AQ59" s="11">
        <v>4.8438286312124331E-5</v>
      </c>
      <c r="AR59" s="11">
        <v>4.7643622620885714E-2</v>
      </c>
      <c r="AS59" s="11">
        <v>4.9118583022418116E-2</v>
      </c>
      <c r="AT59" s="11">
        <v>4.9949673458652671E-2</v>
      </c>
      <c r="AU59">
        <v>0.97216618250428566</v>
      </c>
      <c r="AW59">
        <f t="shared" si="6"/>
        <v>0</v>
      </c>
      <c r="AX59">
        <v>56</v>
      </c>
      <c r="AY59" s="4">
        <f t="shared" si="3"/>
        <v>42027</v>
      </c>
      <c r="AZ59" s="6">
        <f t="shared" si="4"/>
        <v>0.18216096967409445</v>
      </c>
      <c r="BA59" s="4">
        <v>42027</v>
      </c>
      <c r="BB59" s="6">
        <v>-3.0427360000000001</v>
      </c>
      <c r="BC59" s="6">
        <v>1.3230360000000001</v>
      </c>
      <c r="BD59" s="6">
        <v>1.6690389999999999</v>
      </c>
      <c r="BE59" s="6">
        <v>2.2162510000000002</v>
      </c>
      <c r="BF59" s="6">
        <v>2.9406059999999998</v>
      </c>
      <c r="BG59" s="6">
        <v>0.25892500000000002</v>
      </c>
      <c r="BH59" s="6">
        <v>3.1591909999999999</v>
      </c>
      <c r="BI59" s="6">
        <v>-1.472127</v>
      </c>
      <c r="BJ59" s="6">
        <v>-2.3855979999999999</v>
      </c>
      <c r="BK59" s="6">
        <v>3.2100460000000002</v>
      </c>
      <c r="BL59" s="4">
        <v>42027</v>
      </c>
      <c r="BM59" s="6">
        <f>VLOOKUP(BL59,Sheet1!$A$2:$E$1114,2,FALSE)</f>
        <v>1.549196336565076</v>
      </c>
      <c r="BN59" s="6">
        <f t="shared" si="7"/>
        <v>0.18216096967409445</v>
      </c>
    </row>
    <row r="60" spans="1:66" x14ac:dyDescent="0.3">
      <c r="A60" s="4"/>
      <c r="B60" s="6"/>
      <c r="C60" s="9"/>
      <c r="D60" s="9"/>
      <c r="E60" s="9"/>
      <c r="F60" s="9"/>
      <c r="G60" s="9"/>
      <c r="H60" s="9"/>
      <c r="I60" s="9"/>
      <c r="J60" s="9"/>
      <c r="K60" s="9"/>
      <c r="L60" s="9"/>
      <c r="P60" s="9"/>
      <c r="AE60">
        <f t="shared" si="15"/>
        <v>31</v>
      </c>
      <c r="AF60" t="s">
        <v>77</v>
      </c>
      <c r="AG60" s="13">
        <f t="shared" si="14"/>
        <v>41988</v>
      </c>
      <c r="AH60" s="13">
        <v>42124</v>
      </c>
      <c r="AI60" s="13">
        <v>41852</v>
      </c>
      <c r="AJ60" s="11">
        <v>0.28261647588122291</v>
      </c>
      <c r="AK60" s="11">
        <v>3.1534680245714833E-2</v>
      </c>
      <c r="AL60" s="11">
        <v>0.15893914092990793</v>
      </c>
      <c r="AM60" s="11">
        <v>0.10432968160973329</v>
      </c>
      <c r="AN60" s="11">
        <v>0.15177779809702407</v>
      </c>
      <c r="AO60" s="11">
        <v>8.0749628286890649E-5</v>
      </c>
      <c r="AP60" s="11">
        <v>0.12384371567948436</v>
      </c>
      <c r="AQ60" s="11">
        <v>5.6887782427440674E-5</v>
      </c>
      <c r="AR60" s="11">
        <v>5.6459360357043201E-2</v>
      </c>
      <c r="AS60" s="11">
        <v>4.0141063876778148E-2</v>
      </c>
      <c r="AT60" s="11">
        <v>5.0220445912376947E-2</v>
      </c>
      <c r="AU60">
        <v>0.97188921865080846</v>
      </c>
      <c r="AW60">
        <f t="shared" si="6"/>
        <v>0</v>
      </c>
      <c r="AX60">
        <v>57</v>
      </c>
      <c r="AY60" s="4">
        <f t="shared" si="3"/>
        <v>42034</v>
      </c>
      <c r="AZ60" s="6">
        <f t="shared" si="4"/>
        <v>-1.4561187749051019</v>
      </c>
      <c r="BA60" s="4">
        <v>42034</v>
      </c>
      <c r="BB60" s="6">
        <v>-5.906803</v>
      </c>
      <c r="BC60" s="6">
        <v>-1.366106</v>
      </c>
      <c r="BD60" s="6">
        <v>-6.4852000000000007E-2</v>
      </c>
      <c r="BE60" s="6">
        <v>1.9303000000000001E-2</v>
      </c>
      <c r="BF60" s="6">
        <v>-2.4261999999999999E-2</v>
      </c>
      <c r="BG60" s="6">
        <v>-0.25473899999999999</v>
      </c>
      <c r="BH60" s="6">
        <v>-0.56598999999999999</v>
      </c>
      <c r="BI60" s="6">
        <v>-4.1647069999999999</v>
      </c>
      <c r="BJ60" s="6">
        <v>0.69708300000000001</v>
      </c>
      <c r="BK60" s="6">
        <v>-0.29902400000000001</v>
      </c>
      <c r="BL60" s="4">
        <v>42034</v>
      </c>
      <c r="BM60" s="6">
        <f>VLOOKUP(BL60,Sheet1!$A$2:$E$1114,2,FALSE)</f>
        <v>1.52663819784821</v>
      </c>
      <c r="BN60" s="6">
        <f t="shared" si="7"/>
        <v>-1.4561187749051019</v>
      </c>
    </row>
    <row r="61" spans="1:66" x14ac:dyDescent="0.3">
      <c r="A61" s="4"/>
      <c r="B61" s="6"/>
      <c r="C61" s="9"/>
      <c r="D61" s="9"/>
      <c r="E61" s="9"/>
      <c r="F61" s="9"/>
      <c r="G61" s="9"/>
      <c r="H61" s="9"/>
      <c r="I61" s="9"/>
      <c r="J61" s="9"/>
      <c r="K61" s="9"/>
      <c r="L61" s="9"/>
      <c r="P61" s="9"/>
      <c r="AE61">
        <f t="shared" si="15"/>
        <v>32</v>
      </c>
      <c r="AF61" t="s">
        <v>77</v>
      </c>
      <c r="AG61" s="13">
        <f t="shared" si="14"/>
        <v>41995.5</v>
      </c>
      <c r="AH61" s="13">
        <v>42132</v>
      </c>
      <c r="AI61" s="13">
        <v>41859</v>
      </c>
      <c r="AJ61" s="11">
        <v>0.27862734316660537</v>
      </c>
      <c r="AK61" s="11">
        <v>4.0472611935466168E-2</v>
      </c>
      <c r="AL61" s="11">
        <v>0.17547440364562994</v>
      </c>
      <c r="AM61" s="11">
        <v>0.12742402531874739</v>
      </c>
      <c r="AN61" s="11">
        <v>0.13917840130601616</v>
      </c>
      <c r="AO61" s="11">
        <v>2.1563784791033378E-5</v>
      </c>
      <c r="AP61" s="11">
        <v>0.13275600741448559</v>
      </c>
      <c r="AQ61" s="11">
        <v>2.2140566762995122E-2</v>
      </c>
      <c r="AR61" s="11">
        <v>4.1741206734266061E-2</v>
      </c>
      <c r="AS61" s="11">
        <v>1.1060335783534218E-2</v>
      </c>
      <c r="AT61" s="11">
        <v>3.1103534147462968E-2</v>
      </c>
      <c r="AU61">
        <v>0.97597216660169528</v>
      </c>
      <c r="AW61">
        <f t="shared" si="6"/>
        <v>0</v>
      </c>
      <c r="AX61">
        <v>58</v>
      </c>
      <c r="AY61" s="4">
        <f t="shared" si="3"/>
        <v>42041</v>
      </c>
      <c r="AZ61" s="6">
        <f t="shared" si="4"/>
        <v>-2.0551211353608823</v>
      </c>
      <c r="BA61" s="4">
        <v>42041</v>
      </c>
      <c r="BB61" s="6">
        <v>-2.9164819999999998</v>
      </c>
      <c r="BC61" s="6">
        <v>-4.0397829999999999</v>
      </c>
      <c r="BD61" s="6">
        <v>-1.1950339999999999</v>
      </c>
      <c r="BE61" s="6">
        <v>-3.0538569999999998</v>
      </c>
      <c r="BF61" s="6">
        <v>2.897421</v>
      </c>
      <c r="BG61" s="6">
        <v>-2.8291499999999998</v>
      </c>
      <c r="BH61" s="6">
        <v>-2.142725</v>
      </c>
      <c r="BI61" s="6">
        <v>-4.4310790000000004</v>
      </c>
      <c r="BJ61" s="6">
        <v>-6.7962429999999996</v>
      </c>
      <c r="BK61" s="6">
        <v>-0.43829400000000002</v>
      </c>
      <c r="BL61" s="4">
        <v>42041</v>
      </c>
      <c r="BM61" s="6">
        <f>VLOOKUP(BL61,Sheet1!$A$2:$E$1114,2,FALSE)</f>
        <v>1.495263933583739</v>
      </c>
      <c r="BN61" s="6">
        <f t="shared" si="7"/>
        <v>-2.0551211353608823</v>
      </c>
    </row>
    <row r="62" spans="1:66" x14ac:dyDescent="0.3">
      <c r="A62" s="4"/>
      <c r="B62" s="6"/>
      <c r="C62" s="9"/>
      <c r="D62" s="9"/>
      <c r="E62" s="9"/>
      <c r="F62" s="9"/>
      <c r="G62" s="9"/>
      <c r="H62" s="9"/>
      <c r="I62" s="9"/>
      <c r="J62" s="9"/>
      <c r="K62" s="9"/>
      <c r="L62" s="9"/>
      <c r="P62" s="9"/>
      <c r="AE62">
        <f t="shared" si="15"/>
        <v>33</v>
      </c>
      <c r="AF62" t="s">
        <v>77</v>
      </c>
      <c r="AG62" s="13">
        <f t="shared" si="14"/>
        <v>42002.5</v>
      </c>
      <c r="AH62" s="13">
        <v>42139</v>
      </c>
      <c r="AI62" s="13">
        <v>41866</v>
      </c>
      <c r="AJ62" s="11">
        <v>0.27562539256869001</v>
      </c>
      <c r="AK62" s="11">
        <v>1.911608368387669E-2</v>
      </c>
      <c r="AL62" s="11">
        <v>0.1054095590733246</v>
      </c>
      <c r="AM62" s="11">
        <v>0.18320682571298869</v>
      </c>
      <c r="AN62" s="11">
        <v>0.15221550229576672</v>
      </c>
      <c r="AO62" s="11">
        <v>8.8852691485169169E-5</v>
      </c>
      <c r="AP62" s="11">
        <v>0.14536029505613351</v>
      </c>
      <c r="AQ62" s="11">
        <v>7.2514439599843036E-3</v>
      </c>
      <c r="AR62" s="11">
        <v>5.8210796996565214E-2</v>
      </c>
      <c r="AS62" s="11">
        <v>3.7239302127747669E-2</v>
      </c>
      <c r="AT62" s="11">
        <v>1.6275945833437493E-2</v>
      </c>
      <c r="AU62">
        <v>0.97335277089722683</v>
      </c>
      <c r="AW62">
        <f t="shared" si="6"/>
        <v>0</v>
      </c>
      <c r="AX62">
        <v>59</v>
      </c>
      <c r="AY62" s="4">
        <f t="shared" si="3"/>
        <v>42048</v>
      </c>
      <c r="AZ62" s="6">
        <f t="shared" si="4"/>
        <v>4.2124020229808101</v>
      </c>
      <c r="BA62" s="4">
        <v>42048</v>
      </c>
      <c r="BB62" s="6">
        <v>4.3861319999999999</v>
      </c>
      <c r="BC62" s="6">
        <v>4.5327190000000002</v>
      </c>
      <c r="BD62" s="6">
        <v>4.8683059999999996</v>
      </c>
      <c r="BE62" s="6">
        <v>3.7908689999999998</v>
      </c>
      <c r="BF62" s="6">
        <v>6.526656</v>
      </c>
      <c r="BG62" s="6">
        <v>4.7242689999999996</v>
      </c>
      <c r="BH62" s="6">
        <v>3.8852899999999999</v>
      </c>
      <c r="BI62" s="6">
        <v>2.4668640000000002</v>
      </c>
      <c r="BJ62" s="6">
        <v>4.3571910000000003</v>
      </c>
      <c r="BK62" s="6">
        <v>5.7142470000000003</v>
      </c>
      <c r="BL62" s="4">
        <v>42048</v>
      </c>
      <c r="BM62" s="6">
        <f>VLOOKUP(BL62,Sheet1!$A$2:$E$1114,2,FALSE)</f>
        <v>1.558250461770923</v>
      </c>
      <c r="BN62" s="6">
        <f t="shared" si="7"/>
        <v>4.2124020229808101</v>
      </c>
    </row>
    <row r="63" spans="1:66" x14ac:dyDescent="0.3">
      <c r="A63" s="4"/>
      <c r="B63" s="6"/>
      <c r="C63" s="9"/>
      <c r="D63" s="9"/>
      <c r="E63" s="9"/>
      <c r="F63" s="9"/>
      <c r="G63" s="9"/>
      <c r="H63" s="9"/>
      <c r="I63" s="9"/>
      <c r="J63" s="9"/>
      <c r="K63" s="9"/>
      <c r="L63" s="9"/>
      <c r="P63" s="9"/>
      <c r="AE63">
        <f t="shared" si="15"/>
        <v>34</v>
      </c>
      <c r="AF63" t="s">
        <v>77</v>
      </c>
      <c r="AG63" s="13">
        <f t="shared" si="14"/>
        <v>42009.5</v>
      </c>
      <c r="AH63" s="13">
        <v>42146</v>
      </c>
      <c r="AI63" s="13">
        <v>41873</v>
      </c>
      <c r="AJ63" s="11">
        <v>0.27657557121940979</v>
      </c>
      <c r="AK63" s="11">
        <v>1.030920585587051E-2</v>
      </c>
      <c r="AL63" s="11">
        <v>0.11187466718376017</v>
      </c>
      <c r="AM63" s="11">
        <v>0.16875466166099001</v>
      </c>
      <c r="AN63" s="11">
        <v>0.14036517567793275</v>
      </c>
      <c r="AO63" s="11">
        <v>8.9672959483765322E-6</v>
      </c>
      <c r="AP63" s="11">
        <v>0.17515815117830713</v>
      </c>
      <c r="AQ63" s="11">
        <v>8.0230805828841231E-3</v>
      </c>
      <c r="AR63" s="11">
        <v>6.243906179905373E-2</v>
      </c>
      <c r="AS63" s="11">
        <v>4.6411152786370556E-2</v>
      </c>
      <c r="AT63" s="11">
        <v>8.0304759472848091E-5</v>
      </c>
      <c r="AU63">
        <v>0.97872615011086073</v>
      </c>
      <c r="AW63">
        <f t="shared" si="6"/>
        <v>0</v>
      </c>
      <c r="AX63">
        <v>60</v>
      </c>
      <c r="AY63" s="4">
        <f t="shared" si="3"/>
        <v>42052</v>
      </c>
      <c r="AZ63" s="6">
        <f t="shared" si="4"/>
        <v>2.4036558214940662</v>
      </c>
      <c r="BA63" s="4">
        <v>42052</v>
      </c>
      <c r="BB63" s="6">
        <v>0.67619399999999996</v>
      </c>
      <c r="BC63" s="6">
        <v>2.348611</v>
      </c>
      <c r="BD63" s="6">
        <v>3.6123080000000001</v>
      </c>
      <c r="BE63" s="6">
        <v>1.848255</v>
      </c>
      <c r="BF63" s="6">
        <v>4.0417920000000001</v>
      </c>
      <c r="BG63" s="6">
        <v>0.96362899999999996</v>
      </c>
      <c r="BH63" s="6">
        <v>2.169613</v>
      </c>
      <c r="BI63" s="6">
        <v>0.76798599999999995</v>
      </c>
      <c r="BJ63" s="6">
        <v>1.4048510000000001</v>
      </c>
      <c r="BK63" s="6">
        <v>4.3594590000000002</v>
      </c>
      <c r="BL63" s="4">
        <v>42052</v>
      </c>
      <c r="BM63" s="6">
        <f>VLOOKUP(BL63,Sheet1!$A$2:$E$1114,2,FALSE)</f>
        <v>1.595705439708738</v>
      </c>
      <c r="BN63" s="6">
        <f t="shared" si="7"/>
        <v>2.4036558214940662</v>
      </c>
    </row>
    <row r="64" spans="1:66" x14ac:dyDescent="0.3">
      <c r="A64" s="4"/>
      <c r="B64" s="6"/>
      <c r="C64" s="9"/>
      <c r="D64" s="9"/>
      <c r="E64" s="9"/>
      <c r="F64" s="9"/>
      <c r="G64" s="9"/>
      <c r="H64" s="9"/>
      <c r="I64" s="9"/>
      <c r="J64" s="9"/>
      <c r="K64" s="9"/>
      <c r="L64" s="9"/>
      <c r="AE64">
        <f t="shared" si="15"/>
        <v>35</v>
      </c>
      <c r="AF64" t="s">
        <v>77</v>
      </c>
      <c r="AG64" s="13">
        <f t="shared" si="14"/>
        <v>42016.5</v>
      </c>
      <c r="AH64" s="13">
        <v>42153</v>
      </c>
      <c r="AI64" s="13">
        <v>41880</v>
      </c>
      <c r="AJ64" s="11">
        <v>0.27422173898102503</v>
      </c>
      <c r="AK64" s="11">
        <v>1.0875394882752375E-6</v>
      </c>
      <c r="AL64" s="11">
        <v>1.0243697508214093E-4</v>
      </c>
      <c r="AM64" s="11">
        <v>0.22136638591869562</v>
      </c>
      <c r="AN64" s="11">
        <v>0.12960650888178446</v>
      </c>
      <c r="AO64" s="11">
        <v>1.0460831500957261E-6</v>
      </c>
      <c r="AP64" s="11">
        <v>0.18005022881025573</v>
      </c>
      <c r="AQ64" s="11">
        <v>8.7122705131387199E-6</v>
      </c>
      <c r="AR64" s="11">
        <v>6.1743302136420819E-2</v>
      </c>
      <c r="AS64" s="11">
        <v>0.12854950743268467</v>
      </c>
      <c r="AT64" s="11">
        <v>4.3490449708999887E-3</v>
      </c>
      <c r="AU64">
        <v>0.97333679137488816</v>
      </c>
      <c r="AW64">
        <f t="shared" si="6"/>
        <v>0</v>
      </c>
      <c r="AX64">
        <v>61</v>
      </c>
      <c r="AY64" s="4">
        <f t="shared" si="3"/>
        <v>42062</v>
      </c>
      <c r="AZ64" s="6">
        <f t="shared" si="4"/>
        <v>0.74953476744974434</v>
      </c>
      <c r="BA64" s="4">
        <v>42062</v>
      </c>
      <c r="BB64" s="6">
        <v>0.75542299999999996</v>
      </c>
      <c r="BC64" s="6">
        <v>3.3360470000000002</v>
      </c>
      <c r="BD64" s="6">
        <v>0.62039299999999997</v>
      </c>
      <c r="BE64" s="6">
        <v>2.2655590000000001</v>
      </c>
      <c r="BF64" s="6">
        <v>0.68214300000000005</v>
      </c>
      <c r="BG64" s="6">
        <v>1.53305</v>
      </c>
      <c r="BH64" s="6">
        <v>0.43881700000000001</v>
      </c>
      <c r="BI64" s="6">
        <v>2.8904489999999998</v>
      </c>
      <c r="BJ64" s="6">
        <v>3.3258000000000001</v>
      </c>
      <c r="BK64" s="6">
        <v>1.7106809999999999</v>
      </c>
      <c r="BL64" s="4">
        <v>42062</v>
      </c>
      <c r="BM64" s="6">
        <f>VLOOKUP(BL64,Sheet1!$A$2:$E$1114,2,FALSE)</f>
        <v>1.6076658067654419</v>
      </c>
      <c r="BN64" s="6">
        <f t="shared" si="7"/>
        <v>0.74953476744974434</v>
      </c>
    </row>
    <row r="65" spans="1:66" x14ac:dyDescent="0.3">
      <c r="A65" s="4"/>
      <c r="B65" s="6"/>
      <c r="C65" s="9"/>
      <c r="D65" s="9"/>
      <c r="E65" s="9"/>
      <c r="F65" s="9"/>
      <c r="G65" s="9"/>
      <c r="H65" s="9"/>
      <c r="I65" s="9"/>
      <c r="J65" s="9"/>
      <c r="K65" s="9"/>
      <c r="L65" s="9"/>
      <c r="AE65">
        <f t="shared" si="15"/>
        <v>36</v>
      </c>
      <c r="AF65" t="s">
        <v>77</v>
      </c>
      <c r="AG65" s="13">
        <f t="shared" si="14"/>
        <v>42023.5</v>
      </c>
      <c r="AH65" s="13">
        <v>42160</v>
      </c>
      <c r="AI65" s="13">
        <v>41887</v>
      </c>
      <c r="AJ65" s="11">
        <v>0.27463987282915797</v>
      </c>
      <c r="AK65" s="11">
        <v>6.0938796326836542E-5</v>
      </c>
      <c r="AL65" s="11">
        <v>1.0523113689671742E-2</v>
      </c>
      <c r="AM65" s="11">
        <v>0.21054220088664616</v>
      </c>
      <c r="AN65" s="11">
        <v>0.12902122797807034</v>
      </c>
      <c r="AO65" s="11">
        <v>1.7377116727698843E-5</v>
      </c>
      <c r="AP65" s="11">
        <v>0.18401900617748734</v>
      </c>
      <c r="AQ65" s="11">
        <v>1.3569660641613563E-5</v>
      </c>
      <c r="AR65" s="11">
        <v>5.9342418959874313E-2</v>
      </c>
      <c r="AS65" s="11">
        <v>0.12330701727666608</v>
      </c>
      <c r="AT65" s="11">
        <v>8.5132566287299261E-3</v>
      </c>
      <c r="AU65">
        <v>0.97623882738548418</v>
      </c>
      <c r="AW65">
        <f t="shared" si="6"/>
        <v>0</v>
      </c>
      <c r="AX65">
        <v>62</v>
      </c>
      <c r="AY65" s="4">
        <f t="shared" si="3"/>
        <v>42069</v>
      </c>
      <c r="AZ65" s="6">
        <f t="shared" si="4"/>
        <v>0.33592254786860565</v>
      </c>
      <c r="BA65" s="4">
        <v>42069</v>
      </c>
      <c r="BB65" s="6">
        <v>-4.4111279999999997</v>
      </c>
      <c r="BC65" s="6">
        <v>0.58953699999999998</v>
      </c>
      <c r="BD65" s="6">
        <v>0.89970499999999998</v>
      </c>
      <c r="BE65" s="6">
        <v>2.7513010000000002</v>
      </c>
      <c r="BF65" s="6">
        <v>0.45582</v>
      </c>
      <c r="BG65" s="6">
        <v>1.326735</v>
      </c>
      <c r="BH65" s="6">
        <v>2.5237310000000002</v>
      </c>
      <c r="BI65" s="6">
        <v>-0.80101800000000001</v>
      </c>
      <c r="BJ65" s="6">
        <v>-1.356627</v>
      </c>
      <c r="BK65" s="6">
        <v>-1.3676980000000001</v>
      </c>
      <c r="BL65" s="4">
        <v>42069</v>
      </c>
      <c r="BM65" s="6">
        <f>VLOOKUP(BL65,Sheet1!$A$2:$E$1114,2,FALSE)</f>
        <v>1.6130663187047409</v>
      </c>
      <c r="BN65" s="6">
        <f t="shared" si="7"/>
        <v>0.33592254786860565</v>
      </c>
    </row>
    <row r="66" spans="1:66" x14ac:dyDescent="0.3">
      <c r="A66" s="4"/>
      <c r="B66" s="6"/>
      <c r="C66" s="9"/>
      <c r="D66" s="9"/>
      <c r="E66" s="9"/>
      <c r="F66" s="9"/>
      <c r="G66" s="9"/>
      <c r="H66" s="9"/>
      <c r="I66" s="9"/>
      <c r="J66" s="9"/>
      <c r="K66" s="9"/>
      <c r="L66" s="9"/>
      <c r="AE66">
        <f t="shared" si="15"/>
        <v>37</v>
      </c>
      <c r="AF66" t="s">
        <v>77</v>
      </c>
      <c r="AG66" s="13">
        <f t="shared" si="14"/>
        <v>42030.5</v>
      </c>
      <c r="AH66" s="13">
        <v>42167</v>
      </c>
      <c r="AI66" s="13">
        <v>41894</v>
      </c>
      <c r="AJ66" s="11">
        <v>0.27523550690275378</v>
      </c>
      <c r="AK66" s="11">
        <v>4.6450708771980903E-5</v>
      </c>
      <c r="AL66" s="11">
        <v>5.5944447325827693E-2</v>
      </c>
      <c r="AM66" s="11">
        <v>0.18856185837132561</v>
      </c>
      <c r="AN66" s="11">
        <v>0.11168865429162407</v>
      </c>
      <c r="AO66" s="11">
        <v>8.1970919595247162E-5</v>
      </c>
      <c r="AP66" s="11">
        <v>0.18351616483021416</v>
      </c>
      <c r="AQ66" s="11">
        <v>3.6764802966690828E-5</v>
      </c>
      <c r="AR66" s="11">
        <v>5.7731721380200135E-2</v>
      </c>
      <c r="AS66" s="11">
        <v>0.12261337857054429</v>
      </c>
      <c r="AT66" s="11">
        <v>4.5430818961763554E-3</v>
      </c>
      <c r="AU66">
        <v>0.97551471128214506</v>
      </c>
      <c r="AW66">
        <f t="shared" si="6"/>
        <v>0</v>
      </c>
      <c r="AX66">
        <v>63</v>
      </c>
      <c r="AY66" s="4">
        <f t="shared" si="3"/>
        <v>42076</v>
      </c>
      <c r="AZ66" s="6">
        <f t="shared" si="4"/>
        <v>4.170762020704899</v>
      </c>
      <c r="BA66" s="4">
        <v>42076</v>
      </c>
      <c r="BB66" s="6">
        <v>5.3096709999999998</v>
      </c>
      <c r="BC66" s="6">
        <v>3.0397150000000002</v>
      </c>
      <c r="BD66" s="6">
        <v>4.1276950000000001</v>
      </c>
      <c r="BE66" s="6">
        <v>2.0473110000000001</v>
      </c>
      <c r="BF66" s="6">
        <v>5.6363029999999998</v>
      </c>
      <c r="BG66" s="6">
        <v>3.1362559999999999</v>
      </c>
      <c r="BH66" s="6">
        <v>2.6590120000000002</v>
      </c>
      <c r="BI66" s="6">
        <v>3.045204</v>
      </c>
      <c r="BJ66" s="6">
        <v>3.3795069999999998</v>
      </c>
      <c r="BK66" s="6">
        <v>3.6202570000000001</v>
      </c>
      <c r="BL66" s="4">
        <v>42076</v>
      </c>
      <c r="BM66" s="6">
        <f>VLOOKUP(BL66,Sheet1!$A$2:$E$1114,2,FALSE)</f>
        <v>1.680343476094061</v>
      </c>
      <c r="BN66" s="6">
        <f t="shared" si="7"/>
        <v>4.170762020704899</v>
      </c>
    </row>
    <row r="67" spans="1:66" x14ac:dyDescent="0.3">
      <c r="A67" s="4"/>
      <c r="B67" s="6"/>
      <c r="C67" s="9"/>
      <c r="D67" s="9"/>
      <c r="E67" s="9"/>
      <c r="F67" s="9"/>
      <c r="G67" s="9"/>
      <c r="H67" s="9"/>
      <c r="I67" s="9"/>
      <c r="J67" s="9"/>
      <c r="K67" s="9"/>
      <c r="L67" s="9"/>
      <c r="AE67">
        <f t="shared" si="15"/>
        <v>38</v>
      </c>
      <c r="AF67" t="s">
        <v>77</v>
      </c>
      <c r="AG67" s="13">
        <f t="shared" si="14"/>
        <v>42037.5</v>
      </c>
      <c r="AH67" s="13">
        <v>42174</v>
      </c>
      <c r="AI67" s="13">
        <v>41901</v>
      </c>
      <c r="AJ67" s="11">
        <v>0.2692370742402892</v>
      </c>
      <c r="AK67" s="11">
        <v>7.9700535054391241E-5</v>
      </c>
      <c r="AL67" s="11">
        <v>8.1654844168558768E-2</v>
      </c>
      <c r="AM67" s="11">
        <v>0.18647694772856277</v>
      </c>
      <c r="AN67" s="11">
        <v>0.11131804443066291</v>
      </c>
      <c r="AO67" s="11">
        <v>5.6573879416880011E-5</v>
      </c>
      <c r="AP67" s="11">
        <v>0.15627859567885244</v>
      </c>
      <c r="AQ67" s="11">
        <v>8.7449651356320913E-5</v>
      </c>
      <c r="AR67" s="11">
        <v>6.2471588033912985E-2</v>
      </c>
      <c r="AS67" s="11">
        <v>0.10940148952876255</v>
      </c>
      <c r="AT67" s="11">
        <v>2.2937692124570763E-2</v>
      </c>
      <c r="AU67">
        <v>0.98285144890342802</v>
      </c>
      <c r="AW67">
        <f t="shared" si="6"/>
        <v>0</v>
      </c>
      <c r="AX67">
        <v>64</v>
      </c>
      <c r="AY67" s="4">
        <f t="shared" si="3"/>
        <v>42083</v>
      </c>
      <c r="AZ67" s="6">
        <f t="shared" si="4"/>
        <v>7.5208195038388048</v>
      </c>
      <c r="BA67" s="4">
        <v>42083</v>
      </c>
      <c r="BB67" s="6">
        <v>8.2733310000000007</v>
      </c>
      <c r="BC67" s="6">
        <v>8.9599869999999999</v>
      </c>
      <c r="BD67" s="6">
        <v>7.1272149999999996</v>
      </c>
      <c r="BE67" s="6">
        <v>7.6018929999999996</v>
      </c>
      <c r="BF67" s="6">
        <v>10.255673</v>
      </c>
      <c r="BG67" s="6">
        <v>5.7395930000000002</v>
      </c>
      <c r="BH67" s="6">
        <v>6.1910210000000001</v>
      </c>
      <c r="BI67" s="6">
        <v>5.1558570000000001</v>
      </c>
      <c r="BJ67" s="6">
        <v>8.3891620000000007</v>
      </c>
      <c r="BK67" s="6">
        <v>7.766419</v>
      </c>
      <c r="BL67" s="4">
        <v>42083</v>
      </c>
      <c r="BM67" s="6">
        <f>VLOOKUP(BL67,Sheet1!$A$2:$E$1114,2,FALSE)</f>
        <v>1.806719075975626</v>
      </c>
      <c r="BN67" s="6">
        <f t="shared" si="7"/>
        <v>7.5208195038388048</v>
      </c>
    </row>
    <row r="68" spans="1:66" x14ac:dyDescent="0.3">
      <c r="A68" s="4"/>
      <c r="B68" s="6"/>
      <c r="C68" s="9"/>
      <c r="D68" s="9"/>
      <c r="E68" s="9"/>
      <c r="F68" s="9"/>
      <c r="G68" s="9"/>
      <c r="H68" s="9"/>
      <c r="I68" s="9"/>
      <c r="J68" s="9"/>
      <c r="K68" s="9"/>
      <c r="L68" s="9"/>
      <c r="AE68">
        <f t="shared" si="15"/>
        <v>39</v>
      </c>
      <c r="AF68" t="s">
        <v>77</v>
      </c>
      <c r="AG68" s="13">
        <f t="shared" si="14"/>
        <v>42044.5</v>
      </c>
      <c r="AH68" s="13">
        <v>42181</v>
      </c>
      <c r="AI68" s="13">
        <v>41908</v>
      </c>
      <c r="AJ68" s="11">
        <v>0.26157181900002757</v>
      </c>
      <c r="AK68" s="11">
        <v>7.7926906325068847E-6</v>
      </c>
      <c r="AL68" s="11">
        <v>5.0123820168018189E-2</v>
      </c>
      <c r="AM68" s="11">
        <v>0.16076937281642384</v>
      </c>
      <c r="AN68" s="11">
        <v>0.1130995332467338</v>
      </c>
      <c r="AO68" s="11">
        <v>5.8281360022460276E-5</v>
      </c>
      <c r="AP68" s="11">
        <v>0.18117412823822021</v>
      </c>
      <c r="AQ68" s="11">
        <v>2.2367692249281412E-3</v>
      </c>
      <c r="AR68" s="11">
        <v>9.323593868416423E-2</v>
      </c>
      <c r="AS68" s="11">
        <v>0.10308807720901661</v>
      </c>
      <c r="AT68" s="11">
        <v>3.4634467361812506E-2</v>
      </c>
      <c r="AU68">
        <v>0.9826109770535093</v>
      </c>
      <c r="AW68">
        <f t="shared" si="6"/>
        <v>0</v>
      </c>
      <c r="AX68">
        <v>65</v>
      </c>
      <c r="AY68" s="4">
        <f t="shared" si="3"/>
        <v>42090</v>
      </c>
      <c r="AZ68" s="6">
        <f t="shared" si="4"/>
        <v>2.5863334479620859</v>
      </c>
      <c r="BA68" s="4">
        <v>42090</v>
      </c>
      <c r="BB68" s="6">
        <v>-0.33553699999999997</v>
      </c>
      <c r="BC68" s="6">
        <v>5.5396780000000003</v>
      </c>
      <c r="BD68" s="6">
        <v>4.3250520000000003</v>
      </c>
      <c r="BE68" s="6">
        <v>4.0015020000000003</v>
      </c>
      <c r="BF68" s="6">
        <v>4.8014999999999999</v>
      </c>
      <c r="BG68" s="6">
        <v>4.1847320000000003</v>
      </c>
      <c r="BH68" s="6">
        <v>3.900509</v>
      </c>
      <c r="BI68" s="6">
        <v>3.1800350000000002</v>
      </c>
      <c r="BJ68" s="6">
        <v>1.44272</v>
      </c>
      <c r="BK68" s="6">
        <v>3.541096</v>
      </c>
      <c r="BL68" s="4">
        <v>42090</v>
      </c>
      <c r="BM68" s="6">
        <f>VLOOKUP(BL68,Sheet1!$A$2:$E$1114,2,FALSE)</f>
        <v>1.853446855748295</v>
      </c>
      <c r="BN68" s="6">
        <f t="shared" si="7"/>
        <v>2.5863334479620859</v>
      </c>
    </row>
    <row r="69" spans="1:66" x14ac:dyDescent="0.3">
      <c r="A69" s="4"/>
      <c r="B69" s="6"/>
      <c r="C69" s="9"/>
      <c r="D69" s="9"/>
      <c r="E69" s="9"/>
      <c r="F69" s="9"/>
      <c r="G69" s="9"/>
      <c r="H69" s="9"/>
      <c r="I69" s="9"/>
      <c r="J69" s="9"/>
      <c r="K69" s="9"/>
      <c r="L69" s="9"/>
      <c r="AE69">
        <f t="shared" si="15"/>
        <v>40</v>
      </c>
      <c r="AF69" t="s">
        <v>77</v>
      </c>
      <c r="AG69" s="13">
        <f t="shared" si="14"/>
        <v>42050</v>
      </c>
      <c r="AH69" s="13">
        <v>42188</v>
      </c>
      <c r="AI69" s="13">
        <v>41912</v>
      </c>
      <c r="AJ69" s="11">
        <v>0.25427971034099828</v>
      </c>
      <c r="AK69" s="11">
        <v>4.5143356746573786E-6</v>
      </c>
      <c r="AL69" s="11">
        <v>3.476520683592399E-2</v>
      </c>
      <c r="AM69" s="11">
        <v>0.1876223690702252</v>
      </c>
      <c r="AN69" s="11">
        <v>0.12178896825521103</v>
      </c>
      <c r="AO69" s="11">
        <v>3.4962808421842573E-3</v>
      </c>
      <c r="AP69" s="11">
        <v>0.16476534776226923</v>
      </c>
      <c r="AQ69" s="11">
        <v>4.9594267111472161E-3</v>
      </c>
      <c r="AR69" s="11">
        <v>0.10051955362403379</v>
      </c>
      <c r="AS69" s="11">
        <v>0.10037312391544728</v>
      </c>
      <c r="AT69" s="11">
        <v>2.7425498306885052E-2</v>
      </c>
      <c r="AU69">
        <v>0.98739251923928251</v>
      </c>
      <c r="AW69">
        <f t="shared" si="6"/>
        <v>0</v>
      </c>
      <c r="AX69">
        <v>66</v>
      </c>
      <c r="AY69" s="4">
        <f t="shared" ref="AY69:AY132" si="16">BA69</f>
        <v>42097</v>
      </c>
      <c r="AZ69" s="6">
        <f t="shared" ref="AZ69:AZ132" si="17">BN69</f>
        <v>6.2118956590248686</v>
      </c>
      <c r="BA69" s="4">
        <v>42097</v>
      </c>
      <c r="BB69" s="6">
        <v>5.1552829999999998</v>
      </c>
      <c r="BC69" s="6">
        <v>6.9928059999999999</v>
      </c>
      <c r="BD69" s="6">
        <v>6.8163939999999998</v>
      </c>
      <c r="BE69" s="6">
        <v>6.6887920000000003</v>
      </c>
      <c r="BF69" s="6">
        <v>7.4727569999999996</v>
      </c>
      <c r="BG69" s="6">
        <v>4.4197870000000004</v>
      </c>
      <c r="BH69" s="6">
        <v>7.1269330000000002</v>
      </c>
      <c r="BI69" s="6">
        <v>3.6050119999999999</v>
      </c>
      <c r="BJ69" s="6">
        <v>4.8708939999999998</v>
      </c>
      <c r="BK69" s="6">
        <v>6.2665170000000003</v>
      </c>
      <c r="BL69" s="4">
        <v>42097</v>
      </c>
      <c r="BM69" s="6">
        <f>VLOOKUP(BL69,Sheet1!$A$2:$E$1114,2,FALSE)</f>
        <v>1.9685810405228561</v>
      </c>
      <c r="BN69" s="6">
        <f t="shared" si="7"/>
        <v>6.2118956590248686</v>
      </c>
    </row>
    <row r="70" spans="1:66" x14ac:dyDescent="0.3">
      <c r="A70" s="4"/>
      <c r="B70" s="6"/>
      <c r="C70" s="9"/>
      <c r="D70" s="9"/>
      <c r="E70" s="9"/>
      <c r="F70" s="9"/>
      <c r="G70" s="9"/>
      <c r="H70" s="9"/>
      <c r="I70" s="9"/>
      <c r="J70" s="9"/>
      <c r="K70" s="9"/>
      <c r="L70" s="9"/>
      <c r="AE70">
        <f t="shared" si="15"/>
        <v>41</v>
      </c>
      <c r="AF70" t="s">
        <v>77</v>
      </c>
      <c r="AG70" s="13">
        <f t="shared" si="14"/>
        <v>42058.5</v>
      </c>
      <c r="AH70" s="13">
        <v>42195</v>
      </c>
      <c r="AI70" s="13">
        <v>41922</v>
      </c>
      <c r="AJ70" s="11">
        <v>0.23513445755647039</v>
      </c>
      <c r="AK70" s="11">
        <v>2.0738855862115337E-5</v>
      </c>
      <c r="AL70" s="11">
        <v>8.3464971502353891E-5</v>
      </c>
      <c r="AM70" s="11">
        <v>0.18604504036806638</v>
      </c>
      <c r="AN70" s="11">
        <v>0.12689289081505958</v>
      </c>
      <c r="AO70" s="11">
        <v>4.8251281089769065E-5</v>
      </c>
      <c r="AP70" s="11">
        <v>0.13382686173318423</v>
      </c>
      <c r="AQ70" s="11">
        <v>1.9035160150044056E-2</v>
      </c>
      <c r="AR70" s="11">
        <v>9.0196209557850057E-2</v>
      </c>
      <c r="AS70" s="11">
        <v>0.16806003161469482</v>
      </c>
      <c r="AT70" s="11">
        <v>4.0656893096176316E-2</v>
      </c>
      <c r="AU70">
        <v>0.98336554759045303</v>
      </c>
      <c r="AW70">
        <f t="shared" ref="AW70:AW133" si="18">IF(AY70&lt;=AY69,1,0)</f>
        <v>0</v>
      </c>
      <c r="AX70">
        <v>67</v>
      </c>
      <c r="AY70" s="4">
        <f t="shared" si="16"/>
        <v>42104</v>
      </c>
      <c r="AZ70" s="6">
        <f t="shared" si="17"/>
        <v>3.4242338538985395</v>
      </c>
      <c r="BA70" s="4">
        <v>42104</v>
      </c>
      <c r="BB70" s="6">
        <v>6.7188850000000002</v>
      </c>
      <c r="BC70" s="6">
        <v>2.9496899999999999</v>
      </c>
      <c r="BD70" s="6">
        <v>0.92976499999999995</v>
      </c>
      <c r="BE70" s="6">
        <v>1.8534489999999999</v>
      </c>
      <c r="BF70" s="6">
        <v>2.0586500000000001</v>
      </c>
      <c r="BG70" s="6">
        <v>4.2538070000000001</v>
      </c>
      <c r="BH70" s="6">
        <v>4.1827269999999999</v>
      </c>
      <c r="BI70" s="6">
        <v>2.8717950000000001</v>
      </c>
      <c r="BJ70" s="6">
        <v>1.549215</v>
      </c>
      <c r="BK70" s="6">
        <v>1.287779</v>
      </c>
      <c r="BL70" s="4">
        <v>42104</v>
      </c>
      <c r="BM70" s="6">
        <f>VLOOKUP(BL70,Sheet1!$A$2:$E$1114,2,FALSE)</f>
        <v>2.0359898589538679</v>
      </c>
      <c r="BN70" s="6">
        <f t="shared" ref="BN70:BN133" si="19">(BM70/BM69-1)*100</f>
        <v>3.4242338538985395</v>
      </c>
    </row>
    <row r="71" spans="1:66" x14ac:dyDescent="0.3">
      <c r="A71" s="4"/>
      <c r="B71" s="6"/>
      <c r="C71" s="9"/>
      <c r="D71" s="9"/>
      <c r="E71" s="9"/>
      <c r="F71" s="9"/>
      <c r="G71" s="9"/>
      <c r="H71" s="9"/>
      <c r="I71" s="9"/>
      <c r="J71" s="9"/>
      <c r="K71" s="9"/>
      <c r="L71" s="9"/>
      <c r="AE71">
        <f t="shared" si="15"/>
        <v>42</v>
      </c>
      <c r="AF71" t="s">
        <v>77</v>
      </c>
      <c r="AG71" s="13">
        <f t="shared" si="14"/>
        <v>42065.5</v>
      </c>
      <c r="AH71" s="13">
        <v>42202</v>
      </c>
      <c r="AI71" s="13">
        <v>41929</v>
      </c>
      <c r="AJ71" s="11">
        <v>0.23307459406764788</v>
      </c>
      <c r="AK71" s="11">
        <v>3.1335810568006938E-5</v>
      </c>
      <c r="AL71" s="11">
        <v>5.4338075193850658E-5</v>
      </c>
      <c r="AM71" s="11">
        <v>8.0144284148324973E-2</v>
      </c>
      <c r="AN71" s="11">
        <v>8.3475088765761679E-2</v>
      </c>
      <c r="AO71" s="11">
        <v>4.3185587446048166E-5</v>
      </c>
      <c r="AP71" s="11">
        <v>0.22494562541103524</v>
      </c>
      <c r="AQ71" s="11">
        <v>8.7873679843582529E-5</v>
      </c>
      <c r="AR71" s="11">
        <v>0.11375812097510606</v>
      </c>
      <c r="AS71" s="11">
        <v>0.23925617781719019</v>
      </c>
      <c r="AT71" s="11">
        <v>2.512937566188252E-2</v>
      </c>
      <c r="AU71">
        <v>0.98154153197858174</v>
      </c>
      <c r="AW71">
        <f t="shared" si="18"/>
        <v>0</v>
      </c>
      <c r="AX71">
        <v>68</v>
      </c>
      <c r="AY71" s="4">
        <f t="shared" si="16"/>
        <v>42111</v>
      </c>
      <c r="AZ71" s="6">
        <f t="shared" si="17"/>
        <v>1.8423716939408807</v>
      </c>
      <c r="BA71" s="4">
        <v>42111</v>
      </c>
      <c r="BB71" s="6">
        <v>2.8301120000000002</v>
      </c>
      <c r="BC71" s="6">
        <v>9.0667469999999994</v>
      </c>
      <c r="BD71" s="6">
        <v>0.53590599999999999</v>
      </c>
      <c r="BE71" s="6">
        <v>1.4353020000000001</v>
      </c>
      <c r="BF71" s="6">
        <v>-2.9555600000000002</v>
      </c>
      <c r="BG71" s="6">
        <v>2.7104309999999998</v>
      </c>
      <c r="BH71" s="6">
        <v>1.827466</v>
      </c>
      <c r="BI71" s="6">
        <v>7.338203</v>
      </c>
      <c r="BJ71" s="6">
        <v>7.7813809999999997</v>
      </c>
      <c r="BK71" s="6">
        <v>1.7268829999999999</v>
      </c>
      <c r="BL71" s="4">
        <v>42111</v>
      </c>
      <c r="BM71" s="6">
        <f>VLOOKUP(BL71,Sheet1!$A$2:$E$1114,2,FALSE)</f>
        <v>2.073500359806741</v>
      </c>
      <c r="BN71" s="6">
        <f t="shared" si="19"/>
        <v>1.8423716939408807</v>
      </c>
    </row>
    <row r="72" spans="1:66" x14ac:dyDescent="0.3">
      <c r="A72" s="4"/>
      <c r="B72" s="6"/>
      <c r="C72" s="9"/>
      <c r="D72" s="9"/>
      <c r="E72" s="9"/>
      <c r="F72" s="9"/>
      <c r="G72" s="9"/>
      <c r="H72" s="9"/>
      <c r="I72" s="9"/>
      <c r="J72" s="9"/>
      <c r="K72" s="9"/>
      <c r="L72" s="9"/>
      <c r="AE72">
        <f t="shared" si="15"/>
        <v>43</v>
      </c>
      <c r="AF72" t="s">
        <v>77</v>
      </c>
      <c r="AG72" s="13">
        <f t="shared" si="14"/>
        <v>42072.5</v>
      </c>
      <c r="AH72" s="13">
        <v>42209</v>
      </c>
      <c r="AI72" s="13">
        <v>41936</v>
      </c>
      <c r="AJ72" s="11">
        <v>0.23745019910482282</v>
      </c>
      <c r="AK72" s="11">
        <v>3.4791100857400122E-5</v>
      </c>
      <c r="AL72" s="11">
        <v>5.6653153630818964E-5</v>
      </c>
      <c r="AM72" s="11">
        <v>7.7697543040178368E-2</v>
      </c>
      <c r="AN72" s="11">
        <v>6.5201914897578719E-2</v>
      </c>
      <c r="AO72" s="11">
        <v>5.0207626538320542E-5</v>
      </c>
      <c r="AP72" s="11">
        <v>0.20287101384353307</v>
      </c>
      <c r="AQ72" s="11">
        <v>8.498613682763073E-5</v>
      </c>
      <c r="AR72" s="11">
        <v>0.10226688034799991</v>
      </c>
      <c r="AS72" s="11">
        <v>0.28512453104065055</v>
      </c>
      <c r="AT72" s="11">
        <v>2.9161279707382495E-2</v>
      </c>
      <c r="AU72">
        <v>0.98155495496620215</v>
      </c>
      <c r="AW72">
        <f t="shared" si="18"/>
        <v>0</v>
      </c>
      <c r="AX72">
        <v>69</v>
      </c>
      <c r="AY72" s="4">
        <f t="shared" si="16"/>
        <v>42118</v>
      </c>
      <c r="AZ72" s="6">
        <f t="shared" si="17"/>
        <v>3.776456638190484</v>
      </c>
      <c r="BA72" s="4">
        <v>42118</v>
      </c>
      <c r="BB72" s="6">
        <v>-1.493506</v>
      </c>
      <c r="BC72" s="6">
        <v>4.5419</v>
      </c>
      <c r="BD72" s="6">
        <v>6.3479419999999998</v>
      </c>
      <c r="BE72" s="6">
        <v>6.6305149999999999</v>
      </c>
      <c r="BF72" s="6">
        <v>7.9200379999999999</v>
      </c>
      <c r="BG72" s="6">
        <v>5.1840010000000003</v>
      </c>
      <c r="BH72" s="6">
        <v>3.569836</v>
      </c>
      <c r="BI72" s="6">
        <v>4.6028070000000003</v>
      </c>
      <c r="BJ72" s="6">
        <v>4.8986599999999996</v>
      </c>
      <c r="BK72" s="6">
        <v>7.3094289999999997</v>
      </c>
      <c r="BL72" s="4">
        <v>42118</v>
      </c>
      <c r="BM72" s="6">
        <f>VLOOKUP(BL72,Sheet1!$A$2:$E$1114,2,FALSE)</f>
        <v>2.1518052017875662</v>
      </c>
      <c r="BN72" s="6">
        <f t="shared" si="19"/>
        <v>3.776456638190484</v>
      </c>
    </row>
    <row r="73" spans="1:66" x14ac:dyDescent="0.3">
      <c r="A73" s="4"/>
      <c r="B73" s="6"/>
      <c r="C73" s="9"/>
      <c r="D73" s="9"/>
      <c r="E73" s="9"/>
      <c r="F73" s="9"/>
      <c r="G73" s="9"/>
      <c r="H73" s="9"/>
      <c r="I73" s="9"/>
      <c r="J73" s="9"/>
      <c r="K73" s="9"/>
      <c r="L73" s="9"/>
      <c r="AE73">
        <f t="shared" si="15"/>
        <v>44</v>
      </c>
      <c r="AF73" t="s">
        <v>77</v>
      </c>
      <c r="AG73" s="13">
        <f t="shared" si="14"/>
        <v>42079.5</v>
      </c>
      <c r="AH73" s="13">
        <v>42216</v>
      </c>
      <c r="AI73" s="13">
        <v>41943</v>
      </c>
      <c r="AJ73" s="11">
        <v>0.22756171015932997</v>
      </c>
      <c r="AK73" s="11">
        <v>3.1679430727132326E-5</v>
      </c>
      <c r="AL73" s="11">
        <v>7.5104256457330623E-5</v>
      </c>
      <c r="AM73" s="11">
        <v>7.3352519790632023E-2</v>
      </c>
      <c r="AN73" s="11">
        <v>6.7318578084607672E-2</v>
      </c>
      <c r="AO73" s="11">
        <v>6.3457835457424039E-5</v>
      </c>
      <c r="AP73" s="11">
        <v>0.20339823134368251</v>
      </c>
      <c r="AQ73" s="11">
        <v>3.095019898501978E-5</v>
      </c>
      <c r="AR73" s="11">
        <v>0.11823935078267324</v>
      </c>
      <c r="AS73" s="11">
        <v>0.26997371519279018</v>
      </c>
      <c r="AT73" s="11">
        <v>3.9954702924657484E-2</v>
      </c>
      <c r="AU73">
        <v>0.98139179742778793</v>
      </c>
      <c r="AW73">
        <f t="shared" si="18"/>
        <v>0</v>
      </c>
      <c r="AX73">
        <v>70</v>
      </c>
      <c r="AY73" s="4">
        <f t="shared" si="16"/>
        <v>42124</v>
      </c>
      <c r="AZ73" s="6">
        <f t="shared" si="17"/>
        <v>1.1905856716988739</v>
      </c>
      <c r="BA73" s="4">
        <v>42124</v>
      </c>
      <c r="BB73" s="6">
        <v>1.3409740000000001</v>
      </c>
      <c r="BC73" s="6">
        <v>1.354584</v>
      </c>
      <c r="BD73" s="6">
        <v>8.2071000000000005E-2</v>
      </c>
      <c r="BE73" s="6">
        <v>-0.74556800000000001</v>
      </c>
      <c r="BF73" s="6">
        <v>2.4792429999999999</v>
      </c>
      <c r="BG73" s="6">
        <v>-1.2054879999999999</v>
      </c>
      <c r="BH73" s="6">
        <v>-8.2819999999999994E-3</v>
      </c>
      <c r="BI73" s="6">
        <v>-0.22539100000000001</v>
      </c>
      <c r="BJ73" s="6">
        <v>2.9383780000000002</v>
      </c>
      <c r="BK73" s="6">
        <v>0.80146799999999996</v>
      </c>
      <c r="BL73" s="4">
        <v>42124</v>
      </c>
      <c r="BM73" s="6">
        <f>VLOOKUP(BL73,Sheet1!$A$2:$E$1114,2,FALSE)</f>
        <v>2.1774242862029198</v>
      </c>
      <c r="BN73" s="6">
        <f t="shared" si="19"/>
        <v>1.1905856716988739</v>
      </c>
    </row>
    <row r="74" spans="1:66" x14ac:dyDescent="0.3">
      <c r="A74" s="4"/>
      <c r="B74" s="6"/>
      <c r="C74" s="9"/>
      <c r="D74" s="9"/>
      <c r="E74" s="9"/>
      <c r="F74" s="9"/>
      <c r="G74" s="9"/>
      <c r="H74" s="9"/>
      <c r="I74" s="9"/>
      <c r="J74" s="9"/>
      <c r="K74" s="9"/>
      <c r="L74" s="9"/>
      <c r="AE74">
        <f t="shared" si="15"/>
        <v>45</v>
      </c>
      <c r="AF74" t="s">
        <v>77</v>
      </c>
      <c r="AG74" s="13">
        <f t="shared" si="14"/>
        <v>42086.5</v>
      </c>
      <c r="AH74" s="13">
        <v>42223</v>
      </c>
      <c r="AI74" s="13">
        <v>41950</v>
      </c>
      <c r="AJ74" s="11">
        <v>0.22752101775225608</v>
      </c>
      <c r="AK74" s="11">
        <v>3.1029116038098838E-5</v>
      </c>
      <c r="AL74" s="11">
        <v>7.8155878381748074E-5</v>
      </c>
      <c r="AM74" s="11">
        <v>7.0437802378783346E-2</v>
      </c>
      <c r="AN74" s="11">
        <v>6.9347626263903936E-2</v>
      </c>
      <c r="AO74" s="11">
        <v>6.2429826957933319E-5</v>
      </c>
      <c r="AP74" s="11">
        <v>0.20283557064159138</v>
      </c>
      <c r="AQ74" s="11">
        <v>3.0845686119191519E-5</v>
      </c>
      <c r="AR74" s="11">
        <v>0.12098558050235969</v>
      </c>
      <c r="AS74" s="11">
        <v>0.26886775273001473</v>
      </c>
      <c r="AT74" s="11">
        <v>3.9802189223593895E-2</v>
      </c>
      <c r="AU74">
        <v>0.98128224996692792</v>
      </c>
      <c r="AW74">
        <f t="shared" si="18"/>
        <v>0</v>
      </c>
      <c r="AX74">
        <v>71</v>
      </c>
      <c r="AY74" s="4">
        <f t="shared" si="16"/>
        <v>42132</v>
      </c>
      <c r="AZ74" s="6">
        <f t="shared" si="17"/>
        <v>-2.4740907575159787</v>
      </c>
      <c r="BA74" s="4">
        <v>42132</v>
      </c>
      <c r="BB74" s="6">
        <v>-3.528607</v>
      </c>
      <c r="BC74" s="6">
        <v>-5.2804570000000002</v>
      </c>
      <c r="BD74" s="6">
        <v>-1.4600660000000001</v>
      </c>
      <c r="BE74" s="6">
        <v>-4.188879</v>
      </c>
      <c r="BF74" s="6">
        <v>3.6982499999999998</v>
      </c>
      <c r="BG74" s="6">
        <v>-1.9499200000000001</v>
      </c>
      <c r="BH74" s="6">
        <v>-0.421904</v>
      </c>
      <c r="BI74" s="6">
        <v>-7.3540270000000003</v>
      </c>
      <c r="BJ74" s="6">
        <v>-5.2872940000000002</v>
      </c>
      <c r="BK74" s="6">
        <v>-0.34193499999999999</v>
      </c>
      <c r="BL74" s="4">
        <v>42132</v>
      </c>
      <c r="BM74" s="6">
        <f>VLOOKUP(BL74,Sheet1!$A$2:$E$1114,2,FALSE)</f>
        <v>2.1235528331860651</v>
      </c>
      <c r="BN74" s="6">
        <f t="shared" si="19"/>
        <v>-2.4740907575159787</v>
      </c>
    </row>
    <row r="75" spans="1:66" x14ac:dyDescent="0.3">
      <c r="A75" s="4"/>
      <c r="B75" s="6"/>
      <c r="C75" s="9"/>
      <c r="D75" s="9"/>
      <c r="E75" s="9"/>
      <c r="F75" s="9"/>
      <c r="G75" s="9"/>
      <c r="H75" s="9"/>
      <c r="I75" s="9"/>
      <c r="J75" s="9"/>
      <c r="K75" s="9"/>
      <c r="L75" s="9"/>
      <c r="AE75">
        <f t="shared" si="15"/>
        <v>46</v>
      </c>
      <c r="AF75" t="s">
        <v>77</v>
      </c>
      <c r="AG75" s="13">
        <f t="shared" si="14"/>
        <v>42093.5</v>
      </c>
      <c r="AH75" s="13">
        <v>42230</v>
      </c>
      <c r="AI75" s="13">
        <v>41957</v>
      </c>
      <c r="AJ75" s="11">
        <v>0.2316669908709946</v>
      </c>
      <c r="AK75" s="11">
        <v>3.0411767929033908E-5</v>
      </c>
      <c r="AL75" s="11">
        <v>5.1036631369557185E-5</v>
      </c>
      <c r="AM75" s="11">
        <v>6.6199245813682986E-2</v>
      </c>
      <c r="AN75" s="11">
        <v>5.6423097436362035E-2</v>
      </c>
      <c r="AO75" s="11">
        <v>6.4039710457296199E-5</v>
      </c>
      <c r="AP75" s="11">
        <v>0.21616997405947658</v>
      </c>
      <c r="AQ75" s="11">
        <v>2.5239075803863346E-5</v>
      </c>
      <c r="AR75" s="11">
        <v>0.10762172746667295</v>
      </c>
      <c r="AS75" s="11">
        <v>0.28055568118330437</v>
      </c>
      <c r="AT75" s="11">
        <v>4.1192555983946812E-2</v>
      </c>
      <c r="AU75">
        <v>0.98121168377645129</v>
      </c>
      <c r="AW75">
        <f t="shared" si="18"/>
        <v>0</v>
      </c>
      <c r="AX75">
        <v>72</v>
      </c>
      <c r="AY75" s="4">
        <f t="shared" si="16"/>
        <v>42139</v>
      </c>
      <c r="AZ75" s="6">
        <f t="shared" si="17"/>
        <v>5.1619684677725708</v>
      </c>
      <c r="BA75" s="4">
        <v>42139</v>
      </c>
      <c r="BB75" s="6">
        <v>-1.0219769999999999</v>
      </c>
      <c r="BC75" s="6">
        <v>5.8722770000000004</v>
      </c>
      <c r="BD75" s="6">
        <v>5.8481110000000003</v>
      </c>
      <c r="BE75" s="6">
        <v>6.6276219999999997</v>
      </c>
      <c r="BF75" s="6">
        <v>8.3501399999999997</v>
      </c>
      <c r="BG75" s="6">
        <v>4.8315340000000004</v>
      </c>
      <c r="BH75" s="6">
        <v>5.6689230000000004</v>
      </c>
      <c r="BI75" s="6">
        <v>0.18970400000000001</v>
      </c>
      <c r="BJ75" s="6">
        <v>4.9711090000000002</v>
      </c>
      <c r="BK75" s="6">
        <v>7.7590589999999997</v>
      </c>
      <c r="BL75" s="4">
        <v>42139</v>
      </c>
      <c r="BM75" s="6">
        <f>VLOOKUP(BL75,Sheet1!$A$2:$E$1114,2,FALSE)</f>
        <v>2.2331699608316211</v>
      </c>
      <c r="BN75" s="6">
        <f t="shared" si="19"/>
        <v>5.1619684677725708</v>
      </c>
    </row>
    <row r="76" spans="1:66" x14ac:dyDescent="0.3">
      <c r="A76" s="4"/>
      <c r="B76" s="6"/>
      <c r="C76" s="9"/>
      <c r="D76" s="9"/>
      <c r="E76" s="9"/>
      <c r="F76" s="9"/>
      <c r="G76" s="9"/>
      <c r="H76" s="9"/>
      <c r="I76" s="9"/>
      <c r="J76" s="9"/>
      <c r="K76" s="9"/>
      <c r="L76" s="9"/>
      <c r="AE76">
        <f t="shared" si="15"/>
        <v>47</v>
      </c>
      <c r="AF76" t="s">
        <v>77</v>
      </c>
      <c r="AG76" s="13">
        <f t="shared" si="14"/>
        <v>42100.5</v>
      </c>
      <c r="AH76" s="13">
        <v>42237</v>
      </c>
      <c r="AI76" s="13">
        <v>41964</v>
      </c>
      <c r="AJ76" s="11">
        <v>0.22581021714795724</v>
      </c>
      <c r="AK76" s="11">
        <v>3.6062109106082955E-5</v>
      </c>
      <c r="AL76" s="11">
        <v>4.144916146353427E-5</v>
      </c>
      <c r="AM76" s="11">
        <v>7.0445926958187938E-2</v>
      </c>
      <c r="AN76" s="11">
        <v>5.4998538114620438E-2</v>
      </c>
      <c r="AO76" s="11">
        <v>4.9313591165472959E-5</v>
      </c>
      <c r="AP76" s="11">
        <v>0.20369314779178227</v>
      </c>
      <c r="AQ76" s="11">
        <v>2.220422483636399E-5</v>
      </c>
      <c r="AR76" s="11">
        <v>0.10396955292614432</v>
      </c>
      <c r="AS76" s="11">
        <v>0.28714964734612747</v>
      </c>
      <c r="AT76" s="11">
        <v>5.3783940628608896E-2</v>
      </c>
      <c r="AU76">
        <v>0.98237954130782479</v>
      </c>
      <c r="AW76">
        <f t="shared" si="18"/>
        <v>0</v>
      </c>
      <c r="AX76">
        <v>73</v>
      </c>
      <c r="AY76" s="4">
        <f t="shared" si="16"/>
        <v>42146</v>
      </c>
      <c r="AZ76" s="6">
        <f t="shared" si="17"/>
        <v>10.132634087229997</v>
      </c>
      <c r="BA76" s="4">
        <v>42146</v>
      </c>
      <c r="BB76" s="6">
        <v>6.4201629999999996</v>
      </c>
      <c r="BC76" s="6">
        <v>10.89288</v>
      </c>
      <c r="BD76" s="6">
        <v>11.021675999999999</v>
      </c>
      <c r="BE76" s="6">
        <v>9.9745650000000001</v>
      </c>
      <c r="BF76" s="6">
        <v>11.86523</v>
      </c>
      <c r="BG76" s="6">
        <v>10.359406</v>
      </c>
      <c r="BH76" s="6">
        <v>12.342969</v>
      </c>
      <c r="BI76" s="6">
        <v>8.1412580000000005</v>
      </c>
      <c r="BJ76" s="6">
        <v>8.0879840000000005</v>
      </c>
      <c r="BK76" s="6">
        <v>12.525105</v>
      </c>
      <c r="BL76" s="4">
        <v>42146</v>
      </c>
      <c r="BM76" s="6">
        <f>VLOOKUP(BL76,Sheet1!$A$2:$E$1114,2,FALSE)</f>
        <v>2.4594489015086269</v>
      </c>
      <c r="BN76" s="6">
        <f t="shared" si="19"/>
        <v>10.132634087229997</v>
      </c>
    </row>
    <row r="77" spans="1:66" x14ac:dyDescent="0.3">
      <c r="A77" s="4"/>
      <c r="B77" s="6"/>
      <c r="C77" s="9"/>
      <c r="D77" s="9"/>
      <c r="E77" s="9"/>
      <c r="F77" s="9"/>
      <c r="G77" s="9"/>
      <c r="H77" s="9"/>
      <c r="I77" s="9"/>
      <c r="J77" s="9"/>
      <c r="K77" s="9"/>
      <c r="L77" s="9"/>
      <c r="AE77">
        <f t="shared" si="15"/>
        <v>48</v>
      </c>
      <c r="AF77" t="s">
        <v>77</v>
      </c>
      <c r="AG77" s="13">
        <f t="shared" si="14"/>
        <v>42107.5</v>
      </c>
      <c r="AH77" s="13">
        <v>42244</v>
      </c>
      <c r="AI77" s="13">
        <v>41971</v>
      </c>
      <c r="AJ77" s="11">
        <v>0.22653860194840411</v>
      </c>
      <c r="AK77" s="11">
        <v>3.2705930867142679E-6</v>
      </c>
      <c r="AL77" s="11">
        <v>2.3399622520859491E-5</v>
      </c>
      <c r="AM77" s="11">
        <v>8.4850519020186424E-5</v>
      </c>
      <c r="AN77" s="11">
        <v>1.7573782514423871E-2</v>
      </c>
      <c r="AO77" s="11">
        <v>1.3351233366502353E-5</v>
      </c>
      <c r="AP77" s="11">
        <v>0.26742380496833545</v>
      </c>
      <c r="AQ77" s="11">
        <v>1.0907550519616932E-6</v>
      </c>
      <c r="AR77" s="11">
        <v>0.11922290954453871</v>
      </c>
      <c r="AS77" s="11">
        <v>0.30890507619292168</v>
      </c>
      <c r="AT77" s="11">
        <v>6.0209862108329945E-2</v>
      </c>
      <c r="AU77">
        <v>0.9791892740315169</v>
      </c>
      <c r="AW77">
        <f t="shared" si="18"/>
        <v>0</v>
      </c>
      <c r="AX77">
        <v>74</v>
      </c>
      <c r="AY77" s="4">
        <f t="shared" si="16"/>
        <v>42153</v>
      </c>
      <c r="AZ77" s="6">
        <f t="shared" si="17"/>
        <v>1.5566343953033357</v>
      </c>
      <c r="BA77" s="4">
        <v>42153</v>
      </c>
      <c r="BB77" s="6">
        <v>-4.7010189999999996</v>
      </c>
      <c r="BC77" s="6">
        <v>1.1957519999999999</v>
      </c>
      <c r="BD77" s="6">
        <v>0.85946800000000001</v>
      </c>
      <c r="BE77" s="6">
        <v>1.869964</v>
      </c>
      <c r="BF77" s="6">
        <v>2.004038</v>
      </c>
      <c r="BG77" s="6">
        <v>0.215309</v>
      </c>
      <c r="BH77" s="6">
        <v>1.657459</v>
      </c>
      <c r="BI77" s="6">
        <v>-1.132806</v>
      </c>
      <c r="BJ77" s="6">
        <v>1.1759200000000001</v>
      </c>
      <c r="BK77" s="6">
        <v>4.6868020000000001</v>
      </c>
      <c r="BL77" s="4">
        <v>42153</v>
      </c>
      <c r="BM77" s="6">
        <f>VLOOKUP(BL77,Sheet1!$A$2:$E$1114,2,FALSE)</f>
        <v>2.49773352904442</v>
      </c>
      <c r="BN77" s="6">
        <f t="shared" si="19"/>
        <v>1.5566343953033357</v>
      </c>
    </row>
    <row r="78" spans="1:66" x14ac:dyDescent="0.3">
      <c r="A78" s="4"/>
      <c r="B78" s="6"/>
      <c r="C78" s="9"/>
      <c r="D78" s="9"/>
      <c r="E78" s="9"/>
      <c r="F78" s="9"/>
      <c r="G78" s="9"/>
      <c r="H78" s="9"/>
      <c r="I78" s="9"/>
      <c r="J78" s="9"/>
      <c r="K78" s="9"/>
      <c r="L78" s="9"/>
      <c r="AE78">
        <f t="shared" si="15"/>
        <v>49</v>
      </c>
      <c r="AF78" t="s">
        <v>77</v>
      </c>
      <c r="AG78" s="13">
        <f t="shared" si="14"/>
        <v>42113.5</v>
      </c>
      <c r="AH78" s="13">
        <v>42249</v>
      </c>
      <c r="AI78" s="13">
        <v>41978</v>
      </c>
      <c r="AJ78" s="11">
        <v>0.19818320639952586</v>
      </c>
      <c r="AK78" s="11">
        <v>4.3119276437657057E-6</v>
      </c>
      <c r="AL78" s="11">
        <v>2.5211279190175159E-5</v>
      </c>
      <c r="AM78" s="11">
        <v>9.9192881248576613E-6</v>
      </c>
      <c r="AN78" s="11">
        <v>8.4919423518982489E-5</v>
      </c>
      <c r="AO78" s="11">
        <v>4.6203066431237726E-5</v>
      </c>
      <c r="AP78" s="11">
        <v>0.3025220367604784</v>
      </c>
      <c r="AQ78" s="11">
        <v>2.8509264078361239E-6</v>
      </c>
      <c r="AR78" s="11">
        <v>0.13243899868672995</v>
      </c>
      <c r="AS78" s="11">
        <v>0.29870471792916797</v>
      </c>
      <c r="AT78" s="11">
        <v>6.7977624312780982E-2</v>
      </c>
      <c r="AU78">
        <v>0.98202800987222516</v>
      </c>
      <c r="AW78">
        <f t="shared" si="18"/>
        <v>0</v>
      </c>
      <c r="AX78">
        <v>75</v>
      </c>
      <c r="AY78" s="4">
        <f t="shared" si="16"/>
        <v>42160</v>
      </c>
      <c r="AZ78" s="6">
        <f t="shared" si="17"/>
        <v>9.5673262871924347</v>
      </c>
      <c r="BA78" s="4">
        <v>42160</v>
      </c>
      <c r="BB78" s="6">
        <v>8.3569600000000008</v>
      </c>
      <c r="BC78" s="6">
        <v>10.414755</v>
      </c>
      <c r="BD78" s="6">
        <v>9.6372859999999996</v>
      </c>
      <c r="BE78" s="6">
        <v>11.769378</v>
      </c>
      <c r="BF78" s="6">
        <v>9.1402509999999992</v>
      </c>
      <c r="BG78" s="6">
        <v>7.4915799999999999</v>
      </c>
      <c r="BH78" s="6">
        <v>8.3158600000000007</v>
      </c>
      <c r="BI78" s="6">
        <v>13.243451</v>
      </c>
      <c r="BJ78" s="6">
        <v>12.910264</v>
      </c>
      <c r="BK78" s="6">
        <v>11.997064999999999</v>
      </c>
      <c r="BL78" s="4">
        <v>42160</v>
      </c>
      <c r="BM78" s="6">
        <f>VLOOKUP(BL78,Sheet1!$A$2:$E$1114,2,FALSE)</f>
        <v>2.7366998455527058</v>
      </c>
      <c r="BN78" s="6">
        <f t="shared" si="19"/>
        <v>9.5673262871924347</v>
      </c>
    </row>
    <row r="79" spans="1:66" x14ac:dyDescent="0.3">
      <c r="A79" s="4"/>
      <c r="B79" s="6"/>
      <c r="C79" s="9"/>
      <c r="D79" s="9"/>
      <c r="E79" s="9"/>
      <c r="F79" s="9"/>
      <c r="G79" s="9"/>
      <c r="H79" s="9"/>
      <c r="I79" s="9"/>
      <c r="J79" s="9"/>
      <c r="K79" s="9"/>
      <c r="L79" s="9"/>
      <c r="AE79">
        <f t="shared" si="15"/>
        <v>50</v>
      </c>
      <c r="AF79" t="s">
        <v>77</v>
      </c>
      <c r="AG79" s="13">
        <f t="shared" si="14"/>
        <v>42121.5</v>
      </c>
      <c r="AH79" s="13">
        <v>42258</v>
      </c>
      <c r="AI79" s="13">
        <v>41985</v>
      </c>
      <c r="AJ79" s="11">
        <v>0.16011041481005489</v>
      </c>
      <c r="AK79" s="11">
        <v>1.4630724710104108E-5</v>
      </c>
      <c r="AL79" s="11">
        <v>3.7341361494894871E-5</v>
      </c>
      <c r="AM79" s="11">
        <v>1.976006645942376E-5</v>
      </c>
      <c r="AN79" s="11">
        <v>1.6979793208999429E-2</v>
      </c>
      <c r="AO79" s="11">
        <v>4.6447007024068126E-5</v>
      </c>
      <c r="AP79" s="11">
        <v>0.33761828004262956</v>
      </c>
      <c r="AQ79" s="11">
        <v>6.8332009457309373E-6</v>
      </c>
      <c r="AR79" s="11">
        <v>0.15472519993436304</v>
      </c>
      <c r="AS79" s="11">
        <v>0.25443552689685622</v>
      </c>
      <c r="AT79" s="11">
        <v>7.6005772746462738E-2</v>
      </c>
      <c r="AU79">
        <v>0.98320172796394967</v>
      </c>
      <c r="AW79">
        <f t="shared" si="18"/>
        <v>0</v>
      </c>
      <c r="AX79">
        <v>76</v>
      </c>
      <c r="AY79" s="4">
        <f t="shared" si="16"/>
        <v>42167</v>
      </c>
      <c r="AZ79" s="6">
        <f t="shared" si="17"/>
        <v>3.311457346407809</v>
      </c>
      <c r="BA79" s="4">
        <v>42167</v>
      </c>
      <c r="BB79" s="6">
        <v>2.8358249999999998</v>
      </c>
      <c r="BC79" s="6">
        <v>1.0043800000000001</v>
      </c>
      <c r="BD79" s="6">
        <v>5.0784140000000004</v>
      </c>
      <c r="BE79" s="6">
        <v>3.209047</v>
      </c>
      <c r="BF79" s="6">
        <v>1.069558</v>
      </c>
      <c r="BG79" s="6">
        <v>6.1106129999999999</v>
      </c>
      <c r="BH79" s="6">
        <v>3.488016</v>
      </c>
      <c r="BI79" s="6">
        <v>3.8299409999999998</v>
      </c>
      <c r="BJ79" s="6">
        <v>4.1349349999999996</v>
      </c>
      <c r="BK79" s="6">
        <v>2.8320560000000001</v>
      </c>
      <c r="BL79" s="4">
        <v>42167</v>
      </c>
      <c r="BM79" s="6">
        <f>VLOOKUP(BL79,Sheet1!$A$2:$E$1114,2,FALSE)</f>
        <v>2.8273244936373918</v>
      </c>
      <c r="BN79" s="6">
        <f t="shared" si="19"/>
        <v>3.311457346407809</v>
      </c>
    </row>
    <row r="80" spans="1:66" x14ac:dyDescent="0.3">
      <c r="A80" s="4"/>
      <c r="B80" s="6"/>
      <c r="C80" s="9"/>
      <c r="D80" s="9"/>
      <c r="E80" s="9"/>
      <c r="F80" s="9"/>
      <c r="G80" s="9"/>
      <c r="H80" s="9"/>
      <c r="I80" s="9"/>
      <c r="J80" s="9"/>
      <c r="K80" s="9"/>
      <c r="L80" s="9"/>
      <c r="AE80">
        <f t="shared" si="15"/>
        <v>51</v>
      </c>
      <c r="AF80" t="s">
        <v>77</v>
      </c>
      <c r="AG80" s="13">
        <f t="shared" si="14"/>
        <v>42128.5</v>
      </c>
      <c r="AH80" s="13">
        <v>42265</v>
      </c>
      <c r="AI80" s="13">
        <v>41992</v>
      </c>
      <c r="AJ80" s="11">
        <v>0.15360597870345929</v>
      </c>
      <c r="AK80" s="11">
        <v>1.4081444685807115E-5</v>
      </c>
      <c r="AL80" s="11">
        <v>1.0065989834207425E-5</v>
      </c>
      <c r="AM80" s="11">
        <v>4.0074639177365015E-6</v>
      </c>
      <c r="AN80" s="11">
        <v>2.8984025372940921E-2</v>
      </c>
      <c r="AO80" s="11">
        <v>5.4155854867344094E-3</v>
      </c>
      <c r="AP80" s="11">
        <v>0.32294294484315067</v>
      </c>
      <c r="AQ80" s="11">
        <v>1.523546366152046E-6</v>
      </c>
      <c r="AR80" s="11">
        <v>0.16500390260344602</v>
      </c>
      <c r="AS80" s="11">
        <v>0.24227768031479488</v>
      </c>
      <c r="AT80" s="11">
        <v>8.1740204230669827E-2</v>
      </c>
      <c r="AU80">
        <v>0.98197132651126362</v>
      </c>
      <c r="AW80">
        <f t="shared" si="18"/>
        <v>0</v>
      </c>
      <c r="AX80">
        <v>77</v>
      </c>
      <c r="AY80" s="4">
        <f t="shared" si="16"/>
        <v>42174</v>
      </c>
      <c r="AZ80" s="6">
        <f t="shared" si="17"/>
        <v>-11.814784986630722</v>
      </c>
      <c r="BA80" s="4">
        <v>42174</v>
      </c>
      <c r="BB80" s="6">
        <v>-12.066240000000001</v>
      </c>
      <c r="BC80" s="6">
        <v>-14.427193000000001</v>
      </c>
      <c r="BD80" s="6">
        <v>-11.922986</v>
      </c>
      <c r="BE80" s="6">
        <v>-12.380978000000001</v>
      </c>
      <c r="BF80" s="6">
        <v>-14.742846999999999</v>
      </c>
      <c r="BG80" s="6">
        <v>-13.698153</v>
      </c>
      <c r="BH80" s="6">
        <v>-13.480131999999999</v>
      </c>
      <c r="BI80" s="6">
        <v>-12.132740999999999</v>
      </c>
      <c r="BJ80" s="6">
        <v>-10.283609999999999</v>
      </c>
      <c r="BK80" s="6">
        <v>-14.600338000000001</v>
      </c>
      <c r="BL80" s="4">
        <v>42174</v>
      </c>
      <c r="BM80" s="6">
        <f>VLOOKUP(BL80,Sheet1!$A$2:$E$1114,2,FALSE)</f>
        <v>2.4932821838397881</v>
      </c>
      <c r="BN80" s="6">
        <f t="shared" si="19"/>
        <v>-11.814784986630722</v>
      </c>
    </row>
    <row r="81" spans="1:66" x14ac:dyDescent="0.3">
      <c r="A81" s="4"/>
      <c r="B81" s="6"/>
      <c r="C81" s="9"/>
      <c r="D81" s="9"/>
      <c r="E81" s="9"/>
      <c r="F81" s="9"/>
      <c r="G81" s="9"/>
      <c r="H81" s="9"/>
      <c r="I81" s="9"/>
      <c r="J81" s="9"/>
      <c r="K81" s="9"/>
      <c r="L81" s="9"/>
      <c r="AE81">
        <f t="shared" si="15"/>
        <v>52</v>
      </c>
      <c r="AF81" t="s">
        <v>77</v>
      </c>
      <c r="AG81" s="13">
        <f t="shared" si="14"/>
        <v>42135.5</v>
      </c>
      <c r="AH81" s="13">
        <v>42272</v>
      </c>
      <c r="AI81" s="13">
        <v>41999</v>
      </c>
      <c r="AJ81" s="11">
        <v>0.14668093069182347</v>
      </c>
      <c r="AK81" s="11">
        <v>2.7509472128875993E-5</v>
      </c>
      <c r="AL81" s="11">
        <v>5.075936896884199E-5</v>
      </c>
      <c r="AM81" s="11">
        <v>1.4978628534309804E-5</v>
      </c>
      <c r="AN81" s="11">
        <v>1.8170880373796799E-2</v>
      </c>
      <c r="AO81" s="11">
        <v>2.7054145932855662E-2</v>
      </c>
      <c r="AP81" s="11">
        <v>0.33235467216136572</v>
      </c>
      <c r="AQ81" s="11">
        <v>5.3925578907583996E-6</v>
      </c>
      <c r="AR81" s="11">
        <v>0.14791913089529757</v>
      </c>
      <c r="AS81" s="11">
        <v>0.24628402402106991</v>
      </c>
      <c r="AT81" s="11">
        <v>8.14375758962681E-2</v>
      </c>
      <c r="AU81">
        <v>0.98222924604228556</v>
      </c>
      <c r="AW81">
        <f t="shared" si="18"/>
        <v>0</v>
      </c>
      <c r="AX81">
        <v>78</v>
      </c>
      <c r="AY81" s="4">
        <f t="shared" si="16"/>
        <v>42181</v>
      </c>
      <c r="AZ81" s="6">
        <f t="shared" si="17"/>
        <v>-6.7878957864071499</v>
      </c>
      <c r="BA81" s="4">
        <v>42181</v>
      </c>
      <c r="BB81" s="6">
        <v>-5.6550310000000001</v>
      </c>
      <c r="BC81" s="6">
        <v>-7.7501360000000004</v>
      </c>
      <c r="BD81" s="6">
        <v>-9.6078770000000002</v>
      </c>
      <c r="BE81" s="6">
        <v>-8.8491900000000001</v>
      </c>
      <c r="BF81" s="6">
        <v>-12.197347000000001</v>
      </c>
      <c r="BG81" s="6">
        <v>-5.528969</v>
      </c>
      <c r="BH81" s="6">
        <v>-9.129016</v>
      </c>
      <c r="BI81" s="6">
        <v>-4.1953060000000004</v>
      </c>
      <c r="BJ81" s="6">
        <v>-4.309609</v>
      </c>
      <c r="BK81" s="6">
        <v>-10.381989000000001</v>
      </c>
      <c r="BL81" s="4">
        <v>42181</v>
      </c>
      <c r="BM81" s="6">
        <f>VLOOKUP(BL81,Sheet1!$A$2:$E$1114,2,FALSE)</f>
        <v>2.3240407875396869</v>
      </c>
      <c r="BN81" s="6">
        <f t="shared" si="19"/>
        <v>-6.7878957864071499</v>
      </c>
    </row>
    <row r="82" spans="1:66" x14ac:dyDescent="0.3">
      <c r="A82" s="4"/>
      <c r="B82" s="6"/>
      <c r="C82" s="9"/>
      <c r="D82" s="9"/>
      <c r="E82" s="9"/>
      <c r="F82" s="9"/>
      <c r="G82" s="9"/>
      <c r="H82" s="9"/>
      <c r="I82" s="9"/>
      <c r="J82" s="9"/>
      <c r="K82" s="9"/>
      <c r="L82" s="9"/>
      <c r="AE82">
        <f t="shared" si="15"/>
        <v>53</v>
      </c>
      <c r="AF82" t="s">
        <v>77</v>
      </c>
      <c r="AG82" s="13">
        <f t="shared" si="14"/>
        <v>42140.5</v>
      </c>
      <c r="AH82" s="13">
        <v>42277</v>
      </c>
      <c r="AI82" s="13">
        <v>42004</v>
      </c>
      <c r="AJ82" s="11">
        <v>0.14558027734471546</v>
      </c>
      <c r="AK82" s="11">
        <v>3.3576034478075063E-5</v>
      </c>
      <c r="AL82" s="11">
        <v>4.2378297426275035E-5</v>
      </c>
      <c r="AM82" s="11">
        <v>1.1142197277322576E-5</v>
      </c>
      <c r="AN82" s="11">
        <v>1.7592336502204559E-2</v>
      </c>
      <c r="AO82" s="11">
        <v>2.0105647823273225E-2</v>
      </c>
      <c r="AP82" s="11">
        <v>0.34053216325755198</v>
      </c>
      <c r="AQ82" s="11">
        <v>4.17050429581763E-6</v>
      </c>
      <c r="AR82" s="11">
        <v>0.14375332019452922</v>
      </c>
      <c r="AS82" s="11">
        <v>0.24920096469537492</v>
      </c>
      <c r="AT82" s="11">
        <v>8.3144023148873245E-2</v>
      </c>
      <c r="AU82">
        <v>0.98234419195952627</v>
      </c>
      <c r="AW82">
        <f t="shared" si="18"/>
        <v>0</v>
      </c>
      <c r="AX82">
        <v>79</v>
      </c>
      <c r="AY82" s="4">
        <f t="shared" si="16"/>
        <v>42188</v>
      </c>
      <c r="AZ82" s="6">
        <f t="shared" si="17"/>
        <v>-14.530625542141918</v>
      </c>
      <c r="BA82" s="4">
        <v>42188</v>
      </c>
      <c r="BB82" s="6">
        <v>-6.8664240000000003</v>
      </c>
      <c r="BC82" s="6">
        <v>-19.588721</v>
      </c>
      <c r="BD82" s="6">
        <v>-15.683002999999999</v>
      </c>
      <c r="BE82" s="6">
        <v>-18.799931000000001</v>
      </c>
      <c r="BF82" s="6">
        <v>-16.444742999999999</v>
      </c>
      <c r="BG82" s="6">
        <v>-14.463340000000001</v>
      </c>
      <c r="BH82" s="6">
        <v>-12.870469</v>
      </c>
      <c r="BI82" s="6">
        <v>-14.20965</v>
      </c>
      <c r="BJ82" s="6">
        <v>-20.052524999999999</v>
      </c>
      <c r="BK82" s="6">
        <v>-19.700309000000001</v>
      </c>
      <c r="BL82" s="4">
        <v>42188</v>
      </c>
      <c r="BM82" s="6">
        <f>VLOOKUP(BL82,Sheet1!$A$2:$E$1114,2,FALSE)</f>
        <v>1.986343123255649</v>
      </c>
      <c r="BN82" s="6">
        <f t="shared" si="19"/>
        <v>-14.530625542141918</v>
      </c>
    </row>
    <row r="83" spans="1:66" x14ac:dyDescent="0.3">
      <c r="A83" s="4"/>
      <c r="B83" s="6"/>
      <c r="C83" s="9"/>
      <c r="D83" s="9"/>
      <c r="E83" s="9"/>
      <c r="F83" s="9"/>
      <c r="G83" s="9"/>
      <c r="H83" s="9"/>
      <c r="I83" s="9"/>
      <c r="J83" s="9"/>
      <c r="K83" s="9"/>
      <c r="L83" s="9"/>
      <c r="AE83">
        <f t="shared" si="15"/>
        <v>54</v>
      </c>
      <c r="AF83" t="s">
        <v>77</v>
      </c>
      <c r="AG83" s="13">
        <f t="shared" si="14"/>
        <v>42149.5</v>
      </c>
      <c r="AH83" s="13">
        <v>42286</v>
      </c>
      <c r="AI83" s="13">
        <v>42013</v>
      </c>
      <c r="AJ83" s="11">
        <v>0.11253577767177886</v>
      </c>
      <c r="AK83" s="11">
        <v>5.969125174087069E-3</v>
      </c>
      <c r="AL83" s="11">
        <v>9.7976853615543702E-3</v>
      </c>
      <c r="AM83" s="11">
        <v>3.2264601607049409E-6</v>
      </c>
      <c r="AN83" s="11">
        <v>4.5166977051021372E-2</v>
      </c>
      <c r="AO83" s="11">
        <v>4.5691167837580732E-2</v>
      </c>
      <c r="AP83" s="11">
        <v>0.29823701237600464</v>
      </c>
      <c r="AQ83" s="11">
        <v>2.1424337495996811E-6</v>
      </c>
      <c r="AR83" s="11">
        <v>0.1510811354558714</v>
      </c>
      <c r="AS83" s="11">
        <v>0.23182721275015461</v>
      </c>
      <c r="AT83" s="11">
        <v>9.9688537428036669E-2</v>
      </c>
      <c r="AU83">
        <v>0.98537981637792249</v>
      </c>
      <c r="AW83">
        <f t="shared" si="18"/>
        <v>0</v>
      </c>
      <c r="AX83">
        <v>80</v>
      </c>
      <c r="AY83" s="4">
        <f t="shared" si="16"/>
        <v>42195</v>
      </c>
      <c r="AZ83" s="6">
        <f t="shared" si="17"/>
        <v>-2.3237970867403424</v>
      </c>
      <c r="BA83" s="4">
        <v>42195</v>
      </c>
      <c r="BB83" s="6">
        <v>8.5461760000000009</v>
      </c>
      <c r="BC83" s="6">
        <v>-0.46306999999999998</v>
      </c>
      <c r="BD83" s="6">
        <v>-2.008445</v>
      </c>
      <c r="BE83" s="6">
        <v>-2.701263</v>
      </c>
      <c r="BF83" s="6">
        <v>-5.6737380000000002</v>
      </c>
      <c r="BG83" s="6">
        <v>1.2077800000000001</v>
      </c>
      <c r="BH83" s="6">
        <v>-2.099882</v>
      </c>
      <c r="BI83" s="6">
        <v>0.49343900000000002</v>
      </c>
      <c r="BJ83" s="6">
        <v>-0.15820400000000001</v>
      </c>
      <c r="BK83" s="6">
        <v>-6.4796279999999999</v>
      </c>
      <c r="BL83" s="4">
        <v>42195</v>
      </c>
      <c r="BM83" s="6">
        <f>VLOOKUP(BL83,Sheet1!$A$2:$E$1114,2,FALSE)</f>
        <v>1.940184539624767</v>
      </c>
      <c r="BN83" s="6">
        <f t="shared" si="19"/>
        <v>-2.3237970867403424</v>
      </c>
    </row>
    <row r="84" spans="1:66" x14ac:dyDescent="0.3">
      <c r="A84" s="4"/>
      <c r="B84" s="6"/>
      <c r="C84" s="9"/>
      <c r="D84" s="9"/>
      <c r="E84" s="9"/>
      <c r="F84" s="9"/>
      <c r="G84" s="9"/>
      <c r="H84" s="9"/>
      <c r="I84" s="9"/>
      <c r="J84" s="9"/>
      <c r="K84" s="9"/>
      <c r="L84" s="9"/>
      <c r="AE84">
        <f t="shared" si="15"/>
        <v>55</v>
      </c>
      <c r="AF84" t="s">
        <v>77</v>
      </c>
      <c r="AG84" s="13">
        <f t="shared" si="14"/>
        <v>42156.5</v>
      </c>
      <c r="AH84" s="13">
        <v>42293</v>
      </c>
      <c r="AI84" s="13">
        <v>42020</v>
      </c>
      <c r="AJ84" s="11">
        <v>0.11243701943061948</v>
      </c>
      <c r="AK84" s="11">
        <v>1.9435958125069801E-2</v>
      </c>
      <c r="AL84" s="11">
        <v>2.0335518043382112E-3</v>
      </c>
      <c r="AM84" s="11">
        <v>6.1467956915571559E-7</v>
      </c>
      <c r="AN84" s="11">
        <v>6.3526897553597778E-2</v>
      </c>
      <c r="AO84" s="11">
        <v>5.7244793499509936E-2</v>
      </c>
      <c r="AP84" s="11">
        <v>0.27080722784196609</v>
      </c>
      <c r="AQ84" s="11">
        <v>3.8831503662301144E-7</v>
      </c>
      <c r="AR84" s="11">
        <v>0.14821205540406093</v>
      </c>
      <c r="AS84" s="11">
        <v>0.22567704464822658</v>
      </c>
      <c r="AT84" s="11">
        <v>0.10062444869800544</v>
      </c>
      <c r="AU84">
        <v>0.9855835032174689</v>
      </c>
      <c r="AW84">
        <f t="shared" si="18"/>
        <v>0</v>
      </c>
      <c r="AX84">
        <v>81</v>
      </c>
      <c r="AY84" s="4">
        <f t="shared" si="16"/>
        <v>42202</v>
      </c>
      <c r="AZ84" s="6">
        <f t="shared" si="17"/>
        <v>8.279114604277261</v>
      </c>
      <c r="BA84" s="4">
        <v>42202</v>
      </c>
      <c r="BB84" s="6">
        <v>-2.6500409999999999</v>
      </c>
      <c r="BC84" s="6">
        <v>8.2606269999999995</v>
      </c>
      <c r="BD84" s="6">
        <v>6.9488940000000001</v>
      </c>
      <c r="BE84" s="6">
        <v>6.7148250000000003</v>
      </c>
      <c r="BF84" s="6">
        <v>11.378073000000001</v>
      </c>
      <c r="BG84" s="6">
        <v>6.1711340000000003</v>
      </c>
      <c r="BH84" s="6">
        <v>10.538751</v>
      </c>
      <c r="BI84" s="6">
        <v>1.4233480000000001</v>
      </c>
      <c r="BJ84" s="6">
        <v>5.7793590000000004</v>
      </c>
      <c r="BK84" s="6">
        <v>12.717364999999999</v>
      </c>
      <c r="BL84" s="4">
        <v>42202</v>
      </c>
      <c r="BM84" s="6">
        <f>VLOOKUP(BL84,Sheet1!$A$2:$E$1114,2,FALSE)</f>
        <v>2.1008146411947708</v>
      </c>
      <c r="BN84" s="6">
        <f t="shared" si="19"/>
        <v>8.279114604277261</v>
      </c>
    </row>
    <row r="85" spans="1:66" x14ac:dyDescent="0.3">
      <c r="A85" s="4"/>
      <c r="B85" s="6"/>
      <c r="C85" s="9"/>
      <c r="D85" s="9"/>
      <c r="E85" s="9"/>
      <c r="F85" s="9"/>
      <c r="G85" s="9"/>
      <c r="H85" s="9"/>
      <c r="I85" s="9"/>
      <c r="J85" s="9"/>
      <c r="K85" s="9"/>
      <c r="L85" s="9"/>
      <c r="AE85">
        <f t="shared" si="15"/>
        <v>56</v>
      </c>
      <c r="AF85" t="s">
        <v>77</v>
      </c>
      <c r="AG85" s="13">
        <f t="shared" si="14"/>
        <v>42163.5</v>
      </c>
      <c r="AH85" s="13">
        <v>42300</v>
      </c>
      <c r="AI85" s="13">
        <v>42027</v>
      </c>
      <c r="AJ85" s="11">
        <v>9.137595794741353E-2</v>
      </c>
      <c r="AK85" s="11">
        <v>7.9365473012189963E-2</v>
      </c>
      <c r="AL85" s="11">
        <v>5.0321515210520421E-3</v>
      </c>
      <c r="AM85" s="11">
        <v>3.1559608548923454E-6</v>
      </c>
      <c r="AN85" s="11">
        <v>8.5691042269316148E-2</v>
      </c>
      <c r="AO85" s="11">
        <v>0.15245892772529798</v>
      </c>
      <c r="AP85" s="11">
        <v>0.1449352173299199</v>
      </c>
      <c r="AQ85" s="11">
        <v>1.2031975197326676E-6</v>
      </c>
      <c r="AR85" s="11">
        <v>0.11776726977975245</v>
      </c>
      <c r="AS85" s="11">
        <v>0.20936024693696662</v>
      </c>
      <c r="AT85" s="11">
        <v>0.11400935431971675</v>
      </c>
      <c r="AU85">
        <v>0.9841905244714465</v>
      </c>
      <c r="AW85">
        <f t="shared" si="18"/>
        <v>0</v>
      </c>
      <c r="AX85">
        <v>82</v>
      </c>
      <c r="AY85" s="4">
        <f t="shared" si="16"/>
        <v>42209</v>
      </c>
      <c r="AZ85" s="6">
        <f t="shared" si="17"/>
        <v>5.5915771041795903</v>
      </c>
      <c r="BA85" s="4">
        <v>42209</v>
      </c>
      <c r="BB85" s="6">
        <v>-1.548751</v>
      </c>
      <c r="BC85" s="6">
        <v>6.7387139999999999</v>
      </c>
      <c r="BD85" s="6">
        <v>4.7067930000000002</v>
      </c>
      <c r="BE85" s="6">
        <v>5.296532</v>
      </c>
      <c r="BF85" s="6">
        <v>6.3561519999999998</v>
      </c>
      <c r="BG85" s="6">
        <v>3.9074629999999999</v>
      </c>
      <c r="BH85" s="6">
        <v>3.5613760000000001</v>
      </c>
      <c r="BI85" s="6">
        <v>4.9363440000000001</v>
      </c>
      <c r="BJ85" s="6">
        <v>4.4663209999999998</v>
      </c>
      <c r="BK85" s="6">
        <v>12.981729</v>
      </c>
      <c r="BL85" s="4">
        <v>42209</v>
      </c>
      <c r="BM85" s="6">
        <f>VLOOKUP(BL85,Sheet1!$A$2:$E$1114,2,FALSE)</f>
        <v>2.21828331167307</v>
      </c>
      <c r="BN85" s="6">
        <f t="shared" si="19"/>
        <v>5.5915771041795903</v>
      </c>
    </row>
    <row r="86" spans="1:66" x14ac:dyDescent="0.3">
      <c r="A86" s="4"/>
      <c r="B86" s="6"/>
      <c r="C86" s="9"/>
      <c r="D86" s="9"/>
      <c r="E86" s="9"/>
      <c r="F86" s="9"/>
      <c r="G86" s="9"/>
      <c r="H86" s="9"/>
      <c r="I86" s="9"/>
      <c r="J86" s="9"/>
      <c r="K86" s="9"/>
      <c r="L86" s="9"/>
      <c r="AE86">
        <f t="shared" si="15"/>
        <v>57</v>
      </c>
      <c r="AF86" t="s">
        <v>77</v>
      </c>
      <c r="AG86" s="13">
        <f t="shared" si="14"/>
        <v>42170.5</v>
      </c>
      <c r="AH86" s="13">
        <v>42307</v>
      </c>
      <c r="AI86" s="13">
        <v>42034</v>
      </c>
      <c r="AJ86" s="11">
        <v>8.5668401639804395E-2</v>
      </c>
      <c r="AK86" s="11">
        <v>0.11533056930259936</v>
      </c>
      <c r="AL86" s="11">
        <v>2.7556173099967416E-2</v>
      </c>
      <c r="AM86" s="11">
        <v>3.7047628827050367E-5</v>
      </c>
      <c r="AN86" s="11">
        <v>8.413026976151422E-2</v>
      </c>
      <c r="AO86" s="11">
        <v>0.15638410165212829</v>
      </c>
      <c r="AP86" s="11">
        <v>0.12055102135407754</v>
      </c>
      <c r="AQ86" s="11">
        <v>8.8336341762926447E-6</v>
      </c>
      <c r="AR86" s="11">
        <v>8.1401991339262195E-2</v>
      </c>
      <c r="AS86" s="11">
        <v>0.20745079229434116</v>
      </c>
      <c r="AT86" s="11">
        <v>0.12148079829330204</v>
      </c>
      <c r="AU86">
        <v>0.98401253944951406</v>
      </c>
      <c r="AW86">
        <f t="shared" si="18"/>
        <v>0</v>
      </c>
      <c r="AX86">
        <v>83</v>
      </c>
      <c r="AY86" s="4">
        <f t="shared" si="16"/>
        <v>42216</v>
      </c>
      <c r="AZ86" s="6">
        <f t="shared" si="17"/>
        <v>-8.2576706100883293</v>
      </c>
      <c r="BA86" s="4">
        <v>42216</v>
      </c>
      <c r="BB86" s="6">
        <v>-8.8200099999999999</v>
      </c>
      <c r="BC86" s="6">
        <v>-9.4021810000000006</v>
      </c>
      <c r="BD86" s="6">
        <v>-8.528257</v>
      </c>
      <c r="BE86" s="6">
        <v>-9.4274810000000002</v>
      </c>
      <c r="BF86" s="6">
        <v>-12.185321999999999</v>
      </c>
      <c r="BG86" s="6">
        <v>-7.3164350000000002</v>
      </c>
      <c r="BH86" s="6">
        <v>-9.5015409999999996</v>
      </c>
      <c r="BI86" s="6">
        <v>-11.351247000000001</v>
      </c>
      <c r="BJ86" s="6">
        <v>-6.9148959999999997</v>
      </c>
      <c r="BK86" s="6">
        <v>-12.00639</v>
      </c>
      <c r="BL86" s="4">
        <v>42216</v>
      </c>
      <c r="BM86" s="6">
        <f>VLOOKUP(BL86,Sheet1!$A$2:$E$1114,2,FALSE)</f>
        <v>2.0351047825965489</v>
      </c>
      <c r="BN86" s="6">
        <f t="shared" si="19"/>
        <v>-8.2576706100883293</v>
      </c>
    </row>
    <row r="87" spans="1:66" x14ac:dyDescent="0.3">
      <c r="A87" s="4"/>
      <c r="B87" s="6"/>
      <c r="C87" s="9"/>
      <c r="D87" s="9"/>
      <c r="E87" s="9"/>
      <c r="F87" s="9"/>
      <c r="G87" s="9"/>
      <c r="H87" s="9"/>
      <c r="I87" s="9"/>
      <c r="J87" s="9"/>
      <c r="K87" s="9"/>
      <c r="L87" s="9"/>
      <c r="AE87">
        <f t="shared" si="15"/>
        <v>58</v>
      </c>
      <c r="AF87" t="s">
        <v>77</v>
      </c>
      <c r="AG87" s="13">
        <f t="shared" si="14"/>
        <v>42177.5</v>
      </c>
      <c r="AH87" s="13">
        <v>42314</v>
      </c>
      <c r="AI87" s="13">
        <v>42041</v>
      </c>
      <c r="AJ87" s="11">
        <v>9.2284020750060286E-2</v>
      </c>
      <c r="AK87" s="11">
        <v>9.7142290949053092E-2</v>
      </c>
      <c r="AL87" s="11">
        <v>3.1517919769708892E-2</v>
      </c>
      <c r="AM87" s="11">
        <v>4.9700423859838627E-5</v>
      </c>
      <c r="AN87" s="11">
        <v>9.5606485427268642E-2</v>
      </c>
      <c r="AO87" s="11">
        <v>0.15816837270181355</v>
      </c>
      <c r="AP87" s="11">
        <v>0.10577353704750013</v>
      </c>
      <c r="AQ87" s="11">
        <v>9.0101560968690953E-6</v>
      </c>
      <c r="AR87" s="11">
        <v>9.2795861664738272E-2</v>
      </c>
      <c r="AS87" s="11">
        <v>0.20957912971233791</v>
      </c>
      <c r="AT87" s="11">
        <v>0.1170736713975626</v>
      </c>
      <c r="AU87">
        <v>0.98398707730675927</v>
      </c>
      <c r="AW87">
        <f t="shared" si="18"/>
        <v>0</v>
      </c>
      <c r="AX87">
        <v>84</v>
      </c>
      <c r="AY87" s="4">
        <f t="shared" si="16"/>
        <v>42223</v>
      </c>
      <c r="AZ87" s="6">
        <f t="shared" si="17"/>
        <v>2.7069568559815238</v>
      </c>
      <c r="BA87" s="4">
        <v>42223</v>
      </c>
      <c r="BB87" s="6">
        <v>0.97142300000000004</v>
      </c>
      <c r="BC87" s="6">
        <v>4.3082320000000003</v>
      </c>
      <c r="BD87" s="6">
        <v>2.9889510000000001</v>
      </c>
      <c r="BE87" s="6">
        <v>4.8453460000000002</v>
      </c>
      <c r="BF87" s="6">
        <v>2.856976</v>
      </c>
      <c r="BG87" s="6">
        <v>2.3641130000000001</v>
      </c>
      <c r="BH87" s="6">
        <v>3.645073</v>
      </c>
      <c r="BI87" s="6">
        <v>3.3291930000000001</v>
      </c>
      <c r="BJ87" s="6">
        <v>3.7981790000000002</v>
      </c>
      <c r="BK87" s="6">
        <v>3.3022320000000001</v>
      </c>
      <c r="BL87" s="4">
        <v>42223</v>
      </c>
      <c r="BM87" s="6">
        <f>VLOOKUP(BL87,Sheet1!$A$2:$E$1114,2,FALSE)</f>
        <v>2.090194191035454</v>
      </c>
      <c r="BN87" s="6">
        <f t="shared" si="19"/>
        <v>2.7069568559815238</v>
      </c>
    </row>
    <row r="88" spans="1:66" x14ac:dyDescent="0.3">
      <c r="A88" s="4"/>
      <c r="B88" s="6"/>
      <c r="C88" s="9"/>
      <c r="D88" s="9"/>
      <c r="E88" s="9"/>
      <c r="F88" s="9"/>
      <c r="G88" s="9"/>
      <c r="H88" s="9"/>
      <c r="I88" s="9"/>
      <c r="J88" s="9"/>
      <c r="K88" s="9"/>
      <c r="L88" s="9"/>
      <c r="AE88">
        <f t="shared" si="15"/>
        <v>59</v>
      </c>
      <c r="AF88" t="s">
        <v>77</v>
      </c>
      <c r="AG88" s="13">
        <f t="shared" si="14"/>
        <v>42184.5</v>
      </c>
      <c r="AH88" s="13">
        <v>42321</v>
      </c>
      <c r="AI88" s="13">
        <v>42048</v>
      </c>
      <c r="AJ88" s="11">
        <v>9.3284956888261869E-2</v>
      </c>
      <c r="AK88" s="11">
        <v>9.9940998012462395E-2</v>
      </c>
      <c r="AL88" s="11">
        <v>3.6520645188659114E-2</v>
      </c>
      <c r="AM88" s="11">
        <v>6.7835002512654801E-5</v>
      </c>
      <c r="AN88" s="11">
        <v>9.8894930567590147E-2</v>
      </c>
      <c r="AO88" s="11">
        <v>0.1554307950792754</v>
      </c>
      <c r="AP88" s="11">
        <v>9.9771379156008227E-2</v>
      </c>
      <c r="AQ88" s="11">
        <v>1.2417933814595618E-5</v>
      </c>
      <c r="AR88" s="11">
        <v>8.6102097275121137E-2</v>
      </c>
      <c r="AS88" s="11">
        <v>0.21076060992029139</v>
      </c>
      <c r="AT88" s="11">
        <v>0.11921333497600317</v>
      </c>
      <c r="AU88">
        <v>0.98390802407730493</v>
      </c>
      <c r="AW88">
        <f t="shared" si="18"/>
        <v>0</v>
      </c>
      <c r="AX88">
        <v>85</v>
      </c>
      <c r="AY88" s="4">
        <f t="shared" si="16"/>
        <v>42230</v>
      </c>
      <c r="AZ88" s="6">
        <f t="shared" si="17"/>
        <v>4.6861629385781978</v>
      </c>
      <c r="BA88" s="4">
        <v>42230</v>
      </c>
      <c r="BB88" s="6">
        <v>3.0795509999999999</v>
      </c>
      <c r="BC88" s="6">
        <v>7.4327430000000003</v>
      </c>
      <c r="BD88" s="6">
        <v>8.1948939999999997</v>
      </c>
      <c r="BE88" s="6">
        <v>7.2716120000000002</v>
      </c>
      <c r="BF88" s="6">
        <v>5.6143429999999999</v>
      </c>
      <c r="BG88" s="6">
        <v>5.6309639999999996</v>
      </c>
      <c r="BH88" s="6">
        <v>4.1862240000000002</v>
      </c>
      <c r="BI88" s="6">
        <v>8.0575109999999999</v>
      </c>
      <c r="BJ88" s="6">
        <v>9.4459169999999997</v>
      </c>
      <c r="BK88" s="6">
        <v>6.4494530000000001</v>
      </c>
      <c r="BL88" s="4">
        <v>42230</v>
      </c>
      <c r="BM88" s="6">
        <f>VLOOKUP(BL88,Sheet1!$A$2:$E$1114,2,FALSE)</f>
        <v>2.1881440965600718</v>
      </c>
      <c r="BN88" s="6">
        <f t="shared" si="19"/>
        <v>4.6861629385781978</v>
      </c>
    </row>
    <row r="89" spans="1:66" x14ac:dyDescent="0.3">
      <c r="A89" s="4"/>
      <c r="B89" s="6"/>
      <c r="C89" s="9"/>
      <c r="D89" s="9"/>
      <c r="E89" s="9"/>
      <c r="F89" s="9"/>
      <c r="G89" s="9"/>
      <c r="H89" s="9"/>
      <c r="I89" s="9"/>
      <c r="J89" s="9"/>
      <c r="K89" s="9"/>
      <c r="L89" s="9"/>
      <c r="AE89">
        <f t="shared" si="15"/>
        <v>60</v>
      </c>
      <c r="AF89" t="s">
        <v>77</v>
      </c>
      <c r="AG89" s="13">
        <f t="shared" si="14"/>
        <v>42190</v>
      </c>
      <c r="AH89" s="13">
        <v>42328</v>
      </c>
      <c r="AI89" s="13">
        <v>42052</v>
      </c>
      <c r="AJ89" s="11">
        <v>9.5658721486168538E-2</v>
      </c>
      <c r="AK89" s="11">
        <v>0.1007341885826426</v>
      </c>
      <c r="AL89" s="11">
        <v>3.4714684218314078E-2</v>
      </c>
      <c r="AM89" s="11">
        <v>6.1074027159913741E-5</v>
      </c>
      <c r="AN89" s="11">
        <v>9.8850655019914829E-2</v>
      </c>
      <c r="AO89" s="11">
        <v>0.16227589662147515</v>
      </c>
      <c r="AP89" s="11">
        <v>9.0341346811183817E-2</v>
      </c>
      <c r="AQ89" s="11">
        <v>1.0802240211907632E-5</v>
      </c>
      <c r="AR89" s="11">
        <v>8.0023807004457326E-2</v>
      </c>
      <c r="AS89" s="11">
        <v>0.21819460263581994</v>
      </c>
      <c r="AT89" s="11">
        <v>0.11913422135265196</v>
      </c>
      <c r="AU89">
        <v>0.98382602322707158</v>
      </c>
      <c r="AW89">
        <f t="shared" si="18"/>
        <v>0</v>
      </c>
      <c r="AX89">
        <v>86</v>
      </c>
      <c r="AY89" s="4">
        <f t="shared" si="16"/>
        <v>42237</v>
      </c>
      <c r="AZ89" s="6">
        <f t="shared" si="17"/>
        <v>-9.610539906903238</v>
      </c>
      <c r="BA89" s="4">
        <v>42237</v>
      </c>
      <c r="BB89" s="6">
        <v>-11.435485999999999</v>
      </c>
      <c r="BC89" s="6">
        <v>-12.737178999999999</v>
      </c>
      <c r="BD89" s="6">
        <v>-12.118304999999999</v>
      </c>
      <c r="BE89" s="6">
        <v>-10.27145</v>
      </c>
      <c r="BF89" s="6">
        <v>-12.239513000000001</v>
      </c>
      <c r="BG89" s="6">
        <v>-10.222111999999999</v>
      </c>
      <c r="BH89" s="6">
        <v>-10.419677</v>
      </c>
      <c r="BI89" s="6">
        <v>-13.51845</v>
      </c>
      <c r="BJ89" s="6">
        <v>-10.891907</v>
      </c>
      <c r="BK89" s="6">
        <v>-11.665577000000001</v>
      </c>
      <c r="BL89" s="4">
        <v>42237</v>
      </c>
      <c r="BM89" s="6">
        <f>VLOOKUP(BL89,Sheet1!$A$2:$E$1114,2,FALSE)</f>
        <v>1.9778516349396189</v>
      </c>
      <c r="BN89" s="6">
        <f t="shared" si="19"/>
        <v>-9.610539906903238</v>
      </c>
    </row>
    <row r="90" spans="1:66" x14ac:dyDescent="0.3">
      <c r="A90" s="4"/>
      <c r="B90" s="6"/>
      <c r="C90" s="9"/>
      <c r="D90" s="9"/>
      <c r="E90" s="9"/>
      <c r="F90" s="9"/>
      <c r="G90" s="9"/>
      <c r="H90" s="9"/>
      <c r="I90" s="9"/>
      <c r="J90" s="9"/>
      <c r="K90" s="9"/>
      <c r="L90" s="9"/>
      <c r="AE90">
        <f t="shared" si="15"/>
        <v>61</v>
      </c>
      <c r="AF90" t="s">
        <v>77</v>
      </c>
      <c r="AG90" s="13">
        <f t="shared" si="14"/>
        <v>42198.5</v>
      </c>
      <c r="AH90" s="13">
        <v>42335</v>
      </c>
      <c r="AI90" s="13">
        <v>42062</v>
      </c>
      <c r="AJ90" s="11">
        <v>9.3405888817298083E-2</v>
      </c>
      <c r="AK90" s="11">
        <v>9.252013683180936E-2</v>
      </c>
      <c r="AL90" s="11">
        <v>2.3383511631528804E-2</v>
      </c>
      <c r="AM90" s="11">
        <v>3.6403729519026226E-5</v>
      </c>
      <c r="AN90" s="11">
        <v>0.10052987796081948</v>
      </c>
      <c r="AO90" s="11">
        <v>0.18040210833077369</v>
      </c>
      <c r="AP90" s="11">
        <v>8.7047747545026019E-2</v>
      </c>
      <c r="AQ90" s="11">
        <v>5.0829563860691198E-6</v>
      </c>
      <c r="AR90" s="11">
        <v>8.1914691175522858E-2</v>
      </c>
      <c r="AS90" s="11">
        <v>0.22151767217928278</v>
      </c>
      <c r="AT90" s="11">
        <v>0.11923687884203384</v>
      </c>
      <c r="AU90">
        <v>0.98402641218819997</v>
      </c>
      <c r="AW90">
        <f t="shared" si="18"/>
        <v>0</v>
      </c>
      <c r="AX90">
        <v>87</v>
      </c>
      <c r="AY90" s="4">
        <f t="shared" si="16"/>
        <v>42244</v>
      </c>
      <c r="AZ90" s="6">
        <f t="shared" si="17"/>
        <v>-5.8373760028814115</v>
      </c>
      <c r="BA90" s="4">
        <v>42244</v>
      </c>
      <c r="BB90" s="6">
        <v>-5.2787790000000001</v>
      </c>
      <c r="BC90" s="6">
        <v>-9.5751469999999994</v>
      </c>
      <c r="BD90" s="6">
        <v>-7.6312110000000004</v>
      </c>
      <c r="BE90" s="6">
        <v>-10.971883999999999</v>
      </c>
      <c r="BF90" s="6">
        <v>-12.251785999999999</v>
      </c>
      <c r="BG90" s="6">
        <v>-6.031714</v>
      </c>
      <c r="BH90" s="6">
        <v>-7.4949089999999998</v>
      </c>
      <c r="BI90" s="6">
        <v>-11.686019</v>
      </c>
      <c r="BJ90" s="6">
        <v>-8.4929939999999995</v>
      </c>
      <c r="BK90" s="6">
        <v>-11.147220000000001</v>
      </c>
      <c r="BL90" s="4">
        <v>42244</v>
      </c>
      <c r="BM90" s="6">
        <f>VLOOKUP(BL90,Sheet1!$A$2:$E$1114,2,FALSE)</f>
        <v>1.862396998229056</v>
      </c>
      <c r="BN90" s="6">
        <f t="shared" si="19"/>
        <v>-5.8373760028814115</v>
      </c>
    </row>
    <row r="91" spans="1:66" x14ac:dyDescent="0.3">
      <c r="A91" s="4"/>
      <c r="B91" s="6"/>
      <c r="C91" s="9"/>
      <c r="D91" s="9"/>
      <c r="E91" s="9"/>
      <c r="F91" s="9"/>
      <c r="G91" s="9"/>
      <c r="H91" s="9"/>
      <c r="I91" s="9"/>
      <c r="J91" s="9"/>
      <c r="K91" s="9"/>
      <c r="L91" s="9"/>
      <c r="AE91">
        <f t="shared" si="15"/>
        <v>62</v>
      </c>
      <c r="AF91" t="s">
        <v>77</v>
      </c>
      <c r="AG91" s="13">
        <f t="shared" si="14"/>
        <v>42205.5</v>
      </c>
      <c r="AH91" s="13">
        <v>42342</v>
      </c>
      <c r="AI91" s="13">
        <v>42069</v>
      </c>
      <c r="AJ91" s="11">
        <v>9.2948043358174484E-2</v>
      </c>
      <c r="AK91" s="11">
        <v>8.0037207915659478E-2</v>
      </c>
      <c r="AL91" s="11">
        <v>1.2897125476192355E-2</v>
      </c>
      <c r="AM91" s="11">
        <v>2.8709765788451046E-5</v>
      </c>
      <c r="AN91" s="11">
        <v>0.10550644716586392</v>
      </c>
      <c r="AO91" s="11">
        <v>0.19195261041275014</v>
      </c>
      <c r="AP91" s="11">
        <v>9.4387098407901576E-2</v>
      </c>
      <c r="AQ91" s="11">
        <v>2.1638842521229686E-6</v>
      </c>
      <c r="AR91" s="11">
        <v>9.8355981859558558E-2</v>
      </c>
      <c r="AS91" s="11">
        <v>0.21151888946849229</v>
      </c>
      <c r="AT91" s="11">
        <v>0.11236572228536668</v>
      </c>
      <c r="AU91">
        <v>0.9840622071925248</v>
      </c>
      <c r="AW91">
        <f t="shared" si="18"/>
        <v>0</v>
      </c>
      <c r="AX91">
        <v>88</v>
      </c>
      <c r="AY91" s="4">
        <f t="shared" si="16"/>
        <v>42249</v>
      </c>
      <c r="AZ91" s="6">
        <f t="shared" si="17"/>
        <v>-5.54752618911788</v>
      </c>
      <c r="BA91" s="4">
        <v>42249</v>
      </c>
      <c r="BB91" s="6">
        <v>1.8980250000000001</v>
      </c>
      <c r="BC91" s="6">
        <v>-6.9812450000000004</v>
      </c>
      <c r="BD91" s="6">
        <v>-8.3037759999999992</v>
      </c>
      <c r="BE91" s="6">
        <v>-8.4461300000000001</v>
      </c>
      <c r="BF91" s="6">
        <v>-12.150323999999999</v>
      </c>
      <c r="BG91" s="6">
        <v>-6.7053570000000002</v>
      </c>
      <c r="BH91" s="6">
        <v>-7.9282620000000001</v>
      </c>
      <c r="BI91" s="6">
        <v>-3.3045300000000002</v>
      </c>
      <c r="BJ91" s="6">
        <v>-3.0207290000000002</v>
      </c>
      <c r="BK91" s="6">
        <v>-10.801854000000001</v>
      </c>
      <c r="BL91" s="4">
        <v>42249</v>
      </c>
      <c r="BM91" s="6">
        <f>VLOOKUP(BL91,Sheet1!$A$2:$E$1114,2,FALSE)</f>
        <v>1.7590800370069539</v>
      </c>
      <c r="BN91" s="6">
        <f t="shared" si="19"/>
        <v>-5.54752618911788</v>
      </c>
    </row>
    <row r="92" spans="1:66" x14ac:dyDescent="0.3">
      <c r="A92" s="4"/>
      <c r="B92" s="6"/>
      <c r="C92" s="9"/>
      <c r="D92" s="9"/>
      <c r="E92" s="9"/>
      <c r="F92" s="9"/>
      <c r="G92" s="9"/>
      <c r="H92" s="9"/>
      <c r="I92" s="9"/>
      <c r="J92" s="9"/>
      <c r="K92" s="9"/>
      <c r="L92" s="9"/>
      <c r="AE92">
        <f t="shared" si="15"/>
        <v>63</v>
      </c>
      <c r="AF92" t="s">
        <v>77</v>
      </c>
      <c r="AG92" s="13">
        <f t="shared" si="14"/>
        <v>42212.5</v>
      </c>
      <c r="AH92" s="13">
        <v>42349</v>
      </c>
      <c r="AI92" s="13">
        <v>42076</v>
      </c>
      <c r="AJ92" s="11">
        <v>0.10810678673450549</v>
      </c>
      <c r="AK92" s="11">
        <v>6.4670775951019138E-2</v>
      </c>
      <c r="AL92" s="11">
        <v>5.0125305687984531E-3</v>
      </c>
      <c r="AM92" s="11">
        <v>3.9816686367486489E-6</v>
      </c>
      <c r="AN92" s="11">
        <v>0.10210177958904784</v>
      </c>
      <c r="AO92" s="11">
        <v>0.18559803932025806</v>
      </c>
      <c r="AP92" s="11">
        <v>7.6512082208499227E-2</v>
      </c>
      <c r="AQ92" s="11">
        <v>6.2242162940497129E-7</v>
      </c>
      <c r="AR92" s="11">
        <v>0.10503157483699609</v>
      </c>
      <c r="AS92" s="11">
        <v>0.24042226933127075</v>
      </c>
      <c r="AT92" s="11">
        <v>0.11253955736933884</v>
      </c>
      <c r="AU92">
        <v>0.98446165086359205</v>
      </c>
      <c r="AW92">
        <f t="shared" si="18"/>
        <v>0</v>
      </c>
      <c r="AX92">
        <v>89</v>
      </c>
      <c r="AY92" s="4">
        <f t="shared" si="16"/>
        <v>42258</v>
      </c>
      <c r="AZ92" s="6">
        <f t="shared" si="17"/>
        <v>4.577765284387314</v>
      </c>
      <c r="BA92" s="4">
        <v>42258</v>
      </c>
      <c r="BB92" s="6">
        <v>-0.84726900000000005</v>
      </c>
      <c r="BC92" s="6">
        <v>4.698296</v>
      </c>
      <c r="BD92" s="6">
        <v>5.0851730000000002</v>
      </c>
      <c r="BE92" s="6">
        <v>5.4153640000000003</v>
      </c>
      <c r="BF92" s="6">
        <v>10.524402</v>
      </c>
      <c r="BG92" s="6">
        <v>1.686939</v>
      </c>
      <c r="BH92" s="6">
        <v>5.6628910000000001</v>
      </c>
      <c r="BI92" s="6">
        <v>2.411216</v>
      </c>
      <c r="BJ92" s="6">
        <v>1.578179</v>
      </c>
      <c r="BK92" s="6">
        <v>8.3424709999999997</v>
      </c>
      <c r="BL92" s="4">
        <v>42258</v>
      </c>
      <c r="BM92" s="6">
        <f>VLOOKUP(BL92,Sheet1!$A$2:$E$1114,2,FALSE)</f>
        <v>1.8396065922656459</v>
      </c>
      <c r="BN92" s="6">
        <f t="shared" si="19"/>
        <v>4.577765284387314</v>
      </c>
    </row>
    <row r="93" spans="1:66" x14ac:dyDescent="0.3">
      <c r="A93" s="4"/>
      <c r="B93" s="6"/>
      <c r="C93" s="9"/>
      <c r="D93" s="9"/>
      <c r="E93" s="9"/>
      <c r="F93" s="9"/>
      <c r="G93" s="9"/>
      <c r="H93" s="9"/>
      <c r="I93" s="9"/>
      <c r="J93" s="9"/>
      <c r="K93" s="9"/>
      <c r="L93" s="9"/>
      <c r="AE93">
        <f t="shared" si="15"/>
        <v>64</v>
      </c>
      <c r="AF93" t="s">
        <v>77</v>
      </c>
      <c r="AG93" s="13">
        <f t="shared" si="14"/>
        <v>42219.5</v>
      </c>
      <c r="AH93" s="13">
        <v>42356</v>
      </c>
      <c r="AI93" s="13">
        <v>42083</v>
      </c>
      <c r="AJ93" s="11">
        <v>0.10040416298422274</v>
      </c>
      <c r="AK93" s="11">
        <v>7.5866174248714113E-2</v>
      </c>
      <c r="AL93" s="11">
        <v>2.8247603479077091E-3</v>
      </c>
      <c r="AM93" s="11">
        <v>5.4121427939632797E-6</v>
      </c>
      <c r="AN93" s="11">
        <v>9.2504019776888824E-2</v>
      </c>
      <c r="AO93" s="11">
        <v>0.18150252458872815</v>
      </c>
      <c r="AP93" s="11">
        <v>8.8214300014859109E-2</v>
      </c>
      <c r="AQ93" s="11">
        <v>3.8294457682249418E-7</v>
      </c>
      <c r="AR93" s="11">
        <v>0.10189589716272748</v>
      </c>
      <c r="AS93" s="11">
        <v>0.23966635248328605</v>
      </c>
      <c r="AT93" s="11">
        <v>0.11711601330529514</v>
      </c>
      <c r="AU93">
        <v>0.98503518781622557</v>
      </c>
      <c r="AW93">
        <f t="shared" si="18"/>
        <v>0</v>
      </c>
      <c r="AX93">
        <v>90</v>
      </c>
      <c r="AY93" s="4">
        <f t="shared" si="16"/>
        <v>42265</v>
      </c>
      <c r="AZ93" s="6">
        <f t="shared" si="17"/>
        <v>-3.0166997944737872</v>
      </c>
      <c r="BA93" s="4">
        <v>42265</v>
      </c>
      <c r="BB93" s="6">
        <v>-2.0492680000000001</v>
      </c>
      <c r="BC93" s="6">
        <v>-4.4148899999999998</v>
      </c>
      <c r="BD93" s="6">
        <v>-5.551177</v>
      </c>
      <c r="BE93" s="6">
        <v>-6.7076149999999997</v>
      </c>
      <c r="BF93" s="6">
        <v>-5.0534999999999997</v>
      </c>
      <c r="BG93" s="6">
        <v>-3.722658</v>
      </c>
      <c r="BH93" s="6">
        <v>-4.8623440000000002</v>
      </c>
      <c r="BI93" s="6">
        <v>-3.5278019999999999</v>
      </c>
      <c r="BJ93" s="6">
        <v>-6.2162769999999998</v>
      </c>
      <c r="BK93" s="6">
        <v>-6.0465540000000004</v>
      </c>
      <c r="BL93" s="4">
        <v>42265</v>
      </c>
      <c r="BM93" s="6">
        <f>VLOOKUP(BL93,Sheet1!$A$2:$E$1114,2,FALSE)</f>
        <v>1.784111183977642</v>
      </c>
      <c r="BN93" s="6">
        <f t="shared" si="19"/>
        <v>-3.0166997944737872</v>
      </c>
    </row>
    <row r="94" spans="1:66" x14ac:dyDescent="0.3">
      <c r="A94" s="4"/>
      <c r="B94" s="6"/>
      <c r="C94" s="9"/>
      <c r="D94" s="9"/>
      <c r="E94" s="9"/>
      <c r="F94" s="9"/>
      <c r="G94" s="9"/>
      <c r="H94" s="9"/>
      <c r="I94" s="9"/>
      <c r="J94" s="9"/>
      <c r="K94" s="9"/>
      <c r="L94" s="9"/>
      <c r="AE94">
        <f t="shared" si="15"/>
        <v>65</v>
      </c>
      <c r="AF94" t="s">
        <v>77</v>
      </c>
      <c r="AG94" s="13">
        <f t="shared" si="14"/>
        <v>42226.5</v>
      </c>
      <c r="AH94" s="13">
        <v>42363</v>
      </c>
      <c r="AI94" s="13">
        <v>42090</v>
      </c>
      <c r="AJ94" s="11">
        <v>9.2978711134264869E-2</v>
      </c>
      <c r="AK94" s="11">
        <v>7.1218766343323331E-2</v>
      </c>
      <c r="AL94" s="11">
        <v>3.5471630257030914E-2</v>
      </c>
      <c r="AM94" s="11">
        <v>8.521939332579347E-5</v>
      </c>
      <c r="AN94" s="11">
        <v>6.0314951883758898E-2</v>
      </c>
      <c r="AO94" s="11">
        <v>0.19437372208050988</v>
      </c>
      <c r="AP94" s="11">
        <v>9.8899382495973714E-2</v>
      </c>
      <c r="AQ94" s="11">
        <v>3.9275968162690793E-6</v>
      </c>
      <c r="AR94" s="11">
        <v>8.3460104635951576E-2</v>
      </c>
      <c r="AS94" s="11">
        <v>0.24600384893020763</v>
      </c>
      <c r="AT94" s="11">
        <v>0.11718973524883713</v>
      </c>
      <c r="AU94">
        <v>0.98471044709321198</v>
      </c>
      <c r="AW94">
        <f t="shared" si="18"/>
        <v>0</v>
      </c>
      <c r="AX94">
        <v>91</v>
      </c>
      <c r="AY94" s="4">
        <f t="shared" si="16"/>
        <v>42272</v>
      </c>
      <c r="AZ94" s="6">
        <f t="shared" si="17"/>
        <v>0.67153040187057922</v>
      </c>
      <c r="BA94" s="4">
        <v>42272</v>
      </c>
      <c r="BB94" s="6">
        <v>-8.6071999999999996E-2</v>
      </c>
      <c r="BC94" s="6">
        <v>0.62296600000000002</v>
      </c>
      <c r="BD94" s="6">
        <v>0.303199</v>
      </c>
      <c r="BE94" s="6">
        <v>0.182201</v>
      </c>
      <c r="BF94" s="6">
        <v>0.57686000000000004</v>
      </c>
      <c r="BG94" s="6">
        <v>4.6049E-2</v>
      </c>
      <c r="BH94" s="6">
        <v>1.1880299999999999</v>
      </c>
      <c r="BI94" s="6">
        <v>-0.26895000000000002</v>
      </c>
      <c r="BJ94" s="6">
        <v>-2.8810440000000002</v>
      </c>
      <c r="BK94" s="6">
        <v>2.1229680000000002</v>
      </c>
      <c r="BL94" s="4">
        <v>42272</v>
      </c>
      <c r="BM94" s="6">
        <f>VLOOKUP(BL94,Sheet1!$A$2:$E$1114,2,FALSE)</f>
        <v>1.7960920329812251</v>
      </c>
      <c r="BN94" s="6">
        <f t="shared" si="19"/>
        <v>0.67153040187057922</v>
      </c>
    </row>
    <row r="95" spans="1:66" x14ac:dyDescent="0.3">
      <c r="A95" s="4"/>
      <c r="B95" s="6"/>
      <c r="C95" s="9"/>
      <c r="D95" s="9"/>
      <c r="E95" s="9"/>
      <c r="F95" s="9"/>
      <c r="G95" s="9"/>
      <c r="H95" s="9"/>
      <c r="I95" s="9"/>
      <c r="J95" s="9"/>
      <c r="K95" s="9"/>
      <c r="L95" s="9"/>
      <c r="AE95">
        <f t="shared" si="15"/>
        <v>66</v>
      </c>
      <c r="AF95" t="s">
        <v>77</v>
      </c>
      <c r="AG95" s="13">
        <f t="shared" ref="AG95:AG158" si="20">(AH95+AI95)/2</f>
        <v>42233</v>
      </c>
      <c r="AH95" s="13">
        <v>42369</v>
      </c>
      <c r="AI95" s="13">
        <v>42097</v>
      </c>
      <c r="AJ95" s="11">
        <v>8.4626382040032505E-2</v>
      </c>
      <c r="AK95" s="11">
        <v>9.871479218099137E-2</v>
      </c>
      <c r="AL95" s="11">
        <v>5.8512036801100398E-2</v>
      </c>
      <c r="AM95" s="11">
        <v>8.6776311244452951E-5</v>
      </c>
      <c r="AN95" s="11">
        <v>5.7938654028494171E-2</v>
      </c>
      <c r="AO95" s="11">
        <v>0.19492066210506956</v>
      </c>
      <c r="AP95" s="11">
        <v>9.9540585299142226E-2</v>
      </c>
      <c r="AQ95" s="11">
        <v>3.0247212379837283E-6</v>
      </c>
      <c r="AR95" s="11">
        <v>6.2969763369136567E-2</v>
      </c>
      <c r="AS95" s="11">
        <v>0.22534355577875989</v>
      </c>
      <c r="AT95" s="11">
        <v>0.11734376736479094</v>
      </c>
      <c r="AU95">
        <v>0.98482611840106193</v>
      </c>
      <c r="AW95">
        <f t="shared" si="18"/>
        <v>0</v>
      </c>
      <c r="AX95">
        <v>92</v>
      </c>
      <c r="AY95" s="4">
        <f t="shared" si="16"/>
        <v>42277</v>
      </c>
      <c r="AZ95" s="6">
        <f t="shared" si="17"/>
        <v>0.30522460752773206</v>
      </c>
      <c r="BA95" s="4">
        <v>42277</v>
      </c>
      <c r="BB95" s="6">
        <v>-1.123739</v>
      </c>
      <c r="BC95" s="6">
        <v>-0.48030699999999998</v>
      </c>
      <c r="BD95" s="6">
        <v>1.1235489999999999</v>
      </c>
      <c r="BE95" s="6">
        <v>-0.55754000000000004</v>
      </c>
      <c r="BF95" s="6">
        <v>2.1092200000000001</v>
      </c>
      <c r="BG95" s="6">
        <v>-7.8987000000000002E-2</v>
      </c>
      <c r="BH95" s="6">
        <v>0.73289700000000002</v>
      </c>
      <c r="BI95" s="6">
        <v>-3.410364</v>
      </c>
      <c r="BJ95" s="6">
        <v>-1.2562150000000001</v>
      </c>
      <c r="BK95" s="6">
        <v>0.62438400000000005</v>
      </c>
      <c r="BL95" s="4">
        <v>42277</v>
      </c>
      <c r="BM95" s="6">
        <f>VLOOKUP(BL95,Sheet1!$A$2:$E$1114,2,FALSE)</f>
        <v>1.8015741478397289</v>
      </c>
      <c r="BN95" s="6">
        <f t="shared" si="19"/>
        <v>0.30522460752773206</v>
      </c>
    </row>
    <row r="96" spans="1:66" x14ac:dyDescent="0.3">
      <c r="A96" s="4"/>
      <c r="B96" s="6"/>
      <c r="C96" s="9"/>
      <c r="D96" s="9"/>
      <c r="E96" s="9"/>
      <c r="F96" s="9"/>
      <c r="G96" s="9"/>
      <c r="H96" s="9"/>
      <c r="I96" s="9"/>
      <c r="J96" s="9"/>
      <c r="K96" s="9"/>
      <c r="L96" s="9"/>
      <c r="AE96">
        <f t="shared" ref="AE96:AE159" si="21">AE95+1</f>
        <v>67</v>
      </c>
      <c r="AF96" t="s">
        <v>77</v>
      </c>
      <c r="AG96" s="13">
        <f t="shared" si="20"/>
        <v>42240.5</v>
      </c>
      <c r="AH96" s="13">
        <v>42377</v>
      </c>
      <c r="AI96" s="13">
        <v>42104</v>
      </c>
      <c r="AJ96" s="11">
        <v>9.0113235300971803E-2</v>
      </c>
      <c r="AK96" s="11">
        <v>5.0987127982915423E-2</v>
      </c>
      <c r="AL96" s="11">
        <v>3.2470479071826432E-5</v>
      </c>
      <c r="AM96" s="11">
        <v>8.5993732742522313E-5</v>
      </c>
      <c r="AN96" s="11">
        <v>5.7985349574051714E-2</v>
      </c>
      <c r="AO96" s="11">
        <v>0.24585588767390171</v>
      </c>
      <c r="AP96" s="11">
        <v>6.4715462987645855E-2</v>
      </c>
      <c r="AQ96" s="11">
        <v>1.0922819925792994E-6</v>
      </c>
      <c r="AR96" s="11">
        <v>9.0928771710985706E-2</v>
      </c>
      <c r="AS96" s="11">
        <v>0.27510515827366033</v>
      </c>
      <c r="AT96" s="11">
        <v>0.12418945000206061</v>
      </c>
      <c r="AU96">
        <v>0.98644760909129836</v>
      </c>
      <c r="AW96">
        <f t="shared" si="18"/>
        <v>0</v>
      </c>
      <c r="AX96">
        <v>93</v>
      </c>
      <c r="AY96" s="4">
        <f t="shared" si="16"/>
        <v>42286</v>
      </c>
      <c r="AZ96" s="6">
        <f t="shared" si="17"/>
        <v>3.8771730339113963</v>
      </c>
      <c r="BA96" s="4">
        <v>42286</v>
      </c>
      <c r="BB96" s="6">
        <v>3.812948</v>
      </c>
      <c r="BC96" s="6">
        <v>5.1662229999999996</v>
      </c>
      <c r="BD96" s="6">
        <v>4.5121229999999999</v>
      </c>
      <c r="BE96" s="6">
        <v>5.7990469999999998</v>
      </c>
      <c r="BF96" s="6">
        <v>6.5487719999999996</v>
      </c>
      <c r="BG96" s="6">
        <v>4.157267</v>
      </c>
      <c r="BH96" s="6">
        <v>5.7237450000000001</v>
      </c>
      <c r="BI96" s="6">
        <v>4.5673069999999996</v>
      </c>
      <c r="BJ96" s="6">
        <v>4.6502059999999998</v>
      </c>
      <c r="BK96" s="6">
        <v>7.2439499999999999</v>
      </c>
      <c r="BL96" s="4">
        <v>42286</v>
      </c>
      <c r="BM96" s="6">
        <f>VLOOKUP(BL96,Sheet1!$A$2:$E$1114,2,FALSE)</f>
        <v>1.8714242948856901</v>
      </c>
      <c r="BN96" s="6">
        <f t="shared" si="19"/>
        <v>3.8771730339113963</v>
      </c>
    </row>
    <row r="97" spans="1:66" x14ac:dyDescent="0.3">
      <c r="A97" s="4"/>
      <c r="B97" s="6"/>
      <c r="C97" s="9"/>
      <c r="D97" s="9"/>
      <c r="E97" s="9"/>
      <c r="F97" s="9"/>
      <c r="G97" s="9"/>
      <c r="H97" s="9"/>
      <c r="I97" s="9"/>
      <c r="J97" s="9"/>
      <c r="K97" s="9"/>
      <c r="L97" s="9"/>
      <c r="AE97">
        <f t="shared" si="21"/>
        <v>68</v>
      </c>
      <c r="AF97" t="s">
        <v>77</v>
      </c>
      <c r="AG97" s="13">
        <f t="shared" si="20"/>
        <v>42247.5</v>
      </c>
      <c r="AH97" s="13">
        <v>42384</v>
      </c>
      <c r="AI97" s="13">
        <v>42111</v>
      </c>
      <c r="AJ97" s="11">
        <v>6.5554173589517692E-2</v>
      </c>
      <c r="AK97" s="11">
        <v>6.6228500411230601E-2</v>
      </c>
      <c r="AL97" s="11">
        <v>3.0788918664445782E-3</v>
      </c>
      <c r="AM97" s="11">
        <v>4.5647803475703173E-6</v>
      </c>
      <c r="AN97" s="11">
        <v>0.10033619703226489</v>
      </c>
      <c r="AO97" s="11">
        <v>0.22309840115934279</v>
      </c>
      <c r="AP97" s="11">
        <v>7.8477636777356835E-2</v>
      </c>
      <c r="AQ97" s="11">
        <v>6.048109422299074E-7</v>
      </c>
      <c r="AR97" s="11">
        <v>0.10715817761986672</v>
      </c>
      <c r="AS97" s="11">
        <v>0.21509623471734499</v>
      </c>
      <c r="AT97" s="11">
        <v>0.1409666172353411</v>
      </c>
      <c r="AU97">
        <v>0.98539508184213687</v>
      </c>
      <c r="AW97">
        <f t="shared" si="18"/>
        <v>0</v>
      </c>
      <c r="AX97">
        <v>94</v>
      </c>
      <c r="AY97" s="4">
        <f t="shared" si="16"/>
        <v>42293</v>
      </c>
      <c r="AZ97" s="6">
        <f t="shared" si="17"/>
        <v>6.7688632925237968</v>
      </c>
      <c r="BA97" s="4">
        <v>42293</v>
      </c>
      <c r="BB97" s="6">
        <v>5.1216160000000004</v>
      </c>
      <c r="BC97" s="6">
        <v>8.8620380000000001</v>
      </c>
      <c r="BD97" s="6">
        <v>7.470002</v>
      </c>
      <c r="BE97" s="6">
        <v>7.7927960000000001</v>
      </c>
      <c r="BF97" s="6">
        <v>11.434519999999999</v>
      </c>
      <c r="BG97" s="6">
        <v>5.9269889999999998</v>
      </c>
      <c r="BH97" s="6">
        <v>5.1210709999999997</v>
      </c>
      <c r="BI97" s="6">
        <v>6.9436749999999998</v>
      </c>
      <c r="BJ97" s="6">
        <v>7.1454370000000003</v>
      </c>
      <c r="BK97" s="6">
        <v>9.0255679999999998</v>
      </c>
      <c r="BL97" s="4">
        <v>42293</v>
      </c>
      <c r="BM97" s="6">
        <f>VLOOKUP(BL97,Sheet1!$A$2:$E$1114,2,FALSE)</f>
        <v>1.9980984470295799</v>
      </c>
      <c r="BN97" s="6">
        <f t="shared" si="19"/>
        <v>6.7688632925237968</v>
      </c>
    </row>
    <row r="98" spans="1:66" x14ac:dyDescent="0.3">
      <c r="A98" s="4"/>
      <c r="B98" s="6"/>
      <c r="C98" s="9"/>
      <c r="D98" s="9"/>
      <c r="E98" s="9"/>
      <c r="F98" s="9"/>
      <c r="G98" s="9"/>
      <c r="H98" s="9"/>
      <c r="I98" s="9"/>
      <c r="J98" s="9"/>
      <c r="K98" s="9"/>
      <c r="L98" s="9"/>
      <c r="AE98">
        <f t="shared" si="21"/>
        <v>69</v>
      </c>
      <c r="AF98" t="s">
        <v>77</v>
      </c>
      <c r="AG98" s="13">
        <f t="shared" si="20"/>
        <v>42254.5</v>
      </c>
      <c r="AH98" s="13">
        <v>42391</v>
      </c>
      <c r="AI98" s="13">
        <v>42118</v>
      </c>
      <c r="AJ98" s="11">
        <v>5.5104171144050751E-2</v>
      </c>
      <c r="AK98" s="11">
        <v>0.14195313006593244</v>
      </c>
      <c r="AL98" s="11">
        <v>8.2632418238437052E-5</v>
      </c>
      <c r="AM98" s="11">
        <v>8.1774997303233232E-6</v>
      </c>
      <c r="AN98" s="11">
        <v>7.0609319784949373E-2</v>
      </c>
      <c r="AO98" s="11">
        <v>0.19902553921510086</v>
      </c>
      <c r="AP98" s="11">
        <v>9.5990600325189232E-2</v>
      </c>
      <c r="AQ98" s="11">
        <v>2.5385454556638762E-6</v>
      </c>
      <c r="AR98" s="11">
        <v>9.18299550022975E-2</v>
      </c>
      <c r="AS98" s="11">
        <v>0.20048096659728215</v>
      </c>
      <c r="AT98" s="11">
        <v>0.14491296940177331</v>
      </c>
      <c r="AU98">
        <v>0.98588855219734994</v>
      </c>
      <c r="AW98">
        <f t="shared" si="18"/>
        <v>0</v>
      </c>
      <c r="AX98">
        <v>95</v>
      </c>
      <c r="AY98" s="4">
        <f t="shared" si="16"/>
        <v>42300</v>
      </c>
      <c r="AZ98" s="6">
        <f t="shared" si="17"/>
        <v>1.1404781065896819</v>
      </c>
      <c r="BA98" s="4">
        <v>42300</v>
      </c>
      <c r="BB98" s="6">
        <v>1.549226</v>
      </c>
      <c r="BC98" s="6">
        <v>0.29693599999999998</v>
      </c>
      <c r="BD98" s="6">
        <v>1.9387730000000001</v>
      </c>
      <c r="BE98" s="6">
        <v>0.41794500000000001</v>
      </c>
      <c r="BF98" s="6">
        <v>2.4160680000000001</v>
      </c>
      <c r="BG98" s="6">
        <v>0.89189099999999999</v>
      </c>
      <c r="BH98" s="6">
        <v>6.2282789999999997</v>
      </c>
      <c r="BI98" s="6">
        <v>-1.1955309999999999</v>
      </c>
      <c r="BJ98" s="6">
        <v>-0.100479</v>
      </c>
      <c r="BK98" s="6">
        <v>4.6381329999999998</v>
      </c>
      <c r="BL98" s="4">
        <v>42300</v>
      </c>
      <c r="BM98" s="6">
        <f>VLOOKUP(BL98,Sheet1!$A$2:$E$1114,2,FALSE)</f>
        <v>2.0208863223660609</v>
      </c>
      <c r="BN98" s="6">
        <f t="shared" si="19"/>
        <v>1.1404781065896819</v>
      </c>
    </row>
    <row r="99" spans="1:66" x14ac:dyDescent="0.3">
      <c r="A99" s="4"/>
      <c r="B99" s="6"/>
      <c r="C99" s="9"/>
      <c r="D99" s="9"/>
      <c r="E99" s="9"/>
      <c r="F99" s="9"/>
      <c r="G99" s="9"/>
      <c r="H99" s="9"/>
      <c r="I99" s="9"/>
      <c r="J99" s="9"/>
      <c r="K99" s="9"/>
      <c r="L99" s="9"/>
      <c r="AE99">
        <f t="shared" si="21"/>
        <v>70</v>
      </c>
      <c r="AF99" t="s">
        <v>77</v>
      </c>
      <c r="AG99" s="13">
        <f t="shared" si="20"/>
        <v>42260.5</v>
      </c>
      <c r="AH99" s="13">
        <v>42397</v>
      </c>
      <c r="AI99" s="13">
        <v>42124</v>
      </c>
      <c r="AJ99" s="11">
        <v>2.712822360397376E-2</v>
      </c>
      <c r="AK99" s="11">
        <v>3.6119156339282872E-2</v>
      </c>
      <c r="AL99" s="11">
        <v>6.1261784401336617E-5</v>
      </c>
      <c r="AM99" s="11">
        <v>3.0540135989408396E-5</v>
      </c>
      <c r="AN99" s="11">
        <v>9.7400541035128171E-2</v>
      </c>
      <c r="AO99" s="11">
        <v>0.31617950509896364</v>
      </c>
      <c r="AP99" s="11">
        <v>5.0202829266684873E-2</v>
      </c>
      <c r="AQ99" s="11">
        <v>4.2096193649660572E-2</v>
      </c>
      <c r="AR99" s="11">
        <v>6.1196292079348374E-2</v>
      </c>
      <c r="AS99" s="11">
        <v>0.21701929702820996</v>
      </c>
      <c r="AT99" s="11">
        <v>0.15256615997835704</v>
      </c>
      <c r="AU99">
        <v>0.97904062871578779</v>
      </c>
      <c r="AW99">
        <f t="shared" si="18"/>
        <v>0</v>
      </c>
      <c r="AX99">
        <v>96</v>
      </c>
      <c r="AY99" s="4">
        <f t="shared" si="16"/>
        <v>42307</v>
      </c>
      <c r="AZ99" s="6">
        <f t="shared" si="17"/>
        <v>0.16202116826213864</v>
      </c>
      <c r="BA99" s="4">
        <v>42307</v>
      </c>
      <c r="BB99" s="6">
        <v>-0.87064399999999997</v>
      </c>
      <c r="BC99" s="6">
        <v>-0.45043299999999997</v>
      </c>
      <c r="BD99" s="6">
        <v>-0.49182900000000002</v>
      </c>
      <c r="BE99" s="6">
        <v>-0.570164</v>
      </c>
      <c r="BF99" s="6">
        <v>0.56485799999999997</v>
      </c>
      <c r="BG99" s="6">
        <v>-0.23277</v>
      </c>
      <c r="BH99" s="6">
        <v>-2.5470350000000002</v>
      </c>
      <c r="BI99" s="6">
        <v>-2.5492669999999999</v>
      </c>
      <c r="BJ99" s="6">
        <v>-1.2345470000000001</v>
      </c>
      <c r="BK99" s="6">
        <v>-1.0871580000000001</v>
      </c>
      <c r="BL99" s="4">
        <v>42307</v>
      </c>
      <c r="BM99" s="6">
        <f>VLOOKUP(BL99,Sheet1!$A$2:$E$1114,2,FALSE)</f>
        <v>2.024160585994808</v>
      </c>
      <c r="BN99" s="6">
        <f t="shared" si="19"/>
        <v>0.16202116826213864</v>
      </c>
    </row>
    <row r="100" spans="1:66" x14ac:dyDescent="0.3">
      <c r="A100" s="4"/>
      <c r="B100" s="6"/>
      <c r="C100" s="9"/>
      <c r="D100" s="9"/>
      <c r="E100" s="9"/>
      <c r="F100" s="9"/>
      <c r="G100" s="9"/>
      <c r="H100" s="9"/>
      <c r="I100" s="9"/>
      <c r="J100" s="9"/>
      <c r="K100" s="9"/>
      <c r="L100" s="9"/>
      <c r="AE100">
        <f t="shared" si="21"/>
        <v>71</v>
      </c>
      <c r="AF100" t="s">
        <v>77</v>
      </c>
      <c r="AG100" s="13">
        <f t="shared" si="20"/>
        <v>42268.5</v>
      </c>
      <c r="AH100" s="13">
        <v>42405</v>
      </c>
      <c r="AI100" s="13">
        <v>42132</v>
      </c>
      <c r="AJ100" s="11">
        <v>3.8617104893062118E-3</v>
      </c>
      <c r="AK100" s="11">
        <v>5.8749853194383174E-2</v>
      </c>
      <c r="AL100" s="11">
        <v>6.1381963687135178E-5</v>
      </c>
      <c r="AM100" s="11">
        <v>3.3151441700136991E-5</v>
      </c>
      <c r="AN100" s="11">
        <v>8.9964935701027038E-2</v>
      </c>
      <c r="AO100" s="11">
        <v>0.35859499543503376</v>
      </c>
      <c r="AP100" s="11">
        <v>6.6892480325106085E-2</v>
      </c>
      <c r="AQ100" s="11">
        <v>5.477062222966219E-2</v>
      </c>
      <c r="AR100" s="11">
        <v>2.5129741503583596E-2</v>
      </c>
      <c r="AS100" s="11">
        <v>0.19226396742968477</v>
      </c>
      <c r="AT100" s="11">
        <v>0.14967716028682587</v>
      </c>
      <c r="AU100">
        <v>0.97941391424779578</v>
      </c>
      <c r="AW100">
        <f t="shared" si="18"/>
        <v>0</v>
      </c>
      <c r="AX100">
        <v>97</v>
      </c>
      <c r="AY100" s="4">
        <f t="shared" si="16"/>
        <v>42314</v>
      </c>
      <c r="AZ100" s="6">
        <f t="shared" si="17"/>
        <v>5.6074351036411008</v>
      </c>
      <c r="BA100" s="4">
        <v>42314</v>
      </c>
      <c r="BB100" s="6">
        <v>9.8017179999999993</v>
      </c>
      <c r="BC100" s="6">
        <v>4.9403870000000003</v>
      </c>
      <c r="BD100" s="6">
        <v>5.2898569999999996</v>
      </c>
      <c r="BE100" s="6">
        <v>5.1126969999999998</v>
      </c>
      <c r="BF100" s="6">
        <v>6.9872779999999999</v>
      </c>
      <c r="BG100" s="6">
        <v>3.8822770000000002</v>
      </c>
      <c r="BH100" s="6">
        <v>3.3251949999999999</v>
      </c>
      <c r="BI100" s="6">
        <v>5.178623</v>
      </c>
      <c r="BJ100" s="6">
        <v>4.5019210000000003</v>
      </c>
      <c r="BK100" s="6">
        <v>5.6582999999999997</v>
      </c>
      <c r="BL100" s="4">
        <v>42314</v>
      </c>
      <c r="BM100" s="6">
        <f>VLOOKUP(BL100,Sheet1!$A$2:$E$1114,2,FALSE)</f>
        <v>2.137664077247948</v>
      </c>
      <c r="BN100" s="6">
        <f t="shared" si="19"/>
        <v>5.6074351036411008</v>
      </c>
    </row>
    <row r="101" spans="1:66" x14ac:dyDescent="0.3">
      <c r="A101" s="4"/>
      <c r="B101" s="6"/>
      <c r="C101" s="9"/>
      <c r="D101" s="9"/>
      <c r="E101" s="9"/>
      <c r="F101" s="9"/>
      <c r="G101" s="9"/>
      <c r="H101" s="9"/>
      <c r="I101" s="9"/>
      <c r="J101" s="9"/>
      <c r="K101" s="9"/>
      <c r="L101" s="9"/>
      <c r="AE101">
        <f t="shared" si="21"/>
        <v>72</v>
      </c>
      <c r="AF101" t="s">
        <v>77</v>
      </c>
      <c r="AG101" s="13">
        <f t="shared" si="20"/>
        <v>42279</v>
      </c>
      <c r="AH101" s="13">
        <v>42419</v>
      </c>
      <c r="AI101" s="13">
        <v>42139</v>
      </c>
      <c r="AJ101" s="11">
        <v>1.4191922776668444E-2</v>
      </c>
      <c r="AK101" s="11">
        <v>3.7028844991486597E-5</v>
      </c>
      <c r="AL101" s="11">
        <v>4.2603316729998388E-5</v>
      </c>
      <c r="AM101" s="11">
        <v>2.0685024738897342E-5</v>
      </c>
      <c r="AN101" s="11">
        <v>0.14375813314156313</v>
      </c>
      <c r="AO101" s="11">
        <v>0.38615229235499149</v>
      </c>
      <c r="AP101" s="11">
        <v>3.3538810078158496E-2</v>
      </c>
      <c r="AQ101" s="11">
        <v>3.4884806319347643E-2</v>
      </c>
      <c r="AR101" s="11">
        <v>3.8497203845761788E-2</v>
      </c>
      <c r="AS101" s="11">
        <v>0.19665152997164265</v>
      </c>
      <c r="AT101" s="11">
        <v>0.15222498432540596</v>
      </c>
      <c r="AU101">
        <v>0.98105718081522164</v>
      </c>
      <c r="AW101">
        <f t="shared" si="18"/>
        <v>0</v>
      </c>
      <c r="AX101">
        <v>98</v>
      </c>
      <c r="AY101" s="4">
        <f t="shared" si="16"/>
        <v>42321</v>
      </c>
      <c r="AZ101" s="6">
        <f t="shared" si="17"/>
        <v>0.69559243116839031</v>
      </c>
      <c r="BA101" s="4">
        <v>42321</v>
      </c>
      <c r="BB101" s="6">
        <v>-0.60524599999999995</v>
      </c>
      <c r="BC101" s="6">
        <v>0.45522099999999999</v>
      </c>
      <c r="BD101" s="6">
        <v>1.0027759999999999</v>
      </c>
      <c r="BE101" s="6">
        <v>1.7603869999999999</v>
      </c>
      <c r="BF101" s="6">
        <v>1.7378979999999999</v>
      </c>
      <c r="BG101" s="6">
        <v>-0.43237900000000001</v>
      </c>
      <c r="BH101" s="6">
        <v>1.0279640000000001</v>
      </c>
      <c r="BI101" s="6">
        <v>-0.54930999999999996</v>
      </c>
      <c r="BJ101" s="6">
        <v>0.90356099999999995</v>
      </c>
      <c r="BK101" s="6">
        <v>1.2370220000000001</v>
      </c>
      <c r="BL101" s="4">
        <v>42321</v>
      </c>
      <c r="BM101" s="6">
        <f>VLOOKUP(BL101,Sheet1!$A$2:$E$1114,2,FALSE)</f>
        <v>2.1525335067730902</v>
      </c>
      <c r="BN101" s="6">
        <f t="shared" si="19"/>
        <v>0.69559243116839031</v>
      </c>
    </row>
    <row r="102" spans="1:66" x14ac:dyDescent="0.3">
      <c r="A102" s="4"/>
      <c r="B102" s="6"/>
      <c r="C102" s="9"/>
      <c r="D102" s="9"/>
      <c r="E102" s="9"/>
      <c r="F102" s="9"/>
      <c r="G102" s="9"/>
      <c r="H102" s="9"/>
      <c r="I102" s="9"/>
      <c r="J102" s="9"/>
      <c r="K102" s="9"/>
      <c r="L102" s="9"/>
      <c r="AE102">
        <f t="shared" si="21"/>
        <v>73</v>
      </c>
      <c r="AF102" t="s">
        <v>77</v>
      </c>
      <c r="AG102" s="13">
        <f t="shared" si="20"/>
        <v>42286</v>
      </c>
      <c r="AH102" s="13">
        <v>42426</v>
      </c>
      <c r="AI102" s="13">
        <v>42146</v>
      </c>
      <c r="AJ102" s="11">
        <v>1.4368359576549396E-2</v>
      </c>
      <c r="AK102" s="11">
        <v>3.7273564257355013E-5</v>
      </c>
      <c r="AL102" s="11">
        <v>4.3827214483880844E-5</v>
      </c>
      <c r="AM102" s="11">
        <v>2.0401682709989256E-5</v>
      </c>
      <c r="AN102" s="11">
        <v>0.14149696822898722</v>
      </c>
      <c r="AO102" s="11">
        <v>0.3833023666075957</v>
      </c>
      <c r="AP102" s="11">
        <v>3.6708945590038906E-2</v>
      </c>
      <c r="AQ102" s="11">
        <v>4.029461269990825E-2</v>
      </c>
      <c r="AR102" s="11">
        <v>3.5849875281460719E-2</v>
      </c>
      <c r="AS102" s="11">
        <v>0.19584954308398142</v>
      </c>
      <c r="AT102" s="11">
        <v>0.15202782647002722</v>
      </c>
      <c r="AU102">
        <v>0.98090083737631828</v>
      </c>
      <c r="AW102">
        <f t="shared" si="18"/>
        <v>0</v>
      </c>
      <c r="AX102">
        <v>99</v>
      </c>
      <c r="AY102" s="4">
        <f t="shared" si="16"/>
        <v>42328</v>
      </c>
      <c r="AZ102" s="6">
        <f t="shared" si="17"/>
        <v>2.8720964751407729</v>
      </c>
      <c r="BA102" s="4">
        <v>42328</v>
      </c>
      <c r="BB102" s="6">
        <v>1.0614749999999999</v>
      </c>
      <c r="BC102" s="6">
        <v>2.8338239999999999</v>
      </c>
      <c r="BD102" s="6">
        <v>2.3318539999999999</v>
      </c>
      <c r="BE102" s="6">
        <v>3.317329</v>
      </c>
      <c r="BF102" s="6">
        <v>4.7921899999999997</v>
      </c>
      <c r="BG102" s="6">
        <v>2.0985459999999998</v>
      </c>
      <c r="BH102" s="6">
        <v>1.312479</v>
      </c>
      <c r="BI102" s="6">
        <v>1.5488</v>
      </c>
      <c r="BJ102" s="6">
        <v>-0.60093799999999997</v>
      </c>
      <c r="BK102" s="6">
        <v>6.3022539999999996</v>
      </c>
      <c r="BL102" s="4">
        <v>42328</v>
      </c>
      <c r="BM102" s="6">
        <f>VLOOKUP(BL102,Sheet1!$A$2:$E$1114,2,FALSE)</f>
        <v>2.2143563457473441</v>
      </c>
      <c r="BN102" s="6">
        <f t="shared" si="19"/>
        <v>2.8720964751407729</v>
      </c>
    </row>
    <row r="103" spans="1:66" x14ac:dyDescent="0.3">
      <c r="A103" s="4"/>
      <c r="B103" s="6"/>
      <c r="C103" s="9"/>
      <c r="D103" s="9"/>
      <c r="E103" s="9"/>
      <c r="F103" s="9"/>
      <c r="G103" s="9"/>
      <c r="H103" s="9"/>
      <c r="I103" s="9"/>
      <c r="J103" s="9"/>
      <c r="K103" s="9"/>
      <c r="L103" s="9"/>
      <c r="AE103">
        <f t="shared" si="21"/>
        <v>74</v>
      </c>
      <c r="AF103" t="s">
        <v>77</v>
      </c>
      <c r="AG103" s="13">
        <f t="shared" si="20"/>
        <v>42293</v>
      </c>
      <c r="AH103" s="13">
        <v>42433</v>
      </c>
      <c r="AI103" s="13">
        <v>42153</v>
      </c>
      <c r="AJ103" s="11">
        <v>2.8342230246622843E-2</v>
      </c>
      <c r="AK103" s="11">
        <v>2.2672880693588859E-6</v>
      </c>
      <c r="AL103" s="11">
        <v>2.5316384752580981E-6</v>
      </c>
      <c r="AM103" s="11">
        <v>2.0107534450233881E-6</v>
      </c>
      <c r="AN103" s="11">
        <v>0.14588241771060709</v>
      </c>
      <c r="AO103" s="11">
        <v>0.37761483295933845</v>
      </c>
      <c r="AP103" s="11">
        <v>1.4178417412437376E-3</v>
      </c>
      <c r="AQ103" s="11">
        <v>3.2696114298460442E-2</v>
      </c>
      <c r="AR103" s="11">
        <v>4.4725952216518504E-2</v>
      </c>
      <c r="AS103" s="11">
        <v>0.21004581173603318</v>
      </c>
      <c r="AT103" s="11">
        <v>0.15926798941118608</v>
      </c>
      <c r="AU103">
        <v>0.97984836380232387</v>
      </c>
      <c r="AW103">
        <f t="shared" si="18"/>
        <v>0</v>
      </c>
      <c r="AX103">
        <v>100</v>
      </c>
      <c r="AY103" s="4">
        <f t="shared" si="16"/>
        <v>42335</v>
      </c>
      <c r="AZ103" s="6">
        <f t="shared" si="17"/>
        <v>-3.9962597568566238</v>
      </c>
      <c r="BA103" s="4">
        <v>42335</v>
      </c>
      <c r="BB103" s="6">
        <v>-5.5567589999999996</v>
      </c>
      <c r="BC103" s="6">
        <v>-6.6419290000000002</v>
      </c>
      <c r="BD103" s="6">
        <v>-4.6426299999999996</v>
      </c>
      <c r="BE103" s="6">
        <v>-4.3295469999999998</v>
      </c>
      <c r="BF103" s="6">
        <v>-5.6531779999999996</v>
      </c>
      <c r="BG103" s="6">
        <v>-3.205047</v>
      </c>
      <c r="BH103" s="6">
        <v>-4.774203</v>
      </c>
      <c r="BI103" s="6">
        <v>-6.767309</v>
      </c>
      <c r="BJ103" s="6">
        <v>-5.8486390000000004</v>
      </c>
      <c r="BK103" s="6">
        <v>-4.8247299999999997</v>
      </c>
      <c r="BL103" s="4">
        <v>42335</v>
      </c>
      <c r="BM103" s="6">
        <f>VLOOKUP(BL103,Sheet1!$A$2:$E$1114,2,FALSE)</f>
        <v>2.1258649142288419</v>
      </c>
      <c r="BN103" s="6">
        <f t="shared" si="19"/>
        <v>-3.9962597568566238</v>
      </c>
    </row>
    <row r="104" spans="1:66" x14ac:dyDescent="0.3">
      <c r="A104" s="4"/>
      <c r="B104" s="6"/>
      <c r="C104" s="9"/>
      <c r="D104" s="9"/>
      <c r="E104" s="9"/>
      <c r="F104" s="9"/>
      <c r="G104" s="9"/>
      <c r="H104" s="9"/>
      <c r="I104" s="9"/>
      <c r="J104" s="9"/>
      <c r="K104" s="9"/>
      <c r="L104" s="9"/>
      <c r="AE104">
        <f t="shared" si="21"/>
        <v>75</v>
      </c>
      <c r="AF104" t="s">
        <v>77</v>
      </c>
      <c r="AG104" s="13">
        <f t="shared" si="20"/>
        <v>42300</v>
      </c>
      <c r="AH104" s="13">
        <v>42440</v>
      </c>
      <c r="AI104" s="13">
        <v>42160</v>
      </c>
      <c r="AJ104" s="11">
        <v>2.4744736453018244E-2</v>
      </c>
      <c r="AK104" s="11">
        <v>6.0363744514270639E-6</v>
      </c>
      <c r="AL104" s="11">
        <v>6.7641160324006651E-6</v>
      </c>
      <c r="AM104" s="11">
        <v>6.2552649828659382E-6</v>
      </c>
      <c r="AN104" s="11">
        <v>0.15706547311111008</v>
      </c>
      <c r="AO104" s="11">
        <v>0.38456106809849461</v>
      </c>
      <c r="AP104" s="11">
        <v>3.376391879086945E-3</v>
      </c>
      <c r="AQ104" s="11">
        <v>4.7442077143384755E-2</v>
      </c>
      <c r="AR104" s="11">
        <v>3.7905408080507685E-2</v>
      </c>
      <c r="AS104" s="11">
        <v>0.18981231524692124</v>
      </c>
      <c r="AT104" s="11">
        <v>0.15507347423200979</v>
      </c>
      <c r="AU104">
        <v>0.97948294875276842</v>
      </c>
      <c r="AW104">
        <f t="shared" si="18"/>
        <v>0</v>
      </c>
      <c r="AX104">
        <v>101</v>
      </c>
      <c r="AY104" s="4">
        <f t="shared" si="16"/>
        <v>42342</v>
      </c>
      <c r="AZ104" s="6">
        <f t="shared" si="17"/>
        <v>2.2861742358962989</v>
      </c>
      <c r="BA104" s="4">
        <v>42342</v>
      </c>
      <c r="BB104" s="6">
        <v>4.9462099999999998</v>
      </c>
      <c r="BC104" s="6">
        <v>0.69467400000000001</v>
      </c>
      <c r="BD104" s="6">
        <v>2.847264</v>
      </c>
      <c r="BE104" s="6">
        <v>2.8907449999999999</v>
      </c>
      <c r="BF104" s="6">
        <v>0.94230999999999998</v>
      </c>
      <c r="BG104" s="6">
        <v>2.7848299999999999</v>
      </c>
      <c r="BH104" s="6">
        <v>2.713193</v>
      </c>
      <c r="BI104" s="6">
        <v>1.8619870000000001</v>
      </c>
      <c r="BJ104" s="6">
        <v>2.8770479999999998</v>
      </c>
      <c r="BK104" s="6">
        <v>-0.38286100000000001</v>
      </c>
      <c r="BL104" s="4">
        <v>42342</v>
      </c>
      <c r="BM104" s="6">
        <f>VLOOKUP(BL104,Sheet1!$A$2:$E$1114,2,FALSE)</f>
        <v>2.1744658901879008</v>
      </c>
      <c r="BN104" s="6">
        <f t="shared" si="19"/>
        <v>2.2861742358962989</v>
      </c>
    </row>
    <row r="105" spans="1:66" x14ac:dyDescent="0.3">
      <c r="A105" s="4"/>
      <c r="B105" s="6"/>
      <c r="C105" s="9"/>
      <c r="D105" s="9"/>
      <c r="E105" s="9"/>
      <c r="F105" s="9"/>
      <c r="G105" s="9"/>
      <c r="H105" s="9"/>
      <c r="I105" s="9"/>
      <c r="J105" s="9"/>
      <c r="K105" s="9"/>
      <c r="L105" s="9"/>
      <c r="AE105">
        <f t="shared" si="21"/>
        <v>76</v>
      </c>
      <c r="AF105" t="s">
        <v>77</v>
      </c>
      <c r="AG105" s="13">
        <f t="shared" si="20"/>
        <v>42307</v>
      </c>
      <c r="AH105" s="13">
        <v>42447</v>
      </c>
      <c r="AI105" s="13">
        <v>42167</v>
      </c>
      <c r="AJ105" s="11">
        <v>5.0230929891420042E-3</v>
      </c>
      <c r="AK105" s="11">
        <v>2.6226526142103619E-5</v>
      </c>
      <c r="AL105" s="11">
        <v>5.9281024384575958E-6</v>
      </c>
      <c r="AM105" s="11">
        <v>4.5058186613198218E-6</v>
      </c>
      <c r="AN105" s="11">
        <v>0.20994301251470135</v>
      </c>
      <c r="AO105" s="11">
        <v>0.44712890325254639</v>
      </c>
      <c r="AP105" s="11">
        <v>1.4890988381363592E-5</v>
      </c>
      <c r="AQ105" s="11">
        <v>4.0507058490066673E-2</v>
      </c>
      <c r="AR105" s="11">
        <v>6.8571907573347412E-5</v>
      </c>
      <c r="AS105" s="11">
        <v>0.1350651551776349</v>
      </c>
      <c r="AT105" s="11">
        <v>0.16221265423271208</v>
      </c>
      <c r="AU105">
        <v>0.98062471815753549</v>
      </c>
      <c r="AW105">
        <f t="shared" si="18"/>
        <v>0</v>
      </c>
      <c r="AX105">
        <v>102</v>
      </c>
      <c r="AY105" s="4">
        <f t="shared" si="16"/>
        <v>42349</v>
      </c>
      <c r="AZ105" s="6">
        <f t="shared" si="17"/>
        <v>-1.3803030898420499</v>
      </c>
      <c r="BA105" s="4">
        <v>42349</v>
      </c>
      <c r="BB105" s="6">
        <v>-1.7600789999999999</v>
      </c>
      <c r="BC105" s="6">
        <v>-3.4338259999999998</v>
      </c>
      <c r="BD105" s="6">
        <v>-0.90828399999999998</v>
      </c>
      <c r="BE105" s="6">
        <v>-2.3597199999999998</v>
      </c>
      <c r="BF105" s="6">
        <v>-0.15901799999999999</v>
      </c>
      <c r="BG105" s="6">
        <v>-2.6899519999999999</v>
      </c>
      <c r="BH105" s="6">
        <v>-1.5038910000000001</v>
      </c>
      <c r="BI105" s="6">
        <v>-4.7522820000000001</v>
      </c>
      <c r="BJ105" s="6">
        <v>-4.0842879999999999</v>
      </c>
      <c r="BK105" s="6">
        <v>0.43774299999999999</v>
      </c>
      <c r="BL105" s="4">
        <v>42349</v>
      </c>
      <c r="BM105" s="6">
        <f>VLOOKUP(BL105,Sheet1!$A$2:$E$1114,2,FALSE)</f>
        <v>2.1444516703180758</v>
      </c>
      <c r="BN105" s="6">
        <f t="shared" si="19"/>
        <v>-1.3803030898420499</v>
      </c>
    </row>
    <row r="106" spans="1:66" x14ac:dyDescent="0.3">
      <c r="A106" s="4"/>
      <c r="B106" s="6"/>
      <c r="C106" s="9"/>
      <c r="D106" s="9"/>
      <c r="E106" s="9"/>
      <c r="F106" s="9"/>
      <c r="G106" s="9"/>
      <c r="H106" s="9"/>
      <c r="I106" s="9"/>
      <c r="J106" s="9"/>
      <c r="K106" s="9"/>
      <c r="L106" s="9"/>
      <c r="AE106">
        <f t="shared" si="21"/>
        <v>77</v>
      </c>
      <c r="AF106" t="s">
        <v>77</v>
      </c>
      <c r="AG106" s="13">
        <f t="shared" si="20"/>
        <v>42314</v>
      </c>
      <c r="AH106" s="13">
        <v>42454</v>
      </c>
      <c r="AI106" s="13">
        <v>42174</v>
      </c>
      <c r="AJ106" s="11">
        <v>5.4282563334158386E-3</v>
      </c>
      <c r="AK106" s="11">
        <v>3.2718422816591747E-6</v>
      </c>
      <c r="AL106" s="11">
        <v>1.793602975902154E-6</v>
      </c>
      <c r="AM106" s="11">
        <v>1.5175494511197103E-6</v>
      </c>
      <c r="AN106" s="11">
        <v>0.20190443554785995</v>
      </c>
      <c r="AO106" s="11">
        <v>0.42794953795105672</v>
      </c>
      <c r="AP106" s="11">
        <v>9.1003392531640113E-3</v>
      </c>
      <c r="AQ106" s="11">
        <v>5.1371608608093873E-2</v>
      </c>
      <c r="AR106" s="11">
        <v>3.7401436140273406E-4</v>
      </c>
      <c r="AS106" s="11">
        <v>0.14110884627650669</v>
      </c>
      <c r="AT106" s="11">
        <v>0.16275637867379156</v>
      </c>
      <c r="AU106">
        <v>0.97994097506511102</v>
      </c>
      <c r="AW106">
        <f t="shared" si="18"/>
        <v>0</v>
      </c>
      <c r="AX106">
        <v>103</v>
      </c>
      <c r="AY106" s="4">
        <f t="shared" si="16"/>
        <v>42356</v>
      </c>
      <c r="AZ106" s="6">
        <f t="shared" si="17"/>
        <v>4.7615939790844442</v>
      </c>
      <c r="BA106" s="4">
        <v>42356</v>
      </c>
      <c r="BB106" s="6">
        <v>5.1794690000000001</v>
      </c>
      <c r="BC106" s="6">
        <v>5.6590829999999999</v>
      </c>
      <c r="BD106" s="6">
        <v>5.3648850000000001</v>
      </c>
      <c r="BE106" s="6">
        <v>5.5309119999999998</v>
      </c>
      <c r="BF106" s="6">
        <v>5.3359579999999998</v>
      </c>
      <c r="BG106" s="6">
        <v>5.5381590000000003</v>
      </c>
      <c r="BH106" s="6">
        <v>5.3840139999999996</v>
      </c>
      <c r="BI106" s="6">
        <v>4.9352220000000004</v>
      </c>
      <c r="BJ106" s="6">
        <v>3.8439700000000001</v>
      </c>
      <c r="BK106" s="6">
        <v>6.4387439999999998</v>
      </c>
      <c r="BL106" s="4">
        <v>42356</v>
      </c>
      <c r="BM106" s="6">
        <f>VLOOKUP(BL106,Sheet1!$A$2:$E$1114,2,FALSE)</f>
        <v>2.246561751936317</v>
      </c>
      <c r="BN106" s="6">
        <f t="shared" si="19"/>
        <v>4.7615939790844442</v>
      </c>
    </row>
    <row r="107" spans="1:66" x14ac:dyDescent="0.3">
      <c r="A107" s="4"/>
      <c r="B107" s="6"/>
      <c r="C107" s="9"/>
      <c r="D107" s="9"/>
      <c r="E107" s="9"/>
      <c r="F107" s="9"/>
      <c r="G107" s="9"/>
      <c r="H107" s="9"/>
      <c r="I107" s="9"/>
      <c r="J107" s="9"/>
      <c r="K107" s="9"/>
      <c r="L107" s="9"/>
      <c r="AE107">
        <f t="shared" si="21"/>
        <v>78</v>
      </c>
      <c r="AF107" t="s">
        <v>77</v>
      </c>
      <c r="AG107" s="13">
        <f t="shared" si="20"/>
        <v>42321</v>
      </c>
      <c r="AH107" s="13">
        <v>42461</v>
      </c>
      <c r="AI107" s="13">
        <v>42181</v>
      </c>
      <c r="AJ107" s="11">
        <v>4.8815849461707325E-3</v>
      </c>
      <c r="AK107" s="11">
        <v>1.2468400938717532E-5</v>
      </c>
      <c r="AL107" s="11">
        <v>7.5073989610311253E-6</v>
      </c>
      <c r="AM107" s="11">
        <v>7.0105703483386258E-6</v>
      </c>
      <c r="AN107" s="11">
        <v>0.20034847540122958</v>
      </c>
      <c r="AO107" s="11">
        <v>0.42135851114767275</v>
      </c>
      <c r="AP107" s="11">
        <v>9.1093139916744777E-3</v>
      </c>
      <c r="AQ107" s="11">
        <v>5.2797961177852293E-2</v>
      </c>
      <c r="AR107" s="11">
        <v>3.5847261194504728E-3</v>
      </c>
      <c r="AS107" s="11">
        <v>0.14341380163335252</v>
      </c>
      <c r="AT107" s="11">
        <v>0.16447863921234906</v>
      </c>
      <c r="AU107">
        <v>0.97752854364674313</v>
      </c>
      <c r="AW107">
        <f t="shared" si="18"/>
        <v>0</v>
      </c>
      <c r="AX107">
        <v>104</v>
      </c>
      <c r="AY107" s="4">
        <f t="shared" si="16"/>
        <v>42363</v>
      </c>
      <c r="AZ107" s="6">
        <f t="shared" si="17"/>
        <v>1.6956717276119138</v>
      </c>
      <c r="BA107" s="4">
        <v>42363</v>
      </c>
      <c r="BB107" s="6">
        <v>2.7350560000000002</v>
      </c>
      <c r="BC107" s="6">
        <v>0.51328700000000005</v>
      </c>
      <c r="BD107" s="6">
        <v>2.1292230000000001</v>
      </c>
      <c r="BE107" s="6">
        <v>1.340568</v>
      </c>
      <c r="BF107" s="6">
        <v>0.12232999999999999</v>
      </c>
      <c r="BG107" s="6">
        <v>2.7090770000000002</v>
      </c>
      <c r="BH107" s="6">
        <v>2.3274279999999998</v>
      </c>
      <c r="BI107" s="6">
        <v>1.4091610000000001</v>
      </c>
      <c r="BJ107" s="6">
        <v>0.45591500000000001</v>
      </c>
      <c r="BK107" s="6">
        <v>-0.263567</v>
      </c>
      <c r="BL107" s="4">
        <v>42363</v>
      </c>
      <c r="BM107" s="6">
        <f>VLOOKUP(BL107,Sheet1!$A$2:$E$1114,2,FALSE)</f>
        <v>2.284656064407244</v>
      </c>
      <c r="BN107" s="6">
        <f t="shared" si="19"/>
        <v>1.6956717276119138</v>
      </c>
    </row>
    <row r="108" spans="1:66" x14ac:dyDescent="0.3">
      <c r="A108" s="4"/>
      <c r="B108" s="6"/>
      <c r="C108" s="9"/>
      <c r="D108" s="9"/>
      <c r="E108" s="9"/>
      <c r="F108" s="9"/>
      <c r="G108" s="9"/>
      <c r="H108" s="9"/>
      <c r="I108" s="9"/>
      <c r="J108" s="9"/>
      <c r="K108" s="9"/>
      <c r="L108" s="9"/>
      <c r="AE108">
        <f t="shared" si="21"/>
        <v>79</v>
      </c>
      <c r="AF108" t="s">
        <v>77</v>
      </c>
      <c r="AG108" s="13">
        <f t="shared" si="20"/>
        <v>42328</v>
      </c>
      <c r="AH108" s="13">
        <v>42468</v>
      </c>
      <c r="AI108" s="13">
        <v>42188</v>
      </c>
      <c r="AJ108" s="11">
        <v>3.1603199294320764E-3</v>
      </c>
      <c r="AK108" s="11">
        <v>1.3878426255953814E-5</v>
      </c>
      <c r="AL108" s="11">
        <v>7.331704006846778E-6</v>
      </c>
      <c r="AM108" s="11">
        <v>6.7803547197728584E-6</v>
      </c>
      <c r="AN108" s="11">
        <v>0.19888075129917157</v>
      </c>
      <c r="AO108" s="11">
        <v>0.42368354264368596</v>
      </c>
      <c r="AP108" s="11">
        <v>6.5485816419011142E-3</v>
      </c>
      <c r="AQ108" s="11">
        <v>5.2608336674579557E-2</v>
      </c>
      <c r="AR108" s="11">
        <v>6.3941320049656749E-3</v>
      </c>
      <c r="AS108" s="11">
        <v>0.14333132382013344</v>
      </c>
      <c r="AT108" s="11">
        <v>0.16536502150114804</v>
      </c>
      <c r="AU108">
        <v>0.97666730468654972</v>
      </c>
      <c r="AW108">
        <f t="shared" si="18"/>
        <v>0</v>
      </c>
      <c r="AX108">
        <v>105</v>
      </c>
      <c r="AY108" s="4">
        <f t="shared" si="16"/>
        <v>42369</v>
      </c>
      <c r="AZ108" s="6">
        <f t="shared" si="17"/>
        <v>-1.9408540969524601</v>
      </c>
      <c r="BA108" s="4">
        <v>42369</v>
      </c>
      <c r="BB108" s="6">
        <v>-3.2108050000000001</v>
      </c>
      <c r="BC108" s="6">
        <v>-1.9234309999999999</v>
      </c>
      <c r="BD108" s="6">
        <v>-2.2369810000000001</v>
      </c>
      <c r="BE108" s="6">
        <v>-2.2203339999999998</v>
      </c>
      <c r="BF108" s="6">
        <v>-1.5634209999999999</v>
      </c>
      <c r="BG108" s="6">
        <v>-1.9153720000000001</v>
      </c>
      <c r="BH108" s="6">
        <v>-2.2153339999999999</v>
      </c>
      <c r="BI108" s="6">
        <v>-2.2328760000000001</v>
      </c>
      <c r="BJ108" s="6">
        <v>-2.0336989999999999</v>
      </c>
      <c r="BK108" s="6">
        <v>-0.77744100000000005</v>
      </c>
      <c r="BL108" s="4">
        <v>42369</v>
      </c>
      <c r="BM108" s="6">
        <f>VLOOKUP(BL108,Sheet1!$A$2:$E$1114,2,FALSE)</f>
        <v>2.2403142235799232</v>
      </c>
      <c r="BN108" s="6">
        <f t="shared" si="19"/>
        <v>-1.9408540969524601</v>
      </c>
    </row>
    <row r="109" spans="1:66" x14ac:dyDescent="0.3">
      <c r="A109" s="4"/>
      <c r="B109" s="6"/>
      <c r="C109" s="9"/>
      <c r="D109" s="9"/>
      <c r="E109" s="9"/>
      <c r="F109" s="9"/>
      <c r="G109" s="9"/>
      <c r="H109" s="9"/>
      <c r="I109" s="9"/>
      <c r="J109" s="9"/>
      <c r="K109" s="9"/>
      <c r="L109" s="9"/>
      <c r="AE109">
        <f t="shared" si="21"/>
        <v>80</v>
      </c>
      <c r="AF109" t="s">
        <v>77</v>
      </c>
      <c r="AG109" s="13">
        <f t="shared" si="20"/>
        <v>42335</v>
      </c>
      <c r="AH109" s="13">
        <v>42475</v>
      </c>
      <c r="AI109" s="13">
        <v>42195</v>
      </c>
      <c r="AJ109" s="11">
        <v>3.6263668811020451E-2</v>
      </c>
      <c r="AK109" s="11">
        <v>2.3545553651980631E-5</v>
      </c>
      <c r="AL109" s="11">
        <v>4.4047170775245135E-5</v>
      </c>
      <c r="AM109" s="11">
        <v>2.1115983400435022E-5</v>
      </c>
      <c r="AN109" s="11">
        <v>0.22264749492469918</v>
      </c>
      <c r="AO109" s="11">
        <v>0.31395737889406017</v>
      </c>
      <c r="AP109" s="11">
        <v>4.946866014399505E-2</v>
      </c>
      <c r="AQ109" s="11">
        <v>5.9565895086743828E-2</v>
      </c>
      <c r="AR109" s="11">
        <v>1.3978462585040755E-5</v>
      </c>
      <c r="AS109" s="11">
        <v>0.12718849166813298</v>
      </c>
      <c r="AT109" s="11">
        <v>0.19080572330093556</v>
      </c>
      <c r="AU109">
        <v>0.97422279797159084</v>
      </c>
      <c r="AW109">
        <f t="shared" si="18"/>
        <v>0</v>
      </c>
      <c r="AX109">
        <v>106</v>
      </c>
      <c r="AY109" s="4">
        <f t="shared" si="16"/>
        <v>42377</v>
      </c>
      <c r="AZ109" s="6">
        <f t="shared" si="17"/>
        <v>-10.545216026562098</v>
      </c>
      <c r="BA109" s="4">
        <v>42377</v>
      </c>
      <c r="BB109" s="6">
        <v>-9.4079879999999996</v>
      </c>
      <c r="BC109" s="6">
        <v>-13.938237000000001</v>
      </c>
      <c r="BD109" s="6">
        <v>-13.955299999999999</v>
      </c>
      <c r="BE109" s="6">
        <v>-11.515824</v>
      </c>
      <c r="BF109" s="6">
        <v>-17.345807000000001</v>
      </c>
      <c r="BG109" s="6">
        <v>-11.615923</v>
      </c>
      <c r="BH109" s="6">
        <v>-14.488092</v>
      </c>
      <c r="BI109" s="6">
        <v>-3.7786520000000001</v>
      </c>
      <c r="BJ109" s="6">
        <v>-10.428278000000001</v>
      </c>
      <c r="BK109" s="6">
        <v>-13.435373</v>
      </c>
      <c r="BL109" s="4">
        <v>42377</v>
      </c>
      <c r="BM109" s="6">
        <f>VLOOKUP(BL109,Sheet1!$A$2:$E$1114,2,FALSE)</f>
        <v>2.0040682490296229</v>
      </c>
      <c r="BN109" s="6">
        <f t="shared" si="19"/>
        <v>-10.545216026562098</v>
      </c>
    </row>
    <row r="110" spans="1:66" x14ac:dyDescent="0.3">
      <c r="A110" s="4"/>
      <c r="B110" s="6"/>
      <c r="C110" s="9"/>
      <c r="D110" s="9"/>
      <c r="E110" s="9"/>
      <c r="F110" s="9"/>
      <c r="G110" s="9"/>
      <c r="H110" s="9"/>
      <c r="I110" s="9"/>
      <c r="J110" s="9"/>
      <c r="K110" s="9"/>
      <c r="L110" s="9"/>
      <c r="AE110">
        <f t="shared" si="21"/>
        <v>81</v>
      </c>
      <c r="AF110" t="s">
        <v>77</v>
      </c>
      <c r="AG110" s="13">
        <f t="shared" si="20"/>
        <v>42342</v>
      </c>
      <c r="AH110" s="13">
        <v>42482</v>
      </c>
      <c r="AI110" s="13">
        <v>42202</v>
      </c>
      <c r="AJ110" s="11">
        <v>6.082106375702992E-2</v>
      </c>
      <c r="AK110" s="11">
        <v>3.3632317681261369E-5</v>
      </c>
      <c r="AL110" s="11">
        <v>3.3227051012863136E-5</v>
      </c>
      <c r="AM110" s="11">
        <v>1.8080821817722364E-5</v>
      </c>
      <c r="AN110" s="11">
        <v>0.2117599119625892</v>
      </c>
      <c r="AO110" s="11">
        <v>0.33207585492166086</v>
      </c>
      <c r="AP110" s="11">
        <v>4.7569843232791446E-2</v>
      </c>
      <c r="AQ110" s="11">
        <v>4.4803673663215832E-2</v>
      </c>
      <c r="AR110" s="11">
        <v>1.3194724292719365E-5</v>
      </c>
      <c r="AS110" s="11">
        <v>0.12470823347333758</v>
      </c>
      <c r="AT110" s="11">
        <v>0.17816328407457066</v>
      </c>
      <c r="AU110">
        <v>0.97569999645614469</v>
      </c>
      <c r="AW110">
        <f t="shared" si="18"/>
        <v>0</v>
      </c>
      <c r="AX110">
        <v>107</v>
      </c>
      <c r="AY110" s="4">
        <f t="shared" si="16"/>
        <v>42384</v>
      </c>
      <c r="AZ110" s="6">
        <f t="shared" si="17"/>
        <v>-6.890820855779678</v>
      </c>
      <c r="BA110" s="4">
        <v>42384</v>
      </c>
      <c r="BB110" s="6">
        <v>-6.8110850000000003</v>
      </c>
      <c r="BC110" s="6">
        <v>-10.435034999999999</v>
      </c>
      <c r="BD110" s="6">
        <v>-9.6714059999999993</v>
      </c>
      <c r="BE110" s="6">
        <v>-10.843745999999999</v>
      </c>
      <c r="BF110" s="6">
        <v>-8.580171</v>
      </c>
      <c r="BG110" s="6">
        <v>-8.3110610000000005</v>
      </c>
      <c r="BH110" s="6">
        <v>-7.8369999999999997</v>
      </c>
      <c r="BI110" s="6">
        <v>-11.905783</v>
      </c>
      <c r="BJ110" s="6">
        <v>-9.3602030000000003</v>
      </c>
      <c r="BK110" s="6">
        <v>-13.178703000000001</v>
      </c>
      <c r="BL110" s="4">
        <v>42384</v>
      </c>
      <c r="BM110" s="6">
        <f>VLOOKUP(BL110,Sheet1!$A$2:$E$1114,2,FALSE)</f>
        <v>1.8659714961614311</v>
      </c>
      <c r="BN110" s="6">
        <f t="shared" si="19"/>
        <v>-6.890820855779678</v>
      </c>
    </row>
    <row r="111" spans="1:66" x14ac:dyDescent="0.3">
      <c r="A111" s="4"/>
      <c r="B111" s="6"/>
      <c r="C111" s="9"/>
      <c r="D111" s="9"/>
      <c r="E111" s="9"/>
      <c r="F111" s="9"/>
      <c r="G111" s="9"/>
      <c r="H111" s="9"/>
      <c r="I111" s="9"/>
      <c r="J111" s="9"/>
      <c r="K111" s="9"/>
      <c r="L111" s="9"/>
      <c r="AE111">
        <f t="shared" si="21"/>
        <v>82</v>
      </c>
      <c r="AF111" t="s">
        <v>77</v>
      </c>
      <c r="AG111" s="13">
        <f t="shared" si="20"/>
        <v>42349</v>
      </c>
      <c r="AH111" s="13">
        <v>42489</v>
      </c>
      <c r="AI111" s="13">
        <v>42209</v>
      </c>
      <c r="AJ111" s="11">
        <v>0.11933377511478971</v>
      </c>
      <c r="AK111" s="11">
        <v>2.9047072302337714E-6</v>
      </c>
      <c r="AL111" s="11">
        <v>8.8710485159606279E-5</v>
      </c>
      <c r="AM111" s="11">
        <v>2.0614747097276192E-6</v>
      </c>
      <c r="AN111" s="11">
        <v>0.25384919973140813</v>
      </c>
      <c r="AO111" s="11">
        <v>0.27975876803861421</v>
      </c>
      <c r="AP111" s="11">
        <v>5.1728481926230293E-6</v>
      </c>
      <c r="AQ111" s="11">
        <v>6.1269751869660216E-2</v>
      </c>
      <c r="AR111" s="11">
        <v>8.55845686017234E-7</v>
      </c>
      <c r="AS111" s="11">
        <v>9.9053282272254545E-2</v>
      </c>
      <c r="AT111" s="11">
        <v>0.1866355176122951</v>
      </c>
      <c r="AU111">
        <v>0.97986645697637154</v>
      </c>
      <c r="AW111">
        <f t="shared" si="18"/>
        <v>0</v>
      </c>
      <c r="AX111">
        <v>108</v>
      </c>
      <c r="AY111" s="4">
        <f t="shared" si="16"/>
        <v>42391</v>
      </c>
      <c r="AZ111" s="6">
        <f t="shared" si="17"/>
        <v>1.2727932628432859</v>
      </c>
      <c r="BA111" s="4">
        <v>42391</v>
      </c>
      <c r="BB111" s="6">
        <v>-0.76805199999999996</v>
      </c>
      <c r="BC111" s="6">
        <v>2.5757509999999999</v>
      </c>
      <c r="BD111" s="6">
        <v>0.78613999999999995</v>
      </c>
      <c r="BE111" s="6">
        <v>0.69147700000000001</v>
      </c>
      <c r="BF111" s="6">
        <v>2.2575430000000001</v>
      </c>
      <c r="BG111" s="6">
        <v>0.68902600000000003</v>
      </c>
      <c r="BH111" s="6">
        <v>1.4323520000000001</v>
      </c>
      <c r="BI111" s="6">
        <v>0.45816299999999999</v>
      </c>
      <c r="BJ111" s="6">
        <v>0.30846899999999999</v>
      </c>
      <c r="BK111" s="6">
        <v>3.131294</v>
      </c>
      <c r="BL111" s="4">
        <v>42391</v>
      </c>
      <c r="BM111" s="6">
        <f>VLOOKUP(BL111,Sheet1!$A$2:$E$1114,2,FALSE)</f>
        <v>1.8897214556511499</v>
      </c>
      <c r="BN111" s="6">
        <f t="shared" si="19"/>
        <v>1.2727932628432859</v>
      </c>
    </row>
    <row r="112" spans="1:66" x14ac:dyDescent="0.3">
      <c r="A112" s="4"/>
      <c r="B112" s="6"/>
      <c r="C112" s="9"/>
      <c r="D112" s="9"/>
      <c r="E112" s="9"/>
      <c r="F112" s="9"/>
      <c r="G112" s="9"/>
      <c r="H112" s="9"/>
      <c r="I112" s="9"/>
      <c r="J112" s="9"/>
      <c r="K112" s="9"/>
      <c r="L112" s="9"/>
      <c r="AE112">
        <f t="shared" si="21"/>
        <v>83</v>
      </c>
      <c r="AF112" t="s">
        <v>77</v>
      </c>
      <c r="AG112" s="13">
        <f t="shared" si="20"/>
        <v>42356</v>
      </c>
      <c r="AH112" s="13">
        <v>42496</v>
      </c>
      <c r="AI112" s="13">
        <v>42216</v>
      </c>
      <c r="AJ112" s="11">
        <v>0.15797781182219006</v>
      </c>
      <c r="AK112" s="11">
        <v>1.5903437307797921E-5</v>
      </c>
      <c r="AL112" s="11">
        <v>3.0745308438590274E-2</v>
      </c>
      <c r="AM112" s="11">
        <v>2.7665383393506098E-5</v>
      </c>
      <c r="AN112" s="11">
        <v>0.31020318356715038</v>
      </c>
      <c r="AO112" s="11">
        <v>0.22569563814273869</v>
      </c>
      <c r="AP112" s="11">
        <v>1.6733897564943343E-2</v>
      </c>
      <c r="AQ112" s="11">
        <v>6.9645335364770175E-2</v>
      </c>
      <c r="AR112" s="11">
        <v>6.0953013493156744E-6</v>
      </c>
      <c r="AS112" s="11">
        <v>2.3518986235970187E-5</v>
      </c>
      <c r="AT112" s="11">
        <v>0.1889256419913305</v>
      </c>
      <c r="AU112">
        <v>0.98411972521868929</v>
      </c>
      <c r="AW112">
        <f t="shared" si="18"/>
        <v>0</v>
      </c>
      <c r="AX112">
        <v>109</v>
      </c>
      <c r="AY112" s="4">
        <f t="shared" si="16"/>
        <v>42397</v>
      </c>
      <c r="AZ112" s="6">
        <f t="shared" si="17"/>
        <v>-5.4134634564560251</v>
      </c>
      <c r="BA112" s="4">
        <v>42397</v>
      </c>
      <c r="BB112" s="6">
        <v>-7.2982459999999998</v>
      </c>
      <c r="BC112" s="6">
        <v>-12.373526999999999</v>
      </c>
      <c r="BD112" s="6">
        <v>-10.828893000000001</v>
      </c>
      <c r="BE112" s="6">
        <v>-11.506095</v>
      </c>
      <c r="BF112" s="6">
        <v>-11.818282999999999</v>
      </c>
      <c r="BG112" s="6">
        <v>-8.0326319999999996</v>
      </c>
      <c r="BH112" s="6">
        <v>-9.5715450000000004</v>
      </c>
      <c r="BI112" s="6">
        <v>-6.0866400000000001</v>
      </c>
      <c r="BJ112" s="6">
        <v>-11.545253000000001</v>
      </c>
      <c r="BK112" s="6">
        <v>-11.440257000000001</v>
      </c>
      <c r="BL112" s="4">
        <v>42398</v>
      </c>
      <c r="BM112" s="6">
        <f>VLOOKUP(BL112,Sheet1!$A$2:$E$1114,2,FALSE)</f>
        <v>1.787422075220666</v>
      </c>
      <c r="BN112" s="6">
        <f t="shared" si="19"/>
        <v>-5.4134634564560251</v>
      </c>
    </row>
    <row r="113" spans="1:66" x14ac:dyDescent="0.3">
      <c r="A113" s="4"/>
      <c r="B113" s="6"/>
      <c r="C113" s="9"/>
      <c r="D113" s="9"/>
      <c r="E113" s="9"/>
      <c r="F113" s="9"/>
      <c r="G113" s="9"/>
      <c r="H113" s="9"/>
      <c r="I113" s="9"/>
      <c r="J113" s="9"/>
      <c r="K113" s="9"/>
      <c r="L113" s="9"/>
      <c r="AE113">
        <f t="shared" si="21"/>
        <v>84</v>
      </c>
      <c r="AF113" t="s">
        <v>77</v>
      </c>
      <c r="AG113" s="13">
        <f t="shared" si="20"/>
        <v>42363</v>
      </c>
      <c r="AH113" s="13">
        <v>42503</v>
      </c>
      <c r="AI113" s="13">
        <v>42223</v>
      </c>
      <c r="AJ113" s="11">
        <v>0.15582720989430091</v>
      </c>
      <c r="AK113" s="11">
        <v>8.9553089328940147E-6</v>
      </c>
      <c r="AL113" s="11">
        <v>5.4493738385785896E-2</v>
      </c>
      <c r="AM113" s="11">
        <v>1.6132173528750648E-5</v>
      </c>
      <c r="AN113" s="11">
        <v>0.30292930575124871</v>
      </c>
      <c r="AO113" s="11">
        <v>0.21880578307127607</v>
      </c>
      <c r="AP113" s="11">
        <v>8.935809684482366E-3</v>
      </c>
      <c r="AQ113" s="11">
        <v>6.6083227513024492E-2</v>
      </c>
      <c r="AR113" s="11">
        <v>3.2759165194793729E-6</v>
      </c>
      <c r="AS113" s="11">
        <v>1.2422603857339726E-5</v>
      </c>
      <c r="AT113" s="11">
        <v>0.19288413969704318</v>
      </c>
      <c r="AU113">
        <v>0.98281311344256517</v>
      </c>
      <c r="AW113">
        <f t="shared" si="18"/>
        <v>0</v>
      </c>
      <c r="AX113">
        <v>110</v>
      </c>
      <c r="AY113" s="4">
        <f t="shared" si="16"/>
        <v>42405</v>
      </c>
      <c r="AZ113" s="6">
        <f t="shared" si="17"/>
        <v>2.7378367871219611</v>
      </c>
      <c r="BA113" s="4">
        <v>42405</v>
      </c>
      <c r="BB113" s="6">
        <v>-6.5292000000000003E-2</v>
      </c>
      <c r="BC113" s="6">
        <v>2.8331659999999999</v>
      </c>
      <c r="BD113" s="6">
        <v>3.5006469999999998</v>
      </c>
      <c r="BE113" s="6">
        <v>3.2235320000000001</v>
      </c>
      <c r="BF113" s="6">
        <v>4.2752759999999999</v>
      </c>
      <c r="BG113" s="6">
        <v>2.4548030000000001</v>
      </c>
      <c r="BH113" s="6">
        <v>3.82708</v>
      </c>
      <c r="BI113" s="6">
        <v>-1.217983</v>
      </c>
      <c r="BJ113" s="6">
        <v>1.4719249999999999</v>
      </c>
      <c r="BK113" s="6">
        <v>1.742545</v>
      </c>
      <c r="BL113" s="4">
        <v>42405</v>
      </c>
      <c r="BM113" s="6">
        <f>VLOOKUP(BL113,Sheet1!$A$2:$E$1114,2,FALSE)</f>
        <v>1.8363587743371961</v>
      </c>
      <c r="BN113" s="6">
        <f t="shared" si="19"/>
        <v>2.7378367871219611</v>
      </c>
    </row>
    <row r="114" spans="1:66" x14ac:dyDescent="0.3">
      <c r="A114" s="4"/>
      <c r="B114" s="6"/>
      <c r="C114" s="9"/>
      <c r="D114" s="9"/>
      <c r="E114" s="9"/>
      <c r="F114" s="9"/>
      <c r="G114" s="9"/>
      <c r="H114" s="9"/>
      <c r="I114" s="9"/>
      <c r="J114" s="9"/>
      <c r="K114" s="9"/>
      <c r="L114" s="9"/>
      <c r="AE114">
        <f t="shared" si="21"/>
        <v>85</v>
      </c>
      <c r="AF114" t="s">
        <v>77</v>
      </c>
      <c r="AG114" s="13">
        <f t="shared" si="20"/>
        <v>42370</v>
      </c>
      <c r="AH114" s="13">
        <v>42510</v>
      </c>
      <c r="AI114" s="13">
        <v>42230</v>
      </c>
      <c r="AJ114" s="11">
        <v>0.15464806573398024</v>
      </c>
      <c r="AK114" s="11">
        <v>6.7929973189078895E-6</v>
      </c>
      <c r="AL114" s="11">
        <v>7.5119293352643043E-2</v>
      </c>
      <c r="AM114" s="11">
        <v>8.353981544464196E-6</v>
      </c>
      <c r="AN114" s="11">
        <v>0.29066665659353741</v>
      </c>
      <c r="AO114" s="11">
        <v>0.22725420970272645</v>
      </c>
      <c r="AP114" s="11">
        <v>8.5643159167998124E-5</v>
      </c>
      <c r="AQ114" s="11">
        <v>5.9060259596594493E-2</v>
      </c>
      <c r="AR114" s="11">
        <v>2.5360108186143301E-6</v>
      </c>
      <c r="AS114" s="11">
        <v>1.3325309998002141E-5</v>
      </c>
      <c r="AT114" s="11">
        <v>0.19313486356167045</v>
      </c>
      <c r="AU114">
        <v>0.98260876086974025</v>
      </c>
      <c r="AW114">
        <f t="shared" si="18"/>
        <v>0</v>
      </c>
      <c r="AX114">
        <v>111</v>
      </c>
      <c r="AY114" s="4">
        <f t="shared" si="16"/>
        <v>42419</v>
      </c>
      <c r="AZ114" s="6">
        <f t="shared" si="17"/>
        <v>3.8879221371991957</v>
      </c>
      <c r="BA114" s="4">
        <v>42419</v>
      </c>
      <c r="BB114" s="6">
        <v>2.1040209999999999</v>
      </c>
      <c r="BC114" s="6">
        <v>5.613772</v>
      </c>
      <c r="BD114" s="6">
        <v>5.0077819999999997</v>
      </c>
      <c r="BE114" s="6">
        <v>5.6264180000000001</v>
      </c>
      <c r="BF114" s="6">
        <v>7.3791659999999997</v>
      </c>
      <c r="BG114" s="6">
        <v>3.3966509999999999</v>
      </c>
      <c r="BH114" s="6">
        <v>4.3640049999999997</v>
      </c>
      <c r="BI114" s="6">
        <v>4.2877270000000003</v>
      </c>
      <c r="BJ114" s="6">
        <v>3.4027120000000002</v>
      </c>
      <c r="BK114" s="6">
        <v>5.8988269999999998</v>
      </c>
      <c r="BL114" s="4">
        <v>42419</v>
      </c>
      <c r="BM114" s="6">
        <f>VLOOKUP(BL114,Sheet1!$A$2:$E$1114,2,FALSE)</f>
        <v>1.9077549736430519</v>
      </c>
      <c r="BN114" s="6">
        <f t="shared" si="19"/>
        <v>3.8879221371991957</v>
      </c>
    </row>
    <row r="115" spans="1:66" x14ac:dyDescent="0.3">
      <c r="A115" s="4"/>
      <c r="B115" s="6"/>
      <c r="C115" s="9"/>
      <c r="D115" s="9"/>
      <c r="E115" s="9"/>
      <c r="F115" s="9"/>
      <c r="G115" s="9"/>
      <c r="H115" s="9"/>
      <c r="I115" s="9"/>
      <c r="J115" s="9"/>
      <c r="K115" s="9"/>
      <c r="L115" s="9"/>
      <c r="AE115">
        <f t="shared" si="21"/>
        <v>86</v>
      </c>
      <c r="AF115" t="s">
        <v>77</v>
      </c>
      <c r="AG115" s="13">
        <f t="shared" si="20"/>
        <v>42377</v>
      </c>
      <c r="AH115" s="13">
        <v>42517</v>
      </c>
      <c r="AI115" s="13">
        <v>42237</v>
      </c>
      <c r="AJ115" s="11">
        <v>0.16307776370407268</v>
      </c>
      <c r="AK115" s="11">
        <v>3.5498691073215345E-6</v>
      </c>
      <c r="AL115" s="11">
        <v>5.53169153748082E-2</v>
      </c>
      <c r="AM115" s="11">
        <v>4.6132052888960785E-6</v>
      </c>
      <c r="AN115" s="11">
        <v>0.30509758766213918</v>
      </c>
      <c r="AO115" s="11">
        <v>0.22344075201272268</v>
      </c>
      <c r="AP115" s="11">
        <v>8.6107404559077489E-5</v>
      </c>
      <c r="AQ115" s="11">
        <v>5.650393036487103E-2</v>
      </c>
      <c r="AR115" s="11">
        <v>1.2937498334153598E-6</v>
      </c>
      <c r="AS115" s="11">
        <v>7.7512608759256413E-6</v>
      </c>
      <c r="AT115" s="11">
        <v>0.1964597353917216</v>
      </c>
      <c r="AU115">
        <v>0.98186205021537387</v>
      </c>
      <c r="AW115">
        <f t="shared" si="18"/>
        <v>0</v>
      </c>
      <c r="AX115">
        <v>112</v>
      </c>
      <c r="AY115" s="4">
        <f t="shared" si="16"/>
        <v>42426</v>
      </c>
      <c r="AZ115" s="6">
        <f t="shared" si="17"/>
        <v>-4.1196380241554476</v>
      </c>
      <c r="BA115" s="4">
        <v>42426</v>
      </c>
      <c r="BB115" s="6">
        <v>-2.9933109999999998</v>
      </c>
      <c r="BC115" s="6">
        <v>-6.2452139999999998</v>
      </c>
      <c r="BD115" s="6">
        <v>-5.3315279999999996</v>
      </c>
      <c r="BE115" s="6">
        <v>-3.1490339999999999</v>
      </c>
      <c r="BF115" s="6">
        <v>-8.558154</v>
      </c>
      <c r="BG115" s="6">
        <v>-3.142487</v>
      </c>
      <c r="BH115" s="6">
        <v>-5.812411</v>
      </c>
      <c r="BI115" s="6">
        <v>0.55195000000000005</v>
      </c>
      <c r="BJ115" s="6">
        <v>-1.9639770000000001</v>
      </c>
      <c r="BK115" s="6">
        <v>-7.4204800000000004</v>
      </c>
      <c r="BL115" s="4">
        <v>42426</v>
      </c>
      <c r="BM115" s="6">
        <f>VLOOKUP(BL115,Sheet1!$A$2:$E$1114,2,FALSE)</f>
        <v>1.829162374341136</v>
      </c>
      <c r="BN115" s="6">
        <f t="shared" si="19"/>
        <v>-4.1196380241554476</v>
      </c>
    </row>
    <row r="116" spans="1:66" x14ac:dyDescent="0.3">
      <c r="A116" s="4"/>
      <c r="B116" s="6"/>
      <c r="C116" s="9"/>
      <c r="D116" s="9"/>
      <c r="E116" s="9"/>
      <c r="F116" s="9"/>
      <c r="G116" s="9"/>
      <c r="H116" s="9"/>
      <c r="I116" s="9"/>
      <c r="J116" s="9"/>
      <c r="K116" s="9"/>
      <c r="L116" s="9"/>
      <c r="AE116">
        <f t="shared" si="21"/>
        <v>87</v>
      </c>
      <c r="AF116" t="s">
        <v>77</v>
      </c>
      <c r="AG116" s="13">
        <f t="shared" si="20"/>
        <v>42384</v>
      </c>
      <c r="AH116" s="13">
        <v>42524</v>
      </c>
      <c r="AI116" s="13">
        <v>42244</v>
      </c>
      <c r="AJ116" s="11">
        <v>0.16158808180749837</v>
      </c>
      <c r="AK116" s="11">
        <v>3.6769396634088329E-7</v>
      </c>
      <c r="AL116" s="11">
        <v>9.1616746764392798E-2</v>
      </c>
      <c r="AM116" s="11">
        <v>5.2613126408793869E-7</v>
      </c>
      <c r="AN116" s="11">
        <v>0.29318606534246311</v>
      </c>
      <c r="AO116" s="11">
        <v>0.18926682566797354</v>
      </c>
      <c r="AP116" s="11">
        <v>3.501941237014206E-4</v>
      </c>
      <c r="AQ116" s="11">
        <v>5.4955628100472081E-2</v>
      </c>
      <c r="AR116" s="11">
        <v>1.2009014645728758E-7</v>
      </c>
      <c r="AS116" s="11">
        <v>9.8260186986692639E-7</v>
      </c>
      <c r="AT116" s="11">
        <v>0.20903446167625198</v>
      </c>
      <c r="AU116">
        <v>0.97923890296556937</v>
      </c>
      <c r="AW116">
        <f t="shared" si="18"/>
        <v>0</v>
      </c>
      <c r="AX116">
        <v>113</v>
      </c>
      <c r="AY116" s="4">
        <f t="shared" si="16"/>
        <v>42433</v>
      </c>
      <c r="AZ116" s="6">
        <f t="shared" si="17"/>
        <v>0.90462191006204229</v>
      </c>
      <c r="BA116" s="4">
        <v>42433</v>
      </c>
      <c r="BB116" s="6">
        <v>7.2801400000000003</v>
      </c>
      <c r="BC116" s="6">
        <v>-0.40238499999999999</v>
      </c>
      <c r="BD116" s="6">
        <v>-1.038208</v>
      </c>
      <c r="BE116" s="6">
        <v>2.2644829999999998</v>
      </c>
      <c r="BF116" s="6">
        <v>-4.543463</v>
      </c>
      <c r="BG116" s="6">
        <v>3.1307260000000001</v>
      </c>
      <c r="BH116" s="6">
        <v>-1.7305489999999999</v>
      </c>
      <c r="BI116" s="6">
        <v>5.2801280000000004</v>
      </c>
      <c r="BJ116" s="6">
        <v>0.69212600000000002</v>
      </c>
      <c r="BK116" s="6">
        <v>-1.6376189999999999</v>
      </c>
      <c r="BL116" s="4">
        <v>42433</v>
      </c>
      <c r="BM116" s="6">
        <f>VLOOKUP(BL116,Sheet1!$A$2:$E$1114,2,FALSE)</f>
        <v>1.8457093779500371</v>
      </c>
      <c r="BN116" s="6">
        <f t="shared" si="19"/>
        <v>0.90462191006204229</v>
      </c>
    </row>
    <row r="117" spans="1:66" x14ac:dyDescent="0.3">
      <c r="A117" s="4"/>
      <c r="B117" s="6"/>
      <c r="C117" s="9"/>
      <c r="D117" s="9"/>
      <c r="E117" s="9"/>
      <c r="F117" s="9"/>
      <c r="G117" s="9"/>
      <c r="H117" s="9"/>
      <c r="I117" s="9"/>
      <c r="J117" s="9"/>
      <c r="K117" s="9"/>
      <c r="L117" s="9"/>
      <c r="AE117">
        <f t="shared" si="21"/>
        <v>88</v>
      </c>
      <c r="AF117" t="s">
        <v>77</v>
      </c>
      <c r="AG117" s="13">
        <f t="shared" si="20"/>
        <v>42389</v>
      </c>
      <c r="AH117" s="13">
        <v>42529</v>
      </c>
      <c r="AI117" s="13">
        <v>42249</v>
      </c>
      <c r="AJ117" s="11">
        <v>0.15336468310807114</v>
      </c>
      <c r="AK117" s="11">
        <v>8.35327425752708E-6</v>
      </c>
      <c r="AL117" s="11">
        <v>8.3887820179934607E-5</v>
      </c>
      <c r="AM117" s="11">
        <v>1.6780888082516718E-5</v>
      </c>
      <c r="AN117" s="11">
        <v>0.34049564175903618</v>
      </c>
      <c r="AO117" s="11">
        <v>0.19348537290049475</v>
      </c>
      <c r="AP117" s="11">
        <v>1.6071357256411279E-2</v>
      </c>
      <c r="AQ117" s="11">
        <v>0.10092291548494756</v>
      </c>
      <c r="AR117" s="11">
        <v>3.5270725691644603E-6</v>
      </c>
      <c r="AS117" s="11">
        <v>1.5229579000959483E-5</v>
      </c>
      <c r="AT117" s="11">
        <v>0.19553225085694906</v>
      </c>
      <c r="AU117">
        <v>0.98120122305405355</v>
      </c>
      <c r="AW117">
        <f t="shared" si="18"/>
        <v>0</v>
      </c>
      <c r="AX117">
        <v>114</v>
      </c>
      <c r="AY117" s="4">
        <f t="shared" si="16"/>
        <v>42440</v>
      </c>
      <c r="AZ117" s="6">
        <f t="shared" si="17"/>
        <v>-1.8382760463732439</v>
      </c>
      <c r="BA117" s="4">
        <v>42440</v>
      </c>
      <c r="BB117" s="6">
        <v>-2.8781659999999998</v>
      </c>
      <c r="BC117" s="6">
        <v>-1.505976</v>
      </c>
      <c r="BD117" s="6">
        <v>-1.278918</v>
      </c>
      <c r="BE117" s="6">
        <v>-2.8684319999999999</v>
      </c>
      <c r="BF117" s="6">
        <v>-0.54872799999999999</v>
      </c>
      <c r="BG117" s="6">
        <v>-1.94448</v>
      </c>
      <c r="BH117" s="6">
        <v>-0.80207300000000004</v>
      </c>
      <c r="BI117" s="6">
        <v>-4.1345320000000001</v>
      </c>
      <c r="BJ117" s="6">
        <v>-2.1126049999999998</v>
      </c>
      <c r="BK117" s="6">
        <v>0.19833200000000001</v>
      </c>
      <c r="BL117" s="4">
        <v>42440</v>
      </c>
      <c r="BM117" s="6">
        <f>VLOOKUP(BL117,Sheet1!$A$2:$E$1114,2,FALSE)</f>
        <v>1.811780144569517</v>
      </c>
      <c r="BN117" s="6">
        <f t="shared" si="19"/>
        <v>-1.8382760463732439</v>
      </c>
    </row>
    <row r="118" spans="1:66" x14ac:dyDescent="0.3">
      <c r="A118" s="4"/>
      <c r="B118" s="6"/>
      <c r="C118" s="9"/>
      <c r="D118" s="9"/>
      <c r="E118" s="9"/>
      <c r="F118" s="9"/>
      <c r="G118" s="9"/>
      <c r="H118" s="9"/>
      <c r="I118" s="9"/>
      <c r="J118" s="9"/>
      <c r="K118" s="9"/>
      <c r="L118" s="9"/>
      <c r="AE118">
        <f t="shared" si="21"/>
        <v>89</v>
      </c>
      <c r="AF118" t="s">
        <v>77</v>
      </c>
      <c r="AG118" s="13">
        <f t="shared" si="20"/>
        <v>42398</v>
      </c>
      <c r="AH118" s="13">
        <v>42538</v>
      </c>
      <c r="AI118" s="13">
        <v>42258</v>
      </c>
      <c r="AJ118" s="11">
        <v>0.1381539021207594</v>
      </c>
      <c r="AK118" s="11">
        <v>8.6890882911351411E-6</v>
      </c>
      <c r="AL118" s="11">
        <v>4.0063524657823309E-5</v>
      </c>
      <c r="AM118" s="11">
        <v>6.1183047100950459E-5</v>
      </c>
      <c r="AN118" s="11">
        <v>0.33598697028982905</v>
      </c>
      <c r="AO118" s="11">
        <v>0.22363729741942934</v>
      </c>
      <c r="AP118" s="11">
        <v>1.0673550676634827E-2</v>
      </c>
      <c r="AQ118" s="11">
        <v>9.7378060460280219E-2</v>
      </c>
      <c r="AR118" s="11">
        <v>3.7048235179250025E-6</v>
      </c>
      <c r="AS118" s="11">
        <v>2.5388505003997714E-5</v>
      </c>
      <c r="AT118" s="11">
        <v>0.19403119004449543</v>
      </c>
      <c r="AU118">
        <v>0.97896215160589817</v>
      </c>
      <c r="AW118">
        <f t="shared" si="18"/>
        <v>0</v>
      </c>
      <c r="AX118">
        <v>115</v>
      </c>
      <c r="AY118" s="4">
        <f t="shared" si="16"/>
        <v>42447</v>
      </c>
      <c r="AZ118" s="6">
        <f t="shared" si="17"/>
        <v>6.816511543380277</v>
      </c>
      <c r="BA118" s="4">
        <v>42447</v>
      </c>
      <c r="BB118" s="6">
        <v>4.2998339999999997</v>
      </c>
      <c r="BC118" s="6">
        <v>7.944763</v>
      </c>
      <c r="BD118" s="6">
        <v>8.4262809999999995</v>
      </c>
      <c r="BE118" s="6">
        <v>7.4280010000000001</v>
      </c>
      <c r="BF118" s="6">
        <v>11.566554999999999</v>
      </c>
      <c r="BG118" s="6">
        <v>4.9796579999999997</v>
      </c>
      <c r="BH118" s="6">
        <v>8.0712390000000003</v>
      </c>
      <c r="BI118" s="6">
        <v>4.3046720000000001</v>
      </c>
      <c r="BJ118" s="6">
        <v>5.9445790000000001</v>
      </c>
      <c r="BK118" s="6">
        <v>7.5492520000000001</v>
      </c>
      <c r="BL118" s="4">
        <v>42447</v>
      </c>
      <c r="BM118" s="6">
        <f>VLOOKUP(BL118,Sheet1!$A$2:$E$1114,2,FALSE)</f>
        <v>1.9352803472647699</v>
      </c>
      <c r="BN118" s="6">
        <f t="shared" si="19"/>
        <v>6.816511543380277</v>
      </c>
    </row>
    <row r="119" spans="1:66" x14ac:dyDescent="0.3">
      <c r="A119" s="4"/>
      <c r="B119" s="6"/>
      <c r="C119" s="9"/>
      <c r="D119" s="9"/>
      <c r="E119" s="9"/>
      <c r="F119" s="9"/>
      <c r="G119" s="9"/>
      <c r="H119" s="9"/>
      <c r="I119" s="9"/>
      <c r="J119" s="9"/>
      <c r="K119" s="9"/>
      <c r="L119" s="9"/>
      <c r="AE119">
        <f t="shared" si="21"/>
        <v>90</v>
      </c>
      <c r="AF119" t="s">
        <v>77</v>
      </c>
      <c r="AG119" s="13">
        <f t="shared" si="20"/>
        <v>42405</v>
      </c>
      <c r="AH119" s="13">
        <v>42545</v>
      </c>
      <c r="AI119" s="13">
        <v>42265</v>
      </c>
      <c r="AJ119" s="11">
        <v>0.15148964486989597</v>
      </c>
      <c r="AK119" s="11">
        <v>9.8975440826581625E-6</v>
      </c>
      <c r="AL119" s="11">
        <v>6.4837556104086922E-5</v>
      </c>
      <c r="AM119" s="11">
        <v>4.9776123557256399E-5</v>
      </c>
      <c r="AN119" s="11">
        <v>0.32331443073410931</v>
      </c>
      <c r="AO119" s="11">
        <v>0.23455193780677117</v>
      </c>
      <c r="AP119" s="11">
        <v>9.7912881917063977E-3</v>
      </c>
      <c r="AQ119" s="11">
        <v>8.9805239303066248E-2</v>
      </c>
      <c r="AR119" s="11">
        <v>3.6791252159369253E-6</v>
      </c>
      <c r="AS119" s="11">
        <v>2.3810391513578499E-5</v>
      </c>
      <c r="AT119" s="11">
        <v>0.19089545835397739</v>
      </c>
      <c r="AU119">
        <v>0.97882709766345566</v>
      </c>
      <c r="AW119">
        <f t="shared" si="18"/>
        <v>0</v>
      </c>
      <c r="AX119">
        <v>116</v>
      </c>
      <c r="AY119" s="4">
        <f t="shared" si="16"/>
        <v>42454</v>
      </c>
      <c r="AZ119" s="6">
        <f t="shared" si="17"/>
        <v>1.2111484060033373</v>
      </c>
      <c r="BA119" s="4">
        <v>42454</v>
      </c>
      <c r="BB119" s="6">
        <v>1.048171</v>
      </c>
      <c r="BC119" s="6">
        <v>2.380398</v>
      </c>
      <c r="BD119" s="6">
        <v>2.749619</v>
      </c>
      <c r="BE119" s="6">
        <v>0.74612500000000004</v>
      </c>
      <c r="BF119" s="6">
        <v>2.671427</v>
      </c>
      <c r="BG119" s="6">
        <v>3.0520320000000001</v>
      </c>
      <c r="BH119" s="6">
        <v>1.0031639999999999</v>
      </c>
      <c r="BI119" s="6">
        <v>-1.4476899999999999</v>
      </c>
      <c r="BJ119" s="6">
        <v>0.93570699999999996</v>
      </c>
      <c r="BK119" s="6">
        <v>1.141378</v>
      </c>
      <c r="BL119" s="4">
        <v>42454</v>
      </c>
      <c r="BM119" s="6">
        <f>VLOOKUP(BL119,Sheet1!$A$2:$E$1114,2,FALSE)</f>
        <v>1.9587194643423631</v>
      </c>
      <c r="BN119" s="6">
        <f t="shared" si="19"/>
        <v>1.2111484060033373</v>
      </c>
    </row>
    <row r="120" spans="1:66" x14ac:dyDescent="0.3">
      <c r="A120" s="4"/>
      <c r="B120" s="6"/>
      <c r="C120" s="9"/>
      <c r="D120" s="9"/>
      <c r="E120" s="9"/>
      <c r="F120" s="9"/>
      <c r="G120" s="9"/>
      <c r="H120" s="9"/>
      <c r="I120" s="9"/>
      <c r="J120" s="9"/>
      <c r="K120" s="9"/>
      <c r="L120" s="9"/>
      <c r="AE120">
        <f t="shared" si="21"/>
        <v>91</v>
      </c>
      <c r="AF120" t="s">
        <v>77</v>
      </c>
      <c r="AG120" s="13">
        <f t="shared" si="20"/>
        <v>42412</v>
      </c>
      <c r="AH120" s="13">
        <v>42552</v>
      </c>
      <c r="AI120" s="13">
        <v>42272</v>
      </c>
      <c r="AJ120" s="11">
        <v>0.14693451830830637</v>
      </c>
      <c r="AK120" s="11">
        <v>9.4668186879767123E-6</v>
      </c>
      <c r="AL120" s="11">
        <v>7.8386383545176364E-5</v>
      </c>
      <c r="AM120" s="11">
        <v>6.1529836522525091E-5</v>
      </c>
      <c r="AN120" s="11">
        <v>0.32054544647033339</v>
      </c>
      <c r="AO120" s="11">
        <v>0.23735569272428378</v>
      </c>
      <c r="AP120" s="11">
        <v>1.4520998066375367E-2</v>
      </c>
      <c r="AQ120" s="11">
        <v>9.2251785557510152E-2</v>
      </c>
      <c r="AR120" s="11">
        <v>3.7468003554526717E-6</v>
      </c>
      <c r="AS120" s="11">
        <v>2.141970835333423E-5</v>
      </c>
      <c r="AT120" s="11">
        <v>0.18821700932572655</v>
      </c>
      <c r="AU120">
        <v>0.97862722388482459</v>
      </c>
      <c r="AW120">
        <f t="shared" si="18"/>
        <v>0</v>
      </c>
      <c r="AX120">
        <v>117</v>
      </c>
      <c r="AY120" s="4">
        <f t="shared" si="16"/>
        <v>42461</v>
      </c>
      <c r="AZ120" s="6">
        <f t="shared" si="17"/>
        <v>1.0965508061701046</v>
      </c>
      <c r="BA120" s="4">
        <v>42461</v>
      </c>
      <c r="BB120" s="6">
        <v>0.41044599999999998</v>
      </c>
      <c r="BC120" s="6">
        <v>0.98963299999999998</v>
      </c>
      <c r="BD120" s="6">
        <v>0.47461999999999999</v>
      </c>
      <c r="BE120" s="6">
        <v>1.9782740000000001</v>
      </c>
      <c r="BF120" s="6">
        <v>0.108254</v>
      </c>
      <c r="BG120" s="6">
        <v>0.82906800000000003</v>
      </c>
      <c r="BH120" s="6">
        <v>0.41332400000000002</v>
      </c>
      <c r="BI120" s="6">
        <v>2.4661629999999999</v>
      </c>
      <c r="BJ120" s="6">
        <v>1.2801149999999999</v>
      </c>
      <c r="BK120" s="6">
        <v>1.4317709999999999</v>
      </c>
      <c r="BL120" s="4">
        <v>42461</v>
      </c>
      <c r="BM120" s="6">
        <f>VLOOKUP(BL120,Sheet1!$A$2:$E$1114,2,FALSE)</f>
        <v>1.9801978184192199</v>
      </c>
      <c r="BN120" s="6">
        <f t="shared" si="19"/>
        <v>1.0965508061701046</v>
      </c>
    </row>
    <row r="121" spans="1:66" x14ac:dyDescent="0.3">
      <c r="A121" s="4"/>
      <c r="B121" s="6"/>
      <c r="C121" s="9"/>
      <c r="D121" s="9"/>
      <c r="E121" s="9"/>
      <c r="F121" s="9"/>
      <c r="G121" s="9"/>
      <c r="H121" s="9"/>
      <c r="I121" s="9"/>
      <c r="J121" s="9"/>
      <c r="K121" s="9"/>
      <c r="L121" s="9"/>
      <c r="AE121">
        <f t="shared" si="21"/>
        <v>92</v>
      </c>
      <c r="AF121" t="s">
        <v>77</v>
      </c>
      <c r="AG121" s="13">
        <f t="shared" si="20"/>
        <v>42418</v>
      </c>
      <c r="AH121" s="13">
        <v>42559</v>
      </c>
      <c r="AI121" s="13">
        <v>42277</v>
      </c>
      <c r="AJ121" s="11">
        <v>9.8347790968003793E-2</v>
      </c>
      <c r="AK121" s="11">
        <v>1.9534418956083496E-5</v>
      </c>
      <c r="AL121" s="11">
        <v>4.5997460698428713E-5</v>
      </c>
      <c r="AM121" s="11">
        <v>3.9069556643810344E-2</v>
      </c>
      <c r="AN121" s="11">
        <v>0.28476475741213403</v>
      </c>
      <c r="AO121" s="11">
        <v>0.27988699631065861</v>
      </c>
      <c r="AP121" s="11">
        <v>2.5917187897187211E-2</v>
      </c>
      <c r="AQ121" s="11">
        <v>9.2688203894824656E-2</v>
      </c>
      <c r="AR121" s="11">
        <v>8.138424912651074E-6</v>
      </c>
      <c r="AS121" s="11">
        <v>2.7009683536076595E-5</v>
      </c>
      <c r="AT121" s="11">
        <v>0.17922482688527816</v>
      </c>
      <c r="AU121">
        <v>0.97600544887939789</v>
      </c>
      <c r="AW121">
        <f t="shared" si="18"/>
        <v>0</v>
      </c>
      <c r="AX121">
        <v>118</v>
      </c>
      <c r="AY121" s="4">
        <f t="shared" si="16"/>
        <v>42468</v>
      </c>
      <c r="AZ121" s="6">
        <f t="shared" si="17"/>
        <v>8.8696697843815286E-2</v>
      </c>
      <c r="BA121" s="4">
        <v>42468</v>
      </c>
      <c r="BB121" s="6">
        <v>-1.6971769999999999</v>
      </c>
      <c r="BC121" s="6">
        <v>0.23616000000000001</v>
      </c>
      <c r="BD121" s="6">
        <v>0.53257600000000005</v>
      </c>
      <c r="BE121" s="6">
        <v>0.59467300000000001</v>
      </c>
      <c r="BF121" s="6">
        <v>0.64824300000000001</v>
      </c>
      <c r="BG121" s="6">
        <v>4.8993000000000002E-2</v>
      </c>
      <c r="BH121" s="6">
        <v>0.82990699999999995</v>
      </c>
      <c r="BI121" s="6">
        <v>-0.13865</v>
      </c>
      <c r="BJ121" s="6">
        <v>-0.770563</v>
      </c>
      <c r="BK121" s="6">
        <v>-5.9672999999999997E-2</v>
      </c>
      <c r="BL121" s="4">
        <v>42468</v>
      </c>
      <c r="BM121" s="6">
        <f>VLOOKUP(BL121,Sheet1!$A$2:$E$1114,2,FALSE)</f>
        <v>1.981954188494933</v>
      </c>
      <c r="BN121" s="6">
        <f t="shared" si="19"/>
        <v>8.8696697843815286E-2</v>
      </c>
    </row>
    <row r="122" spans="1:66" x14ac:dyDescent="0.3">
      <c r="A122" s="4"/>
      <c r="B122" s="6"/>
      <c r="C122" s="9"/>
      <c r="D122" s="9"/>
      <c r="E122" s="9"/>
      <c r="F122" s="9"/>
      <c r="G122" s="9"/>
      <c r="H122" s="9"/>
      <c r="I122" s="9"/>
      <c r="J122" s="9"/>
      <c r="K122" s="9"/>
      <c r="L122" s="9"/>
      <c r="AE122">
        <f t="shared" si="21"/>
        <v>93</v>
      </c>
      <c r="AF122" t="s">
        <v>77</v>
      </c>
      <c r="AG122" s="13">
        <f t="shared" si="20"/>
        <v>42426</v>
      </c>
      <c r="AH122" s="13">
        <v>42566</v>
      </c>
      <c r="AI122" s="13">
        <v>42286</v>
      </c>
      <c r="AJ122" s="11">
        <v>9.3298676693833904E-2</v>
      </c>
      <c r="AK122" s="11">
        <v>1.7099575361524111E-5</v>
      </c>
      <c r="AL122" s="11">
        <v>4.5982891824239235E-5</v>
      </c>
      <c r="AM122" s="11">
        <v>2.6313041823448145E-2</v>
      </c>
      <c r="AN122" s="11">
        <v>0.28339355425678453</v>
      </c>
      <c r="AO122" s="11">
        <v>0.28664837101430135</v>
      </c>
      <c r="AP122" s="11">
        <v>3.1329447438651924E-2</v>
      </c>
      <c r="AQ122" s="11">
        <v>0.10409413831442418</v>
      </c>
      <c r="AR122" s="11">
        <v>7.3520884061471465E-6</v>
      </c>
      <c r="AS122" s="11">
        <v>2.561384169067464E-5</v>
      </c>
      <c r="AT122" s="11">
        <v>0.17482672206127345</v>
      </c>
      <c r="AU122">
        <v>0.97605008585444353</v>
      </c>
      <c r="AW122">
        <f t="shared" si="18"/>
        <v>0</v>
      </c>
      <c r="AX122">
        <v>119</v>
      </c>
      <c r="AY122" s="4">
        <f t="shared" si="16"/>
        <v>42475</v>
      </c>
      <c r="AZ122" s="6">
        <f t="shared" si="17"/>
        <v>2.8916799512705094</v>
      </c>
      <c r="BA122" s="4">
        <v>42475</v>
      </c>
      <c r="BB122" s="6">
        <v>3.1488139999999998</v>
      </c>
      <c r="BC122" s="6">
        <v>3.3270879999999998</v>
      </c>
      <c r="BD122" s="6">
        <v>3.4601899999999999</v>
      </c>
      <c r="BE122" s="6">
        <v>4.2227449999999997</v>
      </c>
      <c r="BF122" s="6">
        <v>3.4374189999999998</v>
      </c>
      <c r="BG122" s="6">
        <v>2.0950449999999998</v>
      </c>
      <c r="BH122" s="6">
        <v>3.1523680000000001</v>
      </c>
      <c r="BI122" s="6">
        <v>5.255782</v>
      </c>
      <c r="BJ122" s="6">
        <v>2.070252</v>
      </c>
      <c r="BK122" s="6">
        <v>3.9516559999999998</v>
      </c>
      <c r="BL122" s="4">
        <v>42475</v>
      </c>
      <c r="BM122" s="6">
        <f>VLOOKUP(BL122,Sheet1!$A$2:$E$1114,2,FALSE)</f>
        <v>2.0392659604070071</v>
      </c>
      <c r="BN122" s="6">
        <f t="shared" si="19"/>
        <v>2.8916799512705094</v>
      </c>
    </row>
    <row r="123" spans="1:66" x14ac:dyDescent="0.3">
      <c r="A123" s="4"/>
      <c r="B123" s="6"/>
      <c r="C123" s="9"/>
      <c r="D123" s="9"/>
      <c r="E123" s="9"/>
      <c r="F123" s="9"/>
      <c r="G123" s="9"/>
      <c r="H123" s="9"/>
      <c r="I123" s="9"/>
      <c r="J123" s="9"/>
      <c r="K123" s="9"/>
      <c r="L123" s="9"/>
      <c r="AE123">
        <f t="shared" si="21"/>
        <v>94</v>
      </c>
      <c r="AF123" t="s">
        <v>77</v>
      </c>
      <c r="AG123" s="13">
        <f t="shared" si="20"/>
        <v>42433</v>
      </c>
      <c r="AH123" s="13">
        <v>42573</v>
      </c>
      <c r="AI123" s="13">
        <v>42293</v>
      </c>
      <c r="AJ123" s="11">
        <v>9.1188161349953542E-2</v>
      </c>
      <c r="AK123" s="11">
        <v>1.7776170334204116E-5</v>
      </c>
      <c r="AL123" s="11">
        <v>4.0899799599596166E-5</v>
      </c>
      <c r="AM123" s="11">
        <v>2.9505130260258122E-2</v>
      </c>
      <c r="AN123" s="11">
        <v>0.27980121525472673</v>
      </c>
      <c r="AO123" s="11">
        <v>0.28753698803365291</v>
      </c>
      <c r="AP123" s="11">
        <v>3.5031636391784748E-2</v>
      </c>
      <c r="AQ123" s="11">
        <v>0.1058855250202569</v>
      </c>
      <c r="AR123" s="11">
        <v>8.0720162010765114E-6</v>
      </c>
      <c r="AS123" s="11">
        <v>2.6568011911869712E-5</v>
      </c>
      <c r="AT123" s="11">
        <v>0.17095802769132043</v>
      </c>
      <c r="AU123">
        <v>0.97575975627273881</v>
      </c>
      <c r="AW123">
        <f t="shared" si="18"/>
        <v>0</v>
      </c>
      <c r="AX123">
        <v>120</v>
      </c>
      <c r="AY123" s="4">
        <f t="shared" si="16"/>
        <v>42482</v>
      </c>
      <c r="AZ123" s="6">
        <f t="shared" si="17"/>
        <v>-3.9265067363950856</v>
      </c>
      <c r="BA123" s="4">
        <v>42482</v>
      </c>
      <c r="BB123" s="6">
        <v>-1.6682969999999999</v>
      </c>
      <c r="BC123" s="6">
        <v>-6.1561769999999996</v>
      </c>
      <c r="BD123" s="6">
        <v>-5.2655830000000003</v>
      </c>
      <c r="BE123" s="6">
        <v>-4.872376</v>
      </c>
      <c r="BF123" s="6">
        <v>-6.9161890000000001</v>
      </c>
      <c r="BG123" s="6">
        <v>-3.5310190000000001</v>
      </c>
      <c r="BH123" s="6">
        <v>-5.6503069999999997</v>
      </c>
      <c r="BI123" s="6">
        <v>-3.1400700000000001</v>
      </c>
      <c r="BJ123" s="6">
        <v>-4.4008099999999999</v>
      </c>
      <c r="BK123" s="6">
        <v>-5.4094569999999997</v>
      </c>
      <c r="BL123" s="4">
        <v>42482</v>
      </c>
      <c r="BM123" s="6">
        <f>VLOOKUP(BL123,Sheet1!$A$2:$E$1114,2,FALSE)</f>
        <v>1.9591940450986141</v>
      </c>
      <c r="BN123" s="6">
        <f t="shared" si="19"/>
        <v>-3.9265067363950856</v>
      </c>
    </row>
    <row r="124" spans="1:66" x14ac:dyDescent="0.3">
      <c r="AE124">
        <f t="shared" si="21"/>
        <v>95</v>
      </c>
      <c r="AF124" t="s">
        <v>77</v>
      </c>
      <c r="AG124" s="13">
        <f t="shared" si="20"/>
        <v>42440</v>
      </c>
      <c r="AH124" s="13">
        <v>42580</v>
      </c>
      <c r="AI124" s="13">
        <v>42300</v>
      </c>
      <c r="AJ124" s="11">
        <v>9.3451576262236768E-2</v>
      </c>
      <c r="AK124" s="11">
        <v>1.5741168325159221E-5</v>
      </c>
      <c r="AL124" s="11">
        <v>3.6156352594123329E-5</v>
      </c>
      <c r="AM124" s="11">
        <v>2.515765295367843E-2</v>
      </c>
      <c r="AN124" s="11">
        <v>0.25287872689761343</v>
      </c>
      <c r="AO124" s="11">
        <v>0.28719890281989341</v>
      </c>
      <c r="AP124" s="11">
        <v>7.0996982556546101E-2</v>
      </c>
      <c r="AQ124" s="11">
        <v>0.10016489840623478</v>
      </c>
      <c r="AR124" s="11">
        <v>6.8258107302824471E-6</v>
      </c>
      <c r="AS124" s="11">
        <v>2.024221476591132E-5</v>
      </c>
      <c r="AT124" s="11">
        <v>0.17007229455738157</v>
      </c>
      <c r="AU124">
        <v>0.97336955095246802</v>
      </c>
      <c r="AW124">
        <f t="shared" si="18"/>
        <v>0</v>
      </c>
      <c r="AX124">
        <v>121</v>
      </c>
      <c r="AY124" s="4">
        <f t="shared" si="16"/>
        <v>42489</v>
      </c>
      <c r="AZ124" s="6">
        <f t="shared" si="17"/>
        <v>0.53300875448039076</v>
      </c>
      <c r="BA124" s="4">
        <v>42489</v>
      </c>
      <c r="BB124" s="6">
        <v>-1.027995</v>
      </c>
      <c r="BC124" s="6">
        <v>-0.59851900000000002</v>
      </c>
      <c r="BD124" s="6">
        <v>0.192658</v>
      </c>
      <c r="BE124" s="6">
        <v>-0.539547</v>
      </c>
      <c r="BF124" s="6">
        <v>-0.20668400000000001</v>
      </c>
      <c r="BG124" s="6">
        <v>1.7150639999999999</v>
      </c>
      <c r="BH124" s="6">
        <v>-1.2553E-2</v>
      </c>
      <c r="BI124" s="6">
        <v>0.129218</v>
      </c>
      <c r="BJ124" s="6">
        <v>-0.44642900000000002</v>
      </c>
      <c r="BK124" s="6">
        <v>-5.2699999999999997E-2</v>
      </c>
      <c r="BL124" s="4">
        <v>42489</v>
      </c>
      <c r="BM124" s="6">
        <f>VLOOKUP(BL124,Sheet1!$A$2:$E$1114,2,FALSE)</f>
        <v>1.969636720876248</v>
      </c>
      <c r="BN124" s="6">
        <f t="shared" si="19"/>
        <v>0.53300875448039076</v>
      </c>
    </row>
    <row r="125" spans="1:66" x14ac:dyDescent="0.3">
      <c r="AE125">
        <f t="shared" si="21"/>
        <v>96</v>
      </c>
      <c r="AF125" t="s">
        <v>77</v>
      </c>
      <c r="AG125" s="13">
        <f t="shared" si="20"/>
        <v>42447</v>
      </c>
      <c r="AH125" s="13">
        <v>42587</v>
      </c>
      <c r="AI125" s="13">
        <v>42307</v>
      </c>
      <c r="AJ125" s="11">
        <v>0.10672733588880921</v>
      </c>
      <c r="AK125" s="11">
        <v>2.2840222055691788E-5</v>
      </c>
      <c r="AL125" s="11">
        <v>4.6595258996656204E-5</v>
      </c>
      <c r="AM125" s="11">
        <v>3.8220786444443093E-2</v>
      </c>
      <c r="AN125" s="11">
        <v>0.2395903561954866</v>
      </c>
      <c r="AO125" s="11">
        <v>0.25810614875058202</v>
      </c>
      <c r="AP125" s="11">
        <v>9.6226287118722081E-2</v>
      </c>
      <c r="AQ125" s="11">
        <v>9.0307448574337187E-2</v>
      </c>
      <c r="AR125" s="11">
        <v>9.7920855276813138E-6</v>
      </c>
      <c r="AS125" s="11">
        <v>3.9378639547891535E-5</v>
      </c>
      <c r="AT125" s="11">
        <v>0.17070303082149191</v>
      </c>
      <c r="AU125">
        <v>0.97309425778410596</v>
      </c>
      <c r="AW125">
        <f t="shared" si="18"/>
        <v>0</v>
      </c>
      <c r="AX125">
        <v>122</v>
      </c>
      <c r="AY125" s="4">
        <f t="shared" si="16"/>
        <v>42496</v>
      </c>
      <c r="AZ125" s="6">
        <f t="shared" si="17"/>
        <v>-0.60578656885660331</v>
      </c>
      <c r="BA125" s="4">
        <v>42496</v>
      </c>
      <c r="BB125" s="6">
        <v>-1.108679</v>
      </c>
      <c r="BC125" s="6">
        <v>-0.342028</v>
      </c>
      <c r="BD125" s="6">
        <v>-0.40291199999999999</v>
      </c>
      <c r="BE125" s="6">
        <v>-0.89158400000000004</v>
      </c>
      <c r="BF125" s="6">
        <v>0.12853300000000001</v>
      </c>
      <c r="BG125" s="6">
        <v>0.324957</v>
      </c>
      <c r="BH125" s="6">
        <v>-0.227797</v>
      </c>
      <c r="BI125" s="6">
        <v>-3.5219100000000001</v>
      </c>
      <c r="BJ125" s="6">
        <v>-0.94472599999999995</v>
      </c>
      <c r="BK125" s="6">
        <v>-0.77315100000000003</v>
      </c>
      <c r="BL125" s="4">
        <v>42496</v>
      </c>
      <c r="BM125" s="6">
        <f>VLOOKUP(BL125,Sheet1!$A$2:$E$1114,2,FALSE)</f>
        <v>1.9577049261659121</v>
      </c>
      <c r="BN125" s="6">
        <f t="shared" si="19"/>
        <v>-0.60578656885660331</v>
      </c>
    </row>
    <row r="126" spans="1:66" x14ac:dyDescent="0.3">
      <c r="AE126">
        <f t="shared" si="21"/>
        <v>97</v>
      </c>
      <c r="AF126" t="s">
        <v>77</v>
      </c>
      <c r="AG126" s="13">
        <f t="shared" si="20"/>
        <v>42454</v>
      </c>
      <c r="AH126" s="13">
        <v>42594</v>
      </c>
      <c r="AI126" s="13">
        <v>42314</v>
      </c>
      <c r="AJ126" s="11">
        <v>0.10529771935670129</v>
      </c>
      <c r="AK126" s="11">
        <v>2.0808013189107004E-5</v>
      </c>
      <c r="AL126" s="11">
        <v>4.0245816083019424E-5</v>
      </c>
      <c r="AM126" s="11">
        <v>4.1384325247702462E-2</v>
      </c>
      <c r="AN126" s="11">
        <v>0.21496178778286612</v>
      </c>
      <c r="AO126" s="11">
        <v>0.22572646515108388</v>
      </c>
      <c r="AP126" s="11">
        <v>0.14989621506256384</v>
      </c>
      <c r="AQ126" s="11">
        <v>9.4541648065718617E-2</v>
      </c>
      <c r="AR126" s="11">
        <v>9.1071249805294803E-6</v>
      </c>
      <c r="AS126" s="11">
        <v>5.1578785977626583E-5</v>
      </c>
      <c r="AT126" s="11">
        <v>0.16807009959313349</v>
      </c>
      <c r="AU126">
        <v>0.97425046422399775</v>
      </c>
      <c r="AW126">
        <f t="shared" si="18"/>
        <v>0</v>
      </c>
      <c r="AX126">
        <v>123</v>
      </c>
      <c r="AY126" s="4">
        <f t="shared" si="16"/>
        <v>42503</v>
      </c>
      <c r="AZ126" s="6">
        <f t="shared" si="17"/>
        <v>-2.5004465743349469</v>
      </c>
      <c r="BA126" s="4">
        <v>42503</v>
      </c>
      <c r="BB126" s="6">
        <v>-1.9402200000000001</v>
      </c>
      <c r="BC126" s="6">
        <v>-4.5194789999999996</v>
      </c>
      <c r="BD126" s="6">
        <v>-4.3424779999999998</v>
      </c>
      <c r="BE126" s="6">
        <v>-4.8534009999999999</v>
      </c>
      <c r="BF126" s="6">
        <v>-5.2659950000000002</v>
      </c>
      <c r="BG126" s="6">
        <v>0.15626799999999999</v>
      </c>
      <c r="BH126" s="6">
        <v>-2.3864390000000002</v>
      </c>
      <c r="BI126" s="6">
        <v>-5.1799799999999996</v>
      </c>
      <c r="BJ126" s="6">
        <v>-1.9294</v>
      </c>
      <c r="BK126" s="6">
        <v>-4.400207</v>
      </c>
      <c r="BL126" s="4">
        <v>42503</v>
      </c>
      <c r="BM126" s="6">
        <f>VLOOKUP(BL126,Sheet1!$A$2:$E$1114,2,FALSE)</f>
        <v>1.90875356040401</v>
      </c>
      <c r="BN126" s="6">
        <f t="shared" si="19"/>
        <v>-2.5004465743349469</v>
      </c>
    </row>
    <row r="127" spans="1:66" x14ac:dyDescent="0.3">
      <c r="AE127">
        <f t="shared" si="21"/>
        <v>98</v>
      </c>
      <c r="AF127" t="s">
        <v>77</v>
      </c>
      <c r="AG127" s="13">
        <f t="shared" si="20"/>
        <v>42461</v>
      </c>
      <c r="AH127" s="13">
        <v>42601</v>
      </c>
      <c r="AI127" s="13">
        <v>42321</v>
      </c>
      <c r="AJ127" s="11">
        <v>3.7797597459331519E-2</v>
      </c>
      <c r="AK127" s="11">
        <v>2.1769123269799615E-5</v>
      </c>
      <c r="AL127" s="11">
        <v>4.1372173197336487E-5</v>
      </c>
      <c r="AM127" s="11">
        <v>6.0314556638264474E-2</v>
      </c>
      <c r="AN127" s="11">
        <v>0.17841807080927047</v>
      </c>
      <c r="AO127" s="11">
        <v>0.22191804948126168</v>
      </c>
      <c r="AP127" s="11">
        <v>0.21200415059399574</v>
      </c>
      <c r="AQ127" s="11">
        <v>0.10460051202928568</v>
      </c>
      <c r="AR127" s="11">
        <v>8.2209902985782642E-6</v>
      </c>
      <c r="AS127" s="11">
        <v>5.9711632443288107E-5</v>
      </c>
      <c r="AT127" s="11">
        <v>0.18481598906938151</v>
      </c>
      <c r="AU127">
        <v>0.97629346042545329</v>
      </c>
      <c r="AW127">
        <f t="shared" si="18"/>
        <v>0</v>
      </c>
      <c r="AX127">
        <v>124</v>
      </c>
      <c r="AY127" s="4">
        <f t="shared" si="16"/>
        <v>42510</v>
      </c>
      <c r="AZ127" s="6">
        <f t="shared" si="17"/>
        <v>-0.20749450008363812</v>
      </c>
      <c r="BA127" s="4">
        <v>42510</v>
      </c>
      <c r="BB127" s="6">
        <v>0.46430900000000003</v>
      </c>
      <c r="BC127" s="6">
        <v>-0.395866</v>
      </c>
      <c r="BD127" s="6">
        <v>-0.212951</v>
      </c>
      <c r="BE127" s="6">
        <v>0.454015</v>
      </c>
      <c r="BF127" s="6">
        <v>2.4484249999999999</v>
      </c>
      <c r="BG127" s="6">
        <v>-0.99797000000000002</v>
      </c>
      <c r="BH127" s="6">
        <v>0.18423600000000001</v>
      </c>
      <c r="BI127" s="6">
        <v>-6.4126000000000002E-2</v>
      </c>
      <c r="BJ127" s="6">
        <v>-1.023064</v>
      </c>
      <c r="BK127" s="6">
        <v>0.306394</v>
      </c>
      <c r="BL127" s="4">
        <v>42510</v>
      </c>
      <c r="BM127" s="6">
        <f>VLOOKUP(BL127,Sheet1!$A$2:$E$1114,2,FALSE)</f>
        <v>1.9047930017460211</v>
      </c>
      <c r="BN127" s="6">
        <f t="shared" si="19"/>
        <v>-0.20749450008363812</v>
      </c>
    </row>
    <row r="128" spans="1:66" x14ac:dyDescent="0.3">
      <c r="AE128">
        <f t="shared" si="21"/>
        <v>99</v>
      </c>
      <c r="AF128" t="s">
        <v>77</v>
      </c>
      <c r="AG128" s="13">
        <f t="shared" si="20"/>
        <v>42468</v>
      </c>
      <c r="AH128" s="13">
        <v>42608</v>
      </c>
      <c r="AI128" s="13">
        <v>42328</v>
      </c>
      <c r="AJ128" s="11">
        <v>3.9859974813571418E-2</v>
      </c>
      <c r="AK128" s="11">
        <v>2.1499622922398226E-5</v>
      </c>
      <c r="AL128" s="11">
        <v>4.1764474005502995E-5</v>
      </c>
      <c r="AM128" s="11">
        <v>4.4627470377745476E-2</v>
      </c>
      <c r="AN128" s="11">
        <v>0.18983320558530875</v>
      </c>
      <c r="AO128" s="11">
        <v>0.23869041820568576</v>
      </c>
      <c r="AP128" s="11">
        <v>0.19376990810813569</v>
      </c>
      <c r="AQ128" s="11">
        <v>0.11126044992593943</v>
      </c>
      <c r="AR128" s="11">
        <v>7.4907288419614908E-6</v>
      </c>
      <c r="AS128" s="11">
        <v>4.8011241912995127E-5</v>
      </c>
      <c r="AT128" s="11">
        <v>0.18183980691593063</v>
      </c>
      <c r="AU128">
        <v>0.97631209751768244</v>
      </c>
      <c r="AW128">
        <f t="shared" si="18"/>
        <v>0</v>
      </c>
      <c r="AX128">
        <v>125</v>
      </c>
      <c r="AY128" s="4">
        <f t="shared" si="16"/>
        <v>42517</v>
      </c>
      <c r="AZ128" s="6">
        <f t="shared" si="17"/>
        <v>0.46719322320818435</v>
      </c>
      <c r="BA128" s="4">
        <v>42517</v>
      </c>
      <c r="BB128" s="6">
        <v>-0.41223100000000001</v>
      </c>
      <c r="BC128" s="6">
        <v>3.0000000000000001E-6</v>
      </c>
      <c r="BD128" s="6">
        <v>0.45872200000000002</v>
      </c>
      <c r="BE128" s="6">
        <v>4.5078E-2</v>
      </c>
      <c r="BF128" s="6">
        <v>1.278934</v>
      </c>
      <c r="BG128" s="6">
        <v>-1.110106</v>
      </c>
      <c r="BH128" s="6">
        <v>-0.653478</v>
      </c>
      <c r="BI128" s="6">
        <v>-0.12009</v>
      </c>
      <c r="BJ128" s="6">
        <v>-0.60213099999999997</v>
      </c>
      <c r="BK128" s="6">
        <v>0.81413999999999997</v>
      </c>
      <c r="BL128" s="4">
        <v>42517</v>
      </c>
      <c r="BM128" s="6">
        <f>VLOOKUP(BL128,Sheet1!$A$2:$E$1114,2,FALSE)</f>
        <v>1.9136920655663221</v>
      </c>
      <c r="BN128" s="6">
        <f t="shared" si="19"/>
        <v>0.46719322320818435</v>
      </c>
    </row>
    <row r="129" spans="31:66" x14ac:dyDescent="0.3">
      <c r="AE129">
        <f t="shared" si="21"/>
        <v>100</v>
      </c>
      <c r="AF129" t="s">
        <v>77</v>
      </c>
      <c r="AG129" s="13">
        <f t="shared" si="20"/>
        <v>42475</v>
      </c>
      <c r="AH129" s="13">
        <v>42615</v>
      </c>
      <c r="AI129" s="13">
        <v>42335</v>
      </c>
      <c r="AJ129" s="11">
        <v>4.9562625877545827E-2</v>
      </c>
      <c r="AK129" s="11">
        <v>3.2580371843760796E-5</v>
      </c>
      <c r="AL129" s="11">
        <v>7.0488318906540532E-5</v>
      </c>
      <c r="AM129" s="11">
        <v>4.1433107065517297E-2</v>
      </c>
      <c r="AN129" s="11">
        <v>0.15774904244493104</v>
      </c>
      <c r="AO129" s="11">
        <v>0.20498358010181811</v>
      </c>
      <c r="AP129" s="11">
        <v>0.25579184897213836</v>
      </c>
      <c r="AQ129" s="11">
        <v>0.10923930171749438</v>
      </c>
      <c r="AR129" s="11">
        <v>1.2013828955046365E-5</v>
      </c>
      <c r="AS129" s="11">
        <v>3.5046331714120747E-5</v>
      </c>
      <c r="AT129" s="11">
        <v>0.18109036496913566</v>
      </c>
      <c r="AU129">
        <v>0.97786397177056505</v>
      </c>
      <c r="AW129">
        <f t="shared" si="18"/>
        <v>0</v>
      </c>
      <c r="AX129">
        <v>126</v>
      </c>
      <c r="AY129" s="4">
        <f t="shared" si="16"/>
        <v>42524</v>
      </c>
      <c r="AZ129" s="6">
        <f t="shared" si="17"/>
        <v>4.1065747418872478</v>
      </c>
      <c r="BA129" s="4">
        <v>42524</v>
      </c>
      <c r="BB129" s="6">
        <v>3.5916519999999998</v>
      </c>
      <c r="BC129" s="6">
        <v>4.6392759999999997</v>
      </c>
      <c r="BD129" s="6">
        <v>4.8828550000000002</v>
      </c>
      <c r="BE129" s="6">
        <v>5.60982</v>
      </c>
      <c r="BF129" s="6">
        <v>7.5077049999999996</v>
      </c>
      <c r="BG129" s="6">
        <v>6.3042439999999997</v>
      </c>
      <c r="BH129" s="6">
        <v>4.6895509999999998</v>
      </c>
      <c r="BI129" s="6">
        <v>3.098061</v>
      </c>
      <c r="BJ129" s="6">
        <v>3.4845510000000002</v>
      </c>
      <c r="BK129" s="6">
        <v>5.7049459999999996</v>
      </c>
      <c r="BL129" s="4">
        <v>42524</v>
      </c>
      <c r="BM129" s="6">
        <f>VLOOKUP(BL129,Sheet1!$A$2:$E$1114,2,FALSE)</f>
        <v>1.992279260568369</v>
      </c>
      <c r="BN129" s="6">
        <f t="shared" si="19"/>
        <v>4.1065747418872478</v>
      </c>
    </row>
    <row r="130" spans="31:66" x14ac:dyDescent="0.3">
      <c r="AE130">
        <f t="shared" si="21"/>
        <v>101</v>
      </c>
      <c r="AF130" t="s">
        <v>77</v>
      </c>
      <c r="AG130" s="13">
        <f t="shared" si="20"/>
        <v>42482</v>
      </c>
      <c r="AH130" s="13">
        <v>42622</v>
      </c>
      <c r="AI130" s="13">
        <v>42342</v>
      </c>
      <c r="AJ130" s="11">
        <v>4.4970334398601264E-2</v>
      </c>
      <c r="AK130" s="11">
        <v>3.4525446639249347E-5</v>
      </c>
      <c r="AL130" s="11">
        <v>8.2246822110479829E-5</v>
      </c>
      <c r="AM130" s="11">
        <v>5.274399303997495E-2</v>
      </c>
      <c r="AN130" s="11">
        <v>0.15320601926328073</v>
      </c>
      <c r="AO130" s="11">
        <v>0.19852997142373288</v>
      </c>
      <c r="AP130" s="11">
        <v>0.2592081065105446</v>
      </c>
      <c r="AQ130" s="11">
        <v>0.10838573385892053</v>
      </c>
      <c r="AR130" s="11">
        <v>1.195378793305165E-5</v>
      </c>
      <c r="AS130" s="11">
        <v>4.0743918911307709E-5</v>
      </c>
      <c r="AT130" s="11">
        <v>0.18278637152935096</v>
      </c>
      <c r="AU130">
        <v>0.9767028348185689</v>
      </c>
      <c r="AW130">
        <f t="shared" si="18"/>
        <v>0</v>
      </c>
      <c r="AX130">
        <v>127</v>
      </c>
      <c r="AY130" s="4">
        <f t="shared" si="16"/>
        <v>42529</v>
      </c>
      <c r="AZ130" s="6">
        <f t="shared" si="17"/>
        <v>-0.35826239415450711</v>
      </c>
      <c r="BA130" s="4">
        <v>42529</v>
      </c>
      <c r="BB130" s="6">
        <v>-0.62870199999999998</v>
      </c>
      <c r="BC130" s="6">
        <v>0.235397</v>
      </c>
      <c r="BD130" s="6">
        <v>-0.29192699999999999</v>
      </c>
      <c r="BE130" s="6">
        <v>0.14622099999999999</v>
      </c>
      <c r="BF130" s="6">
        <v>-0.12704799999999999</v>
      </c>
      <c r="BG130" s="6">
        <v>-1.201365</v>
      </c>
      <c r="BH130" s="6">
        <v>-0.74459699999999995</v>
      </c>
      <c r="BI130" s="6">
        <v>-5.1163E-2</v>
      </c>
      <c r="BJ130" s="6">
        <v>-0.40789300000000001</v>
      </c>
      <c r="BK130" s="6">
        <v>1.1091930000000001</v>
      </c>
      <c r="BL130" s="4">
        <v>42529</v>
      </c>
      <c r="BM130" s="6">
        <f>VLOOKUP(BL130,Sheet1!$A$2:$E$1114,2,FALSE)</f>
        <v>1.985141673191213</v>
      </c>
      <c r="BN130" s="6">
        <f t="shared" si="19"/>
        <v>-0.35826239415450711</v>
      </c>
    </row>
    <row r="131" spans="31:66" x14ac:dyDescent="0.3">
      <c r="AE131">
        <f t="shared" si="21"/>
        <v>102</v>
      </c>
      <c r="AF131" t="s">
        <v>77</v>
      </c>
      <c r="AG131" s="13">
        <f t="shared" si="20"/>
        <v>42488</v>
      </c>
      <c r="AH131" s="13">
        <v>42627</v>
      </c>
      <c r="AI131" s="13">
        <v>42349</v>
      </c>
      <c r="AJ131" s="11">
        <v>3.1344248143302215E-2</v>
      </c>
      <c r="AK131" s="11">
        <v>2.9650551844836892E-5</v>
      </c>
      <c r="AL131" s="11">
        <v>5.8802732432344826E-5</v>
      </c>
      <c r="AM131" s="11">
        <v>4.3775065234153303E-2</v>
      </c>
      <c r="AN131" s="11">
        <v>0.16273855832491463</v>
      </c>
      <c r="AO131" s="11">
        <v>0.20871882401971723</v>
      </c>
      <c r="AP131" s="11">
        <v>0.25012898887743268</v>
      </c>
      <c r="AQ131" s="11">
        <v>0.11999142418192785</v>
      </c>
      <c r="AR131" s="11">
        <v>8.4135954574379306E-6</v>
      </c>
      <c r="AS131" s="11">
        <v>3.9661277401534352E-5</v>
      </c>
      <c r="AT131" s="11">
        <v>0.18316636306141598</v>
      </c>
      <c r="AU131">
        <v>0.97657114647818399</v>
      </c>
      <c r="AW131">
        <f t="shared" si="18"/>
        <v>0</v>
      </c>
      <c r="AX131">
        <v>128</v>
      </c>
      <c r="AY131" s="4">
        <f t="shared" si="16"/>
        <v>42538</v>
      </c>
      <c r="AZ131" s="6">
        <f t="shared" si="17"/>
        <v>-0.20302335134448901</v>
      </c>
      <c r="BA131" s="4">
        <v>42538</v>
      </c>
      <c r="BB131" s="6">
        <v>-1.4896450000000001</v>
      </c>
      <c r="BC131" s="6">
        <v>-1.4316679999999999</v>
      </c>
      <c r="BD131" s="6">
        <v>-1.993252</v>
      </c>
      <c r="BE131" s="6">
        <v>1.3011779999999999</v>
      </c>
      <c r="BF131" s="6">
        <v>-1.916517</v>
      </c>
      <c r="BG131" s="6">
        <v>0.76112199999999997</v>
      </c>
      <c r="BH131" s="6">
        <v>-0.92271599999999998</v>
      </c>
      <c r="BI131" s="6">
        <v>-2.05158</v>
      </c>
      <c r="BJ131" s="6">
        <v>-1.3652420000000001</v>
      </c>
      <c r="BK131" s="6">
        <v>-0.40380500000000003</v>
      </c>
      <c r="BL131" s="4">
        <v>42538</v>
      </c>
      <c r="BM131" s="6">
        <f>VLOOKUP(BL131,Sheet1!$A$2:$E$1114,2,FALSE)</f>
        <v>1.9811113720373641</v>
      </c>
      <c r="BN131" s="6">
        <f t="shared" si="19"/>
        <v>-0.20302335134448901</v>
      </c>
    </row>
    <row r="132" spans="31:66" x14ac:dyDescent="0.3">
      <c r="AE132">
        <f t="shared" si="21"/>
        <v>103</v>
      </c>
      <c r="AF132" t="s">
        <v>77</v>
      </c>
      <c r="AG132" s="13">
        <f t="shared" si="20"/>
        <v>42496</v>
      </c>
      <c r="AH132" s="13">
        <v>42636</v>
      </c>
      <c r="AI132" s="13">
        <v>42356</v>
      </c>
      <c r="AJ132" s="11">
        <v>2.7354468394202996E-2</v>
      </c>
      <c r="AK132" s="11">
        <v>3.6681427921562012E-5</v>
      </c>
      <c r="AL132" s="11">
        <v>5.1104071007634692E-5</v>
      </c>
      <c r="AM132" s="11">
        <v>3.2144804226742089E-2</v>
      </c>
      <c r="AN132" s="11">
        <v>0.16192576447449464</v>
      </c>
      <c r="AO132" s="11">
        <v>0.21487375368718303</v>
      </c>
      <c r="AP132" s="11">
        <v>0.25436027077073503</v>
      </c>
      <c r="AQ132" s="11">
        <v>0.13128795831614662</v>
      </c>
      <c r="AR132" s="11">
        <v>8.7833548981514776E-6</v>
      </c>
      <c r="AS132" s="11">
        <v>3.0774189065039903E-5</v>
      </c>
      <c r="AT132" s="11">
        <v>0.17792563708760317</v>
      </c>
      <c r="AU132">
        <v>0.97672855729639652</v>
      </c>
      <c r="AW132">
        <f t="shared" si="18"/>
        <v>0</v>
      </c>
      <c r="AX132">
        <v>129</v>
      </c>
      <c r="AY132" s="4">
        <f t="shared" si="16"/>
        <v>42545</v>
      </c>
      <c r="AZ132" s="6">
        <f t="shared" si="17"/>
        <v>-0.3841700831923478</v>
      </c>
      <c r="BA132" s="4">
        <v>42545</v>
      </c>
      <c r="BB132" s="6">
        <v>-0.64169799999999999</v>
      </c>
      <c r="BC132" s="6">
        <v>-0.90077399999999996</v>
      </c>
      <c r="BD132" s="6">
        <v>-1.386598</v>
      </c>
      <c r="BE132" s="6">
        <v>-1.3543700000000001</v>
      </c>
      <c r="BF132" s="6">
        <v>0.79545999999999994</v>
      </c>
      <c r="BG132" s="6">
        <v>-2.2959019999999999</v>
      </c>
      <c r="BH132" s="6">
        <v>-0.61535399999999996</v>
      </c>
      <c r="BI132" s="6">
        <v>-9.8738999999999993E-2</v>
      </c>
      <c r="BJ132" s="6">
        <v>-1.360428</v>
      </c>
      <c r="BK132" s="6">
        <v>1.773406</v>
      </c>
      <c r="BL132" s="4">
        <v>42545</v>
      </c>
      <c r="BM132" s="6">
        <f>VLOOKUP(BL132,Sheet1!$A$2:$E$1114,2,FALSE)</f>
        <v>1.9735005348312751</v>
      </c>
      <c r="BN132" s="6">
        <f t="shared" si="19"/>
        <v>-0.3841700831923478</v>
      </c>
    </row>
    <row r="133" spans="31:66" x14ac:dyDescent="0.3">
      <c r="AE133">
        <f t="shared" si="21"/>
        <v>104</v>
      </c>
      <c r="AF133" t="s">
        <v>77</v>
      </c>
      <c r="AG133" s="13">
        <f t="shared" si="20"/>
        <v>42503</v>
      </c>
      <c r="AH133" s="13">
        <v>42643</v>
      </c>
      <c r="AI133" s="13">
        <v>42363</v>
      </c>
      <c r="AJ133" s="11">
        <v>2.4379843104827249E-2</v>
      </c>
      <c r="AK133" s="11">
        <v>3.7192417892371009E-5</v>
      </c>
      <c r="AL133" s="11">
        <v>5.3801685824582931E-5</v>
      </c>
      <c r="AM133" s="11">
        <v>3.8565315377382288E-2</v>
      </c>
      <c r="AN133" s="11">
        <v>0.16276203550907553</v>
      </c>
      <c r="AO133" s="11">
        <v>0.21021327588523386</v>
      </c>
      <c r="AP133" s="11">
        <v>0.25163997315042291</v>
      </c>
      <c r="AQ133" s="11">
        <v>0.12785338316079664</v>
      </c>
      <c r="AR133" s="11">
        <v>9.1960677242856891E-6</v>
      </c>
      <c r="AS133" s="11">
        <v>2.6961002204644522E-5</v>
      </c>
      <c r="AT133" s="11">
        <v>0.18445902263861572</v>
      </c>
      <c r="AU133">
        <v>0.97568475534118515</v>
      </c>
      <c r="AW133">
        <f t="shared" si="18"/>
        <v>0</v>
      </c>
      <c r="AX133">
        <v>130</v>
      </c>
      <c r="AY133" s="4">
        <f t="shared" ref="AY133:AY196" si="22">BA133</f>
        <v>42552</v>
      </c>
      <c r="AZ133" s="6">
        <f t="shared" ref="AZ133:AZ196" si="23">BN133</f>
        <v>2.8150445332184582</v>
      </c>
      <c r="BA133" s="4">
        <v>42552</v>
      </c>
      <c r="BB133" s="6">
        <v>2.3043550000000002</v>
      </c>
      <c r="BC133" s="6">
        <v>3.2456659999999999</v>
      </c>
      <c r="BD133" s="6">
        <v>3.3282229999999999</v>
      </c>
      <c r="BE133" s="6">
        <v>2.6989770000000002</v>
      </c>
      <c r="BF133" s="6">
        <v>3.6276890000000002</v>
      </c>
      <c r="BG133" s="6">
        <v>3.4470070000000002</v>
      </c>
      <c r="BH133" s="6">
        <v>4.0310819999999996</v>
      </c>
      <c r="BI133" s="6">
        <v>3.0506850000000001</v>
      </c>
      <c r="BJ133" s="6">
        <v>2.2060270000000002</v>
      </c>
      <c r="BK133" s="6">
        <v>1.7391509999999999</v>
      </c>
      <c r="BL133" s="4">
        <v>42552</v>
      </c>
      <c r="BM133" s="6">
        <f>VLOOKUP(BL133,Sheet1!$A$2:$E$1114,2,FALSE)</f>
        <v>2.0290554537500798</v>
      </c>
      <c r="BN133" s="6">
        <f t="shared" si="19"/>
        <v>2.8150445332184582</v>
      </c>
    </row>
    <row r="134" spans="31:66" x14ac:dyDescent="0.3">
      <c r="AE134">
        <f t="shared" si="21"/>
        <v>105</v>
      </c>
      <c r="AF134" t="s">
        <v>77</v>
      </c>
      <c r="AG134" s="13">
        <f t="shared" si="20"/>
        <v>42513</v>
      </c>
      <c r="AH134" s="13">
        <v>42657</v>
      </c>
      <c r="AI134" s="13">
        <v>42369</v>
      </c>
      <c r="AJ134" s="11">
        <v>1.9303791258642979E-2</v>
      </c>
      <c r="AK134" s="11">
        <v>4.1660926035164367E-5</v>
      </c>
      <c r="AL134" s="11">
        <v>4.9433945186253659E-5</v>
      </c>
      <c r="AM134" s="11">
        <v>3.9915001029464811E-2</v>
      </c>
      <c r="AN134" s="11">
        <v>0.16864968195686619</v>
      </c>
      <c r="AO134" s="11">
        <v>0.2119711495587078</v>
      </c>
      <c r="AP134" s="11">
        <v>0.24302182983803647</v>
      </c>
      <c r="AQ134" s="11">
        <v>0.12988493838495485</v>
      </c>
      <c r="AR134" s="11">
        <v>9.5940936048449715E-6</v>
      </c>
      <c r="AS134" s="11">
        <v>2.9522968933726777E-5</v>
      </c>
      <c r="AT134" s="11">
        <v>0.18712339603956696</v>
      </c>
      <c r="AU134">
        <v>0.97586429829293941</v>
      </c>
      <c r="AW134">
        <f t="shared" ref="AW134:AW197" si="24">IF(AY134&lt;=AY133,1,0)</f>
        <v>0</v>
      </c>
      <c r="AX134">
        <v>131</v>
      </c>
      <c r="AY134" s="4">
        <f t="shared" si="22"/>
        <v>42559</v>
      </c>
      <c r="AZ134" s="6">
        <f t="shared" si="23"/>
        <v>3.1774495094319066</v>
      </c>
      <c r="BA134" s="4">
        <v>42559</v>
      </c>
      <c r="BB134" s="6">
        <v>-0.44836399999999998</v>
      </c>
      <c r="BC134" s="6">
        <v>2.967311</v>
      </c>
      <c r="BD134" s="6">
        <v>1.312794</v>
      </c>
      <c r="BE134" s="6">
        <v>4.9509489999999996</v>
      </c>
      <c r="BF134" s="6">
        <v>1.281528</v>
      </c>
      <c r="BG134" s="6">
        <v>4.3813789999999999</v>
      </c>
      <c r="BH134" s="6">
        <v>3.5637620000000001</v>
      </c>
      <c r="BI134" s="6">
        <v>2.5197750000000001</v>
      </c>
      <c r="BJ134" s="6">
        <v>1.2869139999999999</v>
      </c>
      <c r="BK134" s="6">
        <v>1.9954149999999999</v>
      </c>
      <c r="BL134" s="4">
        <v>42559</v>
      </c>
      <c r="BM134" s="6">
        <f>VLOOKUP(BL134,Sheet1!$A$2:$E$1114,2,FALSE)</f>
        <v>2.0935276663113629</v>
      </c>
      <c r="BN134" s="6">
        <f t="shared" ref="BN134:BN197" si="25">(BM134/BM133-1)*100</f>
        <v>3.1774495094319066</v>
      </c>
    </row>
    <row r="135" spans="31:66" x14ac:dyDescent="0.3">
      <c r="AE135">
        <f t="shared" si="21"/>
        <v>106</v>
      </c>
      <c r="AF135" t="s">
        <v>77</v>
      </c>
      <c r="AG135" s="13">
        <f t="shared" si="20"/>
        <v>42520.5</v>
      </c>
      <c r="AH135" s="13">
        <v>42664</v>
      </c>
      <c r="AI135" s="13">
        <v>42377</v>
      </c>
      <c r="AJ135" s="11">
        <v>1.0315684826484778E-2</v>
      </c>
      <c r="AK135" s="11">
        <v>3.2138684852058848E-5</v>
      </c>
      <c r="AL135" s="11">
        <v>3.3514153980959234E-5</v>
      </c>
      <c r="AM135" s="11">
        <v>4.1196681934857107E-2</v>
      </c>
      <c r="AN135" s="11">
        <v>0.17706865415332346</v>
      </c>
      <c r="AO135" s="11">
        <v>0.22158073880546686</v>
      </c>
      <c r="AP135" s="11">
        <v>0.2265555197503184</v>
      </c>
      <c r="AQ135" s="11">
        <v>0.13231839285625452</v>
      </c>
      <c r="AR135" s="11">
        <v>6.3987980559723302E-6</v>
      </c>
      <c r="AS135" s="11">
        <v>1.9974834978283881E-5</v>
      </c>
      <c r="AT135" s="11">
        <v>0.19087230120142756</v>
      </c>
      <c r="AU135">
        <v>0.97573500572323779</v>
      </c>
      <c r="AW135">
        <f t="shared" si="24"/>
        <v>0</v>
      </c>
      <c r="AX135">
        <v>132</v>
      </c>
      <c r="AY135" s="4">
        <f t="shared" si="22"/>
        <v>42566</v>
      </c>
      <c r="AZ135" s="6">
        <f t="shared" si="23"/>
        <v>1.9214889289740356</v>
      </c>
      <c r="BA135" s="4">
        <v>42566</v>
      </c>
      <c r="BB135" s="6">
        <v>1.3769499999999999</v>
      </c>
      <c r="BC135" s="6">
        <v>1.2947230000000001</v>
      </c>
      <c r="BD135" s="6">
        <v>3.1122540000000001</v>
      </c>
      <c r="BE135" s="6">
        <v>1.7042010000000001</v>
      </c>
      <c r="BF135" s="6">
        <v>0.80216600000000005</v>
      </c>
      <c r="BG135" s="6">
        <v>2.6406719999999999</v>
      </c>
      <c r="BH135" s="6">
        <v>2.5716220000000001</v>
      </c>
      <c r="BI135" s="6">
        <v>4.5245949999999997</v>
      </c>
      <c r="BJ135" s="6">
        <v>2.1902870000000001</v>
      </c>
      <c r="BK135" s="6">
        <v>2.8651939999999998</v>
      </c>
      <c r="BL135" s="4">
        <v>42566</v>
      </c>
      <c r="BM135" s="6">
        <f>VLOOKUP(BL135,Sheet1!$A$2:$E$1114,2,FALSE)</f>
        <v>2.133754568644544</v>
      </c>
      <c r="BN135" s="6">
        <f t="shared" si="25"/>
        <v>1.9214889289740356</v>
      </c>
    </row>
    <row r="136" spans="31:66" x14ac:dyDescent="0.3">
      <c r="AE136">
        <f t="shared" si="21"/>
        <v>107</v>
      </c>
      <c r="AF136" t="s">
        <v>77</v>
      </c>
      <c r="AG136" s="13">
        <f t="shared" si="20"/>
        <v>42527.5</v>
      </c>
      <c r="AH136" s="13">
        <v>42671</v>
      </c>
      <c r="AI136" s="13">
        <v>42384</v>
      </c>
      <c r="AJ136" s="11">
        <v>8.6042442745489089E-5</v>
      </c>
      <c r="AK136" s="11">
        <v>6.9860393704487291E-5</v>
      </c>
      <c r="AL136" s="11">
        <v>5.6252274283451796E-5</v>
      </c>
      <c r="AM136" s="11">
        <v>7.1146685099352597E-2</v>
      </c>
      <c r="AN136" s="11">
        <v>0.16802788359769413</v>
      </c>
      <c r="AO136" s="11">
        <v>0.18790501207890448</v>
      </c>
      <c r="AP136" s="11">
        <v>0.21147137022829571</v>
      </c>
      <c r="AQ136" s="11">
        <v>0.14509546627367156</v>
      </c>
      <c r="AR136" s="11">
        <v>1.095630989484103E-5</v>
      </c>
      <c r="AS136" s="11">
        <v>3.7656991269935425E-5</v>
      </c>
      <c r="AT136" s="11">
        <v>0.21609281431018326</v>
      </c>
      <c r="AU136">
        <v>0.96706933346046386</v>
      </c>
      <c r="AW136">
        <f t="shared" si="24"/>
        <v>0</v>
      </c>
      <c r="AX136">
        <v>133</v>
      </c>
      <c r="AY136" s="4">
        <f t="shared" si="22"/>
        <v>42573</v>
      </c>
      <c r="AZ136" s="6">
        <f t="shared" si="23"/>
        <v>-1.3798298653846186</v>
      </c>
      <c r="BA136" s="4">
        <v>42573</v>
      </c>
      <c r="BB136" s="6">
        <v>-1.346714</v>
      </c>
      <c r="BC136" s="6">
        <v>-1.02643</v>
      </c>
      <c r="BD136" s="6">
        <v>-0.673678</v>
      </c>
      <c r="BE136" s="6">
        <v>-2.0089640000000002</v>
      </c>
      <c r="BF136" s="6">
        <v>0.15534800000000001</v>
      </c>
      <c r="BG136" s="6">
        <v>-2.5910299999999999</v>
      </c>
      <c r="BH136" s="6">
        <v>-1.021674</v>
      </c>
      <c r="BI136" s="6">
        <v>-2.264608</v>
      </c>
      <c r="BJ136" s="6">
        <v>-1.1960820000000001</v>
      </c>
      <c r="BK136" s="6">
        <v>1.942458</v>
      </c>
      <c r="BL136" s="4">
        <v>42573</v>
      </c>
      <c r="BM136" s="6">
        <f>VLOOKUP(BL136,Sheet1!$A$2:$E$1114,2,FALSE)</f>
        <v>2.1043123858523778</v>
      </c>
      <c r="BN136" s="6">
        <f t="shared" si="25"/>
        <v>-1.3798298653846186</v>
      </c>
    </row>
    <row r="137" spans="31:66" x14ac:dyDescent="0.3">
      <c r="AE137">
        <f t="shared" si="21"/>
        <v>108</v>
      </c>
      <c r="AF137" t="s">
        <v>77</v>
      </c>
      <c r="AG137" s="13">
        <f t="shared" si="20"/>
        <v>42534.5</v>
      </c>
      <c r="AH137" s="13">
        <v>42678</v>
      </c>
      <c r="AI137" s="13">
        <v>42391</v>
      </c>
      <c r="AJ137" s="11">
        <v>5.8503271239019267E-5</v>
      </c>
      <c r="AK137" s="11">
        <v>6.5736502376999954E-5</v>
      </c>
      <c r="AL137" s="11">
        <v>5.4547695952700666E-5</v>
      </c>
      <c r="AM137" s="11">
        <v>7.76870888507631E-2</v>
      </c>
      <c r="AN137" s="11">
        <v>0.1633050104792225</v>
      </c>
      <c r="AO137" s="11">
        <v>0.18847004880582036</v>
      </c>
      <c r="AP137" s="11">
        <v>0.21264695678995896</v>
      </c>
      <c r="AQ137" s="11">
        <v>0.15167194323825109</v>
      </c>
      <c r="AR137" s="11">
        <v>8.9989856866641049E-6</v>
      </c>
      <c r="AS137" s="11">
        <v>4.6206945564960177E-5</v>
      </c>
      <c r="AT137" s="11">
        <v>0.20598495843516368</v>
      </c>
      <c r="AU137">
        <v>0.95923561448908878</v>
      </c>
      <c r="AW137">
        <f t="shared" si="24"/>
        <v>0</v>
      </c>
      <c r="AX137">
        <v>134</v>
      </c>
      <c r="AY137" s="4">
        <f t="shared" si="22"/>
        <v>42580</v>
      </c>
      <c r="AZ137" s="6">
        <f t="shared" si="23"/>
        <v>-1.3478088949504641</v>
      </c>
      <c r="BA137" s="4">
        <v>42580</v>
      </c>
      <c r="BB137" s="6">
        <v>-1.273231</v>
      </c>
      <c r="BC137" s="6">
        <v>-2.7569080000000001</v>
      </c>
      <c r="BD137" s="6">
        <v>-2.4947940000000002</v>
      </c>
      <c r="BE137" s="6">
        <v>-3.2774209999999999</v>
      </c>
      <c r="BF137" s="6">
        <v>-5.8798310000000003</v>
      </c>
      <c r="BG137" s="6">
        <v>0.41090100000000002</v>
      </c>
      <c r="BH137" s="6">
        <v>0.245448</v>
      </c>
      <c r="BI137" s="6">
        <v>-1.76799</v>
      </c>
      <c r="BJ137" s="6">
        <v>0.28087600000000001</v>
      </c>
      <c r="BK137" s="6">
        <v>-5.1577960000000003</v>
      </c>
      <c r="BL137" s="4">
        <v>42580</v>
      </c>
      <c r="BM137" s="6">
        <f>VLOOKUP(BL137,Sheet1!$A$2:$E$1114,2,FALSE)</f>
        <v>2.0759502763383151</v>
      </c>
      <c r="BN137" s="6">
        <f t="shared" si="25"/>
        <v>-1.3478088949504641</v>
      </c>
    </row>
    <row r="138" spans="31:66" x14ac:dyDescent="0.3">
      <c r="AE138">
        <f t="shared" si="21"/>
        <v>109</v>
      </c>
      <c r="AF138" t="s">
        <v>77</v>
      </c>
      <c r="AG138" s="13">
        <f t="shared" si="20"/>
        <v>42541</v>
      </c>
      <c r="AH138" s="13">
        <v>42685</v>
      </c>
      <c r="AI138" s="13">
        <v>42397</v>
      </c>
      <c r="AJ138" s="11">
        <v>8.1677860709097254E-5</v>
      </c>
      <c r="AK138" s="11">
        <v>5.0069624604482018E-5</v>
      </c>
      <c r="AL138" s="11">
        <v>6.4680787368744217E-5</v>
      </c>
      <c r="AM138" s="11">
        <v>8.0851315313405059E-2</v>
      </c>
      <c r="AN138" s="11">
        <v>0.16091077131708995</v>
      </c>
      <c r="AO138" s="11">
        <v>0.18831099295958248</v>
      </c>
      <c r="AP138" s="11">
        <v>0.21212245072129177</v>
      </c>
      <c r="AQ138" s="11">
        <v>0.1501894673341837</v>
      </c>
      <c r="AR138" s="11">
        <v>9.1998760475095943E-6</v>
      </c>
      <c r="AS138" s="11">
        <v>3.6325638412439519E-5</v>
      </c>
      <c r="AT138" s="11">
        <v>0.20737304856730474</v>
      </c>
      <c r="AU138">
        <v>0.95976965207087506</v>
      </c>
      <c r="AW138">
        <f t="shared" si="24"/>
        <v>0</v>
      </c>
      <c r="AX138">
        <v>135</v>
      </c>
      <c r="AY138" s="4">
        <f t="shared" si="22"/>
        <v>42587</v>
      </c>
      <c r="AZ138" s="6">
        <f t="shared" si="23"/>
        <v>4.2854481834164737E-2</v>
      </c>
      <c r="BA138" s="4">
        <v>42587</v>
      </c>
      <c r="BB138" s="6">
        <v>1.2820199999999999</v>
      </c>
      <c r="BC138" s="6">
        <v>-4.9723999999999997E-2</v>
      </c>
      <c r="BD138" s="6">
        <v>-0.75076900000000002</v>
      </c>
      <c r="BE138" s="6">
        <v>0.39197100000000001</v>
      </c>
      <c r="BF138" s="6">
        <v>-0.118752</v>
      </c>
      <c r="BG138" s="6">
        <v>-1.4488110000000001</v>
      </c>
      <c r="BH138" s="6">
        <v>-1.2586839999999999</v>
      </c>
      <c r="BI138" s="6">
        <v>0.247195</v>
      </c>
      <c r="BJ138" s="6">
        <v>-0.210506</v>
      </c>
      <c r="BK138" s="6">
        <v>-0.163463</v>
      </c>
      <c r="BL138" s="4">
        <v>42587</v>
      </c>
      <c r="BM138" s="6">
        <f>VLOOKUP(BL138,Sheet1!$A$2:$E$1114,2,FALSE)</f>
        <v>2.0768399140723748</v>
      </c>
      <c r="BN138" s="6">
        <f t="shared" si="25"/>
        <v>4.2854481834164737E-2</v>
      </c>
    </row>
    <row r="139" spans="31:66" x14ac:dyDescent="0.3">
      <c r="AE139">
        <f t="shared" si="21"/>
        <v>110</v>
      </c>
      <c r="AF139" t="s">
        <v>77</v>
      </c>
      <c r="AG139" s="13">
        <f t="shared" si="20"/>
        <v>42548.5</v>
      </c>
      <c r="AH139" s="13">
        <v>42692</v>
      </c>
      <c r="AI139" s="13">
        <v>42405</v>
      </c>
      <c r="AJ139" s="11">
        <v>6.3229678452467922E-2</v>
      </c>
      <c r="AK139" s="11">
        <v>8.7064077511780108E-5</v>
      </c>
      <c r="AL139" s="11">
        <v>8.4145514994735285E-2</v>
      </c>
      <c r="AM139" s="11">
        <v>0.20861896049148571</v>
      </c>
      <c r="AN139" s="11">
        <v>5.5879935228254012E-2</v>
      </c>
      <c r="AO139" s="11">
        <v>0.14610514275408526</v>
      </c>
      <c r="AP139" s="11">
        <v>0.25145809408168518</v>
      </c>
      <c r="AQ139" s="11">
        <v>4.0086815533134812E-2</v>
      </c>
      <c r="AR139" s="11">
        <v>2.7758071114136621E-5</v>
      </c>
      <c r="AS139" s="11">
        <v>2.519430327167909E-2</v>
      </c>
      <c r="AT139" s="11">
        <v>0.12516673304384685</v>
      </c>
      <c r="AU139">
        <v>0.98382008682883748</v>
      </c>
      <c r="AW139">
        <f t="shared" si="24"/>
        <v>0</v>
      </c>
      <c r="AX139">
        <v>136</v>
      </c>
      <c r="AY139" s="4">
        <f t="shared" si="22"/>
        <v>42594</v>
      </c>
      <c r="AZ139" s="6">
        <f t="shared" si="23"/>
        <v>1.2063297494109726</v>
      </c>
      <c r="BA139" s="4">
        <v>42594</v>
      </c>
      <c r="BB139" s="6">
        <v>4.2089780000000001</v>
      </c>
      <c r="BC139" s="6">
        <v>1.6788149999999999</v>
      </c>
      <c r="BD139" s="6">
        <v>1.318743</v>
      </c>
      <c r="BE139" s="6">
        <v>1.0598529999999999</v>
      </c>
      <c r="BF139" s="6">
        <v>0.86090699999999998</v>
      </c>
      <c r="BG139" s="6">
        <v>1.2089300000000001</v>
      </c>
      <c r="BH139" s="6">
        <v>1.4449350000000001</v>
      </c>
      <c r="BI139" s="6">
        <v>3.5059939999999998</v>
      </c>
      <c r="BJ139" s="6">
        <v>2.499549</v>
      </c>
      <c r="BK139" s="6">
        <v>1.9383589999999999</v>
      </c>
      <c r="BL139" s="4">
        <v>42594</v>
      </c>
      <c r="BM139" s="6">
        <f>VLOOKUP(BL139,Sheet1!$A$2:$E$1114,2,FALSE)</f>
        <v>2.1018934518034711</v>
      </c>
      <c r="BN139" s="6">
        <f t="shared" si="25"/>
        <v>1.2063297494109726</v>
      </c>
    </row>
    <row r="140" spans="31:66" x14ac:dyDescent="0.3">
      <c r="AE140">
        <f t="shared" si="21"/>
        <v>111</v>
      </c>
      <c r="AF140" t="s">
        <v>77</v>
      </c>
      <c r="AG140" s="13">
        <f t="shared" si="20"/>
        <v>42559</v>
      </c>
      <c r="AH140" s="13">
        <v>42699</v>
      </c>
      <c r="AI140" s="13">
        <v>42419</v>
      </c>
      <c r="AJ140" s="11">
        <v>7.3741174892988717E-2</v>
      </c>
      <c r="AK140" s="11">
        <v>8.8226311855535812E-5</v>
      </c>
      <c r="AL140" s="11">
        <v>9.163931142950868E-2</v>
      </c>
      <c r="AM140" s="11">
        <v>0.19144657868134823</v>
      </c>
      <c r="AN140" s="11">
        <v>5.3831507122651369E-2</v>
      </c>
      <c r="AO140" s="11">
        <v>0.14814789693086822</v>
      </c>
      <c r="AP140" s="11">
        <v>0.24324394762808815</v>
      </c>
      <c r="AQ140" s="11">
        <v>4.7330940754582565E-2</v>
      </c>
      <c r="AR140" s="11">
        <v>1.074482975282896E-5</v>
      </c>
      <c r="AS140" s="11">
        <v>3.0887220813670239E-2</v>
      </c>
      <c r="AT140" s="11">
        <v>0.11963245060468541</v>
      </c>
      <c r="AU140">
        <v>0.98305896099981593</v>
      </c>
      <c r="AW140">
        <f t="shared" si="24"/>
        <v>0</v>
      </c>
      <c r="AX140">
        <v>137</v>
      </c>
      <c r="AY140" s="4">
        <f t="shared" si="22"/>
        <v>42601</v>
      </c>
      <c r="AZ140" s="6">
        <f t="shared" si="23"/>
        <v>1.7843774132832557</v>
      </c>
      <c r="BA140" s="4">
        <v>42601</v>
      </c>
      <c r="BB140" s="6">
        <v>2.146347</v>
      </c>
      <c r="BC140" s="6">
        <v>3.9775149999999999</v>
      </c>
      <c r="BD140" s="6">
        <v>2.9136229999999999</v>
      </c>
      <c r="BE140" s="6">
        <v>3.01559</v>
      </c>
      <c r="BF140" s="6">
        <v>3.4359359999999999</v>
      </c>
      <c r="BG140" s="6">
        <v>0.96304100000000004</v>
      </c>
      <c r="BH140" s="6">
        <v>2.2280639999999998</v>
      </c>
      <c r="BI140" s="6">
        <v>1.784791</v>
      </c>
      <c r="BJ140" s="6">
        <v>2.1342699999999999</v>
      </c>
      <c r="BK140" s="6">
        <v>2.8115209999999999</v>
      </c>
      <c r="BL140" s="4">
        <v>42601</v>
      </c>
      <c r="BM140" s="6">
        <f>VLOOKUP(BL140,Sheet1!$A$2:$E$1114,2,FALSE)</f>
        <v>2.139399163808732</v>
      </c>
      <c r="BN140" s="6">
        <f t="shared" si="25"/>
        <v>1.7843774132832557</v>
      </c>
    </row>
    <row r="141" spans="31:66" x14ac:dyDescent="0.3">
      <c r="AE141">
        <f t="shared" si="21"/>
        <v>112</v>
      </c>
      <c r="AF141" t="s">
        <v>77</v>
      </c>
      <c r="AG141" s="13">
        <f t="shared" si="20"/>
        <v>42566</v>
      </c>
      <c r="AH141" s="13">
        <v>42706</v>
      </c>
      <c r="AI141" s="13">
        <v>42426</v>
      </c>
      <c r="AJ141" s="11">
        <v>7.0443165527206961E-2</v>
      </c>
      <c r="AK141" s="11">
        <v>9.1295830711695707E-5</v>
      </c>
      <c r="AL141" s="11">
        <v>8.7552384523671783E-2</v>
      </c>
      <c r="AM141" s="11">
        <v>0.19130273727048042</v>
      </c>
      <c r="AN141" s="11">
        <v>6.04300171213236E-2</v>
      </c>
      <c r="AO141" s="11">
        <v>0.15080923299433766</v>
      </c>
      <c r="AP141" s="11">
        <v>0.23999218133438563</v>
      </c>
      <c r="AQ141" s="11">
        <v>5.1823232224617266E-2</v>
      </c>
      <c r="AR141" s="11">
        <v>6.7315472261560275E-6</v>
      </c>
      <c r="AS141" s="11">
        <v>2.9773834493315127E-2</v>
      </c>
      <c r="AT141" s="11">
        <v>0.11777518713272377</v>
      </c>
      <c r="AU141">
        <v>0.98225108447936238</v>
      </c>
      <c r="AW141">
        <f t="shared" si="24"/>
        <v>0</v>
      </c>
      <c r="AX141">
        <v>138</v>
      </c>
      <c r="AY141" s="4">
        <f t="shared" si="22"/>
        <v>42608</v>
      </c>
      <c r="AZ141" s="6">
        <f t="shared" si="23"/>
        <v>-0.92963852292956561</v>
      </c>
      <c r="BA141" s="4">
        <v>42608</v>
      </c>
      <c r="BB141" s="6">
        <v>-1.902296</v>
      </c>
      <c r="BC141" s="6">
        <v>-1.8555649999999999</v>
      </c>
      <c r="BD141" s="6">
        <v>-1.834149</v>
      </c>
      <c r="BE141" s="6">
        <v>-1.1371880000000001</v>
      </c>
      <c r="BF141" s="6">
        <v>-1.018575</v>
      </c>
      <c r="BG141" s="6">
        <v>-0.97057700000000002</v>
      </c>
      <c r="BH141" s="6">
        <v>0.45671200000000001</v>
      </c>
      <c r="BI141" s="6">
        <v>-1.9742759999999999</v>
      </c>
      <c r="BJ141" s="6">
        <v>-1.351955</v>
      </c>
      <c r="BK141" s="6">
        <v>-0.67924399999999996</v>
      </c>
      <c r="BL141" s="4">
        <v>42608</v>
      </c>
      <c r="BM141" s="6">
        <f>VLOOKUP(BL141,Sheet1!$A$2:$E$1114,2,FALSE)</f>
        <v>2.1195104850227331</v>
      </c>
      <c r="BN141" s="6">
        <f t="shared" si="25"/>
        <v>-0.92963852292956561</v>
      </c>
    </row>
    <row r="142" spans="31:66" x14ac:dyDescent="0.3">
      <c r="AE142">
        <f t="shared" si="21"/>
        <v>113</v>
      </c>
      <c r="AF142" t="s">
        <v>77</v>
      </c>
      <c r="AG142" s="13">
        <f t="shared" si="20"/>
        <v>42573</v>
      </c>
      <c r="AH142" s="13">
        <v>42713</v>
      </c>
      <c r="AI142" s="13">
        <v>42433</v>
      </c>
      <c r="AJ142" s="11">
        <v>5.1790242221060906E-2</v>
      </c>
      <c r="AK142" s="11">
        <v>6.4348178768678451E-4</v>
      </c>
      <c r="AL142" s="11">
        <v>9.2057074218177021E-2</v>
      </c>
      <c r="AM142" s="11">
        <v>0.19156855492734184</v>
      </c>
      <c r="AN142" s="11">
        <v>6.6838600554370894E-2</v>
      </c>
      <c r="AO142" s="11">
        <v>0.15041423021364753</v>
      </c>
      <c r="AP142" s="11">
        <v>0.22701185500901658</v>
      </c>
      <c r="AQ142" s="11">
        <v>7.485999413241147E-2</v>
      </c>
      <c r="AR142" s="11">
        <v>4.5678573443322596E-4</v>
      </c>
      <c r="AS142" s="11">
        <v>1.4171150914577187E-2</v>
      </c>
      <c r="AT142" s="11">
        <v>0.1301880302872766</v>
      </c>
      <c r="AU142">
        <v>0.98042969693031301</v>
      </c>
      <c r="AW142">
        <f t="shared" si="24"/>
        <v>0</v>
      </c>
      <c r="AX142">
        <v>139</v>
      </c>
      <c r="AY142" s="4">
        <f t="shared" si="22"/>
        <v>42615</v>
      </c>
      <c r="AZ142" s="6">
        <f t="shared" si="23"/>
        <v>-0.6222461845824534</v>
      </c>
      <c r="BA142" s="4">
        <v>42615</v>
      </c>
      <c r="BB142" s="6">
        <v>0.59308799999999995</v>
      </c>
      <c r="BC142" s="6">
        <v>-0.41000599999999998</v>
      </c>
      <c r="BD142" s="6">
        <v>-0.111551</v>
      </c>
      <c r="BE142" s="6">
        <v>-0.74145300000000003</v>
      </c>
      <c r="BF142" s="6">
        <v>-1.268383</v>
      </c>
      <c r="BG142" s="6">
        <v>-1.1079380000000001</v>
      </c>
      <c r="BH142" s="6">
        <v>-0.86812</v>
      </c>
      <c r="BI142" s="6">
        <v>-3.3748E-2</v>
      </c>
      <c r="BJ142" s="6">
        <v>-0.13655200000000001</v>
      </c>
      <c r="BK142" s="6">
        <v>-0.41530400000000001</v>
      </c>
      <c r="BL142" s="4">
        <v>42615</v>
      </c>
      <c r="BM142" s="6">
        <f>VLOOKUP(BL142,Sheet1!$A$2:$E$1114,2,FALSE)</f>
        <v>2.106321911897854</v>
      </c>
      <c r="BN142" s="6">
        <f t="shared" si="25"/>
        <v>-0.6222461845824534</v>
      </c>
    </row>
    <row r="143" spans="31:66" x14ac:dyDescent="0.3">
      <c r="AE143">
        <f t="shared" si="21"/>
        <v>114</v>
      </c>
      <c r="AF143" t="s">
        <v>77</v>
      </c>
      <c r="AG143" s="13">
        <f t="shared" si="20"/>
        <v>42580</v>
      </c>
      <c r="AH143" s="13">
        <v>42720</v>
      </c>
      <c r="AI143" s="13">
        <v>42440</v>
      </c>
      <c r="AJ143" s="11">
        <v>8.8969035559055637E-2</v>
      </c>
      <c r="AK143" s="11">
        <v>8.7573959498457978E-5</v>
      </c>
      <c r="AL143" s="11">
        <v>8.4127831942548803E-2</v>
      </c>
      <c r="AM143" s="11">
        <v>0.20126803379502425</v>
      </c>
      <c r="AN143" s="11">
        <v>5.9051994395841245E-2</v>
      </c>
      <c r="AO143" s="11">
        <v>0.13206661790530386</v>
      </c>
      <c r="AP143" s="11">
        <v>0.25589665435266762</v>
      </c>
      <c r="AQ143" s="11">
        <v>4.6433337979340891E-2</v>
      </c>
      <c r="AR143" s="11">
        <v>8.3791139056115633E-5</v>
      </c>
      <c r="AS143" s="11">
        <v>1.7983293142766109E-2</v>
      </c>
      <c r="AT143" s="11">
        <v>0.11403183582889696</v>
      </c>
      <c r="AU143">
        <v>0.98047880148109168</v>
      </c>
      <c r="AW143">
        <f t="shared" si="24"/>
        <v>0</v>
      </c>
      <c r="AX143">
        <v>140</v>
      </c>
      <c r="AY143" s="4">
        <f t="shared" si="22"/>
        <v>42622</v>
      </c>
      <c r="AZ143" s="6">
        <f t="shared" si="23"/>
        <v>0.99204748303152179</v>
      </c>
      <c r="BA143" s="4">
        <v>42622</v>
      </c>
      <c r="BB143" s="6">
        <v>-0.30440600000000001</v>
      </c>
      <c r="BC143" s="6">
        <v>1.9557260000000001</v>
      </c>
      <c r="BD143" s="6">
        <v>1.467322</v>
      </c>
      <c r="BE143" s="6">
        <v>1.7970219999999999</v>
      </c>
      <c r="BF143" s="6">
        <v>0.96480500000000002</v>
      </c>
      <c r="BG143" s="6">
        <v>0.12662999999999999</v>
      </c>
      <c r="BH143" s="6">
        <v>0.80033200000000004</v>
      </c>
      <c r="BI143" s="6">
        <v>1.579906</v>
      </c>
      <c r="BJ143" s="6">
        <v>0.79834799999999995</v>
      </c>
      <c r="BK143" s="6">
        <v>2.7318910000000001</v>
      </c>
      <c r="BL143" s="4">
        <v>42622</v>
      </c>
      <c r="BM143" s="6">
        <f>VLOOKUP(BL143,Sheet1!$A$2:$E$1114,2,FALSE)</f>
        <v>2.127217625409378</v>
      </c>
      <c r="BN143" s="6">
        <f t="shared" si="25"/>
        <v>0.99204748303152179</v>
      </c>
    </row>
    <row r="144" spans="31:66" x14ac:dyDescent="0.3">
      <c r="AE144">
        <f t="shared" si="21"/>
        <v>115</v>
      </c>
      <c r="AF144" t="s">
        <v>77</v>
      </c>
      <c r="AG144" s="13">
        <f t="shared" si="20"/>
        <v>42587</v>
      </c>
      <c r="AH144" s="13">
        <v>42727</v>
      </c>
      <c r="AI144" s="13">
        <v>42447</v>
      </c>
      <c r="AJ144" s="11">
        <v>7.846058769236558E-2</v>
      </c>
      <c r="AK144" s="11">
        <v>8.546633125836469E-5</v>
      </c>
      <c r="AL144" s="11">
        <v>9.1627036350663896E-2</v>
      </c>
      <c r="AM144" s="11">
        <v>0.19652192360269621</v>
      </c>
      <c r="AN144" s="11">
        <v>5.3151851716770497E-2</v>
      </c>
      <c r="AO144" s="11">
        <v>0.1268325966304851</v>
      </c>
      <c r="AP144" s="11">
        <v>0.26448784090805777</v>
      </c>
      <c r="AQ144" s="11">
        <v>4.1575326685489383E-2</v>
      </c>
      <c r="AR144" s="11">
        <v>2.7109333896290351E-5</v>
      </c>
      <c r="AS144" s="11">
        <v>2.7121284759027905E-2</v>
      </c>
      <c r="AT144" s="11">
        <v>0.12010897598928909</v>
      </c>
      <c r="AU144">
        <v>0.98014894520714524</v>
      </c>
      <c r="AW144">
        <f t="shared" si="24"/>
        <v>0</v>
      </c>
      <c r="AX144">
        <v>141</v>
      </c>
      <c r="AY144" s="4">
        <f t="shared" si="22"/>
        <v>42627</v>
      </c>
      <c r="AZ144" s="6">
        <f t="shared" si="23"/>
        <v>-2.5082447249561879</v>
      </c>
      <c r="BA144" s="4">
        <v>42627</v>
      </c>
      <c r="BB144" s="6">
        <v>-2.2948460000000002</v>
      </c>
      <c r="BC144" s="6">
        <v>-2.893888</v>
      </c>
      <c r="BD144" s="6">
        <v>-2.9036089999999999</v>
      </c>
      <c r="BE144" s="6">
        <v>-3.0292340000000002</v>
      </c>
      <c r="BF144" s="6">
        <v>-2.3179059999999998</v>
      </c>
      <c r="BG144" s="6">
        <v>-2.3614730000000002</v>
      </c>
      <c r="BH144" s="6">
        <v>-2.5080339999999999</v>
      </c>
      <c r="BI144" s="6">
        <v>-3.0895540000000001</v>
      </c>
      <c r="BJ144" s="6">
        <v>-1.629227</v>
      </c>
      <c r="BK144" s="6">
        <v>-3.3824589999999999</v>
      </c>
      <c r="BL144" s="4">
        <v>42627</v>
      </c>
      <c r="BM144" s="6">
        <f>VLOOKUP(BL144,Sheet1!$A$2:$E$1114,2,FALSE)</f>
        <v>2.073861801531709</v>
      </c>
      <c r="BN144" s="6">
        <f t="shared" si="25"/>
        <v>-2.5082447249561879</v>
      </c>
    </row>
    <row r="145" spans="31:66" x14ac:dyDescent="0.3">
      <c r="AE145">
        <f t="shared" si="21"/>
        <v>116</v>
      </c>
      <c r="AF145" t="s">
        <v>77</v>
      </c>
      <c r="AG145" s="13">
        <f t="shared" si="20"/>
        <v>42594</v>
      </c>
      <c r="AH145" s="13">
        <v>42734</v>
      </c>
      <c r="AI145" s="13">
        <v>42454</v>
      </c>
      <c r="AJ145" s="11">
        <v>8.9932988472425673E-2</v>
      </c>
      <c r="AK145" s="11">
        <v>3.1443599269070893E-2</v>
      </c>
      <c r="AL145" s="11">
        <v>4.5083299979607021E-2</v>
      </c>
      <c r="AM145" s="11">
        <v>0.18629988499381939</v>
      </c>
      <c r="AN145" s="11">
        <v>3.7244846674332303E-2</v>
      </c>
      <c r="AO145" s="11">
        <v>0.14854089302163803</v>
      </c>
      <c r="AP145" s="11">
        <v>0.23383209677489383</v>
      </c>
      <c r="AQ145" s="11">
        <v>5.3124128818015676E-2</v>
      </c>
      <c r="AR145" s="11">
        <v>6.9897000439055827E-5</v>
      </c>
      <c r="AS145" s="11">
        <v>3.8588200993380756E-2</v>
      </c>
      <c r="AT145" s="11">
        <v>0.13584016400237742</v>
      </c>
      <c r="AU145">
        <v>0.97570193813227946</v>
      </c>
      <c r="AW145">
        <f t="shared" si="24"/>
        <v>0</v>
      </c>
      <c r="AX145">
        <v>142</v>
      </c>
      <c r="AY145" s="4">
        <f t="shared" si="22"/>
        <v>42636</v>
      </c>
      <c r="AZ145" s="6">
        <f t="shared" si="23"/>
        <v>1.2717920456917442</v>
      </c>
      <c r="BA145" s="4">
        <v>42636</v>
      </c>
      <c r="BB145" s="6">
        <v>1.6922159999999999</v>
      </c>
      <c r="BC145" s="6">
        <v>1.4409270000000001</v>
      </c>
      <c r="BD145" s="6">
        <v>1.432633</v>
      </c>
      <c r="BE145" s="6">
        <v>0.80354099999999995</v>
      </c>
      <c r="BF145" s="6">
        <v>0.92584</v>
      </c>
      <c r="BG145" s="6">
        <v>1.116843</v>
      </c>
      <c r="BH145" s="6">
        <v>1.6085560000000001</v>
      </c>
      <c r="BI145" s="6">
        <v>1.483644</v>
      </c>
      <c r="BJ145" s="6">
        <v>0.35921500000000001</v>
      </c>
      <c r="BK145" s="6">
        <v>1.146711</v>
      </c>
      <c r="BL145" s="4">
        <v>42636</v>
      </c>
      <c r="BM145" s="6">
        <f>VLOOKUP(BL145,Sheet1!$A$2:$E$1114,2,FALSE)</f>
        <v>2.1002370109622288</v>
      </c>
      <c r="BN145" s="6">
        <f t="shared" si="25"/>
        <v>1.2717920456917442</v>
      </c>
    </row>
    <row r="146" spans="31:66" x14ac:dyDescent="0.3">
      <c r="AE146">
        <f t="shared" si="21"/>
        <v>117</v>
      </c>
      <c r="AF146" t="s">
        <v>77</v>
      </c>
      <c r="AG146" s="13">
        <f t="shared" si="20"/>
        <v>42601</v>
      </c>
      <c r="AH146" s="13">
        <v>42741</v>
      </c>
      <c r="AI146" s="13">
        <v>42461</v>
      </c>
      <c r="AJ146" s="11">
        <v>8.2535225676378249E-2</v>
      </c>
      <c r="AK146" s="11">
        <v>4.8187398725834794E-2</v>
      </c>
      <c r="AL146" s="11">
        <v>3.1304013506873604E-2</v>
      </c>
      <c r="AM146" s="11">
        <v>0.17554282361924892</v>
      </c>
      <c r="AN146" s="11">
        <v>4.4736003676318643E-2</v>
      </c>
      <c r="AO146" s="11">
        <v>0.15899922027959049</v>
      </c>
      <c r="AP146" s="11">
        <v>0.21959800827413484</v>
      </c>
      <c r="AQ146" s="11">
        <v>6.7917577401238188E-2</v>
      </c>
      <c r="AR146" s="11">
        <v>3.9946681676124097E-5</v>
      </c>
      <c r="AS146" s="11">
        <v>3.447150032529054E-2</v>
      </c>
      <c r="AT146" s="11">
        <v>0.13666828183341564</v>
      </c>
      <c r="AU146">
        <v>0.9754713524531321</v>
      </c>
      <c r="AW146">
        <f t="shared" si="24"/>
        <v>0</v>
      </c>
      <c r="AX146">
        <v>143</v>
      </c>
      <c r="AY146" s="4">
        <f t="shared" si="22"/>
        <v>42643</v>
      </c>
      <c r="AZ146" s="6">
        <f t="shared" si="23"/>
        <v>-0.29911173688570436</v>
      </c>
      <c r="BA146" s="4">
        <v>42643</v>
      </c>
      <c r="BB146" s="6">
        <v>-0.30769999999999997</v>
      </c>
      <c r="BC146" s="6">
        <v>-1.4823759999999999</v>
      </c>
      <c r="BD146" s="6">
        <v>-0.27105200000000002</v>
      </c>
      <c r="BE146" s="6">
        <v>-1.0585059999999999</v>
      </c>
      <c r="BF146" s="6">
        <v>-1.1758550000000001</v>
      </c>
      <c r="BG146" s="6">
        <v>-0.29076400000000002</v>
      </c>
      <c r="BH146" s="6">
        <v>-0.240596</v>
      </c>
      <c r="BI146" s="6">
        <v>0.79278499999999996</v>
      </c>
      <c r="BJ146" s="6">
        <v>-1.404115</v>
      </c>
      <c r="BK146" s="6">
        <v>-0.13478899999999999</v>
      </c>
      <c r="BL146" s="4">
        <v>42643</v>
      </c>
      <c r="BM146" s="6">
        <f>VLOOKUP(BL146,Sheet1!$A$2:$E$1114,2,FALSE)</f>
        <v>2.0939549555600232</v>
      </c>
      <c r="BN146" s="6">
        <f t="shared" si="25"/>
        <v>-0.29911173688570436</v>
      </c>
    </row>
    <row r="147" spans="31:66" x14ac:dyDescent="0.3">
      <c r="AE147">
        <f t="shared" si="21"/>
        <v>118</v>
      </c>
      <c r="AF147" t="s">
        <v>77</v>
      </c>
      <c r="AG147" s="13">
        <f t="shared" si="20"/>
        <v>42608</v>
      </c>
      <c r="AH147" s="13">
        <v>42748</v>
      </c>
      <c r="AI147" s="13">
        <v>42468</v>
      </c>
      <c r="AJ147" s="11">
        <v>8.4791285035115807E-2</v>
      </c>
      <c r="AK147" s="11">
        <v>4.9686890529828248E-2</v>
      </c>
      <c r="AL147" s="11">
        <v>3.7139328649326515E-2</v>
      </c>
      <c r="AM147" s="11">
        <v>0.17193188250917046</v>
      </c>
      <c r="AN147" s="11">
        <v>4.7550777252291877E-2</v>
      </c>
      <c r="AO147" s="11">
        <v>0.1570961492812562</v>
      </c>
      <c r="AP147" s="11">
        <v>0.22085132273020205</v>
      </c>
      <c r="AQ147" s="11">
        <v>6.3714046066189967E-2</v>
      </c>
      <c r="AR147" s="11">
        <v>4.9703524572756139E-5</v>
      </c>
      <c r="AS147" s="11">
        <v>2.8694029386717036E-2</v>
      </c>
      <c r="AT147" s="11">
        <v>0.13849458503532908</v>
      </c>
      <c r="AU147">
        <v>0.97678672519663112</v>
      </c>
      <c r="AW147">
        <f t="shared" si="24"/>
        <v>0</v>
      </c>
      <c r="AX147">
        <v>144</v>
      </c>
      <c r="AY147" s="4">
        <f t="shared" si="22"/>
        <v>42657</v>
      </c>
      <c r="AZ147" s="6">
        <f t="shared" si="23"/>
        <v>1.8700313802097135</v>
      </c>
      <c r="BA147" s="4">
        <v>42657</v>
      </c>
      <c r="BB147" s="6">
        <v>0.47697400000000001</v>
      </c>
      <c r="BC147" s="6">
        <v>3.6768800000000001</v>
      </c>
      <c r="BD147" s="6">
        <v>1.782381</v>
      </c>
      <c r="BE147" s="6">
        <v>2.489665</v>
      </c>
      <c r="BF147" s="6">
        <v>2.5187840000000001</v>
      </c>
      <c r="BG147" s="6">
        <v>2.1021649999999998</v>
      </c>
      <c r="BH147" s="6">
        <v>2.3510909999999998</v>
      </c>
      <c r="BI147" s="6">
        <v>2.055402</v>
      </c>
      <c r="BJ147" s="6">
        <v>2.5097830000000001</v>
      </c>
      <c r="BK147" s="6">
        <v>5.2714319999999999</v>
      </c>
      <c r="BL147" s="4">
        <v>42657</v>
      </c>
      <c r="BM147" s="6">
        <f>VLOOKUP(BL147,Sheet1!$A$2:$E$1114,2,FALSE)</f>
        <v>2.133112570316452</v>
      </c>
      <c r="BN147" s="6">
        <f t="shared" si="25"/>
        <v>1.8700313802097135</v>
      </c>
    </row>
    <row r="148" spans="31:66" x14ac:dyDescent="0.3">
      <c r="AE148">
        <f t="shared" si="21"/>
        <v>119</v>
      </c>
      <c r="AF148" t="s">
        <v>77</v>
      </c>
      <c r="AG148" s="13">
        <f t="shared" si="20"/>
        <v>42615</v>
      </c>
      <c r="AH148" s="13">
        <v>42755</v>
      </c>
      <c r="AI148" s="13">
        <v>42475</v>
      </c>
      <c r="AJ148" s="11">
        <v>8.4124213181508325E-2</v>
      </c>
      <c r="AK148" s="11">
        <v>5.2003436262873938E-2</v>
      </c>
      <c r="AL148" s="11">
        <v>4.0310971430756515E-2</v>
      </c>
      <c r="AM148" s="11">
        <v>0.16668617238437863</v>
      </c>
      <c r="AN148" s="11">
        <v>5.3363221657415007E-2</v>
      </c>
      <c r="AO148" s="11">
        <v>0.16289939509392729</v>
      </c>
      <c r="AP148" s="11">
        <v>0.21647804338470414</v>
      </c>
      <c r="AQ148" s="11">
        <v>6.6288311202451475E-2</v>
      </c>
      <c r="AR148" s="11">
        <v>5.5243665661264417E-5</v>
      </c>
      <c r="AS148" s="11">
        <v>1.8872634193175062E-2</v>
      </c>
      <c r="AT148" s="11">
        <v>0.13891835754314838</v>
      </c>
      <c r="AU148">
        <v>0.97595641944080513</v>
      </c>
      <c r="AW148">
        <f t="shared" si="24"/>
        <v>0</v>
      </c>
      <c r="AX148">
        <v>145</v>
      </c>
      <c r="AY148" s="4">
        <f t="shared" si="22"/>
        <v>42664</v>
      </c>
      <c r="AZ148" s="6">
        <f t="shared" si="23"/>
        <v>0.35636491683908034</v>
      </c>
      <c r="BA148" s="4">
        <v>42664</v>
      </c>
      <c r="BB148" s="6">
        <v>7.4047000000000002E-2</v>
      </c>
      <c r="BC148" s="6">
        <v>1.2355179999999999</v>
      </c>
      <c r="BD148" s="6">
        <v>0.43501800000000002</v>
      </c>
      <c r="BE148" s="6">
        <v>0.93184400000000001</v>
      </c>
      <c r="BF148" s="6">
        <v>0.29319699999999999</v>
      </c>
      <c r="BG148" s="6">
        <v>0.167985</v>
      </c>
      <c r="BH148" s="6">
        <v>-0.56835800000000003</v>
      </c>
      <c r="BI148" s="6">
        <v>0.84329699999999996</v>
      </c>
      <c r="BJ148" s="6">
        <v>0.18249199999999999</v>
      </c>
      <c r="BK148" s="6">
        <v>-0.268926</v>
      </c>
      <c r="BL148" s="4">
        <v>42664</v>
      </c>
      <c r="BM148" s="6">
        <f>VLOOKUP(BL148,Sheet1!$A$2:$E$1114,2,FALSE)</f>
        <v>2.140714235153744</v>
      </c>
      <c r="BN148" s="6">
        <f t="shared" si="25"/>
        <v>0.35636491683908034</v>
      </c>
    </row>
    <row r="149" spans="31:66" x14ac:dyDescent="0.3">
      <c r="AE149">
        <f t="shared" si="21"/>
        <v>120</v>
      </c>
      <c r="AF149" t="s">
        <v>77</v>
      </c>
      <c r="AG149" s="13">
        <f t="shared" si="20"/>
        <v>42621.5</v>
      </c>
      <c r="AH149" s="13">
        <v>42761</v>
      </c>
      <c r="AI149" s="13">
        <v>42482</v>
      </c>
      <c r="AJ149" s="11">
        <v>8.4629731021563265E-2</v>
      </c>
      <c r="AK149" s="11">
        <v>6.3426678952399951E-2</v>
      </c>
      <c r="AL149" s="11">
        <v>3.5223178092734453E-2</v>
      </c>
      <c r="AM149" s="11">
        <v>0.15396864730865079</v>
      </c>
      <c r="AN149" s="11">
        <v>5.9003875575363476E-2</v>
      </c>
      <c r="AO149" s="11">
        <v>0.17248796672769751</v>
      </c>
      <c r="AP149" s="11">
        <v>0.20653238870854843</v>
      </c>
      <c r="AQ149" s="11">
        <v>6.5834630199092012E-2</v>
      </c>
      <c r="AR149" s="11">
        <v>3.3943722670632392E-5</v>
      </c>
      <c r="AS149" s="11">
        <v>1.8721056557518771E-2</v>
      </c>
      <c r="AT149" s="11">
        <v>0.14013790313376071</v>
      </c>
      <c r="AU149">
        <v>0.97406183429198112</v>
      </c>
      <c r="AW149">
        <f t="shared" si="24"/>
        <v>0</v>
      </c>
      <c r="AX149">
        <v>146</v>
      </c>
      <c r="AY149" s="4">
        <f t="shared" si="22"/>
        <v>42671</v>
      </c>
      <c r="AZ149" s="6">
        <f t="shared" si="23"/>
        <v>0.21795634927712637</v>
      </c>
      <c r="BA149" s="4">
        <v>42671</v>
      </c>
      <c r="BB149" s="6">
        <v>0.842754</v>
      </c>
      <c r="BC149" s="6">
        <v>-0.89073800000000003</v>
      </c>
      <c r="BD149" s="6">
        <v>-0.13325100000000001</v>
      </c>
      <c r="BE149" s="6">
        <v>3.5034999999999997E-2</v>
      </c>
      <c r="BF149" s="6">
        <v>-0.85440300000000002</v>
      </c>
      <c r="BG149" s="6">
        <v>2.2530199999999998</v>
      </c>
      <c r="BH149" s="6">
        <v>-0.476497</v>
      </c>
      <c r="BI149" s="6">
        <v>2.3104789999999999</v>
      </c>
      <c r="BJ149" s="6">
        <v>0.22312499999999999</v>
      </c>
      <c r="BK149" s="6">
        <v>-0.96628099999999995</v>
      </c>
      <c r="BL149" s="4">
        <v>42671</v>
      </c>
      <c r="BM149" s="6">
        <f>VLOOKUP(BL149,Sheet1!$A$2:$E$1114,2,FALSE)</f>
        <v>2.1453800577491409</v>
      </c>
      <c r="BN149" s="6">
        <f t="shared" si="25"/>
        <v>0.21795634927712637</v>
      </c>
    </row>
    <row r="150" spans="31:66" x14ac:dyDescent="0.3">
      <c r="AE150">
        <f t="shared" si="21"/>
        <v>121</v>
      </c>
      <c r="AF150" t="s">
        <v>77</v>
      </c>
      <c r="AG150" s="13">
        <f t="shared" si="20"/>
        <v>42629</v>
      </c>
      <c r="AH150" s="13">
        <v>42769</v>
      </c>
      <c r="AI150" s="13">
        <v>42489</v>
      </c>
      <c r="AJ150" s="11">
        <v>8.4555363905943537E-2</v>
      </c>
      <c r="AK150" s="11">
        <v>6.4999963065850694E-2</v>
      </c>
      <c r="AL150" s="11">
        <v>3.379729259866552E-2</v>
      </c>
      <c r="AM150" s="11">
        <v>0.15196498083520707</v>
      </c>
      <c r="AN150" s="11">
        <v>6.1123941468615231E-2</v>
      </c>
      <c r="AO150" s="11">
        <v>0.17305277032406707</v>
      </c>
      <c r="AP150" s="11">
        <v>0.20717492959885347</v>
      </c>
      <c r="AQ150" s="11">
        <v>6.6966721227395387E-2</v>
      </c>
      <c r="AR150" s="11">
        <v>3.0923718939992027E-5</v>
      </c>
      <c r="AS150" s="11">
        <v>1.7804468327300014E-2</v>
      </c>
      <c r="AT150" s="11">
        <v>0.13852864492916203</v>
      </c>
      <c r="AU150">
        <v>0.96940912724052386</v>
      </c>
      <c r="AW150">
        <f t="shared" si="24"/>
        <v>0</v>
      </c>
      <c r="AX150">
        <v>147</v>
      </c>
      <c r="AY150" s="4">
        <f t="shared" si="22"/>
        <v>42678</v>
      </c>
      <c r="AZ150" s="6">
        <f t="shared" si="23"/>
        <v>0.37272272957924457</v>
      </c>
      <c r="BA150" s="4">
        <v>42678</v>
      </c>
      <c r="BB150" s="6">
        <v>0.730603</v>
      </c>
      <c r="BC150" s="6">
        <v>0.62516899999999997</v>
      </c>
      <c r="BD150" s="6">
        <v>0.71750800000000003</v>
      </c>
      <c r="BE150" s="6">
        <v>1.027191</v>
      </c>
      <c r="BF150" s="6">
        <v>3.8539999999999998E-2</v>
      </c>
      <c r="BG150" s="6">
        <v>0.32854699999999998</v>
      </c>
      <c r="BH150" s="6">
        <v>0.388963</v>
      </c>
      <c r="BI150" s="6">
        <v>-0.57767199999999996</v>
      </c>
      <c r="BJ150" s="6">
        <v>-0.32341399999999998</v>
      </c>
      <c r="BK150" s="6">
        <v>-0.68699100000000002</v>
      </c>
      <c r="BL150" s="4">
        <v>42678</v>
      </c>
      <c r="BM150" s="6">
        <f>VLOOKUP(BL150,Sheet1!$A$2:$E$1114,2,FALSE)</f>
        <v>2.1533763768602321</v>
      </c>
      <c r="BN150" s="6">
        <f t="shared" si="25"/>
        <v>0.37272272957924457</v>
      </c>
    </row>
    <row r="151" spans="31:66" x14ac:dyDescent="0.3">
      <c r="AE151">
        <f t="shared" si="21"/>
        <v>122</v>
      </c>
      <c r="AF151" t="s">
        <v>77</v>
      </c>
      <c r="AG151" s="13">
        <f t="shared" si="20"/>
        <v>42636</v>
      </c>
      <c r="AH151" s="13">
        <v>42776</v>
      </c>
      <c r="AI151" s="13">
        <v>42496</v>
      </c>
      <c r="AJ151" s="11">
        <v>0.10069599271944706</v>
      </c>
      <c r="AK151" s="11">
        <v>8.4147512847578695E-2</v>
      </c>
      <c r="AL151" s="11">
        <v>7.4411508905415352E-3</v>
      </c>
      <c r="AM151" s="11">
        <v>0.16478093962443657</v>
      </c>
      <c r="AN151" s="11">
        <v>5.33459750182163E-2</v>
      </c>
      <c r="AO151" s="11">
        <v>0.15512602754996305</v>
      </c>
      <c r="AP151" s="11">
        <v>0.21763965423382395</v>
      </c>
      <c r="AQ151" s="11">
        <v>6.2927348352081469E-2</v>
      </c>
      <c r="AR151" s="11">
        <v>4.2308795181607813E-6</v>
      </c>
      <c r="AS151" s="11">
        <v>1.777498645922667E-2</v>
      </c>
      <c r="AT151" s="11">
        <v>0.13611618142516652</v>
      </c>
      <c r="AU151">
        <v>0.97237830169958295</v>
      </c>
      <c r="AW151">
        <f t="shared" si="24"/>
        <v>0</v>
      </c>
      <c r="AX151">
        <v>148</v>
      </c>
      <c r="AY151" s="4">
        <f t="shared" si="22"/>
        <v>42685</v>
      </c>
      <c r="AZ151" s="6">
        <f t="shared" si="23"/>
        <v>1.1575777446406033</v>
      </c>
      <c r="BA151" s="4">
        <v>42685</v>
      </c>
      <c r="BB151" s="6">
        <v>1.9058109999999999</v>
      </c>
      <c r="BC151" s="6">
        <v>2.3471899999999999</v>
      </c>
      <c r="BD151" s="6">
        <v>1.09084</v>
      </c>
      <c r="BE151" s="6">
        <v>4.2807870000000001</v>
      </c>
      <c r="BF151" s="6">
        <v>0.63800500000000004</v>
      </c>
      <c r="BG151" s="6">
        <v>1.0451790000000001</v>
      </c>
      <c r="BH151" s="6">
        <v>0.35917199999999999</v>
      </c>
      <c r="BI151" s="6">
        <v>3.1849769999999999</v>
      </c>
      <c r="BJ151" s="6">
        <v>1.3573710000000001</v>
      </c>
      <c r="BK151" s="6">
        <v>1.4092169999999999</v>
      </c>
      <c r="BL151" s="4">
        <v>42685</v>
      </c>
      <c r="BM151" s="6">
        <f>VLOOKUP(BL151,Sheet1!$A$2:$E$1114,2,FALSE)</f>
        <v>2.1783033825571141</v>
      </c>
      <c r="BN151" s="6">
        <f t="shared" si="25"/>
        <v>1.1575777446406033</v>
      </c>
    </row>
    <row r="152" spans="31:66" x14ac:dyDescent="0.3">
      <c r="AE152">
        <f t="shared" si="21"/>
        <v>123</v>
      </c>
      <c r="AF152" t="s">
        <v>77</v>
      </c>
      <c r="AG152" s="13">
        <f t="shared" si="20"/>
        <v>42643</v>
      </c>
      <c r="AH152" s="13">
        <v>42783</v>
      </c>
      <c r="AI152" s="13">
        <v>42503</v>
      </c>
      <c r="AJ152" s="11">
        <v>0.10001000655080636</v>
      </c>
      <c r="AK152" s="11">
        <v>8.4073928284041172E-2</v>
      </c>
      <c r="AL152" s="11">
        <v>1.7618318458518478E-2</v>
      </c>
      <c r="AM152" s="11">
        <v>0.16604569307523576</v>
      </c>
      <c r="AN152" s="11">
        <v>5.2205618624787883E-2</v>
      </c>
      <c r="AO152" s="11">
        <v>0.15883693997252654</v>
      </c>
      <c r="AP152" s="11">
        <v>0.21259047091048644</v>
      </c>
      <c r="AQ152" s="11">
        <v>5.4849444149022472E-2</v>
      </c>
      <c r="AR152" s="11">
        <v>1.3792568887659681E-5</v>
      </c>
      <c r="AS152" s="11">
        <v>1.708934194196458E-2</v>
      </c>
      <c r="AT152" s="11">
        <v>0.13666644546372272</v>
      </c>
      <c r="AU152">
        <v>0.97227391913232009</v>
      </c>
      <c r="AW152">
        <f t="shared" si="24"/>
        <v>0</v>
      </c>
      <c r="AX152">
        <v>149</v>
      </c>
      <c r="AY152" s="4">
        <f t="shared" si="22"/>
        <v>42692</v>
      </c>
      <c r="AZ152" s="6">
        <f t="shared" si="23"/>
        <v>-0.43910602549309674</v>
      </c>
      <c r="BA152" s="4">
        <v>42692</v>
      </c>
      <c r="BB152" s="6">
        <v>-4.8606000000000003E-2</v>
      </c>
      <c r="BC152" s="6">
        <v>1.017941</v>
      </c>
      <c r="BD152" s="6">
        <v>0.225219</v>
      </c>
      <c r="BE152" s="6">
        <v>-0.74529599999999996</v>
      </c>
      <c r="BF152" s="6">
        <v>6.1579000000000002E-2</v>
      </c>
      <c r="BG152" s="6">
        <v>-0.74233499999999997</v>
      </c>
      <c r="BH152" s="6">
        <v>0.215584</v>
      </c>
      <c r="BI152" s="6">
        <v>-0.87418099999999999</v>
      </c>
      <c r="BJ152" s="6">
        <v>0.77370000000000005</v>
      </c>
      <c r="BK152" s="6">
        <v>1.273212</v>
      </c>
      <c r="BL152" s="4">
        <v>42692</v>
      </c>
      <c r="BM152" s="6">
        <f>VLOOKUP(BL152,Sheet1!$A$2:$E$1114,2,FALSE)</f>
        <v>2.1687383211507858</v>
      </c>
      <c r="BN152" s="6">
        <f t="shared" si="25"/>
        <v>-0.43910602549309674</v>
      </c>
    </row>
    <row r="153" spans="31:66" x14ac:dyDescent="0.3">
      <c r="AE153">
        <f t="shared" si="21"/>
        <v>124</v>
      </c>
      <c r="AF153" t="s">
        <v>77</v>
      </c>
      <c r="AG153" s="13">
        <f t="shared" si="20"/>
        <v>42650</v>
      </c>
      <c r="AH153" s="13">
        <v>42790</v>
      </c>
      <c r="AI153" s="13">
        <v>42510</v>
      </c>
      <c r="AJ153" s="11">
        <v>9.5638767472968636E-2</v>
      </c>
      <c r="AK153" s="11">
        <v>8.7170619018216156E-2</v>
      </c>
      <c r="AL153" s="11">
        <v>2.1438233576216621E-2</v>
      </c>
      <c r="AM153" s="11">
        <v>0.17104637159489766</v>
      </c>
      <c r="AN153" s="11">
        <v>5.3332032984582597E-2</v>
      </c>
      <c r="AO153" s="11">
        <v>0.14689750627146636</v>
      </c>
      <c r="AP153" s="11">
        <v>0.21146246452936637</v>
      </c>
      <c r="AQ153" s="11">
        <v>6.3140330799201796E-2</v>
      </c>
      <c r="AR153" s="11">
        <v>1.8303547267175215E-5</v>
      </c>
      <c r="AS153" s="11">
        <v>1.0663466425644532E-2</v>
      </c>
      <c r="AT153" s="11">
        <v>0.13919190378017207</v>
      </c>
      <c r="AU153">
        <v>0.97065455585641225</v>
      </c>
      <c r="AW153">
        <f t="shared" si="24"/>
        <v>0</v>
      </c>
      <c r="AX153">
        <v>150</v>
      </c>
      <c r="AY153" s="4">
        <f t="shared" si="22"/>
        <v>42699</v>
      </c>
      <c r="AZ153" s="6">
        <f t="shared" si="23"/>
        <v>1.3293005463079988</v>
      </c>
      <c r="BA153" s="4">
        <v>42699</v>
      </c>
      <c r="BB153" s="6">
        <v>3.517798</v>
      </c>
      <c r="BC153" s="6">
        <v>1.214261</v>
      </c>
      <c r="BD153" s="6">
        <v>1.8128869999999999</v>
      </c>
      <c r="BE153" s="6">
        <v>0.63853700000000002</v>
      </c>
      <c r="BF153" s="6">
        <v>0.14838899999999999</v>
      </c>
      <c r="BG153" s="6">
        <v>1.254569</v>
      </c>
      <c r="BH153" s="6">
        <v>0.65710100000000005</v>
      </c>
      <c r="BI153" s="6">
        <v>2.0006659999999998</v>
      </c>
      <c r="BJ153" s="6">
        <v>1.46062</v>
      </c>
      <c r="BK153" s="6">
        <v>0.24915200000000001</v>
      </c>
      <c r="BL153" s="4">
        <v>42699</v>
      </c>
      <c r="BM153" s="6">
        <f>VLOOKUP(BL153,Sheet1!$A$2:$E$1114,2,FALSE)</f>
        <v>2.197567371501834</v>
      </c>
      <c r="BN153" s="6">
        <f t="shared" si="25"/>
        <v>1.3293005463079988</v>
      </c>
    </row>
    <row r="154" spans="31:66" x14ac:dyDescent="0.3">
      <c r="AE154">
        <f t="shared" si="21"/>
        <v>125</v>
      </c>
      <c r="AF154" t="s">
        <v>77</v>
      </c>
      <c r="AG154" s="13">
        <f t="shared" si="20"/>
        <v>42657</v>
      </c>
      <c r="AH154" s="13">
        <v>42797</v>
      </c>
      <c r="AI154" s="13">
        <v>42517</v>
      </c>
      <c r="AJ154" s="11">
        <v>8.5835067019342348E-2</v>
      </c>
      <c r="AK154" s="11">
        <v>6.1134113199926718E-2</v>
      </c>
      <c r="AL154" s="11">
        <v>3.5568979736814998E-2</v>
      </c>
      <c r="AM154" s="11">
        <v>0.19054135031686739</v>
      </c>
      <c r="AN154" s="11">
        <v>7.363469415529908E-2</v>
      </c>
      <c r="AO154" s="11">
        <v>0.12854081966359465</v>
      </c>
      <c r="AP154" s="11">
        <v>0.21334783004286373</v>
      </c>
      <c r="AQ154" s="11">
        <v>6.3334173176883807E-2</v>
      </c>
      <c r="AR154" s="11">
        <v>4.5339557060826562E-6</v>
      </c>
      <c r="AS154" s="11">
        <v>1.4505348118812125E-3</v>
      </c>
      <c r="AT154" s="11">
        <v>0.14660790392081999</v>
      </c>
      <c r="AU154">
        <v>0.9707871465868162</v>
      </c>
      <c r="AW154">
        <f t="shared" si="24"/>
        <v>0</v>
      </c>
      <c r="AX154">
        <v>151</v>
      </c>
      <c r="AY154" s="4">
        <f t="shared" si="22"/>
        <v>42706</v>
      </c>
      <c r="AZ154" s="6">
        <f t="shared" si="23"/>
        <v>-1.2600718146411172</v>
      </c>
      <c r="BA154" s="4">
        <v>42706</v>
      </c>
      <c r="BB154" s="6">
        <v>-1.31582</v>
      </c>
      <c r="BC154" s="6">
        <v>-0.318832</v>
      </c>
      <c r="BD154" s="6">
        <v>-0.82250900000000005</v>
      </c>
      <c r="BE154" s="6">
        <v>-2.1142259999999999</v>
      </c>
      <c r="BF154" s="6">
        <v>-2.0024459999999999</v>
      </c>
      <c r="BG154" s="6">
        <v>-0.94831399999999999</v>
      </c>
      <c r="BH154" s="6">
        <v>-1.4131560000000001</v>
      </c>
      <c r="BI154" s="6">
        <v>-2.0451549999999998</v>
      </c>
      <c r="BJ154" s="6">
        <v>1.6171999999999999E-2</v>
      </c>
      <c r="BK154" s="6">
        <v>0.99838199999999999</v>
      </c>
      <c r="BL154" s="4">
        <v>42706</v>
      </c>
      <c r="BM154" s="6">
        <f>VLOOKUP(BL154,Sheet1!$A$2:$E$1114,2,FALSE)</f>
        <v>2.1698764444457899</v>
      </c>
      <c r="BN154" s="6">
        <f t="shared" si="25"/>
        <v>-1.2600718146411172</v>
      </c>
    </row>
    <row r="155" spans="31:66" x14ac:dyDescent="0.3">
      <c r="AE155">
        <f t="shared" si="21"/>
        <v>126</v>
      </c>
      <c r="AF155" t="s">
        <v>77</v>
      </c>
      <c r="AG155" s="13">
        <f t="shared" si="20"/>
        <v>42664</v>
      </c>
      <c r="AH155" s="13">
        <v>42804</v>
      </c>
      <c r="AI155" s="13">
        <v>42524</v>
      </c>
      <c r="AJ155" s="11">
        <v>0.1028175722207383</v>
      </c>
      <c r="AK155" s="11">
        <v>8.1592507107070888E-2</v>
      </c>
      <c r="AL155" s="11">
        <v>1.0615537694924488E-4</v>
      </c>
      <c r="AM155" s="11">
        <v>0.18062767796558932</v>
      </c>
      <c r="AN155" s="11">
        <v>5.6616868709171507E-2</v>
      </c>
      <c r="AO155" s="11">
        <v>0.14695838293670394</v>
      </c>
      <c r="AP155" s="11">
        <v>0.22691282991849854</v>
      </c>
      <c r="AQ155" s="11">
        <v>5.55645663831629E-2</v>
      </c>
      <c r="AR155" s="11">
        <v>5.215541669591713E-7</v>
      </c>
      <c r="AS155" s="11">
        <v>9.1386466097188035E-3</v>
      </c>
      <c r="AT155" s="11">
        <v>0.13966427121822958</v>
      </c>
      <c r="AU155">
        <v>0.97636991532865303</v>
      </c>
      <c r="AW155">
        <f t="shared" si="24"/>
        <v>0</v>
      </c>
      <c r="AX155">
        <v>152</v>
      </c>
      <c r="AY155" s="4">
        <f t="shared" si="22"/>
        <v>42713</v>
      </c>
      <c r="AZ155" s="6">
        <f t="shared" si="23"/>
        <v>-0.23079844619212642</v>
      </c>
      <c r="BA155" s="4">
        <v>42713</v>
      </c>
      <c r="BB155" s="6">
        <v>-0.458397</v>
      </c>
      <c r="BC155" s="6">
        <v>-1.2298739999999999</v>
      </c>
      <c r="BD155" s="6">
        <v>-0.39847300000000002</v>
      </c>
      <c r="BE155" s="6">
        <v>0.60427299999999995</v>
      </c>
      <c r="BF155" s="6">
        <v>-1.3453079999999999</v>
      </c>
      <c r="BG155" s="6">
        <v>1.011617</v>
      </c>
      <c r="BH155" s="6">
        <v>-0.76703900000000003</v>
      </c>
      <c r="BI155" s="6">
        <v>-0.13899300000000001</v>
      </c>
      <c r="BJ155" s="6">
        <v>-1.79897</v>
      </c>
      <c r="BK155" s="6">
        <v>-0.94316299999999997</v>
      </c>
      <c r="BL155" s="4">
        <v>42713</v>
      </c>
      <c r="BM155" s="6">
        <f>VLOOKUP(BL155,Sheet1!$A$2:$E$1114,2,FALSE)</f>
        <v>2.1648684033277199</v>
      </c>
      <c r="BN155" s="6">
        <f t="shared" si="25"/>
        <v>-0.23079844619212642</v>
      </c>
    </row>
    <row r="156" spans="31:66" x14ac:dyDescent="0.3">
      <c r="AE156">
        <f t="shared" si="21"/>
        <v>127</v>
      </c>
      <c r="AF156" t="s">
        <v>77</v>
      </c>
      <c r="AG156" s="13">
        <f t="shared" si="20"/>
        <v>42670</v>
      </c>
      <c r="AH156" s="13">
        <v>42811</v>
      </c>
      <c r="AI156" s="13">
        <v>42529</v>
      </c>
      <c r="AJ156" s="11">
        <v>0.10739373606230367</v>
      </c>
      <c r="AK156" s="11">
        <v>6.459969984864436E-2</v>
      </c>
      <c r="AL156" s="11">
        <v>8.8416938301160363E-5</v>
      </c>
      <c r="AM156" s="11">
        <v>0.17889610262690703</v>
      </c>
      <c r="AN156" s="11">
        <v>8.6031638425120099E-2</v>
      </c>
      <c r="AO156" s="11">
        <v>0.18025840062238385</v>
      </c>
      <c r="AP156" s="11">
        <v>0.20730479534374432</v>
      </c>
      <c r="AQ156" s="11">
        <v>4.4427372780330987E-2</v>
      </c>
      <c r="AR156" s="11">
        <v>1.6400501248590851E-5</v>
      </c>
      <c r="AS156" s="11">
        <v>1.0775701268756056E-2</v>
      </c>
      <c r="AT156" s="11">
        <v>0.12020773558225996</v>
      </c>
      <c r="AU156">
        <v>0.97372961154119342</v>
      </c>
      <c r="AW156">
        <f t="shared" si="24"/>
        <v>0</v>
      </c>
      <c r="AX156">
        <v>153</v>
      </c>
      <c r="AY156" s="4">
        <f t="shared" si="22"/>
        <v>42720</v>
      </c>
      <c r="AZ156" s="6">
        <f t="shared" si="23"/>
        <v>-3.3395363420702817</v>
      </c>
      <c r="BA156" s="4">
        <v>42720</v>
      </c>
      <c r="BB156" s="6">
        <v>-4.4369139999999998</v>
      </c>
      <c r="BC156" s="6">
        <v>-3.7706460000000002</v>
      </c>
      <c r="BD156" s="6">
        <v>-3.6016620000000001</v>
      </c>
      <c r="BE156" s="6">
        <v>-3.1163110000000001</v>
      </c>
      <c r="BF156" s="6">
        <v>-5.0166979999999999</v>
      </c>
      <c r="BG156" s="6">
        <v>-1.7849759999999999</v>
      </c>
      <c r="BH156" s="6">
        <v>-3.640463</v>
      </c>
      <c r="BI156" s="6">
        <v>-1.326139</v>
      </c>
      <c r="BJ156" s="6">
        <v>-2.6851829999999999</v>
      </c>
      <c r="BK156" s="6">
        <v>-3.3328679999999999</v>
      </c>
      <c r="BL156" s="4">
        <v>42720</v>
      </c>
      <c r="BM156" s="6">
        <f>VLOOKUP(BL156,Sheet1!$A$2:$E$1114,2,FALSE)</f>
        <v>2.0925718362405941</v>
      </c>
      <c r="BN156" s="6">
        <f t="shared" si="25"/>
        <v>-3.3395363420702817</v>
      </c>
    </row>
    <row r="157" spans="31:66" x14ac:dyDescent="0.3">
      <c r="AE157">
        <f t="shared" si="21"/>
        <v>128</v>
      </c>
      <c r="AF157" t="s">
        <v>77</v>
      </c>
      <c r="AG157" s="13">
        <f t="shared" si="20"/>
        <v>42678</v>
      </c>
      <c r="AH157" s="13">
        <v>42818</v>
      </c>
      <c r="AI157" s="13">
        <v>42538</v>
      </c>
      <c r="AJ157" s="11">
        <v>0.10363331847425973</v>
      </c>
      <c r="AK157" s="11">
        <v>7.0677214746940054E-2</v>
      </c>
      <c r="AL157" s="11">
        <v>8.6747972433843493E-5</v>
      </c>
      <c r="AM157" s="11">
        <v>0.1714795485206769</v>
      </c>
      <c r="AN157" s="11">
        <v>8.7187302019087434E-2</v>
      </c>
      <c r="AO157" s="11">
        <v>0.18436419495898945</v>
      </c>
      <c r="AP157" s="11">
        <v>0.20919985710424807</v>
      </c>
      <c r="AQ157" s="11">
        <v>4.5707400336590008E-2</v>
      </c>
      <c r="AR157" s="11">
        <v>1.4975521771549227E-5</v>
      </c>
      <c r="AS157" s="11">
        <v>8.4807375413577836E-3</v>
      </c>
      <c r="AT157" s="11">
        <v>0.11916870280364525</v>
      </c>
      <c r="AU157">
        <v>0.97383637120024225</v>
      </c>
      <c r="AW157">
        <f t="shared" si="24"/>
        <v>0</v>
      </c>
      <c r="AX157">
        <v>154</v>
      </c>
      <c r="AY157" s="4">
        <f t="shared" si="22"/>
        <v>42727</v>
      </c>
      <c r="AZ157" s="6">
        <f t="shared" si="23"/>
        <v>-0.59838159085590092</v>
      </c>
      <c r="BA157" s="4">
        <v>42727</v>
      </c>
      <c r="BB157" s="6">
        <v>-2.12737</v>
      </c>
      <c r="BC157" s="6">
        <v>0.29665999999999998</v>
      </c>
      <c r="BD157" s="6">
        <v>-0.88292499999999996</v>
      </c>
      <c r="BE157" s="6">
        <v>-0.85629</v>
      </c>
      <c r="BF157" s="6">
        <v>-1.277015</v>
      </c>
      <c r="BG157" s="6">
        <v>-1.27582</v>
      </c>
      <c r="BH157" s="6">
        <v>-0.42635499999999998</v>
      </c>
      <c r="BI157" s="6">
        <v>-0.32162000000000002</v>
      </c>
      <c r="BJ157" s="6">
        <v>0.118615</v>
      </c>
      <c r="BK157" s="6">
        <v>0.220864</v>
      </c>
      <c r="BL157" s="4">
        <v>42727</v>
      </c>
      <c r="BM157" s="6">
        <f>VLOOKUP(BL157,Sheet1!$A$2:$E$1114,2,FALSE)</f>
        <v>2.080050271597095</v>
      </c>
      <c r="BN157" s="6">
        <f t="shared" si="25"/>
        <v>-0.59838159085590092</v>
      </c>
    </row>
    <row r="158" spans="31:66" x14ac:dyDescent="0.3">
      <c r="AE158">
        <f t="shared" si="21"/>
        <v>129</v>
      </c>
      <c r="AF158" t="s">
        <v>77</v>
      </c>
      <c r="AG158" s="13">
        <f t="shared" si="20"/>
        <v>42685</v>
      </c>
      <c r="AH158" s="13">
        <v>42825</v>
      </c>
      <c r="AI158" s="13">
        <v>42545</v>
      </c>
      <c r="AJ158" s="11">
        <v>0.10140854931912792</v>
      </c>
      <c r="AK158" s="11">
        <v>8.4451277341742764E-2</v>
      </c>
      <c r="AL158" s="11">
        <v>9.1871897026794101E-5</v>
      </c>
      <c r="AM158" s="11">
        <v>0.15357393466504712</v>
      </c>
      <c r="AN158" s="11">
        <v>8.9002318973093797E-2</v>
      </c>
      <c r="AO158" s="11">
        <v>0.16992061404655398</v>
      </c>
      <c r="AP158" s="11">
        <v>0.21313172840504285</v>
      </c>
      <c r="AQ158" s="11">
        <v>6.4467778141590659E-2</v>
      </c>
      <c r="AR158" s="11">
        <v>7.9415569713816817E-6</v>
      </c>
      <c r="AS158" s="11">
        <v>1.7225911175398145E-5</v>
      </c>
      <c r="AT158" s="11">
        <v>0.12392675974262728</v>
      </c>
      <c r="AU158">
        <v>0.97431044698264291</v>
      </c>
      <c r="AW158">
        <f t="shared" si="24"/>
        <v>0</v>
      </c>
      <c r="AX158">
        <v>155</v>
      </c>
      <c r="AY158" s="4">
        <f t="shared" si="22"/>
        <v>42734</v>
      </c>
      <c r="AZ158" s="6">
        <f t="shared" si="23"/>
        <v>0.30911035364320494</v>
      </c>
      <c r="BA158" s="4">
        <v>42734</v>
      </c>
      <c r="BB158" s="6">
        <v>0.33246100000000001</v>
      </c>
      <c r="BC158" s="6">
        <v>-0.161081</v>
      </c>
      <c r="BD158" s="6">
        <v>-0.38428800000000002</v>
      </c>
      <c r="BE158" s="6">
        <v>-0.10684399999999999</v>
      </c>
      <c r="BF158" s="6">
        <v>-0.49913800000000003</v>
      </c>
      <c r="BG158" s="6">
        <v>0.72351399999999999</v>
      </c>
      <c r="BH158" s="6">
        <v>0.50487499999999996</v>
      </c>
      <c r="BI158" s="6">
        <v>-1.205158</v>
      </c>
      <c r="BJ158" s="6">
        <v>-0.31115799999999999</v>
      </c>
      <c r="BK158" s="6">
        <v>-0.62530799999999997</v>
      </c>
      <c r="BL158" s="4">
        <v>42734</v>
      </c>
      <c r="BM158" s="6">
        <f>VLOOKUP(BL158,Sheet1!$A$2:$E$1114,2,FALSE)</f>
        <v>2.0864799223475852</v>
      </c>
      <c r="BN158" s="6">
        <f t="shared" si="25"/>
        <v>0.30911035364320494</v>
      </c>
    </row>
    <row r="159" spans="31:66" x14ac:dyDescent="0.3">
      <c r="AE159">
        <f t="shared" si="21"/>
        <v>130</v>
      </c>
      <c r="AF159" t="s">
        <v>77</v>
      </c>
      <c r="AG159" s="13">
        <f t="shared" ref="AG159:AG222" si="26">(AH159+AI159)/2</f>
        <v>42692</v>
      </c>
      <c r="AH159" s="13">
        <v>42832</v>
      </c>
      <c r="AI159" s="13">
        <v>42552</v>
      </c>
      <c r="AJ159" s="11">
        <v>9.3649552690775448E-2</v>
      </c>
      <c r="AK159" s="11">
        <v>9.4601742415618015E-2</v>
      </c>
      <c r="AL159" s="11">
        <v>4.6351617213674673E-2</v>
      </c>
      <c r="AM159" s="11">
        <v>0.18904578106142594</v>
      </c>
      <c r="AN159" s="11">
        <v>5.212764169796745E-2</v>
      </c>
      <c r="AO159" s="11">
        <v>0.18574130382293028</v>
      </c>
      <c r="AP159" s="11">
        <v>0.17281911570483693</v>
      </c>
      <c r="AQ159" s="11">
        <v>2.3692741754386872E-2</v>
      </c>
      <c r="AR159" s="11">
        <v>3.8213573733601534E-2</v>
      </c>
      <c r="AS159" s="11">
        <v>2.8268134837821736E-5</v>
      </c>
      <c r="AT159" s="11">
        <v>0.10372866176994509</v>
      </c>
      <c r="AU159">
        <v>0.97551592943327325</v>
      </c>
      <c r="AW159">
        <f t="shared" si="24"/>
        <v>0</v>
      </c>
      <c r="AX159">
        <v>156</v>
      </c>
      <c r="AY159" s="4">
        <f t="shared" si="22"/>
        <v>42741</v>
      </c>
      <c r="AZ159" s="6">
        <f t="shared" si="23"/>
        <v>1.4160763843325874</v>
      </c>
      <c r="BA159" s="4">
        <v>42741</v>
      </c>
      <c r="BB159" s="6">
        <v>0.41158</v>
      </c>
      <c r="BC159" s="6">
        <v>1.956324</v>
      </c>
      <c r="BD159" s="6">
        <v>1.34738</v>
      </c>
      <c r="BE159" s="6">
        <v>2.0233919999999999</v>
      </c>
      <c r="BF159" s="6">
        <v>0.81317099999999998</v>
      </c>
      <c r="BG159" s="6">
        <v>2.1102180000000001</v>
      </c>
      <c r="BH159" s="6">
        <v>0.14745900000000001</v>
      </c>
      <c r="BI159" s="6">
        <v>4.0480499999999999</v>
      </c>
      <c r="BJ159" s="6">
        <v>1.3319890000000001</v>
      </c>
      <c r="BK159" s="6">
        <v>1.450367</v>
      </c>
      <c r="BL159" s="4">
        <v>42741</v>
      </c>
      <c r="BM159" s="6">
        <f>VLOOKUP(BL159,Sheet1!$A$2:$E$1114,2,FALSE)</f>
        <v>2.11602607179179</v>
      </c>
      <c r="BN159" s="6">
        <f t="shared" si="25"/>
        <v>1.4160763843325874</v>
      </c>
    </row>
    <row r="160" spans="31:66" x14ac:dyDescent="0.3">
      <c r="AE160">
        <f t="shared" ref="AE160:AE223" si="27">AE159+1</f>
        <v>131</v>
      </c>
      <c r="AF160" t="s">
        <v>77</v>
      </c>
      <c r="AG160" s="13">
        <f t="shared" si="26"/>
        <v>42699</v>
      </c>
      <c r="AH160" s="13">
        <v>42839</v>
      </c>
      <c r="AI160" s="13">
        <v>42559</v>
      </c>
      <c r="AJ160" s="11">
        <v>8.7721174781402761E-2</v>
      </c>
      <c r="AK160" s="11">
        <v>7.8847673618332795E-2</v>
      </c>
      <c r="AL160" s="11">
        <v>4.704923654191176E-2</v>
      </c>
      <c r="AM160" s="11">
        <v>0.19797767554850762</v>
      </c>
      <c r="AN160" s="11">
        <v>5.1122057274305285E-2</v>
      </c>
      <c r="AO160" s="11">
        <v>0.18424115244768186</v>
      </c>
      <c r="AP160" s="11">
        <v>0.17188662040961766</v>
      </c>
      <c r="AQ160" s="11">
        <v>1.6863823406870468E-2</v>
      </c>
      <c r="AR160" s="11">
        <v>6.9158293163943743E-2</v>
      </c>
      <c r="AS160" s="11">
        <v>3.4761785419223035E-5</v>
      </c>
      <c r="AT160" s="11">
        <v>9.5097531022006854E-2</v>
      </c>
      <c r="AU160">
        <v>0.97332594893607316</v>
      </c>
      <c r="AW160">
        <f t="shared" si="24"/>
        <v>0</v>
      </c>
      <c r="AX160">
        <v>157</v>
      </c>
      <c r="AY160" s="4">
        <f t="shared" si="22"/>
        <v>42748</v>
      </c>
      <c r="AZ160" s="6">
        <f t="shared" si="23"/>
        <v>-2.1215896941541357</v>
      </c>
      <c r="BA160" s="4">
        <v>42748</v>
      </c>
      <c r="BB160" s="6">
        <v>0.136544</v>
      </c>
      <c r="BC160" s="6">
        <v>-2.7971900000000001</v>
      </c>
      <c r="BD160" s="6">
        <v>-2.612733</v>
      </c>
      <c r="BE160" s="6">
        <v>-2.711274</v>
      </c>
      <c r="BF160" s="6">
        <v>-3.353745</v>
      </c>
      <c r="BG160" s="6">
        <v>-3.249514</v>
      </c>
      <c r="BH160" s="6">
        <v>-2.5130970000000001</v>
      </c>
      <c r="BI160" s="6">
        <v>-2.1691229999999999</v>
      </c>
      <c r="BJ160" s="6">
        <v>-0.90947599999999995</v>
      </c>
      <c r="BK160" s="6">
        <v>-4.3575229999999996</v>
      </c>
      <c r="BL160" s="4">
        <v>42748</v>
      </c>
      <c r="BM160" s="6">
        <f>VLOOKUP(BL160,Sheet1!$A$2:$E$1114,2,FALSE)</f>
        <v>2.0711326807270409</v>
      </c>
      <c r="BN160" s="6">
        <f t="shared" si="25"/>
        <v>-2.1215896941541357</v>
      </c>
    </row>
    <row r="161" spans="31:66" x14ac:dyDescent="0.3">
      <c r="AE161">
        <f t="shared" si="27"/>
        <v>132</v>
      </c>
      <c r="AF161" t="s">
        <v>77</v>
      </c>
      <c r="AG161" s="13">
        <f t="shared" si="26"/>
        <v>42706</v>
      </c>
      <c r="AH161" s="13">
        <v>42846</v>
      </c>
      <c r="AI161" s="13">
        <v>42566</v>
      </c>
      <c r="AJ161" s="11">
        <v>0.11450044859730903</v>
      </c>
      <c r="AK161" s="11">
        <v>0.12277587295071193</v>
      </c>
      <c r="AL161" s="11">
        <v>7.9716419571936856E-2</v>
      </c>
      <c r="AM161" s="11">
        <v>0.12369011402087821</v>
      </c>
      <c r="AN161" s="11">
        <v>4.8899075883638253E-2</v>
      </c>
      <c r="AO161" s="11">
        <v>0.18662248057080946</v>
      </c>
      <c r="AP161" s="11">
        <v>0.15936779789102939</v>
      </c>
      <c r="AQ161" s="11">
        <v>1.7697758410026607E-2</v>
      </c>
      <c r="AR161" s="11">
        <v>2.6107833534067874E-2</v>
      </c>
      <c r="AS161" s="11">
        <v>2.2214798359466506E-5</v>
      </c>
      <c r="AT161" s="11">
        <v>0.12059998377123288</v>
      </c>
      <c r="AU161">
        <v>0.97026081065366865</v>
      </c>
      <c r="AW161">
        <f t="shared" si="24"/>
        <v>0</v>
      </c>
      <c r="AX161">
        <v>158</v>
      </c>
      <c r="AY161" s="4">
        <f t="shared" si="22"/>
        <v>42755</v>
      </c>
      <c r="AZ161" s="6">
        <f t="shared" si="23"/>
        <v>-4.3776602083389626E-2</v>
      </c>
      <c r="BA161" s="4">
        <v>42755</v>
      </c>
      <c r="BB161" s="6">
        <v>0.785636</v>
      </c>
      <c r="BC161" s="6">
        <v>-1.034713</v>
      </c>
      <c r="BD161" s="6">
        <v>-0.555894</v>
      </c>
      <c r="BE161" s="6">
        <v>-1.0401860000000001</v>
      </c>
      <c r="BF161" s="6">
        <v>-1.1243989999999999</v>
      </c>
      <c r="BG161" s="6">
        <v>0.51461999999999997</v>
      </c>
      <c r="BH161" s="6">
        <v>-0.68583099999999997</v>
      </c>
      <c r="BI161" s="6">
        <v>-0.22884299999999999</v>
      </c>
      <c r="BJ161" s="6">
        <v>-0.35073700000000002</v>
      </c>
      <c r="BK161" s="6">
        <v>-2.1160359999999998</v>
      </c>
      <c r="BL161" s="4">
        <v>42755</v>
      </c>
      <c r="BM161" s="6">
        <f>VLOOKUP(BL161,Sheet1!$A$2:$E$1114,2,FALSE)</f>
        <v>2.0702260092147799</v>
      </c>
      <c r="BN161" s="6">
        <f t="shared" si="25"/>
        <v>-4.3776602083389626E-2</v>
      </c>
    </row>
    <row r="162" spans="31:66" x14ac:dyDescent="0.3">
      <c r="AE162">
        <f t="shared" si="27"/>
        <v>133</v>
      </c>
      <c r="AF162" t="s">
        <v>77</v>
      </c>
      <c r="AG162" s="13">
        <f t="shared" si="26"/>
        <v>42713</v>
      </c>
      <c r="AH162" s="13">
        <v>42853</v>
      </c>
      <c r="AI162" s="13">
        <v>42573</v>
      </c>
      <c r="AJ162" s="11">
        <v>0.12661502131746835</v>
      </c>
      <c r="AK162" s="11">
        <v>0.11324019663029013</v>
      </c>
      <c r="AL162" s="11">
        <v>3.3907125565524887E-2</v>
      </c>
      <c r="AM162" s="11">
        <v>0.12039191068546687</v>
      </c>
      <c r="AN162" s="11">
        <v>8.6353993823395855E-2</v>
      </c>
      <c r="AO162" s="11">
        <v>0.19261677328791074</v>
      </c>
      <c r="AP162" s="11">
        <v>0.14986492354535716</v>
      </c>
      <c r="AQ162" s="11">
        <v>1.8289745058181848E-2</v>
      </c>
      <c r="AR162" s="11">
        <v>3.1015748268637545E-2</v>
      </c>
      <c r="AS162" s="11">
        <v>8.4358644795119886E-6</v>
      </c>
      <c r="AT162" s="11">
        <v>0.12769612595328711</v>
      </c>
      <c r="AU162">
        <v>0.96732837123482396</v>
      </c>
      <c r="AW162">
        <f t="shared" si="24"/>
        <v>0</v>
      </c>
      <c r="AX162">
        <v>159</v>
      </c>
      <c r="AY162" s="4">
        <f t="shared" si="22"/>
        <v>42761</v>
      </c>
      <c r="AZ162" s="6">
        <f t="shared" si="23"/>
        <v>1.072774202876281</v>
      </c>
      <c r="BA162" s="4">
        <v>42761</v>
      </c>
      <c r="BB162" s="6">
        <v>0.86752099999999999</v>
      </c>
      <c r="BC162" s="6">
        <v>1.2455419999999999</v>
      </c>
      <c r="BD162" s="6">
        <v>1.230488</v>
      </c>
      <c r="BE162" s="6">
        <v>2.7425199999999998</v>
      </c>
      <c r="BF162" s="6">
        <v>0.95188499999999998</v>
      </c>
      <c r="BG162" s="6">
        <v>0.49584499999999998</v>
      </c>
      <c r="BH162" s="6">
        <v>1.5486139999999999</v>
      </c>
      <c r="BI162" s="6">
        <v>2.3679049999999999</v>
      </c>
      <c r="BJ162" s="6">
        <v>0.237761</v>
      </c>
      <c r="BK162" s="6">
        <v>1.102282</v>
      </c>
      <c r="BL162" s="4">
        <v>42761</v>
      </c>
      <c r="BM162" s="6">
        <f>VLOOKUP(BL162,Sheet1!$A$2:$E$1114,2,FALSE)</f>
        <v>2.092434859782871</v>
      </c>
      <c r="BN162" s="6">
        <f t="shared" si="25"/>
        <v>1.072774202876281</v>
      </c>
    </row>
    <row r="163" spans="31:66" x14ac:dyDescent="0.3">
      <c r="AE163">
        <f t="shared" si="27"/>
        <v>134</v>
      </c>
      <c r="AF163" t="s">
        <v>77</v>
      </c>
      <c r="AG163" s="13">
        <f t="shared" si="26"/>
        <v>42720</v>
      </c>
      <c r="AH163" s="13">
        <v>42860</v>
      </c>
      <c r="AI163" s="13">
        <v>42580</v>
      </c>
      <c r="AJ163" s="11">
        <v>0.12626295168454094</v>
      </c>
      <c r="AK163" s="11">
        <v>0.11336245661669873</v>
      </c>
      <c r="AL163" s="11">
        <v>3.0072172218193811E-2</v>
      </c>
      <c r="AM163" s="11">
        <v>0.11447348557011278</v>
      </c>
      <c r="AN163" s="11">
        <v>9.1953268697293922E-2</v>
      </c>
      <c r="AO163" s="11">
        <v>0.18577201609281613</v>
      </c>
      <c r="AP163" s="11">
        <v>0.15408845037597935</v>
      </c>
      <c r="AQ163" s="11">
        <v>2.3735603922259377E-2</v>
      </c>
      <c r="AR163" s="11">
        <v>3.1610581692009712E-2</v>
      </c>
      <c r="AS163" s="11">
        <v>7.9373348386688568E-6</v>
      </c>
      <c r="AT163" s="11">
        <v>0.12866107579525657</v>
      </c>
      <c r="AU163">
        <v>0.96773743435134407</v>
      </c>
      <c r="AW163">
        <f t="shared" si="24"/>
        <v>0</v>
      </c>
      <c r="AX163">
        <v>160</v>
      </c>
      <c r="AY163" s="4">
        <f t="shared" si="22"/>
        <v>42769</v>
      </c>
      <c r="AZ163" s="6">
        <f t="shared" si="23"/>
        <v>-0.45570247429899124</v>
      </c>
      <c r="BA163" s="4">
        <v>42769</v>
      </c>
      <c r="BB163" s="6">
        <v>-1.0231460000000001</v>
      </c>
      <c r="BC163" s="6">
        <v>-0.20200899999999999</v>
      </c>
      <c r="BD163" s="6">
        <v>-0.37862000000000001</v>
      </c>
      <c r="BE163" s="6">
        <v>-0.30764999999999998</v>
      </c>
      <c r="BF163" s="6">
        <v>-0.52742</v>
      </c>
      <c r="BG163" s="6">
        <v>-0.41499200000000003</v>
      </c>
      <c r="BH163" s="6">
        <v>-5.6850999999999999E-2</v>
      </c>
      <c r="BI163" s="6">
        <v>-0.96944900000000001</v>
      </c>
      <c r="BJ163" s="6">
        <v>-0.20411299999999999</v>
      </c>
      <c r="BK163" s="6">
        <v>-0.328011</v>
      </c>
      <c r="BL163" s="4">
        <v>42769</v>
      </c>
      <c r="BM163" s="6">
        <f>VLOOKUP(BL163,Sheet1!$A$2:$E$1114,2,FALSE)</f>
        <v>2.0828995823537459</v>
      </c>
      <c r="BN163" s="6">
        <f t="shared" si="25"/>
        <v>-0.45570247429899124</v>
      </c>
    </row>
    <row r="164" spans="31:66" x14ac:dyDescent="0.3">
      <c r="AE164">
        <f t="shared" si="27"/>
        <v>135</v>
      </c>
      <c r="AF164" t="s">
        <v>77</v>
      </c>
      <c r="AG164" s="13">
        <f t="shared" si="26"/>
        <v>42727</v>
      </c>
      <c r="AH164" s="13">
        <v>42867</v>
      </c>
      <c r="AI164" s="13">
        <v>42587</v>
      </c>
      <c r="AJ164" s="11">
        <v>0.18857611781590206</v>
      </c>
      <c r="AK164" s="11">
        <v>9.9229815651590822E-2</v>
      </c>
      <c r="AL164" s="11">
        <v>3.2890031995178037E-5</v>
      </c>
      <c r="AM164" s="11">
        <v>8.2418050867798825E-2</v>
      </c>
      <c r="AN164" s="11">
        <v>0.10686281932799099</v>
      </c>
      <c r="AO164" s="11">
        <v>0.14994041170396732</v>
      </c>
      <c r="AP164" s="11">
        <v>0.17490448198869318</v>
      </c>
      <c r="AQ164" s="11">
        <v>4.8885710438678127E-2</v>
      </c>
      <c r="AR164" s="11">
        <v>1.0190676612895045E-2</v>
      </c>
      <c r="AS164" s="11">
        <v>4.3946586063517089E-5</v>
      </c>
      <c r="AT164" s="11">
        <v>0.13891507897442498</v>
      </c>
      <c r="AU164">
        <v>0.95346489396907219</v>
      </c>
      <c r="AW164">
        <f t="shared" si="24"/>
        <v>0</v>
      </c>
      <c r="AX164">
        <v>161</v>
      </c>
      <c r="AY164" s="4">
        <f t="shared" si="22"/>
        <v>42776</v>
      </c>
      <c r="AZ164" s="6">
        <f t="shared" si="23"/>
        <v>1.7048540931145606</v>
      </c>
      <c r="BA164" s="4">
        <v>42776</v>
      </c>
      <c r="BB164" s="6">
        <v>1.2310399999999999</v>
      </c>
      <c r="BC164" s="6">
        <v>3.0306440000000001</v>
      </c>
      <c r="BD164" s="6">
        <v>1.4504919999999999</v>
      </c>
      <c r="BE164" s="6">
        <v>2.9123640000000002</v>
      </c>
      <c r="BF164" s="6">
        <v>1.5098640000000001</v>
      </c>
      <c r="BG164" s="6">
        <v>1.8592310000000001</v>
      </c>
      <c r="BH164" s="6">
        <v>0.767455</v>
      </c>
      <c r="BI164" s="6">
        <v>2.1783950000000001</v>
      </c>
      <c r="BJ164" s="6">
        <v>1.9710639999999999</v>
      </c>
      <c r="BK164" s="6">
        <v>2.4940690000000001</v>
      </c>
      <c r="BL164" s="4">
        <v>42776</v>
      </c>
      <c r="BM164" s="6">
        <f>VLOOKUP(BL164,Sheet1!$A$2:$E$1114,2,FALSE)</f>
        <v>2.1184099811389698</v>
      </c>
      <c r="BN164" s="6">
        <f t="shared" si="25"/>
        <v>1.7048540931145606</v>
      </c>
    </row>
    <row r="165" spans="31:66" x14ac:dyDescent="0.3">
      <c r="AE165">
        <f t="shared" si="27"/>
        <v>136</v>
      </c>
      <c r="AF165" t="s">
        <v>77</v>
      </c>
      <c r="AG165" s="13">
        <f t="shared" si="26"/>
        <v>42734</v>
      </c>
      <c r="AH165" s="13">
        <v>42874</v>
      </c>
      <c r="AI165" s="13">
        <v>42594</v>
      </c>
      <c r="AJ165" s="11">
        <v>0.21390495146894503</v>
      </c>
      <c r="AK165" s="11">
        <v>0.13957402792751916</v>
      </c>
      <c r="AL165" s="11">
        <v>9.0512552211075711E-5</v>
      </c>
      <c r="AM165" s="11">
        <v>9.5395992262833462E-2</v>
      </c>
      <c r="AN165" s="11">
        <v>7.2430038465513519E-2</v>
      </c>
      <c r="AO165" s="11">
        <v>0.14782640539473826</v>
      </c>
      <c r="AP165" s="11">
        <v>0.16902459176151821</v>
      </c>
      <c r="AQ165" s="11">
        <v>1.1751966423069658E-2</v>
      </c>
      <c r="AR165" s="11">
        <v>4.8880670824246486E-6</v>
      </c>
      <c r="AS165" s="11">
        <v>2.1005552729375974E-5</v>
      </c>
      <c r="AT165" s="11">
        <v>0.1499756201238398</v>
      </c>
      <c r="AU165">
        <v>0.9510499632080831</v>
      </c>
      <c r="AW165">
        <f t="shared" si="24"/>
        <v>0</v>
      </c>
      <c r="AX165">
        <v>162</v>
      </c>
      <c r="AY165" s="4">
        <f t="shared" si="22"/>
        <v>42783</v>
      </c>
      <c r="AZ165" s="6">
        <f t="shared" si="23"/>
        <v>-8.2715694106283433E-2</v>
      </c>
      <c r="BA165" s="4">
        <v>42783</v>
      </c>
      <c r="BB165" s="6">
        <v>0.25670300000000001</v>
      </c>
      <c r="BC165" s="6">
        <v>-0.61882599999999999</v>
      </c>
      <c r="BD165" s="6">
        <v>0.106055</v>
      </c>
      <c r="BE165" s="6">
        <v>-0.143399</v>
      </c>
      <c r="BF165" s="6">
        <v>-0.61079099999999997</v>
      </c>
      <c r="BG165" s="6">
        <v>0.60689000000000004</v>
      </c>
      <c r="BH165" s="6">
        <v>-0.48770200000000002</v>
      </c>
      <c r="BI165" s="6">
        <v>-0.70092900000000002</v>
      </c>
      <c r="BJ165" s="6">
        <v>0.79694900000000002</v>
      </c>
      <c r="BK165" s="6">
        <v>-0.84137200000000001</v>
      </c>
      <c r="BL165" s="4">
        <v>42783</v>
      </c>
      <c r="BM165" s="6">
        <f>VLOOKUP(BL165,Sheet1!$A$2:$E$1114,2,FALSE)</f>
        <v>2.116657723619054</v>
      </c>
      <c r="BN165" s="6">
        <f t="shared" si="25"/>
        <v>-8.2715694106283433E-2</v>
      </c>
    </row>
    <row r="166" spans="31:66" x14ac:dyDescent="0.3">
      <c r="AE166">
        <f t="shared" si="27"/>
        <v>137</v>
      </c>
      <c r="AF166" t="s">
        <v>77</v>
      </c>
      <c r="AG166" s="13">
        <f t="shared" si="26"/>
        <v>42741</v>
      </c>
      <c r="AH166" s="13">
        <v>42881</v>
      </c>
      <c r="AI166" s="13">
        <v>42601</v>
      </c>
      <c r="AJ166" s="11">
        <v>0.24867059878235348</v>
      </c>
      <c r="AK166" s="11">
        <v>0.14674898685890417</v>
      </c>
      <c r="AL166" s="11">
        <v>6.5846864006372557E-5</v>
      </c>
      <c r="AM166" s="11">
        <v>6.5742113454341347E-2</v>
      </c>
      <c r="AN166" s="11">
        <v>4.8337355151116645E-2</v>
      </c>
      <c r="AO166" s="11">
        <v>0.13794089143717286</v>
      </c>
      <c r="AP166" s="11">
        <v>0.18587315887754155</v>
      </c>
      <c r="AQ166" s="11">
        <v>3.4221868646847974E-2</v>
      </c>
      <c r="AR166" s="11">
        <v>5.1174163118352845E-5</v>
      </c>
      <c r="AS166" s="11">
        <v>1.2657976772586916E-2</v>
      </c>
      <c r="AT166" s="11">
        <v>0.11969002899201028</v>
      </c>
      <c r="AU166">
        <v>0.95669005140772456</v>
      </c>
      <c r="AW166">
        <f t="shared" si="24"/>
        <v>0</v>
      </c>
      <c r="AX166">
        <v>163</v>
      </c>
      <c r="AY166" s="4">
        <f t="shared" si="22"/>
        <v>42790</v>
      </c>
      <c r="AZ166" s="6">
        <f t="shared" si="23"/>
        <v>1.9022325040356725</v>
      </c>
      <c r="BA166" s="4">
        <v>42790</v>
      </c>
      <c r="BB166" s="6">
        <v>0.975634</v>
      </c>
      <c r="BC166" s="6">
        <v>1.929305</v>
      </c>
      <c r="BD166" s="6">
        <v>2.5470359999999999</v>
      </c>
      <c r="BE166" s="6">
        <v>1.999565</v>
      </c>
      <c r="BF166" s="6">
        <v>3.243039</v>
      </c>
      <c r="BG166" s="6">
        <v>3.000048</v>
      </c>
      <c r="BH166" s="6">
        <v>3.1810779999999999</v>
      </c>
      <c r="BI166" s="6">
        <v>0.64663899999999996</v>
      </c>
      <c r="BJ166" s="6">
        <v>0.99467300000000003</v>
      </c>
      <c r="BK166" s="6">
        <v>2.9738449999999998</v>
      </c>
      <c r="BL166" s="4">
        <v>42790</v>
      </c>
      <c r="BM166" s="6">
        <f>VLOOKUP(BL166,Sheet1!$A$2:$E$1114,2,FALSE)</f>
        <v>2.156921474836917</v>
      </c>
      <c r="BN166" s="6">
        <f t="shared" si="25"/>
        <v>1.9022325040356725</v>
      </c>
    </row>
    <row r="167" spans="31:66" x14ac:dyDescent="0.3">
      <c r="AE167">
        <f t="shared" si="27"/>
        <v>138</v>
      </c>
      <c r="AF167" t="s">
        <v>77</v>
      </c>
      <c r="AG167" s="13">
        <f t="shared" si="26"/>
        <v>42748</v>
      </c>
      <c r="AH167" s="13">
        <v>42888</v>
      </c>
      <c r="AI167" s="13">
        <v>42608</v>
      </c>
      <c r="AJ167" s="11">
        <v>0.25573437847942876</v>
      </c>
      <c r="AK167" s="11">
        <v>0.17393650443795203</v>
      </c>
      <c r="AL167" s="11">
        <v>8.120410085460504E-5</v>
      </c>
      <c r="AM167" s="11">
        <v>4.662339680436027E-2</v>
      </c>
      <c r="AN167" s="11">
        <v>5.6849662956450026E-2</v>
      </c>
      <c r="AO167" s="11">
        <v>0.12626425761140292</v>
      </c>
      <c r="AP167" s="11">
        <v>0.19122885923888441</v>
      </c>
      <c r="AQ167" s="11">
        <v>3.4064140158243966E-2</v>
      </c>
      <c r="AR167" s="11">
        <v>2.6272548940888305E-5</v>
      </c>
      <c r="AS167" s="11">
        <v>4.9516298440419083E-3</v>
      </c>
      <c r="AT167" s="11">
        <v>0.11023969381944022</v>
      </c>
      <c r="AU167">
        <v>0.9561172523722673</v>
      </c>
      <c r="AW167">
        <f t="shared" si="24"/>
        <v>0</v>
      </c>
      <c r="AX167">
        <v>164</v>
      </c>
      <c r="AY167" s="4">
        <f t="shared" si="22"/>
        <v>42797</v>
      </c>
      <c r="AZ167" s="6">
        <f t="shared" si="23"/>
        <v>-0.49168910914407782</v>
      </c>
      <c r="BA167" s="4">
        <v>42797</v>
      </c>
      <c r="BB167" s="6">
        <v>-1.633375</v>
      </c>
      <c r="BC167" s="6">
        <v>-0.71743800000000002</v>
      </c>
      <c r="BD167" s="6">
        <v>-0.23871899999999999</v>
      </c>
      <c r="BE167" s="6">
        <v>-0.39820499999999998</v>
      </c>
      <c r="BF167" s="6">
        <v>-0.29161100000000001</v>
      </c>
      <c r="BG167" s="6">
        <v>-1.321043</v>
      </c>
      <c r="BH167" s="6">
        <v>-1.1575850000000001</v>
      </c>
      <c r="BI167" s="6">
        <v>-1.762697</v>
      </c>
      <c r="BJ167" s="6">
        <v>-0.65578700000000001</v>
      </c>
      <c r="BK167" s="6">
        <v>-0.40874899999999997</v>
      </c>
      <c r="BL167" s="4">
        <v>42797</v>
      </c>
      <c r="BM167" s="6">
        <f>VLOOKUP(BL167,Sheet1!$A$2:$E$1114,2,FALSE)</f>
        <v>2.1463161268523541</v>
      </c>
      <c r="BN167" s="6">
        <f t="shared" si="25"/>
        <v>-0.49168910914407782</v>
      </c>
    </row>
    <row r="168" spans="31:66" x14ac:dyDescent="0.3">
      <c r="AE168">
        <f t="shared" si="27"/>
        <v>139</v>
      </c>
      <c r="AF168" t="s">
        <v>77</v>
      </c>
      <c r="AG168" s="13">
        <f t="shared" si="26"/>
        <v>42755</v>
      </c>
      <c r="AH168" s="13">
        <v>42895</v>
      </c>
      <c r="AI168" s="13">
        <v>42615</v>
      </c>
      <c r="AJ168" s="11">
        <v>0.26056760245481941</v>
      </c>
      <c r="AK168" s="11">
        <v>0.18136674194396599</v>
      </c>
      <c r="AL168" s="11">
        <v>1.3062988796285551E-2</v>
      </c>
      <c r="AM168" s="11">
        <v>3.828355575245939E-2</v>
      </c>
      <c r="AN168" s="11">
        <v>6.8006095709526274E-2</v>
      </c>
      <c r="AO168" s="11">
        <v>0.14728497658856393</v>
      </c>
      <c r="AP168" s="11">
        <v>0.16137655616978624</v>
      </c>
      <c r="AQ168" s="11">
        <v>2.6214286510563997E-2</v>
      </c>
      <c r="AR168" s="11">
        <v>1.0858220401067304E-5</v>
      </c>
      <c r="AS168" s="11">
        <v>1.4995428362565408E-3</v>
      </c>
      <c r="AT168" s="11">
        <v>0.10232679501737167</v>
      </c>
      <c r="AU168">
        <v>0.96024077297365096</v>
      </c>
      <c r="AW168">
        <f t="shared" si="24"/>
        <v>0</v>
      </c>
      <c r="AX168">
        <v>165</v>
      </c>
      <c r="AY168" s="4">
        <f t="shared" si="22"/>
        <v>42804</v>
      </c>
      <c r="AZ168" s="6">
        <f t="shared" si="23"/>
        <v>5.0508086314615674E-2</v>
      </c>
      <c r="BA168" s="4">
        <v>42804</v>
      </c>
      <c r="BB168" s="6">
        <v>-0.20707400000000001</v>
      </c>
      <c r="BC168" s="6">
        <v>-0.32257799999999998</v>
      </c>
      <c r="BD168" s="6">
        <v>0.68861600000000001</v>
      </c>
      <c r="BE168" s="6">
        <v>-0.49015999999999998</v>
      </c>
      <c r="BF168" s="6">
        <v>0.95236500000000002</v>
      </c>
      <c r="BG168" s="6">
        <v>0.83053999999999994</v>
      </c>
      <c r="BH168" s="6">
        <v>0.245783</v>
      </c>
      <c r="BI168" s="6">
        <v>-1.9442219999999999</v>
      </c>
      <c r="BJ168" s="6">
        <v>-0.769818</v>
      </c>
      <c r="BK168" s="6">
        <v>2.176685</v>
      </c>
      <c r="BL168" s="4">
        <v>42804</v>
      </c>
      <c r="BM168" s="6">
        <f>VLOOKUP(BL168,Sheet1!$A$2:$E$1114,2,FALSE)</f>
        <v>2.1474001900542889</v>
      </c>
      <c r="BN168" s="6">
        <f t="shared" si="25"/>
        <v>5.0508086314615674E-2</v>
      </c>
    </row>
    <row r="169" spans="31:66" x14ac:dyDescent="0.3">
      <c r="AE169">
        <f t="shared" si="27"/>
        <v>140</v>
      </c>
      <c r="AF169" t="s">
        <v>77</v>
      </c>
      <c r="AG169" s="13">
        <f t="shared" si="26"/>
        <v>42762</v>
      </c>
      <c r="AH169" s="13">
        <v>42902</v>
      </c>
      <c r="AI169" s="13">
        <v>42622</v>
      </c>
      <c r="AJ169" s="11">
        <v>0.26456689845723241</v>
      </c>
      <c r="AK169" s="11">
        <v>0.19252860453552023</v>
      </c>
      <c r="AL169" s="11">
        <v>4.5623553883306293E-2</v>
      </c>
      <c r="AM169" s="11">
        <v>1.3843394719188549E-2</v>
      </c>
      <c r="AN169" s="11">
        <v>6.3711596072963006E-2</v>
      </c>
      <c r="AO169" s="11">
        <v>0.14252948632027759</v>
      </c>
      <c r="AP169" s="11">
        <v>0.14444338884283114</v>
      </c>
      <c r="AQ169" s="11">
        <v>3.363981154825995E-2</v>
      </c>
      <c r="AR169" s="11">
        <v>4.9834232824355929E-5</v>
      </c>
      <c r="AS169" s="11">
        <v>4.6527647888355985E-5</v>
      </c>
      <c r="AT169" s="11">
        <v>9.9016903739708076E-2</v>
      </c>
      <c r="AU169">
        <v>0.96118035248810241</v>
      </c>
      <c r="AW169">
        <f t="shared" si="24"/>
        <v>0</v>
      </c>
      <c r="AX169">
        <v>166</v>
      </c>
      <c r="AY169" s="4">
        <f t="shared" si="22"/>
        <v>42811</v>
      </c>
      <c r="AZ169" s="6">
        <f t="shared" si="23"/>
        <v>0.51740277615348607</v>
      </c>
      <c r="BA169" s="4">
        <v>42811</v>
      </c>
      <c r="BB169" s="6">
        <v>0.36250700000000002</v>
      </c>
      <c r="BC169" s="6">
        <v>0.89866199999999996</v>
      </c>
      <c r="BD169" s="6">
        <v>7.7473E-2</v>
      </c>
      <c r="BE169" s="6">
        <v>0.82658500000000001</v>
      </c>
      <c r="BF169" s="6">
        <v>0.70788700000000004</v>
      </c>
      <c r="BG169" s="6">
        <v>0.44709700000000002</v>
      </c>
      <c r="BH169" s="6">
        <v>0.78745100000000001</v>
      </c>
      <c r="BI169" s="6">
        <v>0.592167</v>
      </c>
      <c r="BJ169" s="6">
        <v>0.44453900000000002</v>
      </c>
      <c r="BK169" s="6">
        <v>1.1475249999999999</v>
      </c>
      <c r="BL169" s="4">
        <v>42811</v>
      </c>
      <c r="BM169" s="6">
        <f>VLOOKUP(BL169,Sheet1!$A$2:$E$1114,2,FALSE)</f>
        <v>2.158510898252755</v>
      </c>
      <c r="BN169" s="6">
        <f t="shared" si="25"/>
        <v>0.51740277615348607</v>
      </c>
    </row>
    <row r="170" spans="31:66" x14ac:dyDescent="0.3">
      <c r="AE170">
        <f t="shared" si="27"/>
        <v>141</v>
      </c>
      <c r="AF170" t="s">
        <v>77</v>
      </c>
      <c r="AG170" s="13">
        <f t="shared" si="26"/>
        <v>42768</v>
      </c>
      <c r="AH170" s="13">
        <v>42909</v>
      </c>
      <c r="AI170" s="13">
        <v>42627</v>
      </c>
      <c r="AJ170" s="11">
        <v>0.28215949003619906</v>
      </c>
      <c r="AK170" s="11">
        <v>0.19522645986941736</v>
      </c>
      <c r="AL170" s="11">
        <v>1.3921179820311219E-2</v>
      </c>
      <c r="AM170" s="11">
        <v>1.7078713780402502E-2</v>
      </c>
      <c r="AN170" s="11">
        <v>7.5173807067145035E-2</v>
      </c>
      <c r="AO170" s="11">
        <v>0.17339616492238574</v>
      </c>
      <c r="AP170" s="11">
        <v>0.12759353488878311</v>
      </c>
      <c r="AQ170" s="11">
        <v>1.7211197960919966E-2</v>
      </c>
      <c r="AR170" s="11">
        <v>7.5445729180176303E-5</v>
      </c>
      <c r="AS170" s="11">
        <v>9.9482099801059859E-6</v>
      </c>
      <c r="AT170" s="11">
        <v>9.8154057715275689E-2</v>
      </c>
      <c r="AU170">
        <v>0.96341728394852666</v>
      </c>
      <c r="AW170">
        <f t="shared" si="24"/>
        <v>0</v>
      </c>
      <c r="AX170">
        <v>167</v>
      </c>
      <c r="AY170" s="4">
        <f t="shared" si="22"/>
        <v>42818</v>
      </c>
      <c r="AZ170" s="6">
        <f t="shared" si="23"/>
        <v>1.1667268683974497</v>
      </c>
      <c r="BA170" s="4">
        <v>42818</v>
      </c>
      <c r="BB170" s="6">
        <v>-0.75988299999999998</v>
      </c>
      <c r="BC170" s="6">
        <v>1.7612319999999999</v>
      </c>
      <c r="BD170" s="6">
        <v>1.349936</v>
      </c>
      <c r="BE170" s="6">
        <v>-9.0478000000000003E-2</v>
      </c>
      <c r="BF170" s="6">
        <v>0.75392499999999996</v>
      </c>
      <c r="BG170" s="6">
        <v>2.305463</v>
      </c>
      <c r="BH170" s="6">
        <v>2.406406</v>
      </c>
      <c r="BI170" s="6">
        <v>1.1784760000000001</v>
      </c>
      <c r="BJ170" s="6">
        <v>0.18446399999999999</v>
      </c>
      <c r="BK170" s="6">
        <v>1.3971990000000001</v>
      </c>
      <c r="BL170" s="4">
        <v>42818</v>
      </c>
      <c r="BM170" s="6">
        <f>VLOOKUP(BL170,Sheet1!$A$2:$E$1114,2,FALSE)</f>
        <v>2.1836948248599568</v>
      </c>
      <c r="BN170" s="6">
        <f t="shared" si="25"/>
        <v>1.1667268683974497</v>
      </c>
    </row>
    <row r="171" spans="31:66" x14ac:dyDescent="0.3">
      <c r="AE171">
        <f t="shared" si="27"/>
        <v>142</v>
      </c>
      <c r="AF171" t="s">
        <v>77</v>
      </c>
      <c r="AG171" s="13">
        <f t="shared" si="26"/>
        <v>42776</v>
      </c>
      <c r="AH171" s="13">
        <v>42916</v>
      </c>
      <c r="AI171" s="13">
        <v>42636</v>
      </c>
      <c r="AJ171" s="11">
        <v>0.28045817430006287</v>
      </c>
      <c r="AK171" s="11">
        <v>0.17341148965783471</v>
      </c>
      <c r="AL171" s="11">
        <v>8.5788461370703007E-5</v>
      </c>
      <c r="AM171" s="11">
        <v>4.0136173366879579E-2</v>
      </c>
      <c r="AN171" s="11">
        <v>7.1633634870730781E-2</v>
      </c>
      <c r="AO171" s="11">
        <v>0.17064874443650732</v>
      </c>
      <c r="AP171" s="11">
        <v>0.15189635824995404</v>
      </c>
      <c r="AQ171" s="11">
        <v>1.6319454264517804E-2</v>
      </c>
      <c r="AR171" s="11">
        <v>3.5793109923235893E-5</v>
      </c>
      <c r="AS171" s="11">
        <v>2.2239709703928307E-5</v>
      </c>
      <c r="AT171" s="11">
        <v>9.5352149572514949E-2</v>
      </c>
      <c r="AU171">
        <v>0.95820331284786009</v>
      </c>
      <c r="AW171">
        <f t="shared" si="24"/>
        <v>0</v>
      </c>
      <c r="AX171">
        <v>168</v>
      </c>
      <c r="AY171" s="4">
        <f t="shared" si="22"/>
        <v>42825</v>
      </c>
      <c r="AZ171" s="6">
        <f t="shared" si="23"/>
        <v>-1.4904592584887411</v>
      </c>
      <c r="BA171" s="4">
        <v>42825</v>
      </c>
      <c r="BB171" s="6">
        <v>-0.50270999999999999</v>
      </c>
      <c r="BC171" s="6">
        <v>-2.158417</v>
      </c>
      <c r="BD171" s="6">
        <v>-2.1976650000000002</v>
      </c>
      <c r="BE171" s="6">
        <v>-1.969911</v>
      </c>
      <c r="BF171" s="6">
        <v>-3.2429969999999999</v>
      </c>
      <c r="BG171" s="6">
        <v>-2.241527</v>
      </c>
      <c r="BH171" s="6">
        <v>-2.3975900000000001</v>
      </c>
      <c r="BI171" s="6">
        <v>-0.353298</v>
      </c>
      <c r="BJ171" s="6">
        <v>-0.13863600000000001</v>
      </c>
      <c r="BK171" s="6">
        <v>-3.2077270000000002</v>
      </c>
      <c r="BL171" s="4">
        <v>42825</v>
      </c>
      <c r="BM171" s="6">
        <f>VLOOKUP(BL171,Sheet1!$A$2:$E$1114,2,FALSE)</f>
        <v>2.151147743165692</v>
      </c>
      <c r="BN171" s="6">
        <f t="shared" si="25"/>
        <v>-1.4904592584887411</v>
      </c>
    </row>
    <row r="172" spans="31:66" x14ac:dyDescent="0.3">
      <c r="AE172">
        <f t="shared" si="27"/>
        <v>143</v>
      </c>
      <c r="AF172" t="s">
        <v>77</v>
      </c>
      <c r="AG172" s="13">
        <f t="shared" si="26"/>
        <v>42783</v>
      </c>
      <c r="AH172" s="13">
        <v>42923</v>
      </c>
      <c r="AI172" s="13">
        <v>42643</v>
      </c>
      <c r="AJ172" s="11">
        <v>0.27856695248373547</v>
      </c>
      <c r="AK172" s="11">
        <v>0.14955681546143362</v>
      </c>
      <c r="AL172" s="11">
        <v>5.3357146601038659E-5</v>
      </c>
      <c r="AM172" s="11">
        <v>7.9528385890436329E-2</v>
      </c>
      <c r="AN172" s="11">
        <v>7.5982662883794502E-2</v>
      </c>
      <c r="AO172" s="11">
        <v>0.14959923280155452</v>
      </c>
      <c r="AP172" s="11">
        <v>0.1373996810836916</v>
      </c>
      <c r="AQ172" s="11">
        <v>2.29155439001314E-2</v>
      </c>
      <c r="AR172" s="11">
        <v>1.8862744828695875E-5</v>
      </c>
      <c r="AS172" s="11">
        <v>4.9553377329612592E-3</v>
      </c>
      <c r="AT172" s="11">
        <v>0.10142316787083154</v>
      </c>
      <c r="AU172">
        <v>0.95302427164831149</v>
      </c>
      <c r="AW172">
        <f t="shared" si="24"/>
        <v>0</v>
      </c>
      <c r="AX172">
        <v>169</v>
      </c>
      <c r="AY172" s="4">
        <f t="shared" si="22"/>
        <v>42832</v>
      </c>
      <c r="AZ172" s="6">
        <f t="shared" si="23"/>
        <v>2.1907355305513354</v>
      </c>
      <c r="BA172" s="4">
        <v>42832</v>
      </c>
      <c r="BB172" s="6">
        <v>1.015171</v>
      </c>
      <c r="BC172" s="6">
        <v>3.662839</v>
      </c>
      <c r="BD172" s="6">
        <v>1.550324</v>
      </c>
      <c r="BE172" s="6">
        <v>3.4164089999999998</v>
      </c>
      <c r="BF172" s="6">
        <v>2.3566569999999998</v>
      </c>
      <c r="BG172" s="6">
        <v>0.82024399999999997</v>
      </c>
      <c r="BH172" s="6">
        <v>0.97152799999999995</v>
      </c>
      <c r="BI172" s="6">
        <v>2.2358730000000002</v>
      </c>
      <c r="BJ172" s="6">
        <v>2.8998840000000001</v>
      </c>
      <c r="BK172" s="6">
        <v>1.5793330000000001</v>
      </c>
      <c r="BL172" s="4">
        <v>42832</v>
      </c>
      <c r="BM172" s="6">
        <f>VLOOKUP(BL172,Sheet1!$A$2:$E$1114,2,FALSE)</f>
        <v>2.1982737010898759</v>
      </c>
      <c r="BN172" s="6">
        <f t="shared" si="25"/>
        <v>2.1907355305513354</v>
      </c>
    </row>
    <row r="173" spans="31:66" x14ac:dyDescent="0.3">
      <c r="AE173">
        <f t="shared" si="27"/>
        <v>144</v>
      </c>
      <c r="AF173" t="s">
        <v>77</v>
      </c>
      <c r="AG173" s="13">
        <f t="shared" si="26"/>
        <v>42793.5</v>
      </c>
      <c r="AH173" s="13">
        <v>42930</v>
      </c>
      <c r="AI173" s="13">
        <v>42657</v>
      </c>
      <c r="AJ173" s="11">
        <v>0.28852191831354945</v>
      </c>
      <c r="AK173" s="11">
        <v>0.16366483612873059</v>
      </c>
      <c r="AL173" s="11">
        <v>9.6430967648208306E-6</v>
      </c>
      <c r="AM173" s="11">
        <v>9.154008201043809E-2</v>
      </c>
      <c r="AN173" s="11">
        <v>6.5714943416851315E-2</v>
      </c>
      <c r="AO173" s="11">
        <v>0.1610119425586525</v>
      </c>
      <c r="AP173" s="11">
        <v>0.12434877721631118</v>
      </c>
      <c r="AQ173" s="11">
        <v>4.1184710995899468E-3</v>
      </c>
      <c r="AR173" s="11">
        <v>7.4499648879569152E-6</v>
      </c>
      <c r="AS173" s="11">
        <v>8.9417358399052787E-5</v>
      </c>
      <c r="AT173" s="11">
        <v>0.10097251883582506</v>
      </c>
      <c r="AU173">
        <v>0.95320015054936191</v>
      </c>
      <c r="AW173">
        <f t="shared" si="24"/>
        <v>0</v>
      </c>
      <c r="AX173">
        <v>170</v>
      </c>
      <c r="AY173" s="4">
        <f t="shared" si="22"/>
        <v>42839</v>
      </c>
      <c r="AZ173" s="6">
        <f t="shared" si="23"/>
        <v>-0.86701236660928771</v>
      </c>
      <c r="BA173" s="4">
        <v>42839</v>
      </c>
      <c r="BB173" s="6">
        <v>-0.98981399999999997</v>
      </c>
      <c r="BC173" s="6">
        <v>-0.84694599999999998</v>
      </c>
      <c r="BD173" s="6">
        <v>-2.0040200000000001</v>
      </c>
      <c r="BE173" s="6">
        <v>-0.86653100000000005</v>
      </c>
      <c r="BF173" s="6">
        <v>-2.9623650000000001</v>
      </c>
      <c r="BG173" s="6">
        <v>-1.456202</v>
      </c>
      <c r="BH173" s="6">
        <v>-1.619081</v>
      </c>
      <c r="BI173" s="6">
        <v>-1.2978460000000001</v>
      </c>
      <c r="BJ173" s="6">
        <v>1.7751539999999999</v>
      </c>
      <c r="BK173" s="6">
        <v>-3.0655869999999998</v>
      </c>
      <c r="BL173" s="4">
        <v>42839</v>
      </c>
      <c r="BM173" s="6">
        <f>VLOOKUP(BL173,Sheet1!$A$2:$E$1114,2,FALSE)</f>
        <v>2.179214396249507</v>
      </c>
      <c r="BN173" s="6">
        <f t="shared" si="25"/>
        <v>-0.86701236660928771</v>
      </c>
    </row>
    <row r="174" spans="31:66" x14ac:dyDescent="0.3">
      <c r="AE174">
        <f t="shared" si="27"/>
        <v>145</v>
      </c>
      <c r="AF174" t="s">
        <v>77</v>
      </c>
      <c r="AG174" s="13">
        <f t="shared" si="26"/>
        <v>42800.5</v>
      </c>
      <c r="AH174" s="13">
        <v>42937</v>
      </c>
      <c r="AI174" s="13">
        <v>42664</v>
      </c>
      <c r="AJ174" s="11">
        <v>0.28490043309732321</v>
      </c>
      <c r="AK174" s="11">
        <v>0.1404374757798067</v>
      </c>
      <c r="AL174" s="11">
        <v>3.6152874321938256E-5</v>
      </c>
      <c r="AM174" s="11">
        <v>0.11815666224642986</v>
      </c>
      <c r="AN174" s="11">
        <v>5.1362457271931186E-2</v>
      </c>
      <c r="AO174" s="11">
        <v>0.17520976029698798</v>
      </c>
      <c r="AP174" s="11">
        <v>0.10847729173293497</v>
      </c>
      <c r="AQ174" s="11">
        <v>1.2155131420597832E-2</v>
      </c>
      <c r="AR174" s="11">
        <v>2.6485679701812027E-5</v>
      </c>
      <c r="AS174" s="11">
        <v>8.5249762533922923E-5</v>
      </c>
      <c r="AT174" s="11">
        <v>0.10915289983743073</v>
      </c>
      <c r="AU174">
        <v>0.94742898130673048</v>
      </c>
      <c r="AW174">
        <f t="shared" si="24"/>
        <v>0</v>
      </c>
      <c r="AX174">
        <v>171</v>
      </c>
      <c r="AY174" s="4">
        <f t="shared" si="22"/>
        <v>42846</v>
      </c>
      <c r="AZ174" s="6">
        <f t="shared" si="23"/>
        <v>-1.1926304552605904</v>
      </c>
      <c r="BA174" s="4">
        <v>42846</v>
      </c>
      <c r="BB174" s="6">
        <v>-1.740453</v>
      </c>
      <c r="BC174" s="6">
        <v>-3.4166249999999998</v>
      </c>
      <c r="BD174" s="6">
        <v>-1.7329460000000001</v>
      </c>
      <c r="BE174" s="6">
        <v>-4.896414</v>
      </c>
      <c r="BF174" s="6">
        <v>-2.6434869999999999</v>
      </c>
      <c r="BG174" s="6">
        <v>0.34041300000000002</v>
      </c>
      <c r="BH174" s="6">
        <v>0.41921799999999998</v>
      </c>
      <c r="BI174" s="6">
        <v>-4.4457459999999998</v>
      </c>
      <c r="BJ174" s="6">
        <v>-3.6616369999999998</v>
      </c>
      <c r="BK174" s="6">
        <v>-1.8973100000000001</v>
      </c>
      <c r="BL174" s="4">
        <v>42846</v>
      </c>
      <c r="BM174" s="6">
        <f>VLOOKUP(BL174,Sheet1!$A$2:$E$1114,2,FALSE)</f>
        <v>2.1532244216744121</v>
      </c>
      <c r="BN174" s="6">
        <f t="shared" si="25"/>
        <v>-1.1926304552605904</v>
      </c>
    </row>
    <row r="175" spans="31:66" x14ac:dyDescent="0.3">
      <c r="AE175">
        <f t="shared" si="27"/>
        <v>146</v>
      </c>
      <c r="AF175" t="s">
        <v>77</v>
      </c>
      <c r="AG175" s="13">
        <f t="shared" si="26"/>
        <v>42807.5</v>
      </c>
      <c r="AH175" s="13">
        <v>42944</v>
      </c>
      <c r="AI175" s="13">
        <v>42671</v>
      </c>
      <c r="AJ175" s="11">
        <v>0.28382556515805579</v>
      </c>
      <c r="AK175" s="11">
        <v>0.14319724100996295</v>
      </c>
      <c r="AL175" s="11">
        <v>4.5320916776577299E-6</v>
      </c>
      <c r="AM175" s="11">
        <v>0.11086551860366299</v>
      </c>
      <c r="AN175" s="11">
        <v>3.2786541635265225E-2</v>
      </c>
      <c r="AO175" s="11">
        <v>0.15465781681314902</v>
      </c>
      <c r="AP175" s="11">
        <v>0.14326577516520433</v>
      </c>
      <c r="AQ175" s="11">
        <v>2.7772614911931892E-2</v>
      </c>
      <c r="AR175" s="11">
        <v>7.2955288386794465E-7</v>
      </c>
      <c r="AS175" s="11">
        <v>1.7090056552469324E-4</v>
      </c>
      <c r="AT175" s="11">
        <v>0.10345276449268162</v>
      </c>
      <c r="AU175">
        <v>0.94547448765021169</v>
      </c>
      <c r="AW175">
        <f t="shared" si="24"/>
        <v>0</v>
      </c>
      <c r="AX175">
        <v>172</v>
      </c>
      <c r="AY175" s="4">
        <f t="shared" si="22"/>
        <v>42853</v>
      </c>
      <c r="AZ175" s="6">
        <f t="shared" si="23"/>
        <v>-0.77921643342995228</v>
      </c>
      <c r="BA175" s="4">
        <v>42853</v>
      </c>
      <c r="BB175" s="6">
        <v>0.122269</v>
      </c>
      <c r="BC175" s="6">
        <v>-2.2860230000000001</v>
      </c>
      <c r="BD175" s="6">
        <v>-1.340827</v>
      </c>
      <c r="BE175" s="6">
        <v>-1.2814319999999999</v>
      </c>
      <c r="BF175" s="6">
        <v>0.53967100000000001</v>
      </c>
      <c r="BG175" s="6">
        <v>-1.937905</v>
      </c>
      <c r="BH175" s="6">
        <v>-1.6798219999999999</v>
      </c>
      <c r="BI175" s="6">
        <v>-1.2163679999999999</v>
      </c>
      <c r="BJ175" s="6">
        <v>-0.93470900000000001</v>
      </c>
      <c r="BK175" s="6">
        <v>-1.833277</v>
      </c>
      <c r="BL175" s="4">
        <v>42853</v>
      </c>
      <c r="BM175" s="6">
        <f>VLOOKUP(BL175,Sheet1!$A$2:$E$1114,2,FALSE)</f>
        <v>2.136446143132098</v>
      </c>
      <c r="BN175" s="6">
        <f t="shared" si="25"/>
        <v>-0.77921643342995228</v>
      </c>
    </row>
    <row r="176" spans="31:66" x14ac:dyDescent="0.3">
      <c r="AE176">
        <f t="shared" si="27"/>
        <v>147</v>
      </c>
      <c r="AF176" t="s">
        <v>77</v>
      </c>
      <c r="AG176" s="13">
        <f t="shared" si="26"/>
        <v>42814.5</v>
      </c>
      <c r="AH176" s="13">
        <v>42951</v>
      </c>
      <c r="AI176" s="13">
        <v>42678</v>
      </c>
      <c r="AJ176" s="11">
        <v>0.28278270862562221</v>
      </c>
      <c r="AK176" s="11">
        <v>0.13665012167835455</v>
      </c>
      <c r="AL176" s="11">
        <v>5.1232480466070528E-5</v>
      </c>
      <c r="AM176" s="11">
        <v>0.10614629198393723</v>
      </c>
      <c r="AN176" s="11">
        <v>3.3976123388383447E-2</v>
      </c>
      <c r="AO176" s="11">
        <v>0.17045292725591585</v>
      </c>
      <c r="AP176" s="11">
        <v>0.13169220689293429</v>
      </c>
      <c r="AQ176" s="11">
        <v>3.6414514687304042E-2</v>
      </c>
      <c r="AR176" s="11">
        <v>1.2116534820004349E-5</v>
      </c>
      <c r="AS176" s="11">
        <v>9.0255227185793204E-5</v>
      </c>
      <c r="AT176" s="11">
        <v>0.10173150124507661</v>
      </c>
      <c r="AU176">
        <v>0.94645227464631299</v>
      </c>
      <c r="AW176">
        <f t="shared" si="24"/>
        <v>0</v>
      </c>
      <c r="AX176">
        <v>173</v>
      </c>
      <c r="AY176" s="4">
        <f t="shared" si="22"/>
        <v>42860</v>
      </c>
      <c r="AZ176" s="6">
        <f t="shared" si="23"/>
        <v>-1.5748795409925576</v>
      </c>
      <c r="BA176" s="4">
        <v>42860</v>
      </c>
      <c r="BB176" s="6">
        <v>-2.3549899999999999</v>
      </c>
      <c r="BC176" s="6">
        <v>-1.646215</v>
      </c>
      <c r="BD176" s="6">
        <v>-0.75034400000000001</v>
      </c>
      <c r="BE176" s="6">
        <v>-2.2042929999999998</v>
      </c>
      <c r="BF176" s="6">
        <v>-1.5757060000000001</v>
      </c>
      <c r="BG176" s="6">
        <v>-1.2756620000000001</v>
      </c>
      <c r="BH176" s="6">
        <v>-1.3764959999999999</v>
      </c>
      <c r="BI176" s="6">
        <v>-3.6168900000000002</v>
      </c>
      <c r="BJ176" s="6">
        <v>-1.966953</v>
      </c>
      <c r="BK176" s="6">
        <v>-1.780675</v>
      </c>
      <c r="BL176" s="4">
        <v>42860</v>
      </c>
      <c r="BM176" s="6">
        <f>VLOOKUP(BL176,Sheet1!$A$2:$E$1114,2,FALSE)</f>
        <v>2.102799689919586</v>
      </c>
      <c r="BN176" s="6">
        <f t="shared" si="25"/>
        <v>-1.5748795409925576</v>
      </c>
    </row>
    <row r="177" spans="31:66" x14ac:dyDescent="0.3">
      <c r="AE177">
        <f t="shared" si="27"/>
        <v>148</v>
      </c>
      <c r="AF177" t="s">
        <v>77</v>
      </c>
      <c r="AG177" s="13">
        <f t="shared" si="26"/>
        <v>42821.5</v>
      </c>
      <c r="AH177" s="13">
        <v>42958</v>
      </c>
      <c r="AI177" s="13">
        <v>42685</v>
      </c>
      <c r="AJ177" s="11">
        <v>0.29187694458704561</v>
      </c>
      <c r="AK177" s="11">
        <v>0.13988363989072117</v>
      </c>
      <c r="AL177" s="11">
        <v>2.893248326594967E-2</v>
      </c>
      <c r="AM177" s="11">
        <v>0.11328877674484449</v>
      </c>
      <c r="AN177" s="11">
        <v>2.8138996626765209E-2</v>
      </c>
      <c r="AO177" s="11">
        <v>0.14368601694306068</v>
      </c>
      <c r="AP177" s="11">
        <v>0.12246790283379691</v>
      </c>
      <c r="AQ177" s="11">
        <v>3.4212838814554968E-2</v>
      </c>
      <c r="AR177" s="11">
        <v>1.3746309166800778E-5</v>
      </c>
      <c r="AS177" s="11">
        <v>8.6208211427423677E-5</v>
      </c>
      <c r="AT177" s="11">
        <v>9.7412445772667056E-2</v>
      </c>
      <c r="AU177">
        <v>0.9460174819539714</v>
      </c>
      <c r="AW177">
        <f t="shared" si="24"/>
        <v>0</v>
      </c>
      <c r="AX177">
        <v>174</v>
      </c>
      <c r="AY177" s="4">
        <f t="shared" si="22"/>
        <v>42867</v>
      </c>
      <c r="AZ177" s="6">
        <f t="shared" si="23"/>
        <v>-0.64215029959635572</v>
      </c>
      <c r="BA177" s="4">
        <v>42867</v>
      </c>
      <c r="BB177" s="6">
        <v>2.362314</v>
      </c>
      <c r="BC177" s="6">
        <v>-4.1689660000000002</v>
      </c>
      <c r="BD177" s="6">
        <v>-2.689009</v>
      </c>
      <c r="BE177" s="6">
        <v>-3.7103100000000002</v>
      </c>
      <c r="BF177" s="6">
        <v>-2.7631459999999999</v>
      </c>
      <c r="BG177" s="6">
        <v>-2.6906530000000002</v>
      </c>
      <c r="BH177" s="6">
        <v>-1.9671099999999999</v>
      </c>
      <c r="BI177" s="6">
        <v>-1.172237</v>
      </c>
      <c r="BJ177" s="6">
        <v>-1.565617</v>
      </c>
      <c r="BK177" s="6">
        <v>-2.462555</v>
      </c>
      <c r="BL177" s="4">
        <v>42867</v>
      </c>
      <c r="BM177" s="6">
        <f>VLOOKUP(BL177,Sheet1!$A$2:$E$1114,2,FALSE)</f>
        <v>2.089296555410856</v>
      </c>
      <c r="BN177" s="6">
        <f t="shared" si="25"/>
        <v>-0.64215029959635572</v>
      </c>
    </row>
    <row r="178" spans="31:66" x14ac:dyDescent="0.3">
      <c r="AE178">
        <f t="shared" si="27"/>
        <v>149</v>
      </c>
      <c r="AF178" t="s">
        <v>77</v>
      </c>
      <c r="AG178" s="13">
        <f t="shared" si="26"/>
        <v>42828.5</v>
      </c>
      <c r="AH178" s="13">
        <v>42965</v>
      </c>
      <c r="AI178" s="13">
        <v>42692</v>
      </c>
      <c r="AJ178" s="11">
        <v>0.3066817758725916</v>
      </c>
      <c r="AK178" s="11">
        <v>0.15733618058001594</v>
      </c>
      <c r="AL178" s="11">
        <v>5.9118558885001807E-5</v>
      </c>
      <c r="AM178" s="11">
        <v>0.11456062119547364</v>
      </c>
      <c r="AN178" s="11">
        <v>4.7749341851571883E-2</v>
      </c>
      <c r="AO178" s="11">
        <v>0.15306657447414099</v>
      </c>
      <c r="AP178" s="11">
        <v>9.9429847282391223E-2</v>
      </c>
      <c r="AQ178" s="11">
        <v>3.3084971611728388E-2</v>
      </c>
      <c r="AR178" s="11">
        <v>1.2081809365937127E-5</v>
      </c>
      <c r="AS178" s="11">
        <v>7.0451592158129479E-3</v>
      </c>
      <c r="AT178" s="11">
        <v>8.0974327548022473E-2</v>
      </c>
      <c r="AU178">
        <v>0.95278902258081788</v>
      </c>
      <c r="AW178">
        <f t="shared" si="24"/>
        <v>0</v>
      </c>
      <c r="AX178">
        <v>175</v>
      </c>
      <c r="AY178" s="4">
        <f t="shared" si="22"/>
        <v>42874</v>
      </c>
      <c r="AZ178" s="6">
        <f t="shared" si="23"/>
        <v>0.79828929141032567</v>
      </c>
      <c r="BA178" s="4">
        <v>42874</v>
      </c>
      <c r="BB178" s="6">
        <v>-0.79535</v>
      </c>
      <c r="BC178" s="6">
        <v>0.75142799999999998</v>
      </c>
      <c r="BD178" s="6">
        <v>1.3218300000000001</v>
      </c>
      <c r="BE178" s="6">
        <v>1.5750390000000001</v>
      </c>
      <c r="BF178" s="6">
        <v>2.6638790000000001</v>
      </c>
      <c r="BG178" s="6">
        <v>3.1153219999999999</v>
      </c>
      <c r="BH178" s="6">
        <v>2.2937210000000001</v>
      </c>
      <c r="BI178" s="6">
        <v>3.6957659999999999</v>
      </c>
      <c r="BJ178" s="6">
        <v>2.1963219999999999</v>
      </c>
      <c r="BK178" s="6">
        <v>2.4325839999999999</v>
      </c>
      <c r="BL178" s="4">
        <v>42874</v>
      </c>
      <c r="BM178" s="6">
        <f>VLOOKUP(BL178,Sheet1!$A$2:$E$1114,2,FALSE)</f>
        <v>2.1059751860785059</v>
      </c>
      <c r="BN178" s="6">
        <f t="shared" si="25"/>
        <v>0.79828929141032567</v>
      </c>
    </row>
    <row r="179" spans="31:66" x14ac:dyDescent="0.3">
      <c r="AE179">
        <f t="shared" si="27"/>
        <v>150</v>
      </c>
      <c r="AF179" t="s">
        <v>77</v>
      </c>
      <c r="AG179" s="13">
        <f t="shared" si="26"/>
        <v>42835.5</v>
      </c>
      <c r="AH179" s="13">
        <v>42972</v>
      </c>
      <c r="AI179" s="13">
        <v>42699</v>
      </c>
      <c r="AJ179" s="11">
        <v>0.31276527779090924</v>
      </c>
      <c r="AK179" s="11">
        <v>0.16962937921846949</v>
      </c>
      <c r="AL179" s="11">
        <v>8.2306272919395492E-5</v>
      </c>
      <c r="AM179" s="11">
        <v>0.10711088608627305</v>
      </c>
      <c r="AN179" s="11">
        <v>3.1900015719122828E-2</v>
      </c>
      <c r="AO179" s="11">
        <v>0.13979238429689222</v>
      </c>
      <c r="AP179" s="11">
        <v>0.10050241558704605</v>
      </c>
      <c r="AQ179" s="11">
        <v>3.0070098832168407E-2</v>
      </c>
      <c r="AR179" s="11">
        <v>2.1813384106379372E-5</v>
      </c>
      <c r="AS179" s="11">
        <v>3.05892510033021E-2</v>
      </c>
      <c r="AT179" s="11">
        <v>7.7536171808790924E-2</v>
      </c>
      <c r="AU179">
        <v>0.95577280347231874</v>
      </c>
      <c r="AW179">
        <f t="shared" si="24"/>
        <v>0</v>
      </c>
      <c r="AX179">
        <v>176</v>
      </c>
      <c r="AY179" s="4">
        <f t="shared" si="22"/>
        <v>42881</v>
      </c>
      <c r="AZ179" s="6">
        <f t="shared" si="23"/>
        <v>0.22838924836789953</v>
      </c>
      <c r="BA179" s="4">
        <v>42881</v>
      </c>
      <c r="BB179" s="6">
        <v>4.4098829999999998</v>
      </c>
      <c r="BC179" s="6">
        <v>-2.2761300000000002</v>
      </c>
      <c r="BD179" s="6">
        <v>-0.99452700000000005</v>
      </c>
      <c r="BE179" s="6">
        <v>-2.1047549999999999</v>
      </c>
      <c r="BF179" s="6">
        <v>-3.0023230000000001</v>
      </c>
      <c r="BG179" s="6">
        <v>-0.63907599999999998</v>
      </c>
      <c r="BH179" s="6">
        <v>-0.89616499999999999</v>
      </c>
      <c r="BI179" s="6">
        <v>0.107055</v>
      </c>
      <c r="BJ179" s="6">
        <v>-1.1184289999999999</v>
      </c>
      <c r="BK179" s="6">
        <v>-2.0102479999999998</v>
      </c>
      <c r="BL179" s="4">
        <v>42881</v>
      </c>
      <c r="BM179" s="6">
        <f>VLOOKUP(BL179,Sheet1!$A$2:$E$1114,2,FALSE)</f>
        <v>2.1107850069768048</v>
      </c>
      <c r="BN179" s="6">
        <f t="shared" si="25"/>
        <v>0.22838924836789953</v>
      </c>
    </row>
    <row r="180" spans="31:66" x14ac:dyDescent="0.3">
      <c r="AE180">
        <f t="shared" si="27"/>
        <v>151</v>
      </c>
      <c r="AF180" t="s">
        <v>77</v>
      </c>
      <c r="AG180" s="13">
        <f t="shared" si="26"/>
        <v>42842.5</v>
      </c>
      <c r="AH180" s="13">
        <v>42979</v>
      </c>
      <c r="AI180" s="13">
        <v>42706</v>
      </c>
      <c r="AJ180" s="11">
        <v>0.3183183771048263</v>
      </c>
      <c r="AK180" s="11">
        <v>0.16303083025063775</v>
      </c>
      <c r="AL180" s="11">
        <v>4.7383749590417295E-5</v>
      </c>
      <c r="AM180" s="11">
        <v>9.9923779500381713E-2</v>
      </c>
      <c r="AN180" s="11">
        <v>5.2798528749059576E-2</v>
      </c>
      <c r="AO180" s="11">
        <v>0.15767463245649854</v>
      </c>
      <c r="AP180" s="11">
        <v>8.9011384101940899E-2</v>
      </c>
      <c r="AQ180" s="11">
        <v>5.2992502963575425E-2</v>
      </c>
      <c r="AR180" s="11">
        <v>1.2138669698907725E-5</v>
      </c>
      <c r="AS180" s="11">
        <v>6.562406605018274E-3</v>
      </c>
      <c r="AT180" s="11">
        <v>5.9628035848772222E-2</v>
      </c>
      <c r="AU180">
        <v>0.95705754352791106</v>
      </c>
      <c r="AW180">
        <f t="shared" si="24"/>
        <v>0</v>
      </c>
      <c r="AX180">
        <v>177</v>
      </c>
      <c r="AY180" s="4">
        <f t="shared" si="22"/>
        <v>42888</v>
      </c>
      <c r="AZ180" s="6">
        <f t="shared" si="23"/>
        <v>-0.30485820929418983</v>
      </c>
      <c r="BA180" s="4">
        <v>42888</v>
      </c>
      <c r="BB180" s="6">
        <v>0.166794</v>
      </c>
      <c r="BC180" s="6">
        <v>-0.815307</v>
      </c>
      <c r="BD180" s="6">
        <v>-0.488956</v>
      </c>
      <c r="BE180" s="6">
        <v>-1.9820960000000001</v>
      </c>
      <c r="BF180" s="6">
        <v>-1.137653</v>
      </c>
      <c r="BG180" s="6">
        <v>-0.86457099999999998</v>
      </c>
      <c r="BH180" s="6">
        <v>-0.45533000000000001</v>
      </c>
      <c r="BI180" s="6">
        <v>-1.2639050000000001</v>
      </c>
      <c r="BJ180" s="6">
        <v>0.172154</v>
      </c>
      <c r="BK180" s="6">
        <v>-0.496174</v>
      </c>
      <c r="BL180" s="4">
        <v>42888</v>
      </c>
      <c r="BM180" s="6">
        <f>VLOOKUP(BL180,Sheet1!$A$2:$E$1114,2,FALSE)</f>
        <v>2.1043501056024851</v>
      </c>
      <c r="BN180" s="6">
        <f t="shared" si="25"/>
        <v>-0.30485820929418983</v>
      </c>
    </row>
    <row r="181" spans="31:66" x14ac:dyDescent="0.3">
      <c r="AE181">
        <f t="shared" si="27"/>
        <v>152</v>
      </c>
      <c r="AF181" t="s">
        <v>77</v>
      </c>
      <c r="AG181" s="13">
        <f t="shared" si="26"/>
        <v>42849.5</v>
      </c>
      <c r="AH181" s="13">
        <v>42986</v>
      </c>
      <c r="AI181" s="13">
        <v>42713</v>
      </c>
      <c r="AJ181" s="11">
        <v>0.31754193599749009</v>
      </c>
      <c r="AK181" s="11">
        <v>0.16745075244656277</v>
      </c>
      <c r="AL181" s="11">
        <v>8.0243350476721603E-5</v>
      </c>
      <c r="AM181" s="11">
        <v>9.3869223233251198E-2</v>
      </c>
      <c r="AN181" s="11">
        <v>4.7416346643231487E-2</v>
      </c>
      <c r="AO181" s="11">
        <v>0.16548539480782332</v>
      </c>
      <c r="AP181" s="11">
        <v>7.1807665474443685E-2</v>
      </c>
      <c r="AQ181" s="11">
        <v>5.385266168188841E-2</v>
      </c>
      <c r="AR181" s="11">
        <v>3.0760659789542117E-5</v>
      </c>
      <c r="AS181" s="11">
        <v>1.915897081201735E-2</v>
      </c>
      <c r="AT181" s="11">
        <v>6.3306044893025451E-2</v>
      </c>
      <c r="AU181">
        <v>0.95577657654273296</v>
      </c>
      <c r="AW181">
        <f t="shared" si="24"/>
        <v>0</v>
      </c>
      <c r="AX181">
        <v>178</v>
      </c>
      <c r="AY181" s="4">
        <f t="shared" si="22"/>
        <v>42895</v>
      </c>
      <c r="AZ181" s="6">
        <f t="shared" si="23"/>
        <v>2.7666827525467452</v>
      </c>
      <c r="BA181" s="4">
        <v>42895</v>
      </c>
      <c r="BB181" s="6">
        <v>1.4632449999999999</v>
      </c>
      <c r="BC181" s="6">
        <v>3.1158649999999999</v>
      </c>
      <c r="BD181" s="6">
        <v>4.1297119999999996</v>
      </c>
      <c r="BE181" s="6">
        <v>3.2747820000000001</v>
      </c>
      <c r="BF181" s="6">
        <v>4.4359019999999996</v>
      </c>
      <c r="BG181" s="6">
        <v>4.7880560000000001</v>
      </c>
      <c r="BH181" s="6">
        <v>2.9342429999999999</v>
      </c>
      <c r="BI181" s="6">
        <v>0.75066600000000006</v>
      </c>
      <c r="BJ181" s="6">
        <v>1.5047870000000001</v>
      </c>
      <c r="BK181" s="6">
        <v>3.6499269999999999</v>
      </c>
      <c r="BL181" s="4">
        <v>42895</v>
      </c>
      <c r="BM181" s="6">
        <f>VLOOKUP(BL181,Sheet1!$A$2:$E$1114,2,FALSE)</f>
        <v>2.1625707970273882</v>
      </c>
      <c r="BN181" s="6">
        <f t="shared" si="25"/>
        <v>2.7666827525467452</v>
      </c>
    </row>
    <row r="182" spans="31:66" x14ac:dyDescent="0.3">
      <c r="AE182">
        <f t="shared" si="27"/>
        <v>153</v>
      </c>
      <c r="AF182" t="s">
        <v>77</v>
      </c>
      <c r="AG182" s="13">
        <f t="shared" si="26"/>
        <v>42856.5</v>
      </c>
      <c r="AH182" s="13">
        <v>42993</v>
      </c>
      <c r="AI182" s="13">
        <v>42720</v>
      </c>
      <c r="AJ182" s="11">
        <v>0.31717779079997105</v>
      </c>
      <c r="AK182" s="11">
        <v>0.16133812941140038</v>
      </c>
      <c r="AL182" s="11">
        <v>7.1387776199753058E-5</v>
      </c>
      <c r="AM182" s="11">
        <v>9.112686052221676E-2</v>
      </c>
      <c r="AN182" s="11">
        <v>5.0232519281784516E-2</v>
      </c>
      <c r="AO182" s="11">
        <v>0.15478089974592035</v>
      </c>
      <c r="AP182" s="11">
        <v>8.1634747354846535E-2</v>
      </c>
      <c r="AQ182" s="11">
        <v>6.0332812274641268E-2</v>
      </c>
      <c r="AR182" s="11">
        <v>3.8317574867140645E-5</v>
      </c>
      <c r="AS182" s="11">
        <v>2.0575531818737901E-2</v>
      </c>
      <c r="AT182" s="11">
        <v>6.2691003439414444E-2</v>
      </c>
      <c r="AU182">
        <v>0.95538127151290064</v>
      </c>
      <c r="AW182">
        <f t="shared" si="24"/>
        <v>0</v>
      </c>
      <c r="AX182">
        <v>179</v>
      </c>
      <c r="AY182" s="4">
        <f t="shared" si="22"/>
        <v>42902</v>
      </c>
      <c r="AZ182" s="6">
        <f t="shared" si="23"/>
        <v>-0.78708479672781051</v>
      </c>
      <c r="BA182" s="4">
        <v>42902</v>
      </c>
      <c r="BB182" s="6">
        <v>-2.0471650000000001</v>
      </c>
      <c r="BC182" s="6">
        <v>1.023E-3</v>
      </c>
      <c r="BD182" s="6">
        <v>-0.29278700000000002</v>
      </c>
      <c r="BE182" s="6">
        <v>1.6680360000000001</v>
      </c>
      <c r="BF182" s="6">
        <v>0.175404</v>
      </c>
      <c r="BG182" s="6">
        <v>-0.62836000000000003</v>
      </c>
      <c r="BH182" s="6">
        <v>-7.3415999999999995E-2</v>
      </c>
      <c r="BI182" s="6">
        <v>-1.6022999999999999E-2</v>
      </c>
      <c r="BJ182" s="6">
        <v>-1.2383569999999999</v>
      </c>
      <c r="BK182" s="6">
        <v>1.318041</v>
      </c>
      <c r="BL182" s="4">
        <v>42902</v>
      </c>
      <c r="BM182" s="6">
        <f>VLOOKUP(BL182,Sheet1!$A$2:$E$1114,2,FALSE)</f>
        <v>2.1455495310655102</v>
      </c>
      <c r="BN182" s="6">
        <f t="shared" si="25"/>
        <v>-0.78708479672781051</v>
      </c>
    </row>
    <row r="183" spans="31:66" x14ac:dyDescent="0.3">
      <c r="AE183">
        <f t="shared" si="27"/>
        <v>154</v>
      </c>
      <c r="AF183" t="s">
        <v>77</v>
      </c>
      <c r="AG183" s="13">
        <f t="shared" si="26"/>
        <v>42863.5</v>
      </c>
      <c r="AH183" s="13">
        <v>43000</v>
      </c>
      <c r="AI183" s="13">
        <v>42727</v>
      </c>
      <c r="AJ183" s="11">
        <v>0.31265283297841201</v>
      </c>
      <c r="AK183" s="11">
        <v>0.15368575003120416</v>
      </c>
      <c r="AL183" s="11">
        <v>8.7258354932669122E-5</v>
      </c>
      <c r="AM183" s="11">
        <v>8.8490630432836004E-2</v>
      </c>
      <c r="AN183" s="11">
        <v>4.4479587976896294E-2</v>
      </c>
      <c r="AO183" s="11">
        <v>0.15972312293998786</v>
      </c>
      <c r="AP183" s="11">
        <v>6.7577140844790815E-2</v>
      </c>
      <c r="AQ183" s="11">
        <v>6.3487908986830377E-2</v>
      </c>
      <c r="AR183" s="11">
        <v>4.6138806185205471E-5</v>
      </c>
      <c r="AS183" s="11">
        <v>3.8423034292441385E-2</v>
      </c>
      <c r="AT183" s="11">
        <v>7.1346594355483239E-2</v>
      </c>
      <c r="AU183">
        <v>0.94468895112752449</v>
      </c>
      <c r="AW183">
        <f t="shared" si="24"/>
        <v>0</v>
      </c>
      <c r="AX183">
        <v>180</v>
      </c>
      <c r="AY183" s="4">
        <f t="shared" si="22"/>
        <v>42909</v>
      </c>
      <c r="AZ183" s="6">
        <f t="shared" si="23"/>
        <v>1.4550447328166571</v>
      </c>
      <c r="BA183" s="4">
        <v>42909</v>
      </c>
      <c r="BB183" s="6">
        <v>3.31806</v>
      </c>
      <c r="BC183" s="6">
        <v>2.6883000000000001E-2</v>
      </c>
      <c r="BD183" s="6">
        <v>1.779415</v>
      </c>
      <c r="BE183" s="6">
        <v>0.30965900000000002</v>
      </c>
      <c r="BF183" s="6">
        <v>7.0377999999999996E-2</v>
      </c>
      <c r="BG183" s="6">
        <v>1.6206259999999999</v>
      </c>
      <c r="BH183" s="6">
        <v>0.26938200000000001</v>
      </c>
      <c r="BI183" s="6">
        <v>-0.45929599999999998</v>
      </c>
      <c r="BJ183" s="6">
        <v>0.404109</v>
      </c>
      <c r="BK183" s="6">
        <v>1.3297079999999999</v>
      </c>
      <c r="BL183" s="4">
        <v>42909</v>
      </c>
      <c r="BM183" s="6">
        <f>VLOOKUP(BL183,Sheet1!$A$2:$E$1114,2,FALSE)</f>
        <v>2.1767682365072512</v>
      </c>
      <c r="BN183" s="6">
        <f t="shared" si="25"/>
        <v>1.4550447328166571</v>
      </c>
    </row>
    <row r="184" spans="31:66" x14ac:dyDescent="0.3">
      <c r="AE184">
        <f t="shared" si="27"/>
        <v>155</v>
      </c>
      <c r="AF184" t="s">
        <v>77</v>
      </c>
      <c r="AG184" s="13">
        <f t="shared" si="26"/>
        <v>42870.5</v>
      </c>
      <c r="AH184" s="13">
        <v>43007</v>
      </c>
      <c r="AI184" s="13">
        <v>42734</v>
      </c>
      <c r="AJ184" s="11">
        <v>0.31315227223253178</v>
      </c>
      <c r="AK184" s="11">
        <v>0.10350575648756939</v>
      </c>
      <c r="AL184" s="11">
        <v>6.6229075848248451E-5</v>
      </c>
      <c r="AM184" s="11">
        <v>0.11370607837393128</v>
      </c>
      <c r="AN184" s="11">
        <v>4.5623071893797641E-2</v>
      </c>
      <c r="AO184" s="11">
        <v>0.17648888698116499</v>
      </c>
      <c r="AP184" s="11">
        <v>6.6432368214643184E-2</v>
      </c>
      <c r="AQ184" s="11">
        <v>5.5533919602960162E-2</v>
      </c>
      <c r="AR184" s="11">
        <v>7.0761214872533295E-5</v>
      </c>
      <c r="AS184" s="11">
        <v>5.7620409027642025E-2</v>
      </c>
      <c r="AT184" s="11">
        <v>6.7800246895038802E-2</v>
      </c>
      <c r="AU184">
        <v>0.94178159997894439</v>
      </c>
      <c r="AW184">
        <f t="shared" si="24"/>
        <v>0</v>
      </c>
      <c r="AX184">
        <v>181</v>
      </c>
      <c r="AY184" s="4">
        <f t="shared" si="22"/>
        <v>42916</v>
      </c>
      <c r="AZ184" s="6">
        <f t="shared" si="23"/>
        <v>1.7374431154432601</v>
      </c>
      <c r="BA184" s="4">
        <v>42916</v>
      </c>
      <c r="BB184" s="6">
        <v>0.94942700000000002</v>
      </c>
      <c r="BC184" s="6">
        <v>1.210923</v>
      </c>
      <c r="BD184" s="6">
        <v>1.1958150000000001</v>
      </c>
      <c r="BE184" s="6">
        <v>2.470224</v>
      </c>
      <c r="BF184" s="6">
        <v>1.5916509999999999</v>
      </c>
      <c r="BG184" s="6">
        <v>1.549188</v>
      </c>
      <c r="BH184" s="6">
        <v>1.8489199999999999</v>
      </c>
      <c r="BI184" s="6">
        <v>2.2755260000000002</v>
      </c>
      <c r="BJ184" s="6">
        <v>-4.2222000000000003E-2</v>
      </c>
      <c r="BK184" s="6">
        <v>1.4407460000000001</v>
      </c>
      <c r="BL184" s="4">
        <v>42916</v>
      </c>
      <c r="BM184" s="6">
        <f>VLOOKUP(BL184,Sheet1!$A$2:$E$1114,2,FALSE)</f>
        <v>2.2145883463716021</v>
      </c>
      <c r="BN184" s="6">
        <f t="shared" si="25"/>
        <v>1.7374431154432601</v>
      </c>
    </row>
    <row r="185" spans="31:66" x14ac:dyDescent="0.3">
      <c r="AE185">
        <f t="shared" si="27"/>
        <v>156</v>
      </c>
      <c r="AF185" t="s">
        <v>77</v>
      </c>
      <c r="AG185" s="13">
        <f t="shared" si="26"/>
        <v>42881</v>
      </c>
      <c r="AH185" s="13">
        <v>43021</v>
      </c>
      <c r="AI185" s="13">
        <v>42741</v>
      </c>
      <c r="AJ185" s="11">
        <v>0.3114338900863704</v>
      </c>
      <c r="AK185" s="11">
        <v>0.10639146352820943</v>
      </c>
      <c r="AL185" s="11">
        <v>7.8377954695591E-5</v>
      </c>
      <c r="AM185" s="11">
        <v>0.1075088179125331</v>
      </c>
      <c r="AN185" s="11">
        <v>4.7720450685182103E-2</v>
      </c>
      <c r="AO185" s="11">
        <v>0.17525744330915352</v>
      </c>
      <c r="AP185" s="11">
        <v>6.0414058119770901E-2</v>
      </c>
      <c r="AQ185" s="11">
        <v>6.0400520249393463E-2</v>
      </c>
      <c r="AR185" s="11">
        <v>6.6996850528684801E-5</v>
      </c>
      <c r="AS185" s="11">
        <v>6.0456733264152941E-2</v>
      </c>
      <c r="AT185" s="11">
        <v>7.0271248040009851E-2</v>
      </c>
      <c r="AU185">
        <v>0.94425022151946492</v>
      </c>
      <c r="AW185">
        <f t="shared" si="24"/>
        <v>0</v>
      </c>
      <c r="AX185">
        <v>182</v>
      </c>
      <c r="AY185" s="4">
        <f t="shared" si="22"/>
        <v>42923</v>
      </c>
      <c r="AZ185" s="6">
        <f t="shared" si="23"/>
        <v>0.74349105872604238</v>
      </c>
      <c r="BA185" s="4">
        <v>42923</v>
      </c>
      <c r="BB185" s="6">
        <v>0.159606</v>
      </c>
      <c r="BC185" s="6">
        <v>1.328244</v>
      </c>
      <c r="BD185" s="6">
        <v>-0.49871500000000002</v>
      </c>
      <c r="BE185" s="6">
        <v>4.4731730000000001</v>
      </c>
      <c r="BF185" s="6">
        <v>0.93670900000000001</v>
      </c>
      <c r="BG185" s="6">
        <v>-1.665289</v>
      </c>
      <c r="BH185" s="6">
        <v>-1.4235279999999999</v>
      </c>
      <c r="BI185" s="6">
        <v>3.5301339999999999</v>
      </c>
      <c r="BJ185" s="6">
        <v>0.33753</v>
      </c>
      <c r="BK185" s="6">
        <v>0.93784500000000004</v>
      </c>
      <c r="BL185" s="4">
        <v>42923</v>
      </c>
      <c r="BM185" s="6">
        <f>VLOOKUP(BL185,Sheet1!$A$2:$E$1114,2,FALSE)</f>
        <v>2.2310536127144638</v>
      </c>
      <c r="BN185" s="6">
        <f t="shared" si="25"/>
        <v>0.74349105872604238</v>
      </c>
    </row>
    <row r="186" spans="31:66" x14ac:dyDescent="0.3">
      <c r="AE186">
        <f t="shared" si="27"/>
        <v>157</v>
      </c>
      <c r="AF186" t="s">
        <v>77</v>
      </c>
      <c r="AG186" s="13">
        <f t="shared" si="26"/>
        <v>42888</v>
      </c>
      <c r="AH186" s="13">
        <v>43028</v>
      </c>
      <c r="AI186" s="13">
        <v>42748</v>
      </c>
      <c r="AJ186" s="11">
        <v>0.31398370443174001</v>
      </c>
      <c r="AK186" s="11">
        <v>9.6579992205340026E-2</v>
      </c>
      <c r="AL186" s="11">
        <v>7.5129995783619087E-5</v>
      </c>
      <c r="AM186" s="11">
        <v>0.12359907288722692</v>
      </c>
      <c r="AN186" s="11">
        <v>4.0763359974588867E-2</v>
      </c>
      <c r="AO186" s="11">
        <v>0.17317289142487663</v>
      </c>
      <c r="AP186" s="11">
        <v>8.277324424529614E-2</v>
      </c>
      <c r="AQ186" s="11">
        <v>4.7015624113587527E-2</v>
      </c>
      <c r="AR186" s="11">
        <v>7.659794065360038E-5</v>
      </c>
      <c r="AS186" s="11">
        <v>5.1337672956303662E-2</v>
      </c>
      <c r="AT186" s="11">
        <v>7.0622709824602989E-2</v>
      </c>
      <c r="AU186">
        <v>0.94245125470266189</v>
      </c>
      <c r="AW186">
        <f t="shared" si="24"/>
        <v>0</v>
      </c>
      <c r="AX186">
        <v>183</v>
      </c>
      <c r="AY186" s="4">
        <f t="shared" si="22"/>
        <v>42930</v>
      </c>
      <c r="AZ186" s="6">
        <f t="shared" si="23"/>
        <v>0.37083769320833682</v>
      </c>
      <c r="BA186" s="4">
        <v>42930</v>
      </c>
      <c r="BB186" s="6">
        <v>3.1782180000000002</v>
      </c>
      <c r="BC186" s="6">
        <v>-1.1491579999999999</v>
      </c>
      <c r="BD186" s="6">
        <v>-1.1812240000000001</v>
      </c>
      <c r="BE186" s="6">
        <v>-0.62293699999999996</v>
      </c>
      <c r="BF186" s="6">
        <v>-3.511501</v>
      </c>
      <c r="BG186" s="6">
        <v>-0.11523799999999999</v>
      </c>
      <c r="BH186" s="6">
        <v>-1.7654069999999999</v>
      </c>
      <c r="BI186" s="6">
        <v>-1.470386</v>
      </c>
      <c r="BJ186" s="6">
        <v>-1.7540750000000001</v>
      </c>
      <c r="BK186" s="6">
        <v>-2.2958859999999999</v>
      </c>
      <c r="BL186" s="4">
        <v>42930</v>
      </c>
      <c r="BM186" s="6">
        <f>VLOOKUP(BL186,Sheet1!$A$2:$E$1114,2,FALSE)</f>
        <v>2.2393272004660951</v>
      </c>
      <c r="BN186" s="6">
        <f t="shared" si="25"/>
        <v>0.37083769320833682</v>
      </c>
    </row>
    <row r="187" spans="31:66" x14ac:dyDescent="0.3">
      <c r="AE187">
        <f t="shared" si="27"/>
        <v>158</v>
      </c>
      <c r="AF187" t="s">
        <v>77</v>
      </c>
      <c r="AG187" s="13">
        <f t="shared" si="26"/>
        <v>42895</v>
      </c>
      <c r="AH187" s="13">
        <v>43035</v>
      </c>
      <c r="AI187" s="13">
        <v>42755</v>
      </c>
      <c r="AJ187" s="11">
        <v>0.31773243945689467</v>
      </c>
      <c r="AK187" s="11">
        <v>9.2785897773055723E-2</v>
      </c>
      <c r="AL187" s="11">
        <v>6.3664087871479413E-5</v>
      </c>
      <c r="AM187" s="11">
        <v>0.12358393662526738</v>
      </c>
      <c r="AN187" s="11">
        <v>4.5806819712264343E-2</v>
      </c>
      <c r="AO187" s="11">
        <v>0.17438863642173155</v>
      </c>
      <c r="AP187" s="11">
        <v>8.0092389739492648E-2</v>
      </c>
      <c r="AQ187" s="11">
        <v>4.490525438822883E-2</v>
      </c>
      <c r="AR187" s="11">
        <v>8.312414658688205E-5</v>
      </c>
      <c r="AS187" s="11">
        <v>4.354790085606778E-2</v>
      </c>
      <c r="AT187" s="11">
        <v>7.7009936792538786E-2</v>
      </c>
      <c r="AU187">
        <v>0.93981716718357344</v>
      </c>
      <c r="AW187">
        <f t="shared" si="24"/>
        <v>0</v>
      </c>
      <c r="AX187">
        <v>184</v>
      </c>
      <c r="AY187" s="4">
        <f t="shared" si="22"/>
        <v>42937</v>
      </c>
      <c r="AZ187" s="6">
        <f t="shared" si="23"/>
        <v>0.31723280762563366</v>
      </c>
      <c r="BA187" s="4">
        <v>42937</v>
      </c>
      <c r="BB187" s="6">
        <v>0.49333199999999999</v>
      </c>
      <c r="BC187" s="6">
        <v>-0.79025400000000001</v>
      </c>
      <c r="BD187" s="6">
        <v>-1.5854010000000001</v>
      </c>
      <c r="BE187" s="6">
        <v>2.5379209999999999</v>
      </c>
      <c r="BF187" s="6">
        <v>-2.6268919999999998</v>
      </c>
      <c r="BG187" s="6">
        <v>-0.17328199999999999</v>
      </c>
      <c r="BH187" s="6">
        <v>-2.5698129999999999</v>
      </c>
      <c r="BI187" s="6">
        <v>3.5665179999999999</v>
      </c>
      <c r="BJ187" s="6">
        <v>-0.13162199999999999</v>
      </c>
      <c r="BK187" s="6">
        <v>-1.893035</v>
      </c>
      <c r="BL187" s="4">
        <v>42937</v>
      </c>
      <c r="BM187" s="6">
        <f>VLOOKUP(BL187,Sheet1!$A$2:$E$1114,2,FALSE)</f>
        <v>2.2464310810160582</v>
      </c>
      <c r="BN187" s="6">
        <f t="shared" si="25"/>
        <v>0.31723280762563366</v>
      </c>
    </row>
    <row r="188" spans="31:66" x14ac:dyDescent="0.3">
      <c r="AE188">
        <f t="shared" si="27"/>
        <v>159</v>
      </c>
      <c r="AF188" t="s">
        <v>77</v>
      </c>
      <c r="AG188" s="13">
        <f t="shared" si="26"/>
        <v>42901.5</v>
      </c>
      <c r="AH188" s="13">
        <v>43042</v>
      </c>
      <c r="AI188" s="13">
        <v>42761</v>
      </c>
      <c r="AJ188" s="11">
        <v>0.31986684053905895</v>
      </c>
      <c r="AK188" s="11">
        <v>9.1013953986181451E-2</v>
      </c>
      <c r="AL188" s="11">
        <v>7.2329488509841823E-5</v>
      </c>
      <c r="AM188" s="11">
        <v>0.13464425205607686</v>
      </c>
      <c r="AN188" s="11">
        <v>4.0226586272792964E-2</v>
      </c>
      <c r="AO188" s="11">
        <v>0.16825542809474106</v>
      </c>
      <c r="AP188" s="11">
        <v>9.2835420258769702E-2</v>
      </c>
      <c r="AQ188" s="11">
        <v>3.9818229266903336E-2</v>
      </c>
      <c r="AR188" s="11">
        <v>7.8915203209081465E-5</v>
      </c>
      <c r="AS188" s="11">
        <v>4.3431692491505434E-2</v>
      </c>
      <c r="AT188" s="11">
        <v>6.9756352342251346E-2</v>
      </c>
      <c r="AU188">
        <v>0.94396657426034059</v>
      </c>
      <c r="AW188">
        <f t="shared" si="24"/>
        <v>0</v>
      </c>
      <c r="AX188">
        <v>185</v>
      </c>
      <c r="AY188" s="4">
        <f t="shared" si="22"/>
        <v>42944</v>
      </c>
      <c r="AZ188" s="6">
        <f t="shared" si="23"/>
        <v>0.2760743152330658</v>
      </c>
      <c r="BA188" s="4">
        <v>42944</v>
      </c>
      <c r="BB188" s="6">
        <v>-3.5404999999999999E-2</v>
      </c>
      <c r="BC188" s="6">
        <v>0.58581099999999997</v>
      </c>
      <c r="BD188" s="6">
        <v>0.36300500000000002</v>
      </c>
      <c r="BE188" s="6">
        <v>1.445595</v>
      </c>
      <c r="BF188" s="6">
        <v>2.081636</v>
      </c>
      <c r="BG188" s="6">
        <v>1.8479680000000001</v>
      </c>
      <c r="BH188" s="6">
        <v>0.180589</v>
      </c>
      <c r="BI188" s="6">
        <v>-1.3590230000000001</v>
      </c>
      <c r="BJ188" s="6">
        <v>0.55391299999999999</v>
      </c>
      <c r="BK188" s="6">
        <v>0.77735900000000002</v>
      </c>
      <c r="BL188" s="4">
        <v>42944</v>
      </c>
      <c r="BM188" s="6">
        <f>VLOOKUP(BL188,Sheet1!$A$2:$E$1114,2,FALSE)</f>
        <v>2.2526329002401559</v>
      </c>
      <c r="BN188" s="6">
        <f t="shared" si="25"/>
        <v>0.2760743152330658</v>
      </c>
    </row>
    <row r="189" spans="31:66" x14ac:dyDescent="0.3">
      <c r="AE189">
        <f t="shared" si="27"/>
        <v>160</v>
      </c>
      <c r="AF189" t="s">
        <v>77</v>
      </c>
      <c r="AG189" s="13">
        <f t="shared" si="26"/>
        <v>42909</v>
      </c>
      <c r="AH189" s="13">
        <v>43049</v>
      </c>
      <c r="AI189" s="13">
        <v>42769</v>
      </c>
      <c r="AJ189" s="11">
        <v>0.32673748648302914</v>
      </c>
      <c r="AK189" s="11">
        <v>6.284787789492248E-2</v>
      </c>
      <c r="AL189" s="11">
        <v>8.7492034574382923E-6</v>
      </c>
      <c r="AM189" s="11">
        <v>0.14087975568532757</v>
      </c>
      <c r="AN189" s="11">
        <v>3.6041066832679866E-2</v>
      </c>
      <c r="AO189" s="11">
        <v>0.16725333093349601</v>
      </c>
      <c r="AP189" s="11">
        <v>9.8959387507749449E-2</v>
      </c>
      <c r="AQ189" s="11">
        <v>4.115937859646069E-2</v>
      </c>
      <c r="AR189" s="11">
        <v>3.6165188898595543E-4</v>
      </c>
      <c r="AS189" s="11">
        <v>7.9545604093727088E-2</v>
      </c>
      <c r="AT189" s="11">
        <v>4.6205710880164313E-2</v>
      </c>
      <c r="AU189">
        <v>0.94504955125395929</v>
      </c>
      <c r="AW189">
        <f t="shared" si="24"/>
        <v>0</v>
      </c>
      <c r="AX189">
        <v>186</v>
      </c>
      <c r="AY189" s="4">
        <f t="shared" si="22"/>
        <v>42951</v>
      </c>
      <c r="AZ189" s="6">
        <f t="shared" si="23"/>
        <v>8.0154921988384586E-2</v>
      </c>
      <c r="BA189" s="4">
        <v>42951</v>
      </c>
      <c r="BB189" s="6">
        <v>-6.2032999999999998E-2</v>
      </c>
      <c r="BC189" s="6">
        <v>-0.230685</v>
      </c>
      <c r="BD189" s="6">
        <v>-1.659483</v>
      </c>
      <c r="BE189" s="6">
        <v>3.3120630000000002</v>
      </c>
      <c r="BF189" s="6">
        <v>-1.478599</v>
      </c>
      <c r="BG189" s="6">
        <v>-1.0781179999999999</v>
      </c>
      <c r="BH189" s="6">
        <v>-0.70320499999999997</v>
      </c>
      <c r="BI189" s="6">
        <v>2.0985839999999998</v>
      </c>
      <c r="BJ189" s="6">
        <v>-0.50478199999999995</v>
      </c>
      <c r="BK189" s="6">
        <v>-1.267568</v>
      </c>
      <c r="BL189" s="4">
        <v>42951</v>
      </c>
      <c r="BM189" s="6">
        <f>VLOOKUP(BL189,Sheet1!$A$2:$E$1114,2,FALSE)</f>
        <v>2.254438496384028</v>
      </c>
      <c r="BN189" s="6">
        <f t="shared" si="25"/>
        <v>8.0154921988384586E-2</v>
      </c>
    </row>
    <row r="190" spans="31:66" x14ac:dyDescent="0.3">
      <c r="AE190">
        <f t="shared" si="27"/>
        <v>161</v>
      </c>
      <c r="AF190" t="s">
        <v>77</v>
      </c>
      <c r="AG190" s="13">
        <f t="shared" si="26"/>
        <v>42916</v>
      </c>
      <c r="AH190" s="13">
        <v>43056</v>
      </c>
      <c r="AI190" s="13">
        <v>42776</v>
      </c>
      <c r="AJ190" s="11">
        <v>0.32317118936225903</v>
      </c>
      <c r="AK190" s="11">
        <v>6.7065300270860759E-2</v>
      </c>
      <c r="AL190" s="11">
        <v>5.3737332400343035E-3</v>
      </c>
      <c r="AM190" s="11">
        <v>0.1358888575593292</v>
      </c>
      <c r="AN190" s="11">
        <v>3.9681506585171007E-2</v>
      </c>
      <c r="AO190" s="11">
        <v>0.16744292119134624</v>
      </c>
      <c r="AP190" s="11">
        <v>9.3908705644094453E-2</v>
      </c>
      <c r="AQ190" s="11">
        <v>4.583816037571109E-2</v>
      </c>
      <c r="AR190" s="11">
        <v>8.6020482318546545E-5</v>
      </c>
      <c r="AS190" s="11">
        <v>7.6073246872104386E-2</v>
      </c>
      <c r="AT190" s="11">
        <v>4.5470358416771058E-2</v>
      </c>
      <c r="AU190">
        <v>0.94622495373169191</v>
      </c>
      <c r="AW190">
        <f t="shared" si="24"/>
        <v>0</v>
      </c>
      <c r="AX190">
        <v>187</v>
      </c>
      <c r="AY190" s="4">
        <f t="shared" si="22"/>
        <v>42958</v>
      </c>
      <c r="AZ190" s="6">
        <f t="shared" si="23"/>
        <v>-1.3450791437552456</v>
      </c>
      <c r="BA190" s="4">
        <v>42958</v>
      </c>
      <c r="BB190" s="6">
        <v>-3.5977700000000001</v>
      </c>
      <c r="BC190" s="6">
        <v>-1.3602110000000001</v>
      </c>
      <c r="BD190" s="6">
        <v>-0.68785200000000002</v>
      </c>
      <c r="BE190" s="6">
        <v>-2.6183709999999998</v>
      </c>
      <c r="BF190" s="6">
        <v>0.207373</v>
      </c>
      <c r="BG190" s="6">
        <v>2.6529180000000001</v>
      </c>
      <c r="BH190" s="6">
        <v>1.7966310000000001</v>
      </c>
      <c r="BI190" s="6">
        <v>-2.423397</v>
      </c>
      <c r="BJ190" s="6">
        <v>-1.1490229999999999</v>
      </c>
      <c r="BK190" s="6">
        <v>0.13786699999999999</v>
      </c>
      <c r="BL190" s="4">
        <v>42958</v>
      </c>
      <c r="BM190" s="6">
        <f>VLOOKUP(BL190,Sheet1!$A$2:$E$1114,2,FALSE)</f>
        <v>2.2241145143603771</v>
      </c>
      <c r="BN190" s="6">
        <f t="shared" si="25"/>
        <v>-1.3450791437552456</v>
      </c>
    </row>
    <row r="191" spans="31:66" x14ac:dyDescent="0.3">
      <c r="AE191">
        <f t="shared" si="27"/>
        <v>162</v>
      </c>
      <c r="AF191" t="s">
        <v>77</v>
      </c>
      <c r="AG191" s="13">
        <f t="shared" si="26"/>
        <v>42923</v>
      </c>
      <c r="AH191" s="13">
        <v>43063</v>
      </c>
      <c r="AI191" s="13">
        <v>42783</v>
      </c>
      <c r="AJ191" s="11">
        <v>0.31933035349923261</v>
      </c>
      <c r="AK191" s="11">
        <v>6.4318510522390071E-2</v>
      </c>
      <c r="AL191" s="11">
        <v>5.7471073459919291E-3</v>
      </c>
      <c r="AM191" s="11">
        <v>0.13440301824550377</v>
      </c>
      <c r="AN191" s="11">
        <v>5.5519018460329465E-2</v>
      </c>
      <c r="AO191" s="11">
        <v>0.18973716886186312</v>
      </c>
      <c r="AP191" s="11">
        <v>8.4024555541676343E-2</v>
      </c>
      <c r="AQ191" s="11">
        <v>4.4979913256173489E-2</v>
      </c>
      <c r="AR191" s="11">
        <v>3.9521028299025453E-5</v>
      </c>
      <c r="AS191" s="11">
        <v>5.6341636218722756E-2</v>
      </c>
      <c r="AT191" s="11">
        <v>4.5559197019817352E-2</v>
      </c>
      <c r="AU191">
        <v>0.94473698533755901</v>
      </c>
      <c r="AW191">
        <f t="shared" si="24"/>
        <v>0</v>
      </c>
      <c r="AX191">
        <v>188</v>
      </c>
      <c r="AY191" s="4">
        <f t="shared" si="22"/>
        <v>42965</v>
      </c>
      <c r="AZ191" s="6">
        <f t="shared" si="23"/>
        <v>2.2791487282030953</v>
      </c>
      <c r="BA191" s="4">
        <v>42965</v>
      </c>
      <c r="BB191" s="6">
        <v>2.0212150000000002</v>
      </c>
      <c r="BC191" s="6">
        <v>2.9574630000000002</v>
      </c>
      <c r="BD191" s="6">
        <v>2.065753</v>
      </c>
      <c r="BE191" s="6">
        <v>1.6553709999999999</v>
      </c>
      <c r="BF191" s="6">
        <v>6.2672150000000002</v>
      </c>
      <c r="BG191" s="6">
        <v>1.234818</v>
      </c>
      <c r="BH191" s="6">
        <v>1.7259599999999999</v>
      </c>
      <c r="BI191" s="6">
        <v>1.4204239999999999</v>
      </c>
      <c r="BJ191" s="6">
        <v>2.253317</v>
      </c>
      <c r="BK191" s="6">
        <v>4.0945989999999997</v>
      </c>
      <c r="BL191" s="4">
        <v>42965</v>
      </c>
      <c r="BM191" s="6">
        <f>VLOOKUP(BL191,Sheet1!$A$2:$E$1114,2,FALSE)</f>
        <v>2.2748053920282021</v>
      </c>
      <c r="BN191" s="6">
        <f t="shared" si="25"/>
        <v>2.2791487282030953</v>
      </c>
    </row>
    <row r="192" spans="31:66" x14ac:dyDescent="0.3">
      <c r="AE192">
        <f t="shared" si="27"/>
        <v>163</v>
      </c>
      <c r="AF192" t="s">
        <v>77</v>
      </c>
      <c r="AG192" s="13">
        <f t="shared" si="26"/>
        <v>42930</v>
      </c>
      <c r="AH192" s="13">
        <v>43070</v>
      </c>
      <c r="AI192" s="13">
        <v>42790</v>
      </c>
      <c r="AJ192" s="11">
        <v>0.31673556811141035</v>
      </c>
      <c r="AK192" s="11">
        <v>5.6408498464080116E-2</v>
      </c>
      <c r="AL192" s="11">
        <v>4.7011922460002391E-3</v>
      </c>
      <c r="AM192" s="11">
        <v>0.1438939052489942</v>
      </c>
      <c r="AN192" s="11">
        <v>5.944448143932831E-2</v>
      </c>
      <c r="AO192" s="11">
        <v>0.18683632626319946</v>
      </c>
      <c r="AP192" s="11">
        <v>8.8610400451647711E-2</v>
      </c>
      <c r="AQ192" s="11">
        <v>4.0774261006246378E-2</v>
      </c>
      <c r="AR192" s="11">
        <v>3.0220037601404539E-5</v>
      </c>
      <c r="AS192" s="11">
        <v>5.2265240903306899E-2</v>
      </c>
      <c r="AT192" s="11">
        <v>5.0299905828184929E-2</v>
      </c>
      <c r="AU192">
        <v>0.94610646240242968</v>
      </c>
      <c r="AW192">
        <f t="shared" si="24"/>
        <v>0</v>
      </c>
      <c r="AX192">
        <v>189</v>
      </c>
      <c r="AY192" s="4">
        <f t="shared" si="22"/>
        <v>42972</v>
      </c>
      <c r="AZ192" s="6">
        <f t="shared" si="23"/>
        <v>1.2639377726538781</v>
      </c>
      <c r="BA192" s="4">
        <v>42972</v>
      </c>
      <c r="BB192" s="6">
        <v>3.6210779999999998</v>
      </c>
      <c r="BC192" s="6">
        <v>-0.115162</v>
      </c>
      <c r="BD192" s="6">
        <v>0.73175199999999996</v>
      </c>
      <c r="BE192" s="6">
        <v>0.55725000000000002</v>
      </c>
      <c r="BF192" s="6">
        <v>-0.28759099999999999</v>
      </c>
      <c r="BG192" s="6">
        <v>-0.294931</v>
      </c>
      <c r="BH192" s="6">
        <v>-0.39735500000000001</v>
      </c>
      <c r="BI192" s="6">
        <v>1.224521</v>
      </c>
      <c r="BJ192" s="6">
        <v>-0.48134700000000002</v>
      </c>
      <c r="BK192" s="6">
        <v>0.60095399999999999</v>
      </c>
      <c r="BL192" s="4">
        <v>42972</v>
      </c>
      <c r="BM192" s="6">
        <f>VLOOKUP(BL192,Sheet1!$A$2:$E$1114,2,FALSE)</f>
        <v>2.3035575166324138</v>
      </c>
      <c r="BN192" s="6">
        <f t="shared" si="25"/>
        <v>1.2639377726538781</v>
      </c>
    </row>
    <row r="193" spans="31:66" x14ac:dyDescent="0.3">
      <c r="AE193">
        <f t="shared" si="27"/>
        <v>164</v>
      </c>
      <c r="AF193" t="s">
        <v>77</v>
      </c>
      <c r="AG193" s="13">
        <f t="shared" si="26"/>
        <v>42937</v>
      </c>
      <c r="AH193" s="13">
        <v>43077</v>
      </c>
      <c r="AI193" s="13">
        <v>42797</v>
      </c>
      <c r="AJ193" s="11">
        <v>0.31464098749894459</v>
      </c>
      <c r="AK193" s="11">
        <v>5.0760016370159672E-2</v>
      </c>
      <c r="AL193" s="11">
        <v>1.609735845891587E-2</v>
      </c>
      <c r="AM193" s="11">
        <v>0.15065498222333223</v>
      </c>
      <c r="AN193" s="11">
        <v>4.8840927528490868E-2</v>
      </c>
      <c r="AO193" s="11">
        <v>0.17485042800723322</v>
      </c>
      <c r="AP193" s="11">
        <v>0.10364128187429116</v>
      </c>
      <c r="AQ193" s="11">
        <v>4.2163407814407819E-2</v>
      </c>
      <c r="AR193" s="11">
        <v>8.6119450887575357E-5</v>
      </c>
      <c r="AS193" s="11">
        <v>5.5189259462467312E-2</v>
      </c>
      <c r="AT193" s="11">
        <v>4.3075231310869717E-2</v>
      </c>
      <c r="AU193">
        <v>0.94371028727377804</v>
      </c>
      <c r="AW193">
        <f t="shared" si="24"/>
        <v>0</v>
      </c>
      <c r="AX193">
        <v>190</v>
      </c>
      <c r="AY193" s="4">
        <f t="shared" si="22"/>
        <v>42979</v>
      </c>
      <c r="AZ193" s="6">
        <f t="shared" si="23"/>
        <v>2.0726827503085854</v>
      </c>
      <c r="BA193" s="4">
        <v>42979</v>
      </c>
      <c r="BB193" s="6">
        <v>0.85604899999999995</v>
      </c>
      <c r="BC193" s="6">
        <v>1.2479769999999999</v>
      </c>
      <c r="BD193" s="6">
        <v>0.24904000000000001</v>
      </c>
      <c r="BE193" s="6">
        <v>4.6767029999999998</v>
      </c>
      <c r="BF193" s="6">
        <v>3.3765360000000002</v>
      </c>
      <c r="BG193" s="6">
        <v>1.719122</v>
      </c>
      <c r="BH193" s="6">
        <v>0.64220200000000005</v>
      </c>
      <c r="BI193" s="6">
        <v>5.2917160000000001</v>
      </c>
      <c r="BJ193" s="6">
        <v>1.167192</v>
      </c>
      <c r="BK193" s="6">
        <v>0.98685400000000001</v>
      </c>
      <c r="BL193" s="4">
        <v>42979</v>
      </c>
      <c r="BM193" s="6">
        <f>VLOOKUP(BL193,Sheet1!$A$2:$E$1114,2,FALSE)</f>
        <v>2.3513029559230909</v>
      </c>
      <c r="BN193" s="6">
        <f t="shared" si="25"/>
        <v>2.0726827503085854</v>
      </c>
    </row>
    <row r="194" spans="31:66" x14ac:dyDescent="0.3">
      <c r="AE194">
        <f t="shared" si="27"/>
        <v>165</v>
      </c>
      <c r="AF194" t="s">
        <v>77</v>
      </c>
      <c r="AG194" s="13">
        <f t="shared" si="26"/>
        <v>42944</v>
      </c>
      <c r="AH194" s="13">
        <v>43084</v>
      </c>
      <c r="AI194" s="13">
        <v>42804</v>
      </c>
      <c r="AJ194" s="11">
        <v>0.32357559302743816</v>
      </c>
      <c r="AK194" s="11">
        <v>6.8498899041187847E-2</v>
      </c>
      <c r="AL194" s="11">
        <v>7.6959351768738778E-5</v>
      </c>
      <c r="AM194" s="11">
        <v>0.13491504244535052</v>
      </c>
      <c r="AN194" s="11">
        <v>4.1363127764439622E-2</v>
      </c>
      <c r="AO194" s="11">
        <v>0.17821254938581688</v>
      </c>
      <c r="AP194" s="11">
        <v>0.11997482842859991</v>
      </c>
      <c r="AQ194" s="11">
        <v>5.8209928368691793E-2</v>
      </c>
      <c r="AR194" s="11">
        <v>6.9312055405135927E-5</v>
      </c>
      <c r="AS194" s="11">
        <v>5.4375963804146235E-2</v>
      </c>
      <c r="AT194" s="11">
        <v>2.0727796327155261E-2</v>
      </c>
      <c r="AU194">
        <v>0.94931572795593067</v>
      </c>
      <c r="AW194">
        <f t="shared" si="24"/>
        <v>0</v>
      </c>
      <c r="AX194">
        <v>191</v>
      </c>
      <c r="AY194" s="4">
        <f t="shared" si="22"/>
        <v>42986</v>
      </c>
      <c r="AZ194" s="6">
        <f t="shared" si="23"/>
        <v>2.3529451232517928E-3</v>
      </c>
      <c r="BA194" s="4">
        <v>42986</v>
      </c>
      <c r="BB194" s="6">
        <v>-1.2933E-2</v>
      </c>
      <c r="BC194" s="6">
        <v>0.82052099999999994</v>
      </c>
      <c r="BD194" s="6">
        <v>0.42651600000000001</v>
      </c>
      <c r="BE194" s="6">
        <v>0.52082200000000001</v>
      </c>
      <c r="BF194" s="6">
        <v>1.500578</v>
      </c>
      <c r="BG194" s="6">
        <v>-1.524481</v>
      </c>
      <c r="BH194" s="6">
        <v>1.351281</v>
      </c>
      <c r="BI194" s="6">
        <v>-0.49836000000000003</v>
      </c>
      <c r="BJ194" s="6">
        <v>-1.0244660000000001</v>
      </c>
      <c r="BK194" s="6">
        <v>0.92129499999999998</v>
      </c>
      <c r="BL194" s="4">
        <v>42986</v>
      </c>
      <c r="BM194" s="6">
        <f>VLOOKUP(BL194,Sheet1!$A$2:$E$1114,2,FALSE)</f>
        <v>2.3513582807913251</v>
      </c>
      <c r="BN194" s="6">
        <f t="shared" si="25"/>
        <v>2.3529451232517928E-3</v>
      </c>
    </row>
    <row r="195" spans="31:66" x14ac:dyDescent="0.3">
      <c r="AE195">
        <f t="shared" si="27"/>
        <v>166</v>
      </c>
      <c r="AF195" t="s">
        <v>77</v>
      </c>
      <c r="AG195" s="13">
        <f t="shared" si="26"/>
        <v>42951</v>
      </c>
      <c r="AH195" s="13">
        <v>43091</v>
      </c>
      <c r="AI195" s="13">
        <v>42811</v>
      </c>
      <c r="AJ195" s="11">
        <v>0.32094396514862744</v>
      </c>
      <c r="AK195" s="11">
        <v>7.1623536599304177E-2</v>
      </c>
      <c r="AL195" s="11">
        <v>8.9927930599607351E-5</v>
      </c>
      <c r="AM195" s="11">
        <v>0.11557060139329725</v>
      </c>
      <c r="AN195" s="11">
        <v>3.2567760857638371E-2</v>
      </c>
      <c r="AO195" s="11">
        <v>0.19400687854389947</v>
      </c>
      <c r="AP195" s="11">
        <v>0.12051787624264144</v>
      </c>
      <c r="AQ195" s="11">
        <v>8.7618005288187015E-2</v>
      </c>
      <c r="AR195" s="11">
        <v>4.840562427065517E-5</v>
      </c>
      <c r="AS195" s="11">
        <v>4.9704097679552181E-2</v>
      </c>
      <c r="AT195" s="11">
        <v>7.3089446919824682E-3</v>
      </c>
      <c r="AU195">
        <v>0.94813420182613017</v>
      </c>
      <c r="AW195">
        <f t="shared" si="24"/>
        <v>0</v>
      </c>
      <c r="AX195">
        <v>192</v>
      </c>
      <c r="AY195" s="4">
        <f t="shared" si="22"/>
        <v>42993</v>
      </c>
      <c r="AZ195" s="6">
        <f t="shared" si="23"/>
        <v>0.25154270411744672</v>
      </c>
      <c r="BA195" s="4">
        <v>42993</v>
      </c>
      <c r="BB195" s="6">
        <v>2.7976000000000001E-2</v>
      </c>
      <c r="BC195" s="6">
        <v>1.0528679999999999</v>
      </c>
      <c r="BD195" s="6">
        <v>1.3601350000000001</v>
      </c>
      <c r="BE195" s="6">
        <v>-9.6574999999999994E-2</v>
      </c>
      <c r="BF195" s="6">
        <v>-0.92025199999999996</v>
      </c>
      <c r="BG195" s="6">
        <v>2.645921</v>
      </c>
      <c r="BH195" s="6">
        <v>-0.26640900000000001</v>
      </c>
      <c r="BI195" s="6">
        <v>-2.3518889999999999</v>
      </c>
      <c r="BJ195" s="6">
        <v>-0.63790199999999997</v>
      </c>
      <c r="BK195" s="6">
        <v>-7.4339000000000002E-2</v>
      </c>
      <c r="BL195" s="4">
        <v>42993</v>
      </c>
      <c r="BM195" s="6">
        <f>VLOOKUP(BL195,Sheet1!$A$2:$E$1114,2,FALSE)</f>
        <v>2.3572729509943171</v>
      </c>
      <c r="BN195" s="6">
        <f t="shared" si="25"/>
        <v>0.25154270411744672</v>
      </c>
    </row>
    <row r="196" spans="31:66" x14ac:dyDescent="0.3">
      <c r="AE196">
        <f t="shared" si="27"/>
        <v>167</v>
      </c>
      <c r="AF196" t="s">
        <v>77</v>
      </c>
      <c r="AG196" s="13">
        <f t="shared" si="26"/>
        <v>42958</v>
      </c>
      <c r="AH196" s="13">
        <v>43098</v>
      </c>
      <c r="AI196" s="13">
        <v>42818</v>
      </c>
      <c r="AJ196" s="11">
        <v>0.32116564166640788</v>
      </c>
      <c r="AK196" s="11">
        <v>7.1829739264005266E-2</v>
      </c>
      <c r="AL196" s="11">
        <v>7.428181411975016E-5</v>
      </c>
      <c r="AM196" s="11">
        <v>0.11632249844592757</v>
      </c>
      <c r="AN196" s="11">
        <v>3.1231920854007424E-2</v>
      </c>
      <c r="AO196" s="11">
        <v>0.19314156119829057</v>
      </c>
      <c r="AP196" s="11">
        <v>0.1224036827997136</v>
      </c>
      <c r="AQ196" s="11">
        <v>8.7247193964156297E-2</v>
      </c>
      <c r="AR196" s="11">
        <v>4.8537213391126058E-5</v>
      </c>
      <c r="AS196" s="11">
        <v>5.0469693854302201E-2</v>
      </c>
      <c r="AT196" s="11">
        <v>6.0652489256783106E-3</v>
      </c>
      <c r="AU196">
        <v>0.94846260141542771</v>
      </c>
      <c r="AW196">
        <f t="shared" si="24"/>
        <v>0</v>
      </c>
      <c r="AX196">
        <v>193</v>
      </c>
      <c r="AY196" s="4">
        <f t="shared" si="22"/>
        <v>43000</v>
      </c>
      <c r="AZ196" s="6">
        <f t="shared" si="23"/>
        <v>2.89027990925117E-3</v>
      </c>
      <c r="BA196" s="4">
        <v>43000</v>
      </c>
      <c r="BB196" s="6">
        <v>-8.7117E-2</v>
      </c>
      <c r="BC196" s="6">
        <v>-1.0968340000000001</v>
      </c>
      <c r="BD196" s="6">
        <v>1.123062</v>
      </c>
      <c r="BE196" s="6">
        <v>-1.5210049999999999</v>
      </c>
      <c r="BF196" s="6">
        <v>1.1365E-2</v>
      </c>
      <c r="BG196" s="6">
        <v>1.215695</v>
      </c>
      <c r="BH196" s="6">
        <v>-0.28906700000000002</v>
      </c>
      <c r="BI196" s="6">
        <v>-0.71440000000000003</v>
      </c>
      <c r="BJ196" s="6">
        <v>-0.89507999999999999</v>
      </c>
      <c r="BK196" s="6">
        <v>4.0374340000000002</v>
      </c>
      <c r="BL196" s="4">
        <v>43000</v>
      </c>
      <c r="BM196" s="6">
        <f>VLOOKUP(BL196,Sheet1!$A$2:$E$1114,2,FALSE)</f>
        <v>2.3573410827808261</v>
      </c>
      <c r="BN196" s="6">
        <f t="shared" si="25"/>
        <v>2.89027990925117E-3</v>
      </c>
    </row>
    <row r="197" spans="31:66" x14ac:dyDescent="0.3">
      <c r="AE197">
        <f t="shared" si="27"/>
        <v>168</v>
      </c>
      <c r="AF197" t="s">
        <v>77</v>
      </c>
      <c r="AG197" s="13">
        <f t="shared" si="26"/>
        <v>42965</v>
      </c>
      <c r="AH197" s="13">
        <v>43105</v>
      </c>
      <c r="AI197" s="13">
        <v>42825</v>
      </c>
      <c r="AJ197" s="11">
        <v>0.3202215343033884</v>
      </c>
      <c r="AK197" s="11">
        <v>3.023788781346376E-2</v>
      </c>
      <c r="AL197" s="11">
        <v>5.2117311318993033E-6</v>
      </c>
      <c r="AM197" s="11">
        <v>0.15402219210055904</v>
      </c>
      <c r="AN197" s="11">
        <v>6.1494184506608922E-2</v>
      </c>
      <c r="AO197" s="11">
        <v>0.17464693747638865</v>
      </c>
      <c r="AP197" s="11">
        <v>0.10494981742201119</v>
      </c>
      <c r="AQ197" s="11">
        <v>3.398404434562291E-2</v>
      </c>
      <c r="AR197" s="11">
        <v>6.6470770184453958E-4</v>
      </c>
      <c r="AS197" s="11">
        <v>5.8812037394383197E-2</v>
      </c>
      <c r="AT197" s="11">
        <v>6.0961445204597439E-2</v>
      </c>
      <c r="AU197">
        <v>0.94127222926900544</v>
      </c>
      <c r="AW197">
        <f t="shared" si="24"/>
        <v>0</v>
      </c>
      <c r="AX197">
        <v>194</v>
      </c>
      <c r="AY197" s="4">
        <f t="shared" ref="AY197:AY260" si="28">BA197</f>
        <v>43007</v>
      </c>
      <c r="AZ197" s="6">
        <f t="shared" ref="AZ197:AZ260" si="29">BN197</f>
        <v>0.70997253635514124</v>
      </c>
      <c r="BA197" s="4">
        <v>43007</v>
      </c>
      <c r="BB197" s="6">
        <v>-1.3950260000000001</v>
      </c>
      <c r="BC197" s="6">
        <v>-0.311946</v>
      </c>
      <c r="BD197" s="6">
        <v>-3.4638000000000002E-2</v>
      </c>
      <c r="BE197" s="6">
        <v>0.38783800000000002</v>
      </c>
      <c r="BF197" s="6">
        <v>0.86874499999999999</v>
      </c>
      <c r="BG197" s="6">
        <v>2.0348890000000002</v>
      </c>
      <c r="BH197" s="6">
        <v>0.95590200000000003</v>
      </c>
      <c r="BI197" s="6">
        <v>4.6278E-2</v>
      </c>
      <c r="BJ197" s="6">
        <v>-0.66473000000000004</v>
      </c>
      <c r="BK197" s="6">
        <v>3.176021</v>
      </c>
      <c r="BL197" s="4">
        <v>43007</v>
      </c>
      <c r="BM197" s="6">
        <f>VLOOKUP(BL197,Sheet1!$A$2:$E$1114,2,FALSE)</f>
        <v>2.3740775570567871</v>
      </c>
      <c r="BN197" s="6">
        <f t="shared" si="25"/>
        <v>0.70997253635514124</v>
      </c>
    </row>
    <row r="198" spans="31:66" x14ac:dyDescent="0.3">
      <c r="AE198">
        <f t="shared" si="27"/>
        <v>169</v>
      </c>
      <c r="AF198" t="s">
        <v>77</v>
      </c>
      <c r="AG198" s="13">
        <f t="shared" si="26"/>
        <v>42972</v>
      </c>
      <c r="AH198" s="13">
        <v>43112</v>
      </c>
      <c r="AI198" s="13">
        <v>42832</v>
      </c>
      <c r="AJ198" s="11">
        <v>0.3138933046539561</v>
      </c>
      <c r="AK198" s="11">
        <v>3.8457793298291798E-2</v>
      </c>
      <c r="AL198" s="11">
        <v>4.3810070085160849E-5</v>
      </c>
      <c r="AM198" s="11">
        <v>0.16257358420104481</v>
      </c>
      <c r="AN198" s="11">
        <v>3.37695824740235E-2</v>
      </c>
      <c r="AO198" s="11">
        <v>0.15654797051813255</v>
      </c>
      <c r="AP198" s="11">
        <v>0.11811214052498685</v>
      </c>
      <c r="AQ198" s="11">
        <v>2.189059294377238E-2</v>
      </c>
      <c r="AR198" s="11">
        <v>1.2483295596730528E-2</v>
      </c>
      <c r="AS198" s="11">
        <v>8.6793627423336808E-2</v>
      </c>
      <c r="AT198" s="11">
        <v>5.5434298295639478E-2</v>
      </c>
      <c r="AU198">
        <v>0.93599087589643792</v>
      </c>
      <c r="AW198">
        <f t="shared" ref="AW198:AW261" si="30">IF(AY198&lt;=AY197,1,0)</f>
        <v>0</v>
      </c>
      <c r="AX198">
        <v>195</v>
      </c>
      <c r="AY198" s="4">
        <f t="shared" si="28"/>
        <v>43021</v>
      </c>
      <c r="AZ198" s="6">
        <f t="shared" si="29"/>
        <v>1.6175631511718302</v>
      </c>
      <c r="BA198" s="4">
        <v>43021</v>
      </c>
      <c r="BB198" s="6">
        <v>1.167556</v>
      </c>
      <c r="BC198" s="6">
        <v>1.7148639999999999</v>
      </c>
      <c r="BD198" s="6">
        <v>3.0004040000000001</v>
      </c>
      <c r="BE198" s="6">
        <v>-7.2300000000000003E-2</v>
      </c>
      <c r="BF198" s="6">
        <v>3.1798289999999998</v>
      </c>
      <c r="BG198" s="6">
        <v>4.0076169999999998</v>
      </c>
      <c r="BH198" s="6">
        <v>4.2017350000000002</v>
      </c>
      <c r="BI198" s="6">
        <v>-1.3129949999999999</v>
      </c>
      <c r="BJ198" s="6">
        <v>2.0190419999999998</v>
      </c>
      <c r="BK198" s="6">
        <v>0.72515499999999999</v>
      </c>
      <c r="BL198" s="4">
        <v>43021</v>
      </c>
      <c r="BM198" s="6">
        <f>VLOOKUP(BL198,Sheet1!$A$2:$E$1114,2,FALSE)</f>
        <v>2.4124797607999779</v>
      </c>
      <c r="BN198" s="6">
        <f t="shared" ref="BN198:BN261" si="31">(BM198/BM197-1)*100</f>
        <v>1.6175631511718302</v>
      </c>
    </row>
    <row r="199" spans="31:66" x14ac:dyDescent="0.3">
      <c r="AE199">
        <f t="shared" si="27"/>
        <v>170</v>
      </c>
      <c r="AF199" t="s">
        <v>77</v>
      </c>
      <c r="AG199" s="13">
        <f t="shared" si="26"/>
        <v>42979</v>
      </c>
      <c r="AH199" s="13">
        <v>43119</v>
      </c>
      <c r="AI199" s="13">
        <v>42839</v>
      </c>
      <c r="AJ199" s="11">
        <v>0.30804477674763225</v>
      </c>
      <c r="AK199" s="11">
        <v>3.4672263892467748E-4</v>
      </c>
      <c r="AL199" s="11">
        <v>2.8205958602285798E-6</v>
      </c>
      <c r="AM199" s="11">
        <v>0.16892451595152833</v>
      </c>
      <c r="AN199" s="11">
        <v>4.2577234012659899E-2</v>
      </c>
      <c r="AO199" s="11">
        <v>0.15681528446652626</v>
      </c>
      <c r="AP199" s="11">
        <v>0.12532252376750136</v>
      </c>
      <c r="AQ199" s="11">
        <v>2.5609624818053067E-2</v>
      </c>
      <c r="AR199" s="11">
        <v>2.5766695445367533E-5</v>
      </c>
      <c r="AS199" s="11">
        <v>9.0693194991098708E-2</v>
      </c>
      <c r="AT199" s="11">
        <v>8.1637535314769916E-2</v>
      </c>
      <c r="AU199">
        <v>0.94005477986989561</v>
      </c>
      <c r="AW199">
        <f t="shared" si="30"/>
        <v>0</v>
      </c>
      <c r="AX199">
        <v>196</v>
      </c>
      <c r="AY199" s="4">
        <f t="shared" si="28"/>
        <v>43028</v>
      </c>
      <c r="AZ199" s="6">
        <f t="shared" si="29"/>
        <v>-0.4491150270006794</v>
      </c>
      <c r="BA199" s="4">
        <v>43028</v>
      </c>
      <c r="BB199" s="6">
        <v>-0.258461</v>
      </c>
      <c r="BC199" s="6">
        <v>-1.428849</v>
      </c>
      <c r="BD199" s="6">
        <v>-1.2054339999999999</v>
      </c>
      <c r="BE199" s="6">
        <v>-2.143081</v>
      </c>
      <c r="BF199" s="6">
        <v>-2.872017</v>
      </c>
      <c r="BG199" s="6">
        <v>0.79446600000000001</v>
      </c>
      <c r="BH199" s="6">
        <v>0.42469299999999999</v>
      </c>
      <c r="BI199" s="6">
        <v>-2.5790609999999998</v>
      </c>
      <c r="BJ199" s="6">
        <v>-1.6664099999999999</v>
      </c>
      <c r="BK199" s="6">
        <v>-3.183106</v>
      </c>
      <c r="BL199" s="4">
        <v>43028</v>
      </c>
      <c r="BM199" s="6">
        <f>VLOOKUP(BL199,Sheet1!$A$2:$E$1114,2,FALSE)</f>
        <v>2.4016449516708751</v>
      </c>
      <c r="BN199" s="6">
        <f t="shared" si="31"/>
        <v>-0.4491150270006794</v>
      </c>
    </row>
    <row r="200" spans="31:66" x14ac:dyDescent="0.3">
      <c r="AE200">
        <f t="shared" si="27"/>
        <v>171</v>
      </c>
      <c r="AF200" t="s">
        <v>77</v>
      </c>
      <c r="AG200" s="13">
        <f t="shared" si="26"/>
        <v>42986</v>
      </c>
      <c r="AH200" s="13">
        <v>43126</v>
      </c>
      <c r="AI200" s="13">
        <v>42846</v>
      </c>
      <c r="AJ200" s="11">
        <v>0.30656072391885553</v>
      </c>
      <c r="AK200" s="11">
        <v>9.0389247893351101E-5</v>
      </c>
      <c r="AL200" s="11">
        <v>4.0842261361599082E-2</v>
      </c>
      <c r="AM200" s="11">
        <v>0.14296929907573375</v>
      </c>
      <c r="AN200" s="11">
        <v>5.9117911370134786E-2</v>
      </c>
      <c r="AO200" s="11">
        <v>0.15223237937564901</v>
      </c>
      <c r="AP200" s="11">
        <v>0.10771734035165237</v>
      </c>
      <c r="AQ200" s="11">
        <v>4.7604514894804155E-2</v>
      </c>
      <c r="AR200" s="11">
        <v>1.0153275267357586E-5</v>
      </c>
      <c r="AS200" s="11">
        <v>7.2187502828748237E-2</v>
      </c>
      <c r="AT200" s="11">
        <v>7.0667524299662429E-2</v>
      </c>
      <c r="AU200">
        <v>0.94070097359063831</v>
      </c>
      <c r="AW200">
        <f t="shared" si="30"/>
        <v>0</v>
      </c>
      <c r="AX200">
        <v>197</v>
      </c>
      <c r="AY200" s="4">
        <f t="shared" si="28"/>
        <v>43035</v>
      </c>
      <c r="AZ200" s="6">
        <f t="shared" si="29"/>
        <v>1.8217142717041668</v>
      </c>
      <c r="BA200" s="4">
        <v>43035</v>
      </c>
      <c r="BB200" s="6">
        <v>1.6976100000000001</v>
      </c>
      <c r="BC200" s="6">
        <v>0.82194599999999995</v>
      </c>
      <c r="BD200" s="6">
        <v>1.6075839999999999</v>
      </c>
      <c r="BE200" s="6">
        <v>0.29183999999999999</v>
      </c>
      <c r="BF200" s="6">
        <v>1.3486290000000001</v>
      </c>
      <c r="BG200" s="6">
        <v>4.0496309999999998</v>
      </c>
      <c r="BH200" s="6">
        <v>1.8433660000000001</v>
      </c>
      <c r="BI200" s="6">
        <v>0.57915300000000003</v>
      </c>
      <c r="BJ200" s="6">
        <v>0.35051300000000002</v>
      </c>
      <c r="BK200" s="6">
        <v>2.585413</v>
      </c>
      <c r="BL200" s="4">
        <v>43035</v>
      </c>
      <c r="BM200" s="6">
        <f>VLOOKUP(BL200,Sheet1!$A$2:$E$1114,2,FALSE)</f>
        <v>2.445396060511126</v>
      </c>
      <c r="BN200" s="6">
        <f t="shared" si="31"/>
        <v>1.8217142717041668</v>
      </c>
    </row>
    <row r="201" spans="31:66" x14ac:dyDescent="0.3">
      <c r="AE201">
        <f t="shared" si="27"/>
        <v>172</v>
      </c>
      <c r="AF201" t="s">
        <v>77</v>
      </c>
      <c r="AG201" s="13">
        <f t="shared" si="26"/>
        <v>42993</v>
      </c>
      <c r="AH201" s="13">
        <v>43133</v>
      </c>
      <c r="AI201" s="13">
        <v>42853</v>
      </c>
      <c r="AJ201" s="11">
        <v>0.26059552350345716</v>
      </c>
      <c r="AK201" s="11">
        <v>1.2173694157415702E-5</v>
      </c>
      <c r="AL201" s="11">
        <v>0.11407797895268625</v>
      </c>
      <c r="AM201" s="11">
        <v>7.4988333096204937E-2</v>
      </c>
      <c r="AN201" s="11">
        <v>5.122613619466862E-2</v>
      </c>
      <c r="AO201" s="11">
        <v>0.15776065618515656</v>
      </c>
      <c r="AP201" s="11">
        <v>1.352428257768608E-2</v>
      </c>
      <c r="AQ201" s="11">
        <v>0.14186335133466565</v>
      </c>
      <c r="AR201" s="11">
        <v>7.0750309758068127E-6</v>
      </c>
      <c r="AS201" s="11">
        <v>3.1041882156962013E-2</v>
      </c>
      <c r="AT201" s="11">
        <v>0.15490260727337954</v>
      </c>
      <c r="AU201">
        <v>0.91066281326570464</v>
      </c>
      <c r="AW201">
        <f t="shared" si="30"/>
        <v>0</v>
      </c>
      <c r="AX201">
        <v>198</v>
      </c>
      <c r="AY201" s="4">
        <f t="shared" si="28"/>
        <v>43042</v>
      </c>
      <c r="AZ201" s="6">
        <f t="shared" si="29"/>
        <v>-1.7430437253115882</v>
      </c>
      <c r="BA201" s="4">
        <v>43042</v>
      </c>
      <c r="BB201" s="6">
        <v>-1.299132</v>
      </c>
      <c r="BC201" s="6">
        <v>-2.2646980000000001</v>
      </c>
      <c r="BD201" s="6">
        <v>-3.2962880000000001</v>
      </c>
      <c r="BE201" s="6">
        <v>-3.6815169999999999</v>
      </c>
      <c r="BF201" s="6">
        <v>-1.306808</v>
      </c>
      <c r="BG201" s="6">
        <v>-0.856796</v>
      </c>
      <c r="BH201" s="6">
        <v>-1.440971</v>
      </c>
      <c r="BI201" s="6">
        <v>-2.135195</v>
      </c>
      <c r="BJ201" s="6">
        <v>-2.0840770000000002</v>
      </c>
      <c r="BK201" s="6">
        <v>-0.47708299999999998</v>
      </c>
      <c r="BL201" s="4">
        <v>43042</v>
      </c>
      <c r="BM201" s="6">
        <f>VLOOKUP(BL201,Sheet1!$A$2:$E$1114,2,FALSE)</f>
        <v>2.40277173791937</v>
      </c>
      <c r="BN201" s="6">
        <f t="shared" si="31"/>
        <v>-1.7430437253115882</v>
      </c>
    </row>
    <row r="202" spans="31:66" x14ac:dyDescent="0.3">
      <c r="AE202">
        <f t="shared" si="27"/>
        <v>173</v>
      </c>
      <c r="AF202" t="s">
        <v>77</v>
      </c>
      <c r="AG202" s="13">
        <f t="shared" si="26"/>
        <v>43000</v>
      </c>
      <c r="AH202" s="13">
        <v>43140</v>
      </c>
      <c r="AI202" s="13">
        <v>42860</v>
      </c>
      <c r="AJ202" s="11">
        <v>0.27769920481691307</v>
      </c>
      <c r="AK202" s="11">
        <v>8.4181632156427586E-5</v>
      </c>
      <c r="AL202" s="11">
        <v>0.11471162371020302</v>
      </c>
      <c r="AM202" s="11">
        <v>7.5829983236112425E-2</v>
      </c>
      <c r="AN202" s="11">
        <v>3.0326269798791553E-2</v>
      </c>
      <c r="AO202" s="11">
        <v>0.14863149032038003</v>
      </c>
      <c r="AP202" s="11">
        <v>6.4292723460521395E-2</v>
      </c>
      <c r="AQ202" s="11">
        <v>0.1641545208834293</v>
      </c>
      <c r="AR202" s="11">
        <v>3.1058681938433463E-5</v>
      </c>
      <c r="AS202" s="11">
        <v>3.017421524561998E-2</v>
      </c>
      <c r="AT202" s="11">
        <v>9.4064728213934301E-2</v>
      </c>
      <c r="AU202">
        <v>0.96034306503938627</v>
      </c>
      <c r="AW202">
        <f t="shared" si="30"/>
        <v>0</v>
      </c>
      <c r="AX202">
        <v>199</v>
      </c>
      <c r="AY202" s="4">
        <f t="shared" si="28"/>
        <v>43049</v>
      </c>
      <c r="AZ202" s="6">
        <f t="shared" si="29"/>
        <v>3.2758184195848195</v>
      </c>
      <c r="BA202" s="4">
        <v>43049</v>
      </c>
      <c r="BB202" s="6">
        <v>1.6929080000000001</v>
      </c>
      <c r="BC202" s="6">
        <v>1.825882</v>
      </c>
      <c r="BD202" s="6">
        <v>3.9791829999999999</v>
      </c>
      <c r="BE202" s="6">
        <v>2.0141</v>
      </c>
      <c r="BF202" s="6">
        <v>5.134004</v>
      </c>
      <c r="BG202" s="6">
        <v>4.11226</v>
      </c>
      <c r="BH202" s="6">
        <v>2.8296389999999998</v>
      </c>
      <c r="BI202" s="6">
        <v>2.1026639999999999</v>
      </c>
      <c r="BJ202" s="6">
        <v>1.5302420000000001</v>
      </c>
      <c r="BK202" s="6">
        <v>7.1595529999999998</v>
      </c>
      <c r="BL202" s="4">
        <v>43049</v>
      </c>
      <c r="BM202" s="6">
        <f>VLOOKUP(BL202,Sheet1!$A$2:$E$1114,2,FALSE)</f>
        <v>2.4814821770907112</v>
      </c>
      <c r="BN202" s="6">
        <f t="shared" si="31"/>
        <v>3.2758184195848195</v>
      </c>
    </row>
    <row r="203" spans="31:66" x14ac:dyDescent="0.3">
      <c r="AE203">
        <f t="shared" si="27"/>
        <v>174</v>
      </c>
      <c r="AF203" t="s">
        <v>77</v>
      </c>
      <c r="AG203" s="13">
        <f t="shared" si="26"/>
        <v>43006</v>
      </c>
      <c r="AH203" s="13">
        <v>43145</v>
      </c>
      <c r="AI203" s="13">
        <v>42867</v>
      </c>
      <c r="AJ203" s="11">
        <v>0.2804552084399094</v>
      </c>
      <c r="AK203" s="11">
        <v>1.5256756515578978E-6</v>
      </c>
      <c r="AL203" s="11">
        <v>0.11453187340313113</v>
      </c>
      <c r="AM203" s="11">
        <v>0.10573875649993007</v>
      </c>
      <c r="AN203" s="11">
        <v>9.7657200578274263E-5</v>
      </c>
      <c r="AO203" s="11">
        <v>0.13677864715412388</v>
      </c>
      <c r="AP203" s="11">
        <v>0.11093009624277002</v>
      </c>
      <c r="AQ203" s="11">
        <v>0.14664203737965614</v>
      </c>
      <c r="AR203" s="11">
        <v>1.0348950382755451E-6</v>
      </c>
      <c r="AS203" s="11">
        <v>4.0603120013960083E-2</v>
      </c>
      <c r="AT203" s="11">
        <v>6.4220043095251075E-2</v>
      </c>
      <c r="AU203">
        <v>0.95977670099961054</v>
      </c>
      <c r="AW203">
        <f t="shared" si="30"/>
        <v>0</v>
      </c>
      <c r="AX203">
        <v>200</v>
      </c>
      <c r="AY203" s="4">
        <f t="shared" si="28"/>
        <v>43056</v>
      </c>
      <c r="AZ203" s="6">
        <f t="shared" si="29"/>
        <v>-1.0601086011289396</v>
      </c>
      <c r="BA203" s="4">
        <v>43056</v>
      </c>
      <c r="BB203" s="6">
        <v>2.392506</v>
      </c>
      <c r="BC203" s="6">
        <v>-4.2338009999999997</v>
      </c>
      <c r="BD203" s="6">
        <v>-3.4476979999999999</v>
      </c>
      <c r="BE203" s="6">
        <v>-3.9099529999999998</v>
      </c>
      <c r="BF203" s="6">
        <v>-4.8874259999999996</v>
      </c>
      <c r="BG203" s="6">
        <v>-1.0520620000000001</v>
      </c>
      <c r="BH203" s="6">
        <v>-1.920293</v>
      </c>
      <c r="BI203" s="6">
        <v>-3.0288520000000001</v>
      </c>
      <c r="BJ203" s="6">
        <v>-2.7999749999999999</v>
      </c>
      <c r="BK203" s="6">
        <v>-2.8164349999999998</v>
      </c>
      <c r="BL203" s="4">
        <v>43056</v>
      </c>
      <c r="BM203" s="6">
        <f>VLOOKUP(BL203,Sheet1!$A$2:$E$1114,2,FALSE)</f>
        <v>2.4551757710958908</v>
      </c>
      <c r="BN203" s="6">
        <f t="shared" si="31"/>
        <v>-1.0601086011289396</v>
      </c>
    </row>
    <row r="204" spans="31:66" x14ac:dyDescent="0.3">
      <c r="AE204">
        <f t="shared" si="27"/>
        <v>175</v>
      </c>
      <c r="AF204" t="s">
        <v>77</v>
      </c>
      <c r="AG204" s="13">
        <f t="shared" si="26"/>
        <v>43014</v>
      </c>
      <c r="AH204" s="13">
        <v>43154</v>
      </c>
      <c r="AI204" s="13">
        <v>42874</v>
      </c>
      <c r="AJ204" s="11">
        <v>0.27852098102207834</v>
      </c>
      <c r="AK204" s="11">
        <v>1.0244663010347049E-5</v>
      </c>
      <c r="AL204" s="11">
        <v>0.10934993238891323</v>
      </c>
      <c r="AM204" s="11">
        <v>0.11819203635246951</v>
      </c>
      <c r="AN204" s="11">
        <v>8.6361586831870988E-5</v>
      </c>
      <c r="AO204" s="11">
        <v>0.14371404534025439</v>
      </c>
      <c r="AP204" s="11">
        <v>0.10782459610207727</v>
      </c>
      <c r="AQ204" s="11">
        <v>0.14245435532920214</v>
      </c>
      <c r="AR204" s="11">
        <v>5.8319259945191423E-6</v>
      </c>
      <c r="AS204" s="11">
        <v>4.0873997119385191E-2</v>
      </c>
      <c r="AT204" s="11">
        <v>5.8967618169783194E-2</v>
      </c>
      <c r="AU204">
        <v>0.96075008467238709</v>
      </c>
      <c r="AW204">
        <f t="shared" si="30"/>
        <v>0</v>
      </c>
      <c r="AX204">
        <v>201</v>
      </c>
      <c r="AY204" s="4">
        <f t="shared" si="28"/>
        <v>43063</v>
      </c>
      <c r="AZ204" s="6">
        <f t="shared" si="29"/>
        <v>-1.2196827221027218</v>
      </c>
      <c r="BA204" s="4">
        <v>43063</v>
      </c>
      <c r="BB204" s="6">
        <v>1.1869959999999999</v>
      </c>
      <c r="BC204" s="6">
        <v>-0.99302699999999999</v>
      </c>
      <c r="BD204" s="6">
        <v>-1.779053</v>
      </c>
      <c r="BE204" s="6">
        <v>4.2410999999999997E-2</v>
      </c>
      <c r="BF204" s="6">
        <v>-2.5452270000000001</v>
      </c>
      <c r="BG204" s="6">
        <v>-4.7222650000000002</v>
      </c>
      <c r="BH204" s="6">
        <v>-2.7676720000000001</v>
      </c>
      <c r="BI204" s="6">
        <v>1.310667</v>
      </c>
      <c r="BJ204" s="6">
        <v>-0.64444599999999996</v>
      </c>
      <c r="BK204" s="6">
        <v>-1.49E-3</v>
      </c>
      <c r="BL204" s="4">
        <v>43063</v>
      </c>
      <c r="BM204" s="6">
        <f>VLOOKUP(BL204,Sheet1!$A$2:$E$1114,2,FALSE)</f>
        <v>2.4252304164185818</v>
      </c>
      <c r="BN204" s="6">
        <f t="shared" si="31"/>
        <v>-1.2196827221027218</v>
      </c>
    </row>
    <row r="205" spans="31:66" x14ac:dyDescent="0.3">
      <c r="AE205">
        <f t="shared" si="27"/>
        <v>176</v>
      </c>
      <c r="AF205" t="s">
        <v>77</v>
      </c>
      <c r="AG205" s="13">
        <f t="shared" si="26"/>
        <v>43021</v>
      </c>
      <c r="AH205" s="13">
        <v>43161</v>
      </c>
      <c r="AI205" s="13">
        <v>42881</v>
      </c>
      <c r="AJ205" s="11">
        <v>0.26629903000819927</v>
      </c>
      <c r="AK205" s="11">
        <v>5.7669775779758636E-6</v>
      </c>
      <c r="AL205" s="11">
        <v>9.3945107916029974E-2</v>
      </c>
      <c r="AM205" s="11">
        <v>0.10122225284906158</v>
      </c>
      <c r="AN205" s="11">
        <v>9.1724335354365796E-5</v>
      </c>
      <c r="AO205" s="11">
        <v>0.14852880394823631</v>
      </c>
      <c r="AP205" s="11">
        <v>0.12512894987242135</v>
      </c>
      <c r="AQ205" s="11">
        <v>0.16500737900151791</v>
      </c>
      <c r="AR205" s="11">
        <v>4.6255487060076541E-6</v>
      </c>
      <c r="AS205" s="11">
        <v>4.7543960793165259E-2</v>
      </c>
      <c r="AT205" s="11">
        <v>5.2222398749730024E-2</v>
      </c>
      <c r="AU205">
        <v>0.96388185824727468</v>
      </c>
      <c r="AW205">
        <f t="shared" si="30"/>
        <v>0</v>
      </c>
      <c r="AX205">
        <v>202</v>
      </c>
      <c r="AY205" s="4">
        <f t="shared" si="28"/>
        <v>43070</v>
      </c>
      <c r="AZ205" s="6">
        <f t="shared" si="29"/>
        <v>-1.152744279584017</v>
      </c>
      <c r="BA205" s="4">
        <v>43070</v>
      </c>
      <c r="BB205" s="6">
        <v>-2.9979469999999999</v>
      </c>
      <c r="BC205" s="6">
        <v>-7.1529999999999996E-3</v>
      </c>
      <c r="BD205" s="6">
        <v>-1.801682</v>
      </c>
      <c r="BE205" s="6">
        <v>1.9169320000000001</v>
      </c>
      <c r="BF205" s="6">
        <v>0.26885700000000001</v>
      </c>
      <c r="BG205" s="6">
        <v>-2.5319919999999998</v>
      </c>
      <c r="BH205" s="6">
        <v>-0.64313299999999995</v>
      </c>
      <c r="BI205" s="6">
        <v>0.44575599999999999</v>
      </c>
      <c r="BJ205" s="6">
        <v>-0.84551100000000001</v>
      </c>
      <c r="BK205" s="6">
        <v>-2.2401970000000002</v>
      </c>
      <c r="BL205" s="4">
        <v>43070</v>
      </c>
      <c r="BM205" s="6">
        <f>VLOOKUP(BL205,Sheet1!$A$2:$E$1114,2,FALSE)</f>
        <v>2.397273711526585</v>
      </c>
      <c r="BN205" s="6">
        <f t="shared" si="31"/>
        <v>-1.152744279584017</v>
      </c>
    </row>
    <row r="206" spans="31:66" x14ac:dyDescent="0.3">
      <c r="AE206">
        <f t="shared" si="27"/>
        <v>177</v>
      </c>
      <c r="AF206" t="s">
        <v>77</v>
      </c>
      <c r="AG206" s="13">
        <f t="shared" si="26"/>
        <v>43028</v>
      </c>
      <c r="AH206" s="13">
        <v>43168</v>
      </c>
      <c r="AI206" s="13">
        <v>42888</v>
      </c>
      <c r="AJ206" s="11">
        <v>0.27283965122746373</v>
      </c>
      <c r="AK206" s="11">
        <v>5.5061048759669649E-7</v>
      </c>
      <c r="AL206" s="11">
        <v>9.9716368406544575E-2</v>
      </c>
      <c r="AM206" s="11">
        <v>9.9086054798247808E-2</v>
      </c>
      <c r="AN206" s="11">
        <v>1.4336813329481805E-4</v>
      </c>
      <c r="AO206" s="11">
        <v>0.15691795911970377</v>
      </c>
      <c r="AP206" s="11">
        <v>9.952182240402975E-2</v>
      </c>
      <c r="AQ206" s="11">
        <v>0.16386239909574257</v>
      </c>
      <c r="AR206" s="11">
        <v>4.2029235862099547E-7</v>
      </c>
      <c r="AS206" s="11">
        <v>4.8889177647635416E-2</v>
      </c>
      <c r="AT206" s="11">
        <v>5.9022228264491342E-2</v>
      </c>
      <c r="AU206">
        <v>0.9647515349782716</v>
      </c>
      <c r="AW206">
        <f t="shared" si="30"/>
        <v>0</v>
      </c>
      <c r="AX206">
        <v>203</v>
      </c>
      <c r="AY206" s="4">
        <f t="shared" si="28"/>
        <v>43077</v>
      </c>
      <c r="AZ206" s="6">
        <f t="shared" si="29"/>
        <v>-0.65019869564606481</v>
      </c>
      <c r="BA206" s="4">
        <v>43077</v>
      </c>
      <c r="BB206" s="6">
        <v>0.19261</v>
      </c>
      <c r="BC206" s="6">
        <v>-1.608751</v>
      </c>
      <c r="BD206" s="6">
        <v>-0.99753800000000004</v>
      </c>
      <c r="BE206" s="6">
        <v>-2.6994159999999998</v>
      </c>
      <c r="BF206" s="6">
        <v>-0.37304399999999999</v>
      </c>
      <c r="BG206" s="6">
        <v>1.354365</v>
      </c>
      <c r="BH206" s="6">
        <v>-0.401111</v>
      </c>
      <c r="BI206" s="6">
        <v>-2.5694210000000002</v>
      </c>
      <c r="BJ206" s="6">
        <v>-1.0074730000000001</v>
      </c>
      <c r="BK206" s="6">
        <v>-0.80069400000000002</v>
      </c>
      <c r="BL206" s="4">
        <v>43077</v>
      </c>
      <c r="BM206" s="6">
        <f>VLOOKUP(BL206,Sheet1!$A$2:$E$1114,2,FALSE)</f>
        <v>2.3816866691231731</v>
      </c>
      <c r="BN206" s="6">
        <f t="shared" si="31"/>
        <v>-0.65019869564606481</v>
      </c>
    </row>
    <row r="207" spans="31:66" x14ac:dyDescent="0.3">
      <c r="AE207">
        <f t="shared" si="27"/>
        <v>178</v>
      </c>
      <c r="AF207" t="s">
        <v>77</v>
      </c>
      <c r="AG207" s="13">
        <f t="shared" si="26"/>
        <v>43035</v>
      </c>
      <c r="AH207" s="13">
        <v>43175</v>
      </c>
      <c r="AI207" s="13">
        <v>42895</v>
      </c>
      <c r="AJ207" s="11">
        <v>0.27756386572783892</v>
      </c>
      <c r="AK207" s="11">
        <v>1.2234691895563394E-5</v>
      </c>
      <c r="AL207" s="11">
        <v>8.5276968672217193E-2</v>
      </c>
      <c r="AM207" s="11">
        <v>9.4663535771518301E-2</v>
      </c>
      <c r="AN207" s="11">
        <v>6.7721652167577881E-3</v>
      </c>
      <c r="AO207" s="11">
        <v>0.15745336108421304</v>
      </c>
      <c r="AP207" s="11">
        <v>0.10268406094062768</v>
      </c>
      <c r="AQ207" s="11">
        <v>0.16754761951889999</v>
      </c>
      <c r="AR207" s="11">
        <v>8.5212359784478201E-6</v>
      </c>
      <c r="AS207" s="11">
        <v>5.2636488333008206E-2</v>
      </c>
      <c r="AT207" s="11">
        <v>5.5381178807044885E-2</v>
      </c>
      <c r="AU207">
        <v>0.96477860850183517</v>
      </c>
      <c r="AW207">
        <f t="shared" si="30"/>
        <v>0</v>
      </c>
      <c r="AX207">
        <v>204</v>
      </c>
      <c r="AY207" s="4">
        <f t="shared" si="28"/>
        <v>43084</v>
      </c>
      <c r="AZ207" s="6">
        <f t="shared" si="29"/>
        <v>-0.16099378883498439</v>
      </c>
      <c r="BA207" s="4">
        <v>43084</v>
      </c>
      <c r="BB207" s="6">
        <v>-2.3239519999999998</v>
      </c>
      <c r="BC207" s="6">
        <v>-5.7990000000000003E-3</v>
      </c>
      <c r="BD207" s="6">
        <v>1.411543</v>
      </c>
      <c r="BE207" s="6">
        <v>-0.202121</v>
      </c>
      <c r="BF207" s="6">
        <v>0.200099</v>
      </c>
      <c r="BG207" s="6">
        <v>3.1272280000000001</v>
      </c>
      <c r="BH207" s="6">
        <v>1.2154590000000001</v>
      </c>
      <c r="BI207" s="6">
        <v>-1.1998530000000001</v>
      </c>
      <c r="BJ207" s="6">
        <v>-0.30006899999999997</v>
      </c>
      <c r="BK207" s="6">
        <v>0.109345</v>
      </c>
      <c r="BL207" s="4">
        <v>43084</v>
      </c>
      <c r="BM207" s="6">
        <f>VLOOKUP(BL207,Sheet1!$A$2:$E$1114,2,FALSE)</f>
        <v>2.3778523015163739</v>
      </c>
      <c r="BN207" s="6">
        <f t="shared" si="31"/>
        <v>-0.16099378883498439</v>
      </c>
    </row>
    <row r="208" spans="31:66" x14ac:dyDescent="0.3">
      <c r="AE208">
        <f t="shared" si="27"/>
        <v>179</v>
      </c>
      <c r="AF208" t="s">
        <v>77</v>
      </c>
      <c r="AG208" s="13">
        <f t="shared" si="26"/>
        <v>43042</v>
      </c>
      <c r="AH208" s="13">
        <v>43182</v>
      </c>
      <c r="AI208" s="13">
        <v>42902</v>
      </c>
      <c r="AJ208" s="11">
        <v>0.2782088637319039</v>
      </c>
      <c r="AK208" s="11">
        <v>1.0736364783711826E-5</v>
      </c>
      <c r="AL208" s="11">
        <v>9.0876281163642755E-2</v>
      </c>
      <c r="AM208" s="11">
        <v>9.250568567697616E-2</v>
      </c>
      <c r="AN208" s="11">
        <v>6.0837491609369238E-3</v>
      </c>
      <c r="AO208" s="11">
        <v>0.15396592848294188</v>
      </c>
      <c r="AP208" s="11">
        <v>9.2679720699448895E-2</v>
      </c>
      <c r="AQ208" s="11">
        <v>0.17093285609468536</v>
      </c>
      <c r="AR208" s="11">
        <v>8.1943095035765778E-6</v>
      </c>
      <c r="AS208" s="11">
        <v>5.8521936025642998E-2</v>
      </c>
      <c r="AT208" s="11">
        <v>5.6206048289533857E-2</v>
      </c>
      <c r="AU208">
        <v>0.96762837614469677</v>
      </c>
      <c r="AW208">
        <f t="shared" si="30"/>
        <v>0</v>
      </c>
      <c r="AX208">
        <v>205</v>
      </c>
      <c r="AY208" s="4">
        <f t="shared" si="28"/>
        <v>43091</v>
      </c>
      <c r="AZ208" s="6">
        <f t="shared" si="29"/>
        <v>1.7990047113810803</v>
      </c>
      <c r="BA208" s="4">
        <v>43091</v>
      </c>
      <c r="BB208" s="6">
        <v>1.1467499999999999</v>
      </c>
      <c r="BC208" s="6">
        <v>-0.17899799999999999</v>
      </c>
      <c r="BD208" s="6">
        <v>0.28498600000000002</v>
      </c>
      <c r="BE208" s="6">
        <v>0.33372000000000002</v>
      </c>
      <c r="BF208" s="6">
        <v>-0.73621300000000001</v>
      </c>
      <c r="BG208" s="6">
        <v>3.0821939999999999</v>
      </c>
      <c r="BH208" s="6">
        <v>1.1066739999999999</v>
      </c>
      <c r="BI208" s="6">
        <v>3.5050780000000001</v>
      </c>
      <c r="BJ208" s="6">
        <v>0.28837099999999999</v>
      </c>
      <c r="BK208" s="6">
        <v>0.415184</v>
      </c>
      <c r="BL208" s="4">
        <v>43091</v>
      </c>
      <c r="BM208" s="6">
        <f>VLOOKUP(BL208,Sheet1!$A$2:$E$1114,2,FALSE)</f>
        <v>2.420629976450337</v>
      </c>
      <c r="BN208" s="6">
        <f t="shared" si="31"/>
        <v>1.7990047113810803</v>
      </c>
    </row>
    <row r="209" spans="31:66" x14ac:dyDescent="0.3">
      <c r="AE209">
        <f t="shared" si="27"/>
        <v>180</v>
      </c>
      <c r="AF209" t="s">
        <v>77</v>
      </c>
      <c r="AG209" s="13">
        <f t="shared" si="26"/>
        <v>43049</v>
      </c>
      <c r="AH209" s="13">
        <v>43189</v>
      </c>
      <c r="AI209" s="13">
        <v>42909</v>
      </c>
      <c r="AJ209" s="11">
        <v>0.27947397227945808</v>
      </c>
      <c r="AK209" s="11">
        <v>1.910261568721449E-6</v>
      </c>
      <c r="AL209" s="11">
        <v>4.0338087168682785E-2</v>
      </c>
      <c r="AM209" s="11">
        <v>0.12550664053609378</v>
      </c>
      <c r="AN209" s="11">
        <v>8.9869878494325533E-5</v>
      </c>
      <c r="AO209" s="11">
        <v>0.13713866824667689</v>
      </c>
      <c r="AP209" s="11">
        <v>0.14676404332326695</v>
      </c>
      <c r="AQ209" s="11">
        <v>0.15512347706254376</v>
      </c>
      <c r="AR209" s="11">
        <v>1.2730727876891725E-6</v>
      </c>
      <c r="AS209" s="11">
        <v>7.5719440681564387E-2</v>
      </c>
      <c r="AT209" s="11">
        <v>3.9842617488862551E-2</v>
      </c>
      <c r="AU209">
        <v>0.96606819931477317</v>
      </c>
      <c r="AW209">
        <f t="shared" si="30"/>
        <v>0</v>
      </c>
      <c r="AX209">
        <v>206</v>
      </c>
      <c r="AY209" s="4">
        <f t="shared" si="28"/>
        <v>43098</v>
      </c>
      <c r="AZ209" s="6">
        <f t="shared" si="29"/>
        <v>-0.30924112645348556</v>
      </c>
      <c r="BA209" s="4">
        <v>43098</v>
      </c>
      <c r="BB209" s="6">
        <v>-0.41543400000000003</v>
      </c>
      <c r="BC209" s="6">
        <v>6.6649999999999999E-3</v>
      </c>
      <c r="BD209" s="6">
        <v>0.215866</v>
      </c>
      <c r="BE209" s="6">
        <v>1.5561780000000001</v>
      </c>
      <c r="BF209" s="6">
        <v>-1.984966</v>
      </c>
      <c r="BG209" s="6">
        <v>-0.76702000000000004</v>
      </c>
      <c r="BH209" s="6">
        <v>-0.51004799999999995</v>
      </c>
      <c r="BI209" s="6">
        <v>0.48227700000000001</v>
      </c>
      <c r="BJ209" s="6">
        <v>-1.3979090000000001</v>
      </c>
      <c r="BK209" s="6">
        <v>-2.6182850000000002</v>
      </c>
      <c r="BL209" s="4">
        <v>43098</v>
      </c>
      <c r="BM209" s="6">
        <f>VLOOKUP(BL209,Sheet1!$A$2:$E$1114,2,FALSE)</f>
        <v>2.4131443930438912</v>
      </c>
      <c r="BN209" s="6">
        <f t="shared" si="31"/>
        <v>-0.30924112645348556</v>
      </c>
    </row>
    <row r="210" spans="31:66" x14ac:dyDescent="0.3">
      <c r="AE210">
        <f t="shared" si="27"/>
        <v>181</v>
      </c>
      <c r="AF210" t="s">
        <v>77</v>
      </c>
      <c r="AG210" s="13">
        <f t="shared" si="26"/>
        <v>43055</v>
      </c>
      <c r="AH210" s="13">
        <v>43194</v>
      </c>
      <c r="AI210" s="13">
        <v>42916</v>
      </c>
      <c r="AJ210" s="11">
        <v>0.27669448847229544</v>
      </c>
      <c r="AK210" s="11">
        <v>4.1463936563404311E-7</v>
      </c>
      <c r="AL210" s="11">
        <v>3.6422217944081493E-2</v>
      </c>
      <c r="AM210" s="11">
        <v>0.12554066893148863</v>
      </c>
      <c r="AN210" s="11">
        <v>1.9867678158455134E-4</v>
      </c>
      <c r="AO210" s="11">
        <v>0.13931423605741089</v>
      </c>
      <c r="AP210" s="11">
        <v>0.14840119115677264</v>
      </c>
      <c r="AQ210" s="11">
        <v>0.15698758764986082</v>
      </c>
      <c r="AR210" s="11">
        <v>2.6364980709759571E-7</v>
      </c>
      <c r="AS210" s="11">
        <v>7.5361692957967796E-2</v>
      </c>
      <c r="AT210" s="11">
        <v>4.1078561759365008E-2</v>
      </c>
      <c r="AU210">
        <v>0.96602619756557973</v>
      </c>
      <c r="AW210">
        <f t="shared" si="30"/>
        <v>0</v>
      </c>
      <c r="AX210">
        <v>207</v>
      </c>
      <c r="AY210" s="4">
        <f t="shared" si="28"/>
        <v>43105</v>
      </c>
      <c r="AZ210" s="6">
        <f t="shared" si="29"/>
        <v>1.9275758639155649</v>
      </c>
      <c r="BA210" s="4">
        <v>43105</v>
      </c>
      <c r="BB210" s="6">
        <v>2.8345720000000001</v>
      </c>
      <c r="BC210" s="6">
        <v>2.1710430000000001</v>
      </c>
      <c r="BD210" s="6">
        <v>2.043555</v>
      </c>
      <c r="BE210" s="6">
        <v>3.9075929999999999</v>
      </c>
      <c r="BF210" s="6">
        <v>1.2947439999999999</v>
      </c>
      <c r="BG210" s="6">
        <v>3.3212000000000002</v>
      </c>
      <c r="BH210" s="6">
        <v>1.5071699999999999</v>
      </c>
      <c r="BI210" s="6">
        <v>5.7475639999999997</v>
      </c>
      <c r="BJ210" s="6">
        <v>2.2931349999999999</v>
      </c>
      <c r="BK210" s="6">
        <v>1.5977189999999999</v>
      </c>
      <c r="BL210" s="4">
        <v>43105</v>
      </c>
      <c r="BM210" s="6">
        <f>VLOOKUP(BL210,Sheet1!$A$2:$E$1114,2,FALSE)</f>
        <v>2.4596595819256368</v>
      </c>
      <c r="BN210" s="6">
        <f t="shared" si="31"/>
        <v>1.9275758639155649</v>
      </c>
    </row>
    <row r="211" spans="31:66" x14ac:dyDescent="0.3">
      <c r="AE211">
        <f t="shared" si="27"/>
        <v>182</v>
      </c>
      <c r="AF211" t="s">
        <v>77</v>
      </c>
      <c r="AG211" s="13">
        <f t="shared" si="26"/>
        <v>43063</v>
      </c>
      <c r="AH211" s="13">
        <v>43203</v>
      </c>
      <c r="AI211" s="13">
        <v>42923</v>
      </c>
      <c r="AJ211" s="11">
        <v>0.28061301482959139</v>
      </c>
      <c r="AK211" s="11">
        <v>6.7253560664175962E-6</v>
      </c>
      <c r="AL211" s="11">
        <v>3.6337805591866494E-2</v>
      </c>
      <c r="AM211" s="11">
        <v>0.12411918732286646</v>
      </c>
      <c r="AN211" s="11">
        <v>5.2060617825635935E-3</v>
      </c>
      <c r="AO211" s="11">
        <v>0.13585105110596429</v>
      </c>
      <c r="AP211" s="11">
        <v>0.14385158478706594</v>
      </c>
      <c r="AQ211" s="11">
        <v>0.15684234685850817</v>
      </c>
      <c r="AR211" s="11">
        <v>4.4941996120171049E-6</v>
      </c>
      <c r="AS211" s="11">
        <v>7.4179664936476139E-2</v>
      </c>
      <c r="AT211" s="11">
        <v>4.2988063229419053E-2</v>
      </c>
      <c r="AU211">
        <v>0.96521491984776264</v>
      </c>
      <c r="AW211">
        <f t="shared" si="30"/>
        <v>0</v>
      </c>
      <c r="AX211">
        <v>208</v>
      </c>
      <c r="AY211" s="4">
        <f t="shared" si="28"/>
        <v>43112</v>
      </c>
      <c r="AZ211" s="6">
        <f t="shared" si="29"/>
        <v>0.75219286455103784</v>
      </c>
      <c r="BA211" s="4">
        <v>43112</v>
      </c>
      <c r="BB211" s="6">
        <v>2.403203</v>
      </c>
      <c r="BC211" s="6">
        <v>-1.422048</v>
      </c>
      <c r="BD211" s="6">
        <v>1.639151</v>
      </c>
      <c r="BE211" s="6">
        <v>-0.64439000000000002</v>
      </c>
      <c r="BF211" s="6">
        <v>0.56211299999999997</v>
      </c>
      <c r="BG211" s="6">
        <v>3.4922309999999999</v>
      </c>
      <c r="BH211" s="6">
        <v>1.1345000000000001</v>
      </c>
      <c r="BI211" s="6">
        <v>0.66651899999999997</v>
      </c>
      <c r="BJ211" s="6">
        <v>-0.62655499999999997</v>
      </c>
      <c r="BK211" s="6">
        <v>-2.5154049999999999</v>
      </c>
      <c r="BL211" s="4">
        <v>43112</v>
      </c>
      <c r="BM211" s="6">
        <f>VLOOKUP(BL211,Sheet1!$A$2:$E$1114,2,FALSE)</f>
        <v>2.4781609657931272</v>
      </c>
      <c r="BN211" s="6">
        <f t="shared" si="31"/>
        <v>0.75219286455103784</v>
      </c>
    </row>
    <row r="212" spans="31:66" x14ac:dyDescent="0.3">
      <c r="AE212">
        <f t="shared" si="27"/>
        <v>183</v>
      </c>
      <c r="AF212" t="s">
        <v>77</v>
      </c>
      <c r="AG212" s="13">
        <f t="shared" si="26"/>
        <v>43070</v>
      </c>
      <c r="AH212" s="13">
        <v>43210</v>
      </c>
      <c r="AI212" s="13">
        <v>42930</v>
      </c>
      <c r="AJ212" s="11">
        <v>0.27970190545424362</v>
      </c>
      <c r="AK212" s="11">
        <v>1.7527420769018945E-5</v>
      </c>
      <c r="AL212" s="11">
        <v>3.1902884933593043E-2</v>
      </c>
      <c r="AM212" s="11">
        <v>0.12259459750005573</v>
      </c>
      <c r="AN212" s="11">
        <v>1.0442142903513479E-2</v>
      </c>
      <c r="AO212" s="11">
        <v>0.13864463238188141</v>
      </c>
      <c r="AP212" s="11">
        <v>0.14035371044380945</v>
      </c>
      <c r="AQ212" s="11">
        <v>0.15892698903042457</v>
      </c>
      <c r="AR212" s="11">
        <v>1.122018395307514E-5</v>
      </c>
      <c r="AS212" s="11">
        <v>7.1700770888473681E-2</v>
      </c>
      <c r="AT212" s="11">
        <v>4.5703618859282938E-2</v>
      </c>
      <c r="AU212">
        <v>0.96622548014214271</v>
      </c>
      <c r="AW212">
        <f t="shared" si="30"/>
        <v>0</v>
      </c>
      <c r="AX212">
        <v>209</v>
      </c>
      <c r="AY212" s="4">
        <f t="shared" si="28"/>
        <v>43119</v>
      </c>
      <c r="AZ212" s="6">
        <f t="shared" si="29"/>
        <v>0.4555109217909914</v>
      </c>
      <c r="BA212" s="4">
        <v>43119</v>
      </c>
      <c r="BB212" s="6">
        <v>5.4654850000000001</v>
      </c>
      <c r="BC212" s="6">
        <v>-1.3420270000000001</v>
      </c>
      <c r="BD212" s="6">
        <v>-2.0045380000000002</v>
      </c>
      <c r="BE212" s="6">
        <v>-1.5032810000000001</v>
      </c>
      <c r="BF212" s="6">
        <v>-3.7696559999999999</v>
      </c>
      <c r="BG212" s="6">
        <v>-2.087561</v>
      </c>
      <c r="BH212" s="6">
        <v>-1.6031489999999999</v>
      </c>
      <c r="BI212" s="6">
        <v>-1.0902940000000001</v>
      </c>
      <c r="BJ212" s="6">
        <v>-0.70838800000000002</v>
      </c>
      <c r="BK212" s="6">
        <v>-2.5706199999999999</v>
      </c>
      <c r="BL212" s="4">
        <v>43119</v>
      </c>
      <c r="BM212" s="6">
        <f>VLOOKUP(BL212,Sheet1!$A$2:$E$1114,2,FALSE)</f>
        <v>2.489449259651876</v>
      </c>
      <c r="BN212" s="6">
        <f t="shared" si="31"/>
        <v>0.4555109217909914</v>
      </c>
    </row>
    <row r="213" spans="31:66" x14ac:dyDescent="0.3">
      <c r="AE213">
        <f t="shared" si="27"/>
        <v>184</v>
      </c>
      <c r="AF213" t="s">
        <v>77</v>
      </c>
      <c r="AG213" s="13">
        <f t="shared" si="26"/>
        <v>43077</v>
      </c>
      <c r="AH213" s="13">
        <v>43217</v>
      </c>
      <c r="AI213" s="13">
        <v>42937</v>
      </c>
      <c r="AJ213" s="11">
        <v>0.26829206844634579</v>
      </c>
      <c r="AK213" s="11">
        <v>1.58783223458945E-5</v>
      </c>
      <c r="AL213" s="11">
        <v>3.7466354578978615E-2</v>
      </c>
      <c r="AM213" s="11">
        <v>0.1124207338818221</v>
      </c>
      <c r="AN213" s="11">
        <v>7.7126908651370353E-3</v>
      </c>
      <c r="AO213" s="11">
        <v>0.13363965853536386</v>
      </c>
      <c r="AP213" s="11">
        <v>0.14911345028331427</v>
      </c>
      <c r="AQ213" s="11">
        <v>0.17188620078429506</v>
      </c>
      <c r="AR213" s="11">
        <v>1.0658639251118746E-5</v>
      </c>
      <c r="AS213" s="11">
        <v>7.4721118873684808E-2</v>
      </c>
      <c r="AT213" s="11">
        <v>4.4721186789461485E-2</v>
      </c>
      <c r="AU213">
        <v>0.96676240077601561</v>
      </c>
      <c r="AW213">
        <f t="shared" si="30"/>
        <v>0</v>
      </c>
      <c r="AX213">
        <v>210</v>
      </c>
      <c r="AY213" s="4">
        <f t="shared" si="28"/>
        <v>43126</v>
      </c>
      <c r="AZ213" s="6">
        <f t="shared" si="29"/>
        <v>1.8740516255091766</v>
      </c>
      <c r="BA213" s="4">
        <v>43126</v>
      </c>
      <c r="BB213" s="6">
        <v>1.423662</v>
      </c>
      <c r="BC213" s="6">
        <v>1.812746</v>
      </c>
      <c r="BD213" s="6">
        <v>3.7640630000000002</v>
      </c>
      <c r="BE213" s="6">
        <v>1.7217180000000001</v>
      </c>
      <c r="BF213" s="6">
        <v>2.4494020000000001</v>
      </c>
      <c r="BG213" s="6">
        <v>1.9974179999999999</v>
      </c>
      <c r="BH213" s="6">
        <v>1.13171</v>
      </c>
      <c r="BI213" s="6">
        <v>2.9099689999999998</v>
      </c>
      <c r="BJ213" s="6">
        <v>0.86375400000000002</v>
      </c>
      <c r="BK213" s="6">
        <v>-0.75268800000000002</v>
      </c>
      <c r="BL213" s="4">
        <v>43126</v>
      </c>
      <c r="BM213" s="6">
        <f>VLOOKUP(BL213,Sheet1!$A$2:$E$1114,2,FALSE)</f>
        <v>2.5361028239686081</v>
      </c>
      <c r="BN213" s="6">
        <f t="shared" si="31"/>
        <v>1.8740516255091766</v>
      </c>
    </row>
    <row r="214" spans="31:66" x14ac:dyDescent="0.3">
      <c r="AE214">
        <f t="shared" si="27"/>
        <v>185</v>
      </c>
      <c r="AF214" t="s">
        <v>77</v>
      </c>
      <c r="AG214" s="13">
        <f t="shared" si="26"/>
        <v>43084</v>
      </c>
      <c r="AH214" s="13">
        <v>43224</v>
      </c>
      <c r="AI214" s="13">
        <v>42944</v>
      </c>
      <c r="AJ214" s="11">
        <v>0.26578526361641708</v>
      </c>
      <c r="AK214" s="11">
        <v>5.2395729938428236E-6</v>
      </c>
      <c r="AL214" s="11">
        <v>3.5507594624316539E-2</v>
      </c>
      <c r="AM214" s="11">
        <v>0.11744907796963931</v>
      </c>
      <c r="AN214" s="11">
        <v>3.1962258865974387E-3</v>
      </c>
      <c r="AO214" s="11">
        <v>0.13591307778144179</v>
      </c>
      <c r="AP214" s="11">
        <v>0.15400118722024381</v>
      </c>
      <c r="AQ214" s="11">
        <v>0.17083377082436846</v>
      </c>
      <c r="AR214" s="11">
        <v>3.8395809335828711E-6</v>
      </c>
      <c r="AS214" s="11">
        <v>7.4514604886986774E-2</v>
      </c>
      <c r="AT214" s="11">
        <v>4.2790118036061295E-2</v>
      </c>
      <c r="AU214">
        <v>0.96655541483052976</v>
      </c>
      <c r="AW214">
        <f t="shared" si="30"/>
        <v>0</v>
      </c>
      <c r="AX214">
        <v>211</v>
      </c>
      <c r="AY214" s="4">
        <f t="shared" si="28"/>
        <v>43133</v>
      </c>
      <c r="AZ214" s="6">
        <f t="shared" si="29"/>
        <v>-1.6649655496569715</v>
      </c>
      <c r="BA214" s="4">
        <v>43133</v>
      </c>
      <c r="BB214" s="6">
        <v>-2.1280230000000002</v>
      </c>
      <c r="BC214" s="6">
        <v>-6.582001</v>
      </c>
      <c r="BD214" s="6">
        <v>-5.0813189999999997</v>
      </c>
      <c r="BE214" s="6">
        <v>-3.0725500000000001</v>
      </c>
      <c r="BF214" s="6">
        <v>-8.2026529999999998</v>
      </c>
      <c r="BG214" s="6">
        <v>-5.681711</v>
      </c>
      <c r="BH214" s="6">
        <v>-5.3479460000000003</v>
      </c>
      <c r="BI214" s="6">
        <v>1.472361</v>
      </c>
      <c r="BJ214" s="6">
        <v>-4.4091680000000002</v>
      </c>
      <c r="BK214" s="6">
        <v>-8.1506310000000006</v>
      </c>
      <c r="BL214" s="4">
        <v>43133</v>
      </c>
      <c r="BM214" s="6">
        <f>VLOOKUP(BL214,Sheet1!$A$2:$E$1114,2,FALSE)</f>
        <v>2.4938775856456532</v>
      </c>
      <c r="BN214" s="6">
        <f t="shared" si="31"/>
        <v>-1.6649655496569715</v>
      </c>
    </row>
    <row r="215" spans="31:66" x14ac:dyDescent="0.3">
      <c r="AE215">
        <f t="shared" si="27"/>
        <v>186</v>
      </c>
      <c r="AF215" t="s">
        <v>77</v>
      </c>
      <c r="AG215" s="13">
        <f t="shared" si="26"/>
        <v>43091</v>
      </c>
      <c r="AH215" s="13">
        <v>43231</v>
      </c>
      <c r="AI215" s="13">
        <v>42951</v>
      </c>
      <c r="AJ215" s="11">
        <v>0.27610173676240435</v>
      </c>
      <c r="AK215" s="11">
        <v>3.7139400759386598E-5</v>
      </c>
      <c r="AL215" s="11">
        <v>2.8480859016248108E-2</v>
      </c>
      <c r="AM215" s="11">
        <v>0.12077752815729992</v>
      </c>
      <c r="AN215" s="11">
        <v>1.4833961403475241E-2</v>
      </c>
      <c r="AO215" s="11">
        <v>0.12231000103202343</v>
      </c>
      <c r="AP215" s="11">
        <v>0.1504624073079173</v>
      </c>
      <c r="AQ215" s="11">
        <v>0.15654362991291787</v>
      </c>
      <c r="AR215" s="11">
        <v>3.1527231184278059E-5</v>
      </c>
      <c r="AS215" s="11">
        <v>7.4460000342377361E-2</v>
      </c>
      <c r="AT215" s="11">
        <v>5.5961209433392792E-2</v>
      </c>
      <c r="AU215">
        <v>0.96165959124135814</v>
      </c>
      <c r="AW215">
        <f t="shared" si="30"/>
        <v>0</v>
      </c>
      <c r="AX215">
        <v>212</v>
      </c>
      <c r="AY215" s="4">
        <f t="shared" si="28"/>
        <v>43140</v>
      </c>
      <c r="AZ215" s="6">
        <f t="shared" si="29"/>
        <v>-9.2855520462653658</v>
      </c>
      <c r="BA215" s="4">
        <v>43140</v>
      </c>
      <c r="BB215" s="6">
        <v>-11.180287999999999</v>
      </c>
      <c r="BC215" s="6">
        <v>-7.8970779999999996</v>
      </c>
      <c r="BD215" s="6">
        <v>-7.6207209999999996</v>
      </c>
      <c r="BE215" s="6">
        <v>-9.3151989999999998</v>
      </c>
      <c r="BF215" s="6">
        <v>-6.0738050000000001</v>
      </c>
      <c r="BG215" s="6">
        <v>-8.6890739999999997</v>
      </c>
      <c r="BH215" s="6">
        <v>-6.7881710000000002</v>
      </c>
      <c r="BI215" s="6">
        <v>-13.242153</v>
      </c>
      <c r="BJ215" s="6">
        <v>-5.824122</v>
      </c>
      <c r="BK215" s="6">
        <v>-5.1265409999999996</v>
      </c>
      <c r="BL215" s="4">
        <v>43140</v>
      </c>
      <c r="BM215" s="6">
        <f>VLOOKUP(BL215,Sheet1!$A$2:$E$1114,2,FALSE)</f>
        <v>2.26230728446038</v>
      </c>
      <c r="BN215" s="6">
        <f t="shared" si="31"/>
        <v>-9.2855520462653658</v>
      </c>
    </row>
    <row r="216" spans="31:66" x14ac:dyDescent="0.3">
      <c r="AE216">
        <f t="shared" si="27"/>
        <v>187</v>
      </c>
      <c r="AF216" t="s">
        <v>77</v>
      </c>
      <c r="AG216" s="13">
        <f t="shared" si="26"/>
        <v>43098</v>
      </c>
      <c r="AH216" s="13">
        <v>43238</v>
      </c>
      <c r="AI216" s="13">
        <v>42958</v>
      </c>
      <c r="AJ216" s="11">
        <v>0.29728986006155028</v>
      </c>
      <c r="AK216" s="11">
        <v>9.4742772623223062E-6</v>
      </c>
      <c r="AL216" s="11">
        <v>1.0547018541349755E-2</v>
      </c>
      <c r="AM216" s="11">
        <v>0.16987207748547828</v>
      </c>
      <c r="AN216" s="11">
        <v>1.757876970660863E-2</v>
      </c>
      <c r="AO216" s="11">
        <v>0.12643971680223029</v>
      </c>
      <c r="AP216" s="11">
        <v>0.13392184744068225</v>
      </c>
      <c r="AQ216" s="11">
        <v>0.11198088346086214</v>
      </c>
      <c r="AR216" s="11">
        <v>6.8259818941733336E-6</v>
      </c>
      <c r="AS216" s="11">
        <v>7.2134925630452748E-2</v>
      </c>
      <c r="AT216" s="11">
        <v>6.0218600611629196E-2</v>
      </c>
      <c r="AU216">
        <v>0.95873285535827213</v>
      </c>
      <c r="AW216">
        <f t="shared" si="30"/>
        <v>0</v>
      </c>
      <c r="AX216">
        <v>213</v>
      </c>
      <c r="AY216" s="4">
        <f t="shared" si="28"/>
        <v>43145</v>
      </c>
      <c r="AZ216" s="6">
        <f t="shared" si="29"/>
        <v>3.5856239737471318</v>
      </c>
      <c r="BA216" s="4">
        <v>43145</v>
      </c>
      <c r="BB216" s="6">
        <v>1.998605</v>
      </c>
      <c r="BC216" s="6">
        <v>2.4893730000000001</v>
      </c>
      <c r="BD216" s="6">
        <v>4.4124840000000001</v>
      </c>
      <c r="BE216" s="6">
        <v>4.4607929999999998</v>
      </c>
      <c r="BF216" s="6">
        <v>3.537131</v>
      </c>
      <c r="BG216" s="6">
        <v>4.2778790000000004</v>
      </c>
      <c r="BH216" s="6">
        <v>4.0821350000000001</v>
      </c>
      <c r="BI216" s="6">
        <v>1.570163</v>
      </c>
      <c r="BJ216" s="6">
        <v>1.2179679999999999</v>
      </c>
      <c r="BK216" s="6">
        <v>3.6133259999999998</v>
      </c>
      <c r="BL216" s="4">
        <v>43145</v>
      </c>
      <c r="BM216" s="6">
        <f>VLOOKUP(BL216,Sheet1!$A$2:$E$1114,2,FALSE)</f>
        <v>2.3434251168118192</v>
      </c>
      <c r="BN216" s="6">
        <f t="shared" si="31"/>
        <v>3.5856239737471318</v>
      </c>
    </row>
    <row r="217" spans="31:66" x14ac:dyDescent="0.3">
      <c r="AE217">
        <f t="shared" si="27"/>
        <v>188</v>
      </c>
      <c r="AF217" t="s">
        <v>77</v>
      </c>
      <c r="AG217" s="13">
        <f t="shared" si="26"/>
        <v>43105</v>
      </c>
      <c r="AH217" s="13">
        <v>43245</v>
      </c>
      <c r="AI217" s="13">
        <v>42965</v>
      </c>
      <c r="AJ217" s="11">
        <v>0.29139363046808037</v>
      </c>
      <c r="AK217" s="11">
        <v>7.2330361707901739E-6</v>
      </c>
      <c r="AL217" s="11">
        <v>8.2536589380151903E-3</v>
      </c>
      <c r="AM217" s="11">
        <v>0.17443987099682554</v>
      </c>
      <c r="AN217" s="11">
        <v>5.8397953526667986E-3</v>
      </c>
      <c r="AO217" s="11">
        <v>0.12781426228559262</v>
      </c>
      <c r="AP217" s="11">
        <v>0.14882308310031672</v>
      </c>
      <c r="AQ217" s="11">
        <v>0.10693469278227911</v>
      </c>
      <c r="AR217" s="11">
        <v>6.148455714855016E-6</v>
      </c>
      <c r="AS217" s="11">
        <v>7.6719298979924286E-2</v>
      </c>
      <c r="AT217" s="11">
        <v>5.9768325604413718E-2</v>
      </c>
      <c r="AU217">
        <v>0.95867260726685666</v>
      </c>
      <c r="AW217">
        <f t="shared" si="30"/>
        <v>0</v>
      </c>
      <c r="AX217">
        <v>214</v>
      </c>
      <c r="AY217" s="4">
        <f t="shared" si="28"/>
        <v>43154</v>
      </c>
      <c r="AZ217" s="6">
        <f t="shared" si="29"/>
        <v>2.7982740048992927</v>
      </c>
      <c r="BA217" s="4">
        <v>43154</v>
      </c>
      <c r="BB217" s="6">
        <v>2.7415340000000001</v>
      </c>
      <c r="BC217" s="6">
        <v>2.3673799999999998</v>
      </c>
      <c r="BD217" s="6">
        <v>1.5318480000000001</v>
      </c>
      <c r="BE217" s="6">
        <v>3.4204089999999998</v>
      </c>
      <c r="BF217" s="6">
        <v>2.1184799999999999</v>
      </c>
      <c r="BG217" s="6">
        <v>2.5880519999999998</v>
      </c>
      <c r="BH217" s="6">
        <v>1.640207</v>
      </c>
      <c r="BI217" s="6">
        <v>3.5392800000000002</v>
      </c>
      <c r="BJ217" s="6">
        <v>1.7348460000000001</v>
      </c>
      <c r="BK217" s="6">
        <v>1.959157</v>
      </c>
      <c r="BL217" s="4">
        <v>43154</v>
      </c>
      <c r="BM217" s="6">
        <f>VLOOKUP(BL217,Sheet1!$A$2:$E$1114,2,FALSE)</f>
        <v>2.4090005726798451</v>
      </c>
      <c r="BN217" s="6">
        <f t="shared" si="31"/>
        <v>2.7982740048992927</v>
      </c>
    </row>
    <row r="218" spans="31:66" x14ac:dyDescent="0.3">
      <c r="AE218">
        <f t="shared" si="27"/>
        <v>189</v>
      </c>
      <c r="AF218" t="s">
        <v>77</v>
      </c>
      <c r="AG218" s="13">
        <f t="shared" si="26"/>
        <v>43112</v>
      </c>
      <c r="AH218" s="13">
        <v>43252</v>
      </c>
      <c r="AI218" s="13">
        <v>42972</v>
      </c>
      <c r="AJ218" s="11">
        <v>0.28216435917159988</v>
      </c>
      <c r="AK218" s="11">
        <v>1.9403828617314422E-5</v>
      </c>
      <c r="AL218" s="11">
        <v>2.4528904456004773E-2</v>
      </c>
      <c r="AM218" s="11">
        <v>0.17117813885221903</v>
      </c>
      <c r="AN218" s="11">
        <v>8.6681777373882353E-5</v>
      </c>
      <c r="AO218" s="11">
        <v>0.13979848166781061</v>
      </c>
      <c r="AP218" s="11">
        <v>0.13508070819957249</v>
      </c>
      <c r="AQ218" s="11">
        <v>0.10497008518854413</v>
      </c>
      <c r="AR218" s="11">
        <v>1.8944786735918546E-5</v>
      </c>
      <c r="AS218" s="11">
        <v>7.1492134818880726E-2</v>
      </c>
      <c r="AT218" s="11">
        <v>7.0662157252641314E-2</v>
      </c>
      <c r="AU218">
        <v>0.95843769521111855</v>
      </c>
      <c r="AW218">
        <f t="shared" si="30"/>
        <v>0</v>
      </c>
      <c r="AX218">
        <v>215</v>
      </c>
      <c r="AY218" s="4">
        <f t="shared" si="28"/>
        <v>43161</v>
      </c>
      <c r="AZ218" s="6">
        <f t="shared" si="29"/>
        <v>-0.95576098940530763</v>
      </c>
      <c r="BA218" s="4">
        <v>43161</v>
      </c>
      <c r="BB218" s="6">
        <v>-2.9373710000000002</v>
      </c>
      <c r="BC218" s="6">
        <v>2.5154999999999998</v>
      </c>
      <c r="BD218" s="6">
        <v>1.0883860000000001</v>
      </c>
      <c r="BE218" s="6">
        <v>0.20099800000000001</v>
      </c>
      <c r="BF218" s="6">
        <v>7.2152050000000001</v>
      </c>
      <c r="BG218" s="6">
        <v>-2.1405539999999998</v>
      </c>
      <c r="BH218" s="6">
        <v>2.0380319999999998</v>
      </c>
      <c r="BI218" s="6">
        <v>-3.2287159999999999</v>
      </c>
      <c r="BJ218" s="6">
        <v>2.2137790000000002</v>
      </c>
      <c r="BK218" s="6">
        <v>5.3664680000000002</v>
      </c>
      <c r="BL218" s="4">
        <v>43161</v>
      </c>
      <c r="BM218" s="6">
        <f>VLOOKUP(BL218,Sheet1!$A$2:$E$1114,2,FALSE)</f>
        <v>2.3859762849716208</v>
      </c>
      <c r="BN218" s="6">
        <f t="shared" si="31"/>
        <v>-0.95576098940530763</v>
      </c>
    </row>
    <row r="219" spans="31:66" x14ac:dyDescent="0.3">
      <c r="AE219">
        <f t="shared" si="27"/>
        <v>190</v>
      </c>
      <c r="AF219" t="s">
        <v>77</v>
      </c>
      <c r="AG219" s="13">
        <f t="shared" si="26"/>
        <v>43119</v>
      </c>
      <c r="AH219" s="13">
        <v>43259</v>
      </c>
      <c r="AI219" s="13">
        <v>42979</v>
      </c>
      <c r="AJ219" s="11">
        <v>0.28285752940690534</v>
      </c>
      <c r="AK219" s="11">
        <v>2.6522889378360596E-6</v>
      </c>
      <c r="AL219" s="11">
        <v>8.3394474886463291E-5</v>
      </c>
      <c r="AM219" s="11">
        <v>0.20406364362976276</v>
      </c>
      <c r="AN219" s="11">
        <v>1.7752672048880581E-5</v>
      </c>
      <c r="AO219" s="11">
        <v>0.15238182415241447</v>
      </c>
      <c r="AP219" s="11">
        <v>0.14477264577382454</v>
      </c>
      <c r="AQ219" s="11">
        <v>8.2234995373446793E-2</v>
      </c>
      <c r="AR219" s="11">
        <v>2.5351371146056758E-6</v>
      </c>
      <c r="AS219" s="11">
        <v>6.4764003369980075E-2</v>
      </c>
      <c r="AT219" s="11">
        <v>6.8819023720678205E-2</v>
      </c>
      <c r="AU219">
        <v>0.95268535534759624</v>
      </c>
      <c r="AW219">
        <f t="shared" si="30"/>
        <v>0</v>
      </c>
      <c r="AX219">
        <v>216</v>
      </c>
      <c r="AY219" s="4">
        <f t="shared" si="28"/>
        <v>43168</v>
      </c>
      <c r="AZ219" s="6">
        <f t="shared" si="29"/>
        <v>1.7128952018857113</v>
      </c>
      <c r="BA219" s="4">
        <v>43168</v>
      </c>
      <c r="BB219" s="6">
        <v>2.2039369999999998</v>
      </c>
      <c r="BC219" s="6">
        <v>2.3251580000000001</v>
      </c>
      <c r="BD219" s="6">
        <v>2.5544419999999999</v>
      </c>
      <c r="BE219" s="6">
        <v>0.41908299999999998</v>
      </c>
      <c r="BF219" s="6">
        <v>5.0124129999999996</v>
      </c>
      <c r="BG219" s="6">
        <v>1.3280559999999999</v>
      </c>
      <c r="BH219" s="6">
        <v>5.8892300000000004</v>
      </c>
      <c r="BI219" s="6">
        <v>0.35692499999999999</v>
      </c>
      <c r="BJ219" s="6">
        <v>3.0916410000000001</v>
      </c>
      <c r="BK219" s="6">
        <v>3.1463809999999999</v>
      </c>
      <c r="BL219" s="4">
        <v>43168</v>
      </c>
      <c r="BM219" s="6">
        <f>VLOOKUP(BL219,Sheet1!$A$2:$E$1114,2,FALSE)</f>
        <v>2.4268455582750308</v>
      </c>
      <c r="BN219" s="6">
        <f t="shared" si="31"/>
        <v>1.7128952018857113</v>
      </c>
    </row>
    <row r="220" spans="31:66" x14ac:dyDescent="0.3">
      <c r="AE220">
        <f t="shared" si="27"/>
        <v>191</v>
      </c>
      <c r="AF220" t="s">
        <v>77</v>
      </c>
      <c r="AG220" s="13">
        <f t="shared" si="26"/>
        <v>43126</v>
      </c>
      <c r="AH220" s="13">
        <v>43266</v>
      </c>
      <c r="AI220" s="13">
        <v>42986</v>
      </c>
      <c r="AJ220" s="11">
        <v>0.2940912987132519</v>
      </c>
      <c r="AK220" s="11">
        <v>9.5193717488445252E-6</v>
      </c>
      <c r="AL220" s="11">
        <v>1.624496054767699E-2</v>
      </c>
      <c r="AM220" s="11">
        <v>0.20491238587746263</v>
      </c>
      <c r="AN220" s="11">
        <v>7.865864401176122E-3</v>
      </c>
      <c r="AO220" s="11">
        <v>0.14495439230741489</v>
      </c>
      <c r="AP220" s="11">
        <v>0.13453726958780396</v>
      </c>
      <c r="AQ220" s="11">
        <v>7.6808662598930363E-2</v>
      </c>
      <c r="AR220" s="11">
        <v>1.1498052189087017E-5</v>
      </c>
      <c r="AS220" s="11">
        <v>4.4592637853103412E-2</v>
      </c>
      <c r="AT220" s="11">
        <v>7.5971510689241725E-2</v>
      </c>
      <c r="AU220">
        <v>0.94940816819268314</v>
      </c>
      <c r="AW220">
        <f t="shared" si="30"/>
        <v>0</v>
      </c>
      <c r="AX220">
        <v>217</v>
      </c>
      <c r="AY220" s="4">
        <f t="shared" si="28"/>
        <v>43175</v>
      </c>
      <c r="AZ220" s="6">
        <f t="shared" si="29"/>
        <v>-1.3466017651091455</v>
      </c>
      <c r="BA220" s="4">
        <v>43175</v>
      </c>
      <c r="BB220" s="6">
        <v>-2.0011489999999998</v>
      </c>
      <c r="BC220" s="6">
        <v>-1.02233</v>
      </c>
      <c r="BD220" s="6">
        <v>-0.269872</v>
      </c>
      <c r="BE220" s="6">
        <v>0.60247600000000001</v>
      </c>
      <c r="BF220" s="6">
        <v>-2.0098600000000002</v>
      </c>
      <c r="BG220" s="6">
        <v>-0.23940900000000001</v>
      </c>
      <c r="BH220" s="6">
        <v>-1.27081</v>
      </c>
      <c r="BI220" s="6">
        <v>-0.66173700000000002</v>
      </c>
      <c r="BJ220" s="6">
        <v>-1.2828919999999999</v>
      </c>
      <c r="BK220" s="6">
        <v>-2.4874800000000001</v>
      </c>
      <c r="BL220" s="4">
        <v>43175</v>
      </c>
      <c r="BM220" s="6">
        <f>VLOOKUP(BL220,Sheet1!$A$2:$E$1114,2,FALSE)</f>
        <v>2.3941656131508262</v>
      </c>
      <c r="BN220" s="6">
        <f t="shared" si="31"/>
        <v>-1.3466017651091455</v>
      </c>
    </row>
    <row r="221" spans="31:66" x14ac:dyDescent="0.3">
      <c r="AE221">
        <f t="shared" si="27"/>
        <v>192</v>
      </c>
      <c r="AF221" t="s">
        <v>77</v>
      </c>
      <c r="AG221" s="13">
        <f t="shared" si="26"/>
        <v>43133</v>
      </c>
      <c r="AH221" s="13">
        <v>43273</v>
      </c>
      <c r="AI221" s="13">
        <v>42993</v>
      </c>
      <c r="AJ221" s="11">
        <v>0.28810021116359408</v>
      </c>
      <c r="AK221" s="11">
        <v>9.3867323014006801E-7</v>
      </c>
      <c r="AL221" s="11">
        <v>2.0223698324524454E-2</v>
      </c>
      <c r="AM221" s="11">
        <v>0.20408551315113763</v>
      </c>
      <c r="AN221" s="11">
        <v>9.1978904766119683E-5</v>
      </c>
      <c r="AO221" s="11">
        <v>0.14049952086712661</v>
      </c>
      <c r="AP221" s="11">
        <v>0.15463126279878031</v>
      </c>
      <c r="AQ221" s="11">
        <v>7.7911068955573856E-2</v>
      </c>
      <c r="AR221" s="11">
        <v>8.9369239347193187E-7</v>
      </c>
      <c r="AS221" s="11">
        <v>3.2664325830638961E-2</v>
      </c>
      <c r="AT221" s="11">
        <v>8.1790587638234352E-2</v>
      </c>
      <c r="AU221">
        <v>0.95079712209943812</v>
      </c>
      <c r="AW221">
        <f t="shared" si="30"/>
        <v>0</v>
      </c>
      <c r="AX221">
        <v>218</v>
      </c>
      <c r="AY221" s="4">
        <f t="shared" si="28"/>
        <v>43182</v>
      </c>
      <c r="AZ221" s="6">
        <f t="shared" si="29"/>
        <v>-4.2329488961620365</v>
      </c>
      <c r="BA221" s="4">
        <v>43182</v>
      </c>
      <c r="BB221" s="6">
        <v>-3.4717090000000002</v>
      </c>
      <c r="BC221" s="6">
        <v>-4.6498910000000002</v>
      </c>
      <c r="BD221" s="6">
        <v>-5.7312289999999999</v>
      </c>
      <c r="BE221" s="6">
        <v>-6.9491199999999997</v>
      </c>
      <c r="BF221" s="6">
        <v>-6.1411819999999997</v>
      </c>
      <c r="BG221" s="6">
        <v>-3.8051089999999999</v>
      </c>
      <c r="BH221" s="6">
        <v>-0.99403200000000003</v>
      </c>
      <c r="BI221" s="6">
        <v>-4.3944369999999999</v>
      </c>
      <c r="BJ221" s="6">
        <v>-3.5224799999999998</v>
      </c>
      <c r="BK221" s="6">
        <v>-7.7586510000000004</v>
      </c>
      <c r="BL221" s="4">
        <v>43182</v>
      </c>
      <c r="BM221" s="6">
        <f>VLOOKUP(BL221,Sheet1!$A$2:$E$1114,2,FALSE)</f>
        <v>2.2928218062566672</v>
      </c>
      <c r="BN221" s="6">
        <f t="shared" si="31"/>
        <v>-4.2329488961620365</v>
      </c>
    </row>
    <row r="222" spans="31:66" x14ac:dyDescent="0.3">
      <c r="AE222">
        <f t="shared" si="27"/>
        <v>193</v>
      </c>
      <c r="AF222" t="s">
        <v>77</v>
      </c>
      <c r="AG222" s="13">
        <f t="shared" si="26"/>
        <v>43140</v>
      </c>
      <c r="AH222" s="13">
        <v>43280</v>
      </c>
      <c r="AI222" s="13">
        <v>43000</v>
      </c>
      <c r="AJ222" s="11">
        <v>0.28762013656417262</v>
      </c>
      <c r="AK222" s="11">
        <v>4.4196620773254256E-7</v>
      </c>
      <c r="AL222" s="11">
        <v>1.9550643168205484E-2</v>
      </c>
      <c r="AM222" s="11">
        <v>0.20202431891996561</v>
      </c>
      <c r="AN222" s="11">
        <v>4.1408564494299481E-4</v>
      </c>
      <c r="AO222" s="11">
        <v>0.13920894701221323</v>
      </c>
      <c r="AP222" s="11">
        <v>0.15566556034199497</v>
      </c>
      <c r="AQ222" s="11">
        <v>8.0623233186184098E-2</v>
      </c>
      <c r="AR222" s="11">
        <v>4.310024956456131E-7</v>
      </c>
      <c r="AS222" s="11">
        <v>3.3005636528928579E-2</v>
      </c>
      <c r="AT222" s="11">
        <v>8.1886565664689021E-2</v>
      </c>
      <c r="AU222">
        <v>0.9514293527496116</v>
      </c>
      <c r="AW222">
        <f t="shared" si="30"/>
        <v>0</v>
      </c>
      <c r="AX222">
        <v>219</v>
      </c>
      <c r="AY222" s="4">
        <f t="shared" si="28"/>
        <v>43189</v>
      </c>
      <c r="AZ222" s="6">
        <f t="shared" si="29"/>
        <v>2.0119357500103741</v>
      </c>
      <c r="BA222" s="4">
        <v>43189</v>
      </c>
      <c r="BB222" s="6">
        <v>-0.61900299999999997</v>
      </c>
      <c r="BC222" s="6">
        <v>3.8372130000000002</v>
      </c>
      <c r="BD222" s="6">
        <v>0.94970500000000002</v>
      </c>
      <c r="BE222" s="6">
        <v>3.353345</v>
      </c>
      <c r="BF222" s="6">
        <v>8.9524500000000007</v>
      </c>
      <c r="BG222" s="6">
        <v>-0.95283200000000001</v>
      </c>
      <c r="BH222" s="6">
        <v>5.8332119999999996</v>
      </c>
      <c r="BI222" s="6">
        <v>-0.29970000000000002</v>
      </c>
      <c r="BJ222" s="6">
        <v>1.688374</v>
      </c>
      <c r="BK222" s="6">
        <v>7.0404070000000001</v>
      </c>
      <c r="BL222" s="4">
        <v>43189</v>
      </c>
      <c r="BM222" s="6">
        <f>VLOOKUP(BL222,Sheet1!$A$2:$E$1114,2,FALSE)</f>
        <v>2.3389519078607788</v>
      </c>
      <c r="BN222" s="6">
        <f t="shared" si="31"/>
        <v>2.0119357500103741</v>
      </c>
    </row>
    <row r="223" spans="31:66" x14ac:dyDescent="0.3">
      <c r="AE223">
        <f t="shared" si="27"/>
        <v>194</v>
      </c>
      <c r="AF223" t="s">
        <v>77</v>
      </c>
      <c r="AG223" s="13">
        <f t="shared" ref="AG223:AG286" si="32">(AH223+AI223)/2</f>
        <v>43147</v>
      </c>
      <c r="AH223" s="13">
        <v>43287</v>
      </c>
      <c r="AI223" s="13">
        <v>43007</v>
      </c>
      <c r="AJ223" s="11">
        <v>0.29126496246978228</v>
      </c>
      <c r="AK223" s="11">
        <v>2.3613104955349959E-7</v>
      </c>
      <c r="AL223" s="11">
        <v>7.0119208756597965E-4</v>
      </c>
      <c r="AM223" s="11">
        <v>0.2127842528384177</v>
      </c>
      <c r="AN223" s="11">
        <v>8.1843953193628579E-3</v>
      </c>
      <c r="AO223" s="11">
        <v>0.14623750809275857</v>
      </c>
      <c r="AP223" s="11">
        <v>0.1508072339269462</v>
      </c>
      <c r="AQ223" s="11">
        <v>7.4331735312217401E-2</v>
      </c>
      <c r="AR223" s="11">
        <v>2.5901710282338423E-7</v>
      </c>
      <c r="AS223" s="11">
        <v>2.9196354973616823E-2</v>
      </c>
      <c r="AT223" s="11">
        <v>8.6491869831179805E-2</v>
      </c>
      <c r="AU223">
        <v>0.95391622933217424</v>
      </c>
      <c r="AW223">
        <f t="shared" si="30"/>
        <v>0</v>
      </c>
      <c r="AX223">
        <v>220</v>
      </c>
      <c r="AY223" s="4">
        <f t="shared" si="28"/>
        <v>43194</v>
      </c>
      <c r="AZ223" s="6">
        <f t="shared" si="29"/>
        <v>-0.72273714005255396</v>
      </c>
      <c r="BA223" s="4">
        <v>43194</v>
      </c>
      <c r="BB223" s="6">
        <v>-1.145529</v>
      </c>
      <c r="BC223" s="6">
        <v>-1.4088959999999999</v>
      </c>
      <c r="BD223" s="6">
        <v>-1.450027</v>
      </c>
      <c r="BE223" s="6">
        <v>-1.7927690000000001</v>
      </c>
      <c r="BF223" s="6">
        <v>-2.5150109999999999</v>
      </c>
      <c r="BG223" s="6">
        <v>3.1429420000000001</v>
      </c>
      <c r="BH223" s="6">
        <v>-0.78616399999999997</v>
      </c>
      <c r="BI223" s="6">
        <v>-2.086983</v>
      </c>
      <c r="BJ223" s="6">
        <v>-1.8959090000000001</v>
      </c>
      <c r="BK223" s="6">
        <v>-2.2519290000000001</v>
      </c>
      <c r="BL223" s="4">
        <v>43194</v>
      </c>
      <c r="BM223" s="6">
        <f>VLOOKUP(BL223,Sheet1!$A$2:$E$1114,2,FALSE)</f>
        <v>2.322047433734701</v>
      </c>
      <c r="BN223" s="6">
        <f t="shared" si="31"/>
        <v>-0.72273714005255396</v>
      </c>
    </row>
    <row r="224" spans="31:66" x14ac:dyDescent="0.3">
      <c r="AE224">
        <f t="shared" ref="AE224:AE287" si="33">AE223+1</f>
        <v>195</v>
      </c>
      <c r="AF224" t="s">
        <v>77</v>
      </c>
      <c r="AG224" s="13">
        <f t="shared" si="32"/>
        <v>43157.5</v>
      </c>
      <c r="AH224" s="13">
        <v>43294</v>
      </c>
      <c r="AI224" s="13">
        <v>43021</v>
      </c>
      <c r="AJ224" s="11">
        <v>0.3000725439499024</v>
      </c>
      <c r="AK224" s="11">
        <v>1.5300455142376864E-6</v>
      </c>
      <c r="AL224" s="11">
        <v>8.4577147852556709E-5</v>
      </c>
      <c r="AM224" s="11">
        <v>0.23121973981565541</v>
      </c>
      <c r="AN224" s="11">
        <v>1.330582582452795E-2</v>
      </c>
      <c r="AO224" s="11">
        <v>0.14286054230019146</v>
      </c>
      <c r="AP224" s="11">
        <v>0.15937974461056639</v>
      </c>
      <c r="AQ224" s="11">
        <v>5.9572302528329471E-2</v>
      </c>
      <c r="AR224" s="11">
        <v>1.7600522006933182E-6</v>
      </c>
      <c r="AS224" s="11">
        <v>1.3040166920267104E-2</v>
      </c>
      <c r="AT224" s="11">
        <v>8.046126680499234E-2</v>
      </c>
      <c r="AU224">
        <v>0.95875914929885264</v>
      </c>
      <c r="AW224">
        <f t="shared" si="30"/>
        <v>0</v>
      </c>
      <c r="AX224">
        <v>221</v>
      </c>
      <c r="AY224" s="4">
        <f t="shared" si="28"/>
        <v>43203</v>
      </c>
      <c r="AZ224" s="6">
        <f t="shared" si="29"/>
        <v>0.65671708128853812</v>
      </c>
      <c r="BA224" s="4">
        <v>43203</v>
      </c>
      <c r="BB224" s="6">
        <v>1.145054</v>
      </c>
      <c r="BC224" s="6">
        <v>-0.13281699999999999</v>
      </c>
      <c r="BD224" s="6">
        <v>-0.362508</v>
      </c>
      <c r="BE224" s="6">
        <v>1.106714</v>
      </c>
      <c r="BF224" s="6">
        <v>0.74461999999999995</v>
      </c>
      <c r="BG224" s="6">
        <v>-1.960348</v>
      </c>
      <c r="BH224" s="6">
        <v>-0.35139799999999999</v>
      </c>
      <c r="BI224" s="6">
        <v>1.0797300000000001</v>
      </c>
      <c r="BJ224" s="6">
        <v>-0.148649</v>
      </c>
      <c r="BK224" s="6">
        <v>0.51218699999999995</v>
      </c>
      <c r="BL224" s="4">
        <v>43203</v>
      </c>
      <c r="BM224" s="6">
        <f>VLOOKUP(BL224,Sheet1!$A$2:$E$1114,2,FALSE)</f>
        <v>2.3372967158676592</v>
      </c>
      <c r="BN224" s="6">
        <f t="shared" si="31"/>
        <v>0.65671708128853812</v>
      </c>
    </row>
    <row r="225" spans="31:66" x14ac:dyDescent="0.3">
      <c r="AE225">
        <f t="shared" si="33"/>
        <v>196</v>
      </c>
      <c r="AF225" t="s">
        <v>77</v>
      </c>
      <c r="AG225" s="13">
        <f t="shared" si="32"/>
        <v>43164.5</v>
      </c>
      <c r="AH225" s="13">
        <v>43301</v>
      </c>
      <c r="AI225" s="13">
        <v>43028</v>
      </c>
      <c r="AJ225" s="11">
        <v>0.30081567679610083</v>
      </c>
      <c r="AK225" s="11">
        <v>3.8829763746621443E-6</v>
      </c>
      <c r="AL225" s="11">
        <v>8.8355241369486589E-5</v>
      </c>
      <c r="AM225" s="11">
        <v>0.23049570049643375</v>
      </c>
      <c r="AN225" s="11">
        <v>1.1322154410666361E-2</v>
      </c>
      <c r="AO225" s="11">
        <v>0.14149212735983085</v>
      </c>
      <c r="AP225" s="11">
        <v>0.15567734027624897</v>
      </c>
      <c r="AQ225" s="11">
        <v>6.0778933213071394E-2</v>
      </c>
      <c r="AR225" s="11">
        <v>4.8490264889270369E-6</v>
      </c>
      <c r="AS225" s="11">
        <v>1.7774896804091854E-2</v>
      </c>
      <c r="AT225" s="11">
        <v>8.1546083399323011E-2</v>
      </c>
      <c r="AU225">
        <v>0.95811249764914252</v>
      </c>
      <c r="AW225">
        <f t="shared" si="30"/>
        <v>0</v>
      </c>
      <c r="AX225">
        <v>222</v>
      </c>
      <c r="AY225" s="4">
        <f t="shared" si="28"/>
        <v>43210</v>
      </c>
      <c r="AZ225" s="6">
        <f t="shared" si="29"/>
        <v>-2.4126541197692308</v>
      </c>
      <c r="BA225" s="4">
        <v>43210</v>
      </c>
      <c r="BB225" s="6">
        <v>-3.4676</v>
      </c>
      <c r="BC225" s="6">
        <v>-2.7594539999999999</v>
      </c>
      <c r="BD225" s="6">
        <v>-3.3249200000000001</v>
      </c>
      <c r="BE225" s="6">
        <v>-3.2936529999999999</v>
      </c>
      <c r="BF225" s="6">
        <v>-2.2876470000000002</v>
      </c>
      <c r="BG225" s="6">
        <v>-1.125453</v>
      </c>
      <c r="BH225" s="6">
        <v>-2.1935690000000001</v>
      </c>
      <c r="BI225" s="6">
        <v>-1.765666</v>
      </c>
      <c r="BJ225" s="6">
        <v>-3.0420020000000001</v>
      </c>
      <c r="BK225" s="6">
        <v>-3.8873030000000002</v>
      </c>
      <c r="BL225" s="4">
        <v>43210</v>
      </c>
      <c r="BM225" s="6">
        <f>VLOOKUP(BL225,Sheet1!$A$2:$E$1114,2,FALSE)</f>
        <v>2.2809058303610472</v>
      </c>
      <c r="BN225" s="6">
        <f t="shared" si="31"/>
        <v>-2.4126541197692308</v>
      </c>
    </row>
    <row r="226" spans="31:66" x14ac:dyDescent="0.3">
      <c r="AE226">
        <f t="shared" si="33"/>
        <v>197</v>
      </c>
      <c r="AG226" s="13">
        <f t="shared" si="32"/>
        <v>0</v>
      </c>
      <c r="AH226" s="13"/>
      <c r="AI226" s="13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W226">
        <f t="shared" si="30"/>
        <v>0</v>
      </c>
      <c r="AX226">
        <v>223</v>
      </c>
      <c r="AY226" s="4">
        <f t="shared" si="28"/>
        <v>43217</v>
      </c>
      <c r="AZ226" s="6">
        <f t="shared" si="29"/>
        <v>0.41482136461938879</v>
      </c>
      <c r="BA226" s="4">
        <v>43217</v>
      </c>
      <c r="BB226" s="6">
        <v>0.29441600000000001</v>
      </c>
      <c r="BC226" s="6">
        <v>0.189972</v>
      </c>
      <c r="BD226" s="6">
        <v>-0.89085800000000004</v>
      </c>
      <c r="BE226" s="6">
        <v>-0.83088700000000004</v>
      </c>
      <c r="BF226" s="6">
        <v>-1.540332</v>
      </c>
      <c r="BG226" s="6">
        <v>-1.5402530000000001</v>
      </c>
      <c r="BH226" s="6">
        <v>3.5147210000000002</v>
      </c>
      <c r="BI226" s="6">
        <v>0.110829</v>
      </c>
      <c r="BJ226" s="6">
        <v>0.218334</v>
      </c>
      <c r="BK226" s="6">
        <v>1.250651</v>
      </c>
      <c r="BL226" s="4">
        <v>43217</v>
      </c>
      <c r="BM226" s="6">
        <f>VLOOKUP(BL226,Sheet1!$A$2:$E$1114,2,FALSE)</f>
        <v>2.290367515052234</v>
      </c>
      <c r="BN226" s="6">
        <f t="shared" si="31"/>
        <v>0.41482136461938879</v>
      </c>
    </row>
    <row r="227" spans="31:66" x14ac:dyDescent="0.3">
      <c r="AE227">
        <f t="shared" si="33"/>
        <v>198</v>
      </c>
      <c r="AG227" s="13">
        <f t="shared" si="32"/>
        <v>0</v>
      </c>
      <c r="AH227" s="13"/>
      <c r="AI227" s="13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W227">
        <f t="shared" si="30"/>
        <v>0</v>
      </c>
      <c r="AX227">
        <v>224</v>
      </c>
      <c r="AY227" s="4">
        <f t="shared" si="28"/>
        <v>43224</v>
      </c>
      <c r="AZ227" s="6">
        <f t="shared" si="29"/>
        <v>0.89613365327174677</v>
      </c>
      <c r="BA227" s="4">
        <v>43224</v>
      </c>
      <c r="BB227" s="6">
        <v>-0.29022199999999998</v>
      </c>
      <c r="BC227" s="6">
        <v>8.2553000000000001E-2</v>
      </c>
      <c r="BD227" s="6">
        <v>1.1157410000000001</v>
      </c>
      <c r="BE227" s="6">
        <v>0.50187999999999999</v>
      </c>
      <c r="BF227" s="6">
        <v>0.38264500000000001</v>
      </c>
      <c r="BG227" s="6">
        <v>2.12086</v>
      </c>
      <c r="BH227" s="6">
        <v>2.163726</v>
      </c>
      <c r="BI227" s="6">
        <v>-5.4398000000000002E-2</v>
      </c>
      <c r="BJ227" s="6">
        <v>0.62758000000000003</v>
      </c>
      <c r="BK227" s="6">
        <v>9.1425000000000006E-2</v>
      </c>
      <c r="BL227" s="4">
        <v>43224</v>
      </c>
      <c r="BM227" s="6">
        <f>VLOOKUP(BL227,Sheet1!$A$2:$E$1114,2,FALSE)</f>
        <v>2.310892269138221</v>
      </c>
      <c r="BN227" s="6">
        <f t="shared" si="31"/>
        <v>0.89613365327174677</v>
      </c>
    </row>
    <row r="228" spans="31:66" x14ac:dyDescent="0.3">
      <c r="AE228">
        <f t="shared" si="33"/>
        <v>199</v>
      </c>
      <c r="AG228" s="13">
        <f t="shared" si="32"/>
        <v>0</v>
      </c>
      <c r="AH228" s="13"/>
      <c r="AI228" s="13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W228">
        <f t="shared" si="30"/>
        <v>0</v>
      </c>
      <c r="AX228">
        <v>225</v>
      </c>
      <c r="AY228" s="4">
        <f t="shared" si="28"/>
        <v>43231</v>
      </c>
      <c r="AZ228" s="6">
        <f t="shared" si="29"/>
        <v>1.5849514350716021</v>
      </c>
      <c r="BA228" s="4">
        <v>43231</v>
      </c>
      <c r="BB228" s="6">
        <v>2.1932309999999999</v>
      </c>
      <c r="BC228" s="6">
        <v>1.546165</v>
      </c>
      <c r="BD228" s="6">
        <v>2.7424979999999999</v>
      </c>
      <c r="BE228" s="6">
        <v>2.5943139999999998</v>
      </c>
      <c r="BF228" s="6">
        <v>0.301292</v>
      </c>
      <c r="BG228" s="6">
        <v>4.9222720000000004</v>
      </c>
      <c r="BH228" s="6">
        <v>1.649241</v>
      </c>
      <c r="BI228" s="6">
        <v>4.2077710000000002</v>
      </c>
      <c r="BJ228" s="6">
        <v>0.65982200000000002</v>
      </c>
      <c r="BK228" s="6">
        <v>0.44142300000000001</v>
      </c>
      <c r="BL228" s="4">
        <v>43231</v>
      </c>
      <c r="BM228" s="6">
        <f>VLOOKUP(BL228,Sheet1!$A$2:$E$1114,2,FALSE)</f>
        <v>2.347518789320886</v>
      </c>
      <c r="BN228" s="6">
        <f t="shared" si="31"/>
        <v>1.5849514350716021</v>
      </c>
    </row>
    <row r="229" spans="31:66" x14ac:dyDescent="0.3">
      <c r="AE229">
        <f t="shared" si="33"/>
        <v>200</v>
      </c>
      <c r="AG229" s="13">
        <f t="shared" si="32"/>
        <v>0</v>
      </c>
      <c r="AH229" s="13"/>
      <c r="AI229" s="13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W229">
        <f t="shared" si="30"/>
        <v>0</v>
      </c>
      <c r="AX229">
        <v>226</v>
      </c>
      <c r="AY229" s="4">
        <f t="shared" si="28"/>
        <v>43238</v>
      </c>
      <c r="AZ229" s="6">
        <f t="shared" si="29"/>
        <v>0.30445249832871113</v>
      </c>
      <c r="BA229" s="4">
        <v>43238</v>
      </c>
      <c r="BB229" s="6">
        <v>-0.22450100000000001</v>
      </c>
      <c r="BC229" s="6">
        <v>-0.38271899999999998</v>
      </c>
      <c r="BD229" s="6">
        <v>0.45735199999999998</v>
      </c>
      <c r="BE229" s="6">
        <v>0.46325699999999997</v>
      </c>
      <c r="BF229" s="6">
        <v>-0.49539</v>
      </c>
      <c r="BG229" s="6">
        <v>2.5324710000000001</v>
      </c>
      <c r="BH229" s="6">
        <v>1.9726459999999999</v>
      </c>
      <c r="BI229" s="6">
        <v>4.1812829999999996</v>
      </c>
      <c r="BJ229" s="6">
        <v>1.200396</v>
      </c>
      <c r="BK229" s="6">
        <v>-0.58281000000000005</v>
      </c>
      <c r="BL229" s="4">
        <v>43238</v>
      </c>
      <c r="BM229" s="6">
        <f>VLOOKUP(BL229,Sheet1!$A$2:$E$1114,2,FALSE)</f>
        <v>2.3546658689237092</v>
      </c>
      <c r="BN229" s="6">
        <f t="shared" si="31"/>
        <v>0.30445249832871113</v>
      </c>
    </row>
    <row r="230" spans="31:66" x14ac:dyDescent="0.3">
      <c r="AE230">
        <f t="shared" si="33"/>
        <v>201</v>
      </c>
      <c r="AG230" s="13">
        <f t="shared" si="32"/>
        <v>0</v>
      </c>
      <c r="AH230" s="13"/>
      <c r="AI230" s="13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W230">
        <f t="shared" si="30"/>
        <v>0</v>
      </c>
      <c r="AX230">
        <v>227</v>
      </c>
      <c r="AY230" s="4">
        <f t="shared" si="28"/>
        <v>43245</v>
      </c>
      <c r="AZ230" s="6">
        <f t="shared" si="29"/>
        <v>-1.4871741850806863</v>
      </c>
      <c r="BA230" s="4">
        <v>43245</v>
      </c>
      <c r="BB230" s="6">
        <v>-3.1036540000000001</v>
      </c>
      <c r="BC230" s="6">
        <v>-1.7375860000000001</v>
      </c>
      <c r="BD230" s="6">
        <v>-1.147124</v>
      </c>
      <c r="BE230" s="6">
        <v>-2.3997320000000002</v>
      </c>
      <c r="BF230" s="6">
        <v>-1.9390799999999999</v>
      </c>
      <c r="BG230" s="6">
        <v>-1.035007</v>
      </c>
      <c r="BH230" s="6">
        <v>2.5714079999999999</v>
      </c>
      <c r="BI230" s="6">
        <v>-5.5212440000000003</v>
      </c>
      <c r="BJ230" s="6">
        <v>1.462402</v>
      </c>
      <c r="BK230" s="6">
        <v>9.162E-3</v>
      </c>
      <c r="BL230" s="4">
        <v>43245</v>
      </c>
      <c r="BM230" s="6">
        <f>VLOOKUP(BL230,Sheet1!$A$2:$E$1114,2,FALSE)</f>
        <v>2.31964788597617</v>
      </c>
      <c r="BN230" s="6">
        <f t="shared" si="31"/>
        <v>-1.4871741850806863</v>
      </c>
    </row>
    <row r="231" spans="31:66" x14ac:dyDescent="0.3">
      <c r="AE231">
        <f t="shared" si="33"/>
        <v>202</v>
      </c>
      <c r="AG231" s="13">
        <f t="shared" si="32"/>
        <v>0</v>
      </c>
      <c r="AH231" s="13"/>
      <c r="AI231" s="13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W231">
        <f t="shared" si="30"/>
        <v>0</v>
      </c>
      <c r="AX231">
        <v>228</v>
      </c>
      <c r="AY231" s="4">
        <f t="shared" si="28"/>
        <v>43252</v>
      </c>
      <c r="AZ231" s="6">
        <f t="shared" si="29"/>
        <v>-1.6730603163476854</v>
      </c>
      <c r="BA231" s="4">
        <v>43252</v>
      </c>
      <c r="BB231" s="6">
        <v>-2.2084489999999999</v>
      </c>
      <c r="BC231" s="6">
        <v>-4.1903059999999996</v>
      </c>
      <c r="BD231" s="6">
        <v>-0.185138</v>
      </c>
      <c r="BE231" s="6">
        <v>-3.8208739999999999</v>
      </c>
      <c r="BF231" s="6">
        <v>-4.8426549999999997</v>
      </c>
      <c r="BG231" s="6">
        <v>3.3453140000000001</v>
      </c>
      <c r="BH231" s="6">
        <v>-4.8195569999999996</v>
      </c>
      <c r="BI231" s="6">
        <v>-2.5973899999999999</v>
      </c>
      <c r="BJ231" s="6">
        <v>-2.6324000000000001</v>
      </c>
      <c r="BK231" s="6">
        <v>-4.5014019999999997</v>
      </c>
      <c r="BL231" s="4">
        <v>43252</v>
      </c>
      <c r="BM231" s="6">
        <f>VLOOKUP(BL231,Sheet1!$A$2:$E$1114,2,FALSE)</f>
        <v>2.2808387777169048</v>
      </c>
      <c r="BN231" s="6">
        <f t="shared" si="31"/>
        <v>-1.6730603163476854</v>
      </c>
    </row>
    <row r="232" spans="31:66" x14ac:dyDescent="0.3">
      <c r="AE232">
        <f t="shared" si="33"/>
        <v>203</v>
      </c>
      <c r="AG232" s="13">
        <f t="shared" si="32"/>
        <v>0</v>
      </c>
      <c r="AH232" s="13"/>
      <c r="AI232" s="13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W232">
        <f t="shared" si="30"/>
        <v>0</v>
      </c>
      <c r="AX232">
        <v>229</v>
      </c>
      <c r="AY232" s="4">
        <f t="shared" si="28"/>
        <v>43259</v>
      </c>
      <c r="AZ232" s="6">
        <f t="shared" si="29"/>
        <v>1.1681582413916036</v>
      </c>
      <c r="BA232" s="4">
        <v>43259</v>
      </c>
      <c r="BB232" s="6">
        <v>-0.70463299999999995</v>
      </c>
      <c r="BC232" s="6">
        <v>-1.2637640000000001</v>
      </c>
      <c r="BD232" s="6">
        <v>-0.111151</v>
      </c>
      <c r="BE232" s="6">
        <v>0.63933600000000002</v>
      </c>
      <c r="BF232" s="6">
        <v>1.147491</v>
      </c>
      <c r="BG232" s="6">
        <v>0.62674099999999999</v>
      </c>
      <c r="BH232" s="6">
        <v>1.5038020000000001</v>
      </c>
      <c r="BI232" s="6">
        <v>-1.542295</v>
      </c>
      <c r="BJ232" s="6">
        <v>-1.9339010000000001</v>
      </c>
      <c r="BK232" s="6">
        <v>0.46964299999999998</v>
      </c>
      <c r="BL232" s="4">
        <v>43259</v>
      </c>
      <c r="BM232" s="6">
        <f>VLOOKUP(BL232,Sheet1!$A$2:$E$1114,2,FALSE)</f>
        <v>2.3074825838716602</v>
      </c>
      <c r="BN232" s="6">
        <f t="shared" si="31"/>
        <v>1.1681582413916036</v>
      </c>
    </row>
    <row r="233" spans="31:66" x14ac:dyDescent="0.3">
      <c r="AE233">
        <f t="shared" si="33"/>
        <v>204</v>
      </c>
      <c r="AG233" s="13">
        <f t="shared" si="32"/>
        <v>0</v>
      </c>
      <c r="AH233" s="13"/>
      <c r="AI233" s="13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W233">
        <f t="shared" si="30"/>
        <v>0</v>
      </c>
      <c r="AX233">
        <v>230</v>
      </c>
      <c r="AY233" s="4">
        <f t="shared" si="28"/>
        <v>43266</v>
      </c>
      <c r="AZ233" s="6">
        <f t="shared" si="29"/>
        <v>-1.1486051854619816</v>
      </c>
      <c r="BA233" s="4">
        <v>43266</v>
      </c>
      <c r="BB233" s="6">
        <v>0.71638500000000005</v>
      </c>
      <c r="BC233" s="6">
        <v>-3.0032700000000001</v>
      </c>
      <c r="BD233" s="6">
        <v>-1.9894810000000001</v>
      </c>
      <c r="BE233" s="6">
        <v>-2.1579980000000001</v>
      </c>
      <c r="BF233" s="6">
        <v>-4.3771950000000004</v>
      </c>
      <c r="BG233" s="6">
        <v>-2.6493500000000001</v>
      </c>
      <c r="BH233" s="6">
        <v>-5.109515</v>
      </c>
      <c r="BI233" s="6">
        <v>-0.460532</v>
      </c>
      <c r="BJ233" s="6">
        <v>-0.26222000000000001</v>
      </c>
      <c r="BK233" s="6">
        <v>-7.852811</v>
      </c>
      <c r="BL233" s="4">
        <v>43266</v>
      </c>
      <c r="BM233" s="6">
        <f>VLOOKUP(BL233,Sheet1!$A$2:$E$1114,2,FALSE)</f>
        <v>2.2809787192596782</v>
      </c>
      <c r="BN233" s="6">
        <f t="shared" si="31"/>
        <v>-1.1486051854619816</v>
      </c>
    </row>
    <row r="234" spans="31:66" x14ac:dyDescent="0.3">
      <c r="AE234">
        <f t="shared" si="33"/>
        <v>205</v>
      </c>
      <c r="AG234" s="13">
        <f t="shared" si="32"/>
        <v>0</v>
      </c>
      <c r="AH234" s="13"/>
      <c r="AI234" s="13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W234">
        <f t="shared" si="30"/>
        <v>0</v>
      </c>
      <c r="AX234">
        <v>231</v>
      </c>
      <c r="AY234" s="4">
        <f t="shared" si="28"/>
        <v>43273</v>
      </c>
      <c r="AZ234" s="6">
        <f t="shared" si="29"/>
        <v>-3.2812902679050127</v>
      </c>
      <c r="BA234" s="4">
        <v>43273</v>
      </c>
      <c r="BB234" s="6">
        <v>-3.941945</v>
      </c>
      <c r="BC234" s="6">
        <v>-5.4584849999999996</v>
      </c>
      <c r="BD234" s="6">
        <v>-5.1124429999999998</v>
      </c>
      <c r="BE234" s="6">
        <v>-5.5661500000000004</v>
      </c>
      <c r="BF234" s="6">
        <v>-8.3804010000000009</v>
      </c>
      <c r="BG234" s="6">
        <v>-3.1640630000000001</v>
      </c>
      <c r="BH234" s="6">
        <v>-1.5241530000000001</v>
      </c>
      <c r="BI234" s="6">
        <v>-4.0128430000000002</v>
      </c>
      <c r="BJ234" s="6">
        <v>-6.2308190000000003</v>
      </c>
      <c r="BK234" s="6">
        <v>-10.008106</v>
      </c>
      <c r="BL234" s="4">
        <v>43273</v>
      </c>
      <c r="BM234" s="6">
        <f>VLOOKUP(BL234,Sheet1!$A$2:$E$1114,2,FALSE)</f>
        <v>2.206133186531626</v>
      </c>
      <c r="BN234" s="6">
        <f t="shared" si="31"/>
        <v>-3.2812902679050127</v>
      </c>
    </row>
    <row r="235" spans="31:66" x14ac:dyDescent="0.3">
      <c r="AE235">
        <f t="shared" si="33"/>
        <v>206</v>
      </c>
      <c r="AG235" s="13">
        <f t="shared" si="32"/>
        <v>0</v>
      </c>
      <c r="AH235" s="13"/>
      <c r="AI235" s="13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W235">
        <f t="shared" si="30"/>
        <v>0</v>
      </c>
      <c r="AX235">
        <v>232</v>
      </c>
      <c r="AY235" s="4">
        <f t="shared" si="28"/>
        <v>43280</v>
      </c>
      <c r="AZ235" s="6">
        <f t="shared" si="29"/>
        <v>-1.7716946003508927</v>
      </c>
      <c r="BA235" s="4">
        <v>43280</v>
      </c>
      <c r="BB235" s="6">
        <v>-3.8775469999999999</v>
      </c>
      <c r="BC235" s="6">
        <v>-7.8584000000000001E-2</v>
      </c>
      <c r="BD235" s="6">
        <v>-0.83584899999999995</v>
      </c>
      <c r="BE235" s="6">
        <v>-0.96536699999999998</v>
      </c>
      <c r="BF235" s="6">
        <v>4.9091760000000004</v>
      </c>
      <c r="BG235" s="6">
        <v>-2.9322780000000002</v>
      </c>
      <c r="BH235" s="6">
        <v>-0.49029400000000001</v>
      </c>
      <c r="BI235" s="6">
        <v>-0.28151900000000002</v>
      </c>
      <c r="BJ235" s="6">
        <v>-0.95882400000000001</v>
      </c>
      <c r="BK235" s="6">
        <v>2.089928</v>
      </c>
      <c r="BL235" s="4">
        <v>43280</v>
      </c>
      <c r="BM235" s="6">
        <f>VLOOKUP(BL235,Sheet1!$A$2:$E$1114,2,FALSE)</f>
        <v>2.167047243989296</v>
      </c>
      <c r="BN235" s="6">
        <f t="shared" si="31"/>
        <v>-1.7716946003508927</v>
      </c>
    </row>
    <row r="236" spans="31:66" x14ac:dyDescent="0.3">
      <c r="AE236">
        <f t="shared" si="33"/>
        <v>207</v>
      </c>
      <c r="AG236" s="13">
        <f t="shared" si="32"/>
        <v>0</v>
      </c>
      <c r="AH236" s="13"/>
      <c r="AI236" s="13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W236">
        <f t="shared" si="30"/>
        <v>0</v>
      </c>
      <c r="AX236">
        <v>233</v>
      </c>
      <c r="AY236" s="4">
        <f t="shared" si="28"/>
        <v>43287</v>
      </c>
      <c r="AZ236" s="6">
        <f t="shared" si="29"/>
        <v>-3.6714028470027582</v>
      </c>
      <c r="BA236" s="4">
        <v>43287</v>
      </c>
      <c r="BB236" s="6">
        <v>-3.3560979999999998</v>
      </c>
      <c r="BC236" s="6">
        <v>-4.5379909999999999</v>
      </c>
      <c r="BD236" s="6">
        <v>-5.2669329999999999</v>
      </c>
      <c r="BE236" s="6">
        <v>-4.6924999999999999</v>
      </c>
      <c r="BF236" s="6">
        <v>-3.9423119999999998</v>
      </c>
      <c r="BG236" s="6">
        <v>-3.9637020000000001</v>
      </c>
      <c r="BH236" s="6">
        <v>-5.2156849999999997</v>
      </c>
      <c r="BI236" s="6">
        <v>-5.6217420000000002</v>
      </c>
      <c r="BJ236" s="6">
        <v>-1.1990959999999999</v>
      </c>
      <c r="BK236" s="6">
        <v>-2.8233130000000002</v>
      </c>
      <c r="BL236" s="4">
        <v>43287</v>
      </c>
      <c r="BM236" s="6">
        <f>VLOOKUP(BL236,Sheet1!$A$2:$E$1114,2,FALSE)</f>
        <v>2.0874862097775781</v>
      </c>
      <c r="BN236" s="6">
        <f t="shared" si="31"/>
        <v>-3.6714028470027582</v>
      </c>
    </row>
    <row r="237" spans="31:66" x14ac:dyDescent="0.3">
      <c r="AE237">
        <f t="shared" si="33"/>
        <v>208</v>
      </c>
      <c r="AG237" s="13">
        <f t="shared" si="32"/>
        <v>0</v>
      </c>
      <c r="AH237" s="13"/>
      <c r="AI237" s="13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W237">
        <f t="shared" si="30"/>
        <v>0</v>
      </c>
      <c r="AX237">
        <v>234</v>
      </c>
      <c r="AY237" s="4">
        <f t="shared" si="28"/>
        <v>43294</v>
      </c>
      <c r="AZ237" s="6">
        <f t="shared" si="29"/>
        <v>4.4562573465111832</v>
      </c>
      <c r="BA237" s="4">
        <v>43294</v>
      </c>
      <c r="BB237" s="6">
        <v>2.1791900000000002</v>
      </c>
      <c r="BC237" s="6">
        <v>2.4797820000000002</v>
      </c>
      <c r="BD237" s="6">
        <v>2.987412</v>
      </c>
      <c r="BE237" s="6">
        <v>5.5164020000000002</v>
      </c>
      <c r="BF237" s="6">
        <v>4.5544450000000003</v>
      </c>
      <c r="BG237" s="6">
        <v>5.6311080000000002</v>
      </c>
      <c r="BH237" s="6">
        <v>8.0988769999999999</v>
      </c>
      <c r="BI237" s="6">
        <v>0.97494000000000003</v>
      </c>
      <c r="BJ237" s="6">
        <v>1.2185010000000001</v>
      </c>
      <c r="BK237" s="6">
        <v>4.7995669999999997</v>
      </c>
      <c r="BL237" s="4">
        <v>43294</v>
      </c>
      <c r="BM237" s="6">
        <f>VLOOKUP(BL237,Sheet1!$A$2:$E$1114,2,FALSE)</f>
        <v>2.1805099673581991</v>
      </c>
      <c r="BN237" s="6">
        <f t="shared" si="31"/>
        <v>4.4562573465111832</v>
      </c>
    </row>
    <row r="238" spans="31:66" x14ac:dyDescent="0.3">
      <c r="AE238">
        <f t="shared" si="33"/>
        <v>209</v>
      </c>
      <c r="AG238" s="13">
        <f t="shared" si="32"/>
        <v>0</v>
      </c>
      <c r="AH238" s="13"/>
      <c r="AI238" s="13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W238">
        <f t="shared" si="30"/>
        <v>0</v>
      </c>
      <c r="AX238">
        <v>235</v>
      </c>
      <c r="AY238" s="4">
        <f t="shared" si="28"/>
        <v>43301</v>
      </c>
      <c r="AZ238" s="6">
        <f t="shared" si="29"/>
        <v>-0.37042024876065005</v>
      </c>
      <c r="BA238" s="4">
        <v>43301</v>
      </c>
      <c r="BB238" s="6">
        <v>1.1086370000000001</v>
      </c>
      <c r="BC238" s="6">
        <v>-0.28413899999999997</v>
      </c>
      <c r="BD238" s="6">
        <v>-1.344284</v>
      </c>
      <c r="BE238" s="6">
        <v>-0.679095</v>
      </c>
      <c r="BF238" s="6">
        <v>0.77607800000000005</v>
      </c>
      <c r="BG238" s="6">
        <v>-1.9705170000000001</v>
      </c>
      <c r="BH238" s="6">
        <v>-2.8157839999999998</v>
      </c>
      <c r="BI238" s="6">
        <v>-0.21920400000000001</v>
      </c>
      <c r="BJ238" s="6">
        <v>3.9773800000000001</v>
      </c>
      <c r="BK238" s="6">
        <v>2.2771240000000001</v>
      </c>
      <c r="BL238" s="4">
        <v>43301</v>
      </c>
      <c r="BM238" s="6">
        <f>VLOOKUP(BL238,Sheet1!$A$2:$E$1114,2,FALSE)</f>
        <v>2.17243291691286</v>
      </c>
      <c r="BN238" s="6">
        <f t="shared" si="31"/>
        <v>-0.37042024876065005</v>
      </c>
    </row>
    <row r="239" spans="31:66" x14ac:dyDescent="0.3">
      <c r="AE239">
        <f t="shared" si="33"/>
        <v>210</v>
      </c>
      <c r="AG239" s="13">
        <f t="shared" si="32"/>
        <v>0</v>
      </c>
      <c r="AH239" s="13"/>
      <c r="AI239" s="13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W239">
        <f t="shared" si="30"/>
        <v>0</v>
      </c>
      <c r="AX239">
        <v>236</v>
      </c>
      <c r="AY239" s="4">
        <f t="shared" si="28"/>
        <v>43308</v>
      </c>
      <c r="AZ239" s="6" t="e">
        <f t="shared" si="29"/>
        <v>#N/A</v>
      </c>
      <c r="BA239" s="4">
        <v>43308</v>
      </c>
      <c r="BB239" s="6">
        <v>1.5446249999999999</v>
      </c>
      <c r="BC239" s="6">
        <v>3.310927</v>
      </c>
      <c r="BD239" s="6">
        <v>0.59122699999999995</v>
      </c>
      <c r="BE239" s="6">
        <v>3.062643</v>
      </c>
      <c r="BF239" s="6">
        <v>-0.52742500000000003</v>
      </c>
      <c r="BG239" s="6">
        <v>1.0524990000000001</v>
      </c>
      <c r="BH239" s="6">
        <v>-3.1172049999999998</v>
      </c>
      <c r="BI239" s="6">
        <v>4.045401</v>
      </c>
      <c r="BJ239" s="6">
        <v>1.1524669999999999</v>
      </c>
      <c r="BK239" s="6">
        <v>0.26236399999999999</v>
      </c>
      <c r="BL239" s="4">
        <v>43308</v>
      </c>
      <c r="BM239" s="6" t="e">
        <f>VLOOKUP(BL239,Sheet1!$A$2:$E$1114,2,FALSE)</f>
        <v>#N/A</v>
      </c>
      <c r="BN239" s="6" t="e">
        <f t="shared" si="31"/>
        <v>#N/A</v>
      </c>
    </row>
    <row r="240" spans="31:66" x14ac:dyDescent="0.3">
      <c r="AE240">
        <f t="shared" si="33"/>
        <v>211</v>
      </c>
      <c r="AG240" s="13">
        <f t="shared" si="32"/>
        <v>0</v>
      </c>
      <c r="AH240" s="13"/>
      <c r="AI240" s="13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W240">
        <f t="shared" si="30"/>
        <v>0</v>
      </c>
      <c r="AX240">
        <v>237</v>
      </c>
      <c r="AY240" s="4">
        <f t="shared" si="28"/>
        <v>43315</v>
      </c>
      <c r="AZ240" s="6" t="e">
        <f t="shared" si="29"/>
        <v>#N/A</v>
      </c>
      <c r="BA240" s="4">
        <v>43315</v>
      </c>
      <c r="BB240" s="6">
        <v>-4.4621170000000001</v>
      </c>
      <c r="BC240" s="6">
        <v>-5.634633</v>
      </c>
      <c r="BD240" s="6">
        <v>-7.8251819999999999</v>
      </c>
      <c r="BE240" s="6">
        <v>-5.069871</v>
      </c>
      <c r="BF240" s="6">
        <v>-8.8384169999999997</v>
      </c>
      <c r="BG240" s="6">
        <v>-7.2802910000000001</v>
      </c>
      <c r="BH240" s="6">
        <v>-7.2073749999999999</v>
      </c>
      <c r="BI240" s="6">
        <v>-2.6895030000000002</v>
      </c>
      <c r="BJ240" s="6">
        <v>-1.8955169999999999</v>
      </c>
      <c r="BK240" s="6">
        <v>-6.6685540000000003</v>
      </c>
      <c r="BL240" s="4">
        <v>43315</v>
      </c>
      <c r="BM240" s="6" t="e">
        <f>VLOOKUP(BL240,Sheet1!$A$2:$E$1114,2,FALSE)</f>
        <v>#N/A</v>
      </c>
      <c r="BN240" s="6" t="e">
        <f t="shared" si="31"/>
        <v>#N/A</v>
      </c>
    </row>
    <row r="241" spans="31:66" x14ac:dyDescent="0.3">
      <c r="AE241">
        <f t="shared" si="33"/>
        <v>212</v>
      </c>
      <c r="AG241" s="13">
        <f t="shared" si="32"/>
        <v>0</v>
      </c>
      <c r="AH241" s="13"/>
      <c r="AI241" s="13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W241">
        <f t="shared" si="30"/>
        <v>1</v>
      </c>
      <c r="AX241">
        <v>238</v>
      </c>
      <c r="AY241" s="4">
        <f t="shared" si="28"/>
        <v>42860</v>
      </c>
      <c r="AZ241" s="6" t="e">
        <f t="shared" si="29"/>
        <v>#N/A</v>
      </c>
      <c r="BA241" s="4">
        <v>42860</v>
      </c>
      <c r="BB241" s="6">
        <v>-2.3549899999999999</v>
      </c>
      <c r="BC241" s="6">
        <v>-1.646215</v>
      </c>
      <c r="BD241" s="6">
        <v>-0.75034400000000001</v>
      </c>
      <c r="BE241" s="6">
        <v>-2.2042929999999998</v>
      </c>
      <c r="BF241" s="6">
        <v>-1.5757060000000001</v>
      </c>
      <c r="BG241" s="6">
        <v>-1.2756620000000001</v>
      </c>
      <c r="BH241" s="6">
        <v>-1.3764959999999999</v>
      </c>
      <c r="BI241" s="6">
        <v>-3.6168900000000002</v>
      </c>
      <c r="BJ241" s="6">
        <v>-1.966953</v>
      </c>
      <c r="BK241" s="6">
        <v>-1.780675</v>
      </c>
      <c r="BL241" s="4">
        <v>42860</v>
      </c>
      <c r="BM241" s="6">
        <f>VLOOKUP(BL241,Sheet1!$A$2:$E$1114,2,FALSE)</f>
        <v>2.102799689919586</v>
      </c>
      <c r="BN241" s="6" t="e">
        <f t="shared" si="31"/>
        <v>#N/A</v>
      </c>
    </row>
    <row r="242" spans="31:66" x14ac:dyDescent="0.3">
      <c r="AE242">
        <f t="shared" si="33"/>
        <v>213</v>
      </c>
      <c r="AG242" s="13">
        <f t="shared" si="32"/>
        <v>0</v>
      </c>
      <c r="AH242" s="13"/>
      <c r="AI242" s="13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W242">
        <f t="shared" si="30"/>
        <v>0</v>
      </c>
      <c r="AX242">
        <v>239</v>
      </c>
      <c r="AY242" s="4">
        <f t="shared" si="28"/>
        <v>42867</v>
      </c>
      <c r="AZ242" s="6">
        <f t="shared" si="29"/>
        <v>-0.64215029959635572</v>
      </c>
      <c r="BA242" s="4">
        <v>42867</v>
      </c>
      <c r="BB242" s="6">
        <v>2.362314</v>
      </c>
      <c r="BC242" s="6">
        <v>-4.1689660000000002</v>
      </c>
      <c r="BD242" s="6">
        <v>-2.689009</v>
      </c>
      <c r="BE242" s="6">
        <v>-3.7103100000000002</v>
      </c>
      <c r="BF242" s="6">
        <v>-2.7631459999999999</v>
      </c>
      <c r="BG242" s="6">
        <v>-2.6906530000000002</v>
      </c>
      <c r="BH242" s="6">
        <v>-1.9671099999999999</v>
      </c>
      <c r="BI242" s="6">
        <v>-1.172237</v>
      </c>
      <c r="BJ242" s="6">
        <v>-1.565617</v>
      </c>
      <c r="BK242" s="6">
        <v>-2.462555</v>
      </c>
      <c r="BL242" s="4">
        <v>42867</v>
      </c>
      <c r="BM242" s="6">
        <f>VLOOKUP(BL242,Sheet1!$A$2:$E$1114,2,FALSE)</f>
        <v>2.089296555410856</v>
      </c>
      <c r="BN242" s="6">
        <f t="shared" si="31"/>
        <v>-0.64215029959635572</v>
      </c>
    </row>
    <row r="243" spans="31:66" x14ac:dyDescent="0.3">
      <c r="AE243">
        <f t="shared" si="33"/>
        <v>214</v>
      </c>
      <c r="AG243" s="13">
        <f t="shared" si="32"/>
        <v>0</v>
      </c>
      <c r="AH243" s="13"/>
      <c r="AI243" s="13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W243">
        <f t="shared" si="30"/>
        <v>0</v>
      </c>
      <c r="AX243">
        <v>240</v>
      </c>
      <c r="AY243" s="4">
        <f t="shared" si="28"/>
        <v>42874</v>
      </c>
      <c r="AZ243" s="6">
        <f t="shared" si="29"/>
        <v>0.79828929141032567</v>
      </c>
      <c r="BA243" s="4">
        <v>42874</v>
      </c>
      <c r="BB243" s="6">
        <v>-0.79535</v>
      </c>
      <c r="BC243" s="6">
        <v>0.75142799999999998</v>
      </c>
      <c r="BD243" s="6">
        <v>1.3218300000000001</v>
      </c>
      <c r="BE243" s="6">
        <v>1.5750390000000001</v>
      </c>
      <c r="BF243" s="6">
        <v>2.6638790000000001</v>
      </c>
      <c r="BG243" s="6">
        <v>3.1153219999999999</v>
      </c>
      <c r="BH243" s="6">
        <v>2.2937210000000001</v>
      </c>
      <c r="BI243" s="6">
        <v>3.6957659999999999</v>
      </c>
      <c r="BJ243" s="6">
        <v>2.1963219999999999</v>
      </c>
      <c r="BK243" s="6">
        <v>2.4325839999999999</v>
      </c>
      <c r="BL243" s="4">
        <v>42874</v>
      </c>
      <c r="BM243" s="6">
        <f>VLOOKUP(BL243,Sheet1!$A$2:$E$1114,2,FALSE)</f>
        <v>2.1059751860785059</v>
      </c>
      <c r="BN243" s="6">
        <f t="shared" si="31"/>
        <v>0.79828929141032567</v>
      </c>
    </row>
    <row r="244" spans="31:66" x14ac:dyDescent="0.3">
      <c r="AE244">
        <f t="shared" si="33"/>
        <v>215</v>
      </c>
      <c r="AG244" s="13">
        <f t="shared" si="32"/>
        <v>0</v>
      </c>
      <c r="AH244" s="13"/>
      <c r="AI244" s="13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W244">
        <f t="shared" si="30"/>
        <v>0</v>
      </c>
      <c r="AX244">
        <v>241</v>
      </c>
      <c r="AY244" s="4">
        <f t="shared" si="28"/>
        <v>42881</v>
      </c>
      <c r="AZ244" s="6">
        <f t="shared" si="29"/>
        <v>0.22838924836789953</v>
      </c>
      <c r="BA244" s="4">
        <v>42881</v>
      </c>
      <c r="BB244" s="6">
        <v>4.4098829999999998</v>
      </c>
      <c r="BC244" s="6">
        <v>-2.2761300000000002</v>
      </c>
      <c r="BD244" s="6">
        <v>-0.99452700000000005</v>
      </c>
      <c r="BE244" s="6">
        <v>-2.1047549999999999</v>
      </c>
      <c r="BF244" s="6">
        <v>-3.0023230000000001</v>
      </c>
      <c r="BG244" s="6">
        <v>-0.63907599999999998</v>
      </c>
      <c r="BH244" s="6">
        <v>-0.89616499999999999</v>
      </c>
      <c r="BI244" s="6">
        <v>0.107055</v>
      </c>
      <c r="BJ244" s="6">
        <v>-1.1184289999999999</v>
      </c>
      <c r="BK244" s="6">
        <v>-2.0102479999999998</v>
      </c>
      <c r="BL244" s="4">
        <v>42881</v>
      </c>
      <c r="BM244" s="6">
        <f>VLOOKUP(BL244,Sheet1!$A$2:$E$1114,2,FALSE)</f>
        <v>2.1107850069768048</v>
      </c>
      <c r="BN244" s="6">
        <f t="shared" si="31"/>
        <v>0.22838924836789953</v>
      </c>
    </row>
    <row r="245" spans="31:66" x14ac:dyDescent="0.3">
      <c r="AE245">
        <f t="shared" si="33"/>
        <v>216</v>
      </c>
      <c r="AG245" s="13">
        <f t="shared" si="32"/>
        <v>0</v>
      </c>
      <c r="AH245" s="13"/>
      <c r="AI245" s="13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W245">
        <f t="shared" si="30"/>
        <v>0</v>
      </c>
      <c r="AX245">
        <v>242</v>
      </c>
      <c r="AY245" s="4">
        <f t="shared" si="28"/>
        <v>42888</v>
      </c>
      <c r="AZ245" s="6">
        <f t="shared" si="29"/>
        <v>-0.30485820929418983</v>
      </c>
      <c r="BA245" s="4">
        <v>42888</v>
      </c>
      <c r="BB245" s="6">
        <v>0.166794</v>
      </c>
      <c r="BC245" s="6">
        <v>-0.815307</v>
      </c>
      <c r="BD245" s="6">
        <v>-0.488956</v>
      </c>
      <c r="BE245" s="6">
        <v>-1.9820960000000001</v>
      </c>
      <c r="BF245" s="6">
        <v>-1.137653</v>
      </c>
      <c r="BG245" s="6">
        <v>-0.86457099999999998</v>
      </c>
      <c r="BH245" s="6">
        <v>-0.45533000000000001</v>
      </c>
      <c r="BI245" s="6">
        <v>-1.2639050000000001</v>
      </c>
      <c r="BJ245" s="6">
        <v>0.172154</v>
      </c>
      <c r="BK245" s="6">
        <v>-0.496174</v>
      </c>
      <c r="BL245" s="4">
        <v>42888</v>
      </c>
      <c r="BM245" s="6">
        <f>VLOOKUP(BL245,Sheet1!$A$2:$E$1114,2,FALSE)</f>
        <v>2.1043501056024851</v>
      </c>
      <c r="BN245" s="6">
        <f t="shared" si="31"/>
        <v>-0.30485820929418983</v>
      </c>
    </row>
    <row r="246" spans="31:66" x14ac:dyDescent="0.3">
      <c r="AE246">
        <f t="shared" si="33"/>
        <v>217</v>
      </c>
      <c r="AG246" s="13">
        <f t="shared" si="32"/>
        <v>0</v>
      </c>
      <c r="AH246" s="13"/>
      <c r="AI246" s="13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W246">
        <f t="shared" si="30"/>
        <v>0</v>
      </c>
      <c r="AX246">
        <v>243</v>
      </c>
      <c r="AY246" s="4">
        <f t="shared" si="28"/>
        <v>42895</v>
      </c>
      <c r="AZ246" s="6">
        <f t="shared" si="29"/>
        <v>2.7666827525467452</v>
      </c>
      <c r="BA246" s="4">
        <v>42895</v>
      </c>
      <c r="BB246" s="6">
        <v>1.4632449999999999</v>
      </c>
      <c r="BC246" s="6">
        <v>3.1158649999999999</v>
      </c>
      <c r="BD246" s="6">
        <v>4.1297119999999996</v>
      </c>
      <c r="BE246" s="6">
        <v>3.2747820000000001</v>
      </c>
      <c r="BF246" s="6">
        <v>4.4359019999999996</v>
      </c>
      <c r="BG246" s="6">
        <v>4.7880560000000001</v>
      </c>
      <c r="BH246" s="6">
        <v>2.9342429999999999</v>
      </c>
      <c r="BI246" s="6">
        <v>0.75066600000000006</v>
      </c>
      <c r="BJ246" s="6">
        <v>1.5047870000000001</v>
      </c>
      <c r="BK246" s="6">
        <v>3.6499269999999999</v>
      </c>
      <c r="BL246" s="4">
        <v>42895</v>
      </c>
      <c r="BM246" s="6">
        <f>VLOOKUP(BL246,Sheet1!$A$2:$E$1114,2,FALSE)</f>
        <v>2.1625707970273882</v>
      </c>
      <c r="BN246" s="6">
        <f t="shared" si="31"/>
        <v>2.7666827525467452</v>
      </c>
    </row>
    <row r="247" spans="31:66" x14ac:dyDescent="0.3">
      <c r="AE247">
        <f t="shared" si="33"/>
        <v>218</v>
      </c>
      <c r="AG247" s="13">
        <f t="shared" si="32"/>
        <v>0</v>
      </c>
      <c r="AH247" s="13"/>
      <c r="AI247" s="13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W247">
        <f t="shared" si="30"/>
        <v>0</v>
      </c>
      <c r="AX247">
        <v>244</v>
      </c>
      <c r="AY247" s="4">
        <f t="shared" si="28"/>
        <v>42902</v>
      </c>
      <c r="AZ247" s="6">
        <f t="shared" si="29"/>
        <v>-0.78708479672781051</v>
      </c>
      <c r="BA247" s="4">
        <v>42902</v>
      </c>
      <c r="BB247" s="6">
        <v>-2.0471650000000001</v>
      </c>
      <c r="BC247" s="6">
        <v>1.023E-3</v>
      </c>
      <c r="BD247" s="6">
        <v>-0.29278700000000002</v>
      </c>
      <c r="BE247" s="6">
        <v>1.6680360000000001</v>
      </c>
      <c r="BF247" s="6">
        <v>0.175404</v>
      </c>
      <c r="BG247" s="6">
        <v>-0.62836000000000003</v>
      </c>
      <c r="BH247" s="6">
        <v>-7.3415999999999995E-2</v>
      </c>
      <c r="BI247" s="6">
        <v>-1.6022999999999999E-2</v>
      </c>
      <c r="BJ247" s="6">
        <v>-1.2383569999999999</v>
      </c>
      <c r="BK247" s="6">
        <v>1.318041</v>
      </c>
      <c r="BL247" s="4">
        <v>42902</v>
      </c>
      <c r="BM247" s="6">
        <f>VLOOKUP(BL247,Sheet1!$A$2:$E$1114,2,FALSE)</f>
        <v>2.1455495310655102</v>
      </c>
      <c r="BN247" s="6">
        <f t="shared" si="31"/>
        <v>-0.78708479672781051</v>
      </c>
    </row>
    <row r="248" spans="31:66" x14ac:dyDescent="0.3">
      <c r="AE248">
        <f t="shared" si="33"/>
        <v>219</v>
      </c>
      <c r="AG248" s="13">
        <f t="shared" si="32"/>
        <v>0</v>
      </c>
      <c r="AH248" s="13"/>
      <c r="AI248" s="13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W248">
        <f t="shared" si="30"/>
        <v>0</v>
      </c>
      <c r="AX248">
        <v>245</v>
      </c>
      <c r="AY248" s="4">
        <f t="shared" si="28"/>
        <v>42909</v>
      </c>
      <c r="AZ248" s="6">
        <f t="shared" si="29"/>
        <v>1.4550447328166571</v>
      </c>
      <c r="BA248" s="4">
        <v>42909</v>
      </c>
      <c r="BB248" s="6">
        <v>3.31806</v>
      </c>
      <c r="BC248" s="6">
        <v>2.6883000000000001E-2</v>
      </c>
      <c r="BD248" s="6">
        <v>1.779415</v>
      </c>
      <c r="BE248" s="6">
        <v>0.30965900000000002</v>
      </c>
      <c r="BF248" s="6">
        <v>7.0377999999999996E-2</v>
      </c>
      <c r="BG248" s="6">
        <v>1.6206259999999999</v>
      </c>
      <c r="BH248" s="6">
        <v>0.26938200000000001</v>
      </c>
      <c r="BI248" s="6">
        <v>-0.45929599999999998</v>
      </c>
      <c r="BJ248" s="6">
        <v>0.404109</v>
      </c>
      <c r="BK248" s="6">
        <v>1.3297079999999999</v>
      </c>
      <c r="BL248" s="4">
        <v>42909</v>
      </c>
      <c r="BM248" s="6">
        <f>VLOOKUP(BL248,Sheet1!$A$2:$E$1114,2,FALSE)</f>
        <v>2.1767682365072512</v>
      </c>
      <c r="BN248" s="6">
        <f t="shared" si="31"/>
        <v>1.4550447328166571</v>
      </c>
    </row>
    <row r="249" spans="31:66" x14ac:dyDescent="0.3">
      <c r="AE249">
        <f t="shared" si="33"/>
        <v>220</v>
      </c>
      <c r="AG249" s="13">
        <f t="shared" si="32"/>
        <v>0</v>
      </c>
      <c r="AH249" s="13"/>
      <c r="AI249" s="13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W249">
        <f t="shared" si="30"/>
        <v>0</v>
      </c>
      <c r="AX249">
        <v>246</v>
      </c>
      <c r="AY249" s="4">
        <f t="shared" si="28"/>
        <v>42916</v>
      </c>
      <c r="AZ249" s="6">
        <f t="shared" si="29"/>
        <v>1.7374431154432601</v>
      </c>
      <c r="BA249" s="4">
        <v>42916</v>
      </c>
      <c r="BB249" s="6">
        <v>0.94942700000000002</v>
      </c>
      <c r="BC249" s="6">
        <v>1.210923</v>
      </c>
      <c r="BD249" s="6">
        <v>1.1958150000000001</v>
      </c>
      <c r="BE249" s="6">
        <v>2.470224</v>
      </c>
      <c r="BF249" s="6">
        <v>1.5916509999999999</v>
      </c>
      <c r="BG249" s="6">
        <v>1.549188</v>
      </c>
      <c r="BH249" s="6">
        <v>1.8489199999999999</v>
      </c>
      <c r="BI249" s="6">
        <v>2.2755260000000002</v>
      </c>
      <c r="BJ249" s="6">
        <v>-4.2222000000000003E-2</v>
      </c>
      <c r="BK249" s="6">
        <v>1.4407460000000001</v>
      </c>
      <c r="BL249" s="4">
        <v>42916</v>
      </c>
      <c r="BM249" s="6">
        <f>VLOOKUP(BL249,Sheet1!$A$2:$E$1114,2,FALSE)</f>
        <v>2.2145883463716021</v>
      </c>
      <c r="BN249" s="6">
        <f t="shared" si="31"/>
        <v>1.7374431154432601</v>
      </c>
    </row>
    <row r="250" spans="31:66" x14ac:dyDescent="0.3">
      <c r="AE250">
        <f t="shared" si="33"/>
        <v>221</v>
      </c>
      <c r="AG250" s="13">
        <f t="shared" si="32"/>
        <v>0</v>
      </c>
      <c r="AH250" s="13"/>
      <c r="AI250" s="13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W250">
        <f t="shared" si="30"/>
        <v>0</v>
      </c>
      <c r="AX250">
        <v>247</v>
      </c>
      <c r="AY250" s="4">
        <f t="shared" si="28"/>
        <v>42923</v>
      </c>
      <c r="AZ250" s="6">
        <f t="shared" si="29"/>
        <v>0.74349105872604238</v>
      </c>
      <c r="BA250" s="4">
        <v>42923</v>
      </c>
      <c r="BB250" s="6">
        <v>0.159606</v>
      </c>
      <c r="BC250" s="6">
        <v>1.328244</v>
      </c>
      <c r="BD250" s="6">
        <v>-0.49871500000000002</v>
      </c>
      <c r="BE250" s="6">
        <v>4.4731730000000001</v>
      </c>
      <c r="BF250" s="6">
        <v>0.93670900000000001</v>
      </c>
      <c r="BG250" s="6">
        <v>-1.665289</v>
      </c>
      <c r="BH250" s="6">
        <v>-1.4235279999999999</v>
      </c>
      <c r="BI250" s="6">
        <v>3.5301339999999999</v>
      </c>
      <c r="BJ250" s="6">
        <v>0.33753</v>
      </c>
      <c r="BK250" s="6">
        <v>0.93784500000000004</v>
      </c>
      <c r="BL250" s="4">
        <v>42923</v>
      </c>
      <c r="BM250" s="6">
        <f>VLOOKUP(BL250,Sheet1!$A$2:$E$1114,2,FALSE)</f>
        <v>2.2310536127144638</v>
      </c>
      <c r="BN250" s="6">
        <f t="shared" si="31"/>
        <v>0.74349105872604238</v>
      </c>
    </row>
    <row r="251" spans="31:66" x14ac:dyDescent="0.3">
      <c r="AE251">
        <f t="shared" si="33"/>
        <v>222</v>
      </c>
      <c r="AG251" s="13">
        <f t="shared" si="32"/>
        <v>0</v>
      </c>
      <c r="AH251" s="13"/>
      <c r="AI251" s="13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W251">
        <f t="shared" si="30"/>
        <v>0</v>
      </c>
      <c r="AX251">
        <v>248</v>
      </c>
      <c r="AY251" s="4">
        <f t="shared" si="28"/>
        <v>42930</v>
      </c>
      <c r="AZ251" s="6">
        <f t="shared" si="29"/>
        <v>0.37083769320833682</v>
      </c>
      <c r="BA251" s="4">
        <v>42930</v>
      </c>
      <c r="BB251" s="6">
        <v>3.1782180000000002</v>
      </c>
      <c r="BC251" s="6">
        <v>-1.1491579999999999</v>
      </c>
      <c r="BD251" s="6">
        <v>-1.1812240000000001</v>
      </c>
      <c r="BE251" s="6">
        <v>-0.62293699999999996</v>
      </c>
      <c r="BF251" s="6">
        <v>-3.511501</v>
      </c>
      <c r="BG251" s="6">
        <v>-0.11523799999999999</v>
      </c>
      <c r="BH251" s="6">
        <v>-1.7654069999999999</v>
      </c>
      <c r="BI251" s="6">
        <v>-1.470386</v>
      </c>
      <c r="BJ251" s="6">
        <v>-1.7540750000000001</v>
      </c>
      <c r="BK251" s="6">
        <v>-2.2958859999999999</v>
      </c>
      <c r="BL251" s="4">
        <v>42930</v>
      </c>
      <c r="BM251" s="6">
        <f>VLOOKUP(BL251,Sheet1!$A$2:$E$1114,2,FALSE)</f>
        <v>2.2393272004660951</v>
      </c>
      <c r="BN251" s="6">
        <f t="shared" si="31"/>
        <v>0.37083769320833682</v>
      </c>
    </row>
    <row r="252" spans="31:66" x14ac:dyDescent="0.3">
      <c r="AE252">
        <f t="shared" si="33"/>
        <v>223</v>
      </c>
      <c r="AG252" s="13">
        <f t="shared" si="32"/>
        <v>0</v>
      </c>
      <c r="AH252" s="13"/>
      <c r="AI252" s="13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W252">
        <f t="shared" si="30"/>
        <v>0</v>
      </c>
      <c r="AX252">
        <v>249</v>
      </c>
      <c r="AY252" s="4">
        <f t="shared" si="28"/>
        <v>42937</v>
      </c>
      <c r="AZ252" s="6">
        <f t="shared" si="29"/>
        <v>0.31723280762563366</v>
      </c>
      <c r="BA252" s="4">
        <v>42937</v>
      </c>
      <c r="BB252" s="6">
        <v>0.49333199999999999</v>
      </c>
      <c r="BC252" s="6">
        <v>-0.79025400000000001</v>
      </c>
      <c r="BD252" s="6">
        <v>-1.5854010000000001</v>
      </c>
      <c r="BE252" s="6">
        <v>2.5379209999999999</v>
      </c>
      <c r="BF252" s="6">
        <v>-2.6268919999999998</v>
      </c>
      <c r="BG252" s="6">
        <v>-0.17328199999999999</v>
      </c>
      <c r="BH252" s="6">
        <v>-2.5698129999999999</v>
      </c>
      <c r="BI252" s="6">
        <v>3.5665179999999999</v>
      </c>
      <c r="BJ252" s="6">
        <v>-0.13162199999999999</v>
      </c>
      <c r="BK252" s="6">
        <v>-1.893035</v>
      </c>
      <c r="BL252" s="4">
        <v>42937</v>
      </c>
      <c r="BM252" s="6">
        <f>VLOOKUP(BL252,Sheet1!$A$2:$E$1114,2,FALSE)</f>
        <v>2.2464310810160582</v>
      </c>
      <c r="BN252" s="6">
        <f t="shared" si="31"/>
        <v>0.31723280762563366</v>
      </c>
    </row>
    <row r="253" spans="31:66" x14ac:dyDescent="0.3">
      <c r="AE253">
        <f t="shared" si="33"/>
        <v>224</v>
      </c>
      <c r="AG253" s="13">
        <f t="shared" si="32"/>
        <v>0</v>
      </c>
      <c r="AH253" s="13"/>
      <c r="AI253" s="13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W253">
        <f t="shared" si="30"/>
        <v>0</v>
      </c>
      <c r="AX253">
        <v>250</v>
      </c>
      <c r="AY253" s="4">
        <f t="shared" si="28"/>
        <v>42944</v>
      </c>
      <c r="AZ253" s="6">
        <f t="shared" si="29"/>
        <v>0.2760743152330658</v>
      </c>
      <c r="BA253" s="4">
        <v>42944</v>
      </c>
      <c r="BB253" s="6">
        <v>-3.5404999999999999E-2</v>
      </c>
      <c r="BC253" s="6">
        <v>0.58581099999999997</v>
      </c>
      <c r="BD253" s="6">
        <v>0.36300500000000002</v>
      </c>
      <c r="BE253" s="6">
        <v>1.445595</v>
      </c>
      <c r="BF253" s="6">
        <v>2.081636</v>
      </c>
      <c r="BG253" s="6">
        <v>1.8479680000000001</v>
      </c>
      <c r="BH253" s="6">
        <v>0.180589</v>
      </c>
      <c r="BI253" s="6">
        <v>-1.3590230000000001</v>
      </c>
      <c r="BJ253" s="6">
        <v>0.55391299999999999</v>
      </c>
      <c r="BK253" s="6">
        <v>0.77735900000000002</v>
      </c>
      <c r="BL253" s="4">
        <v>42944</v>
      </c>
      <c r="BM253" s="6">
        <f>VLOOKUP(BL253,Sheet1!$A$2:$E$1114,2,FALSE)</f>
        <v>2.2526329002401559</v>
      </c>
      <c r="BN253" s="6">
        <f t="shared" si="31"/>
        <v>0.2760743152330658</v>
      </c>
    </row>
    <row r="254" spans="31:66" x14ac:dyDescent="0.3">
      <c r="AE254">
        <f t="shared" si="33"/>
        <v>225</v>
      </c>
      <c r="AG254" s="13">
        <f t="shared" si="32"/>
        <v>0</v>
      </c>
      <c r="AH254" s="13"/>
      <c r="AI254" s="13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W254">
        <f t="shared" si="30"/>
        <v>0</v>
      </c>
      <c r="AX254">
        <v>251</v>
      </c>
      <c r="AY254" s="4">
        <f t="shared" si="28"/>
        <v>42951</v>
      </c>
      <c r="AZ254" s="6">
        <f t="shared" si="29"/>
        <v>8.0154921988384586E-2</v>
      </c>
      <c r="BA254" s="4">
        <v>42951</v>
      </c>
      <c r="BB254" s="6">
        <v>-6.2032999999999998E-2</v>
      </c>
      <c r="BC254" s="6">
        <v>-0.230685</v>
      </c>
      <c r="BD254" s="6">
        <v>-1.659483</v>
      </c>
      <c r="BE254" s="6">
        <v>3.3120630000000002</v>
      </c>
      <c r="BF254" s="6">
        <v>-1.478599</v>
      </c>
      <c r="BG254" s="6">
        <v>-1.0781179999999999</v>
      </c>
      <c r="BH254" s="6">
        <v>-0.70320499999999997</v>
      </c>
      <c r="BI254" s="6">
        <v>2.0985839999999998</v>
      </c>
      <c r="BJ254" s="6">
        <v>-0.50478199999999995</v>
      </c>
      <c r="BK254" s="6">
        <v>-1.267568</v>
      </c>
      <c r="BL254" s="4">
        <v>42951</v>
      </c>
      <c r="BM254" s="6">
        <f>VLOOKUP(BL254,Sheet1!$A$2:$E$1114,2,FALSE)</f>
        <v>2.254438496384028</v>
      </c>
      <c r="BN254" s="6">
        <f t="shared" si="31"/>
        <v>8.0154921988384586E-2</v>
      </c>
    </row>
    <row r="255" spans="31:66" x14ac:dyDescent="0.3">
      <c r="AE255">
        <f t="shared" si="33"/>
        <v>226</v>
      </c>
      <c r="AG255" s="13">
        <f t="shared" si="32"/>
        <v>0</v>
      </c>
      <c r="AH255" s="13"/>
      <c r="AI255" s="13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W255">
        <f t="shared" si="30"/>
        <v>0</v>
      </c>
      <c r="AX255">
        <v>252</v>
      </c>
      <c r="AY255" s="4">
        <f t="shared" si="28"/>
        <v>42958</v>
      </c>
      <c r="AZ255" s="6">
        <f t="shared" si="29"/>
        <v>-1.3450791437552456</v>
      </c>
      <c r="BA255" s="4">
        <v>42958</v>
      </c>
      <c r="BB255" s="6">
        <v>-3.5977700000000001</v>
      </c>
      <c r="BC255" s="6">
        <v>-1.3602110000000001</v>
      </c>
      <c r="BD255" s="6">
        <v>-0.68785200000000002</v>
      </c>
      <c r="BE255" s="6">
        <v>-2.6183709999999998</v>
      </c>
      <c r="BF255" s="6">
        <v>0.207373</v>
      </c>
      <c r="BG255" s="6">
        <v>2.6529180000000001</v>
      </c>
      <c r="BH255" s="6">
        <v>1.7966310000000001</v>
      </c>
      <c r="BI255" s="6">
        <v>-2.423397</v>
      </c>
      <c r="BJ255" s="6">
        <v>-1.1490229999999999</v>
      </c>
      <c r="BK255" s="6">
        <v>0.13786699999999999</v>
      </c>
      <c r="BL255" s="4">
        <v>42958</v>
      </c>
      <c r="BM255" s="6">
        <f>VLOOKUP(BL255,Sheet1!$A$2:$E$1114,2,FALSE)</f>
        <v>2.2241145143603771</v>
      </c>
      <c r="BN255" s="6">
        <f t="shared" si="31"/>
        <v>-1.3450791437552456</v>
      </c>
    </row>
    <row r="256" spans="31:66" x14ac:dyDescent="0.3">
      <c r="AE256">
        <f t="shared" si="33"/>
        <v>227</v>
      </c>
      <c r="AG256" s="13">
        <f t="shared" si="32"/>
        <v>0</v>
      </c>
      <c r="AH256" s="13"/>
      <c r="AI256" s="13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W256">
        <f t="shared" si="30"/>
        <v>0</v>
      </c>
      <c r="AX256">
        <v>253</v>
      </c>
      <c r="AY256" s="4">
        <f t="shared" si="28"/>
        <v>42965</v>
      </c>
      <c r="AZ256" s="6">
        <f t="shared" si="29"/>
        <v>2.2791487282030953</v>
      </c>
      <c r="BA256" s="4">
        <v>42965</v>
      </c>
      <c r="BB256" s="6">
        <v>2.0212150000000002</v>
      </c>
      <c r="BC256" s="6">
        <v>2.9574630000000002</v>
      </c>
      <c r="BD256" s="6">
        <v>2.065753</v>
      </c>
      <c r="BE256" s="6">
        <v>1.6553709999999999</v>
      </c>
      <c r="BF256" s="6">
        <v>6.2672150000000002</v>
      </c>
      <c r="BG256" s="6">
        <v>1.234818</v>
      </c>
      <c r="BH256" s="6">
        <v>1.7259599999999999</v>
      </c>
      <c r="BI256" s="6">
        <v>1.4204239999999999</v>
      </c>
      <c r="BJ256" s="6">
        <v>2.253317</v>
      </c>
      <c r="BK256" s="6">
        <v>4.0945989999999997</v>
      </c>
      <c r="BL256" s="4">
        <v>42965</v>
      </c>
      <c r="BM256" s="6">
        <f>VLOOKUP(BL256,Sheet1!$A$2:$E$1114,2,FALSE)</f>
        <v>2.2748053920282021</v>
      </c>
      <c r="BN256" s="6">
        <f t="shared" si="31"/>
        <v>2.2791487282030953</v>
      </c>
    </row>
    <row r="257" spans="31:66" x14ac:dyDescent="0.3">
      <c r="AE257">
        <f t="shared" si="33"/>
        <v>228</v>
      </c>
      <c r="AG257" s="13">
        <f t="shared" si="32"/>
        <v>0</v>
      </c>
      <c r="AH257" s="13"/>
      <c r="AI257" s="13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W257">
        <f t="shared" si="30"/>
        <v>0</v>
      </c>
      <c r="AX257">
        <v>254</v>
      </c>
      <c r="AY257" s="4">
        <f t="shared" si="28"/>
        <v>42972</v>
      </c>
      <c r="AZ257" s="6">
        <f t="shared" si="29"/>
        <v>1.2639377726538781</v>
      </c>
      <c r="BA257" s="4">
        <v>42972</v>
      </c>
      <c r="BB257" s="6">
        <v>3.6210779999999998</v>
      </c>
      <c r="BC257" s="6">
        <v>-0.115162</v>
      </c>
      <c r="BD257" s="6">
        <v>0.73175199999999996</v>
      </c>
      <c r="BE257" s="6">
        <v>0.55725000000000002</v>
      </c>
      <c r="BF257" s="6">
        <v>-0.28759099999999999</v>
      </c>
      <c r="BG257" s="6">
        <v>-0.294931</v>
      </c>
      <c r="BH257" s="6">
        <v>-0.39735500000000001</v>
      </c>
      <c r="BI257" s="6">
        <v>1.224521</v>
      </c>
      <c r="BJ257" s="6">
        <v>-0.48134700000000002</v>
      </c>
      <c r="BK257" s="6">
        <v>0.60095399999999999</v>
      </c>
      <c r="BL257" s="4">
        <v>42972</v>
      </c>
      <c r="BM257" s="6">
        <f>VLOOKUP(BL257,Sheet1!$A$2:$E$1114,2,FALSE)</f>
        <v>2.3035575166324138</v>
      </c>
      <c r="BN257" s="6">
        <f t="shared" si="31"/>
        <v>1.2639377726538781</v>
      </c>
    </row>
    <row r="258" spans="31:66" x14ac:dyDescent="0.3">
      <c r="AE258">
        <f t="shared" si="33"/>
        <v>229</v>
      </c>
      <c r="AG258" s="13">
        <f t="shared" si="32"/>
        <v>0</v>
      </c>
      <c r="AH258" s="13"/>
      <c r="AI258" s="13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W258">
        <f t="shared" si="30"/>
        <v>0</v>
      </c>
      <c r="AX258">
        <v>255</v>
      </c>
      <c r="AY258" s="4">
        <f t="shared" si="28"/>
        <v>42979</v>
      </c>
      <c r="AZ258" s="6">
        <f t="shared" si="29"/>
        <v>2.0726827503085854</v>
      </c>
      <c r="BA258" s="4">
        <v>42979</v>
      </c>
      <c r="BB258" s="6">
        <v>0.85604899999999995</v>
      </c>
      <c r="BC258" s="6">
        <v>1.2479769999999999</v>
      </c>
      <c r="BD258" s="6">
        <v>0.24904000000000001</v>
      </c>
      <c r="BE258" s="6">
        <v>4.6767029999999998</v>
      </c>
      <c r="BF258" s="6">
        <v>3.3765360000000002</v>
      </c>
      <c r="BG258" s="6">
        <v>1.719122</v>
      </c>
      <c r="BH258" s="6">
        <v>0.64220200000000005</v>
      </c>
      <c r="BI258" s="6">
        <v>5.2917160000000001</v>
      </c>
      <c r="BJ258" s="6">
        <v>1.167192</v>
      </c>
      <c r="BK258" s="6">
        <v>0.98685400000000001</v>
      </c>
      <c r="BL258" s="4">
        <v>42979</v>
      </c>
      <c r="BM258" s="6">
        <f>VLOOKUP(BL258,Sheet1!$A$2:$E$1114,2,FALSE)</f>
        <v>2.3513029559230909</v>
      </c>
      <c r="BN258" s="6">
        <f t="shared" si="31"/>
        <v>2.0726827503085854</v>
      </c>
    </row>
    <row r="259" spans="31:66" x14ac:dyDescent="0.3">
      <c r="AE259">
        <f t="shared" si="33"/>
        <v>230</v>
      </c>
      <c r="AG259" s="13">
        <f t="shared" si="32"/>
        <v>0</v>
      </c>
      <c r="AH259" s="13"/>
      <c r="AI259" s="13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W259">
        <f t="shared" si="30"/>
        <v>0</v>
      </c>
      <c r="AX259">
        <v>256</v>
      </c>
      <c r="AY259" s="4">
        <f t="shared" si="28"/>
        <v>42986</v>
      </c>
      <c r="AZ259" s="6">
        <f t="shared" si="29"/>
        <v>2.3529451232517928E-3</v>
      </c>
      <c r="BA259" s="4">
        <v>42986</v>
      </c>
      <c r="BB259" s="6">
        <v>-1.2933E-2</v>
      </c>
      <c r="BC259" s="6">
        <v>0.82052099999999994</v>
      </c>
      <c r="BD259" s="6">
        <v>0.42651600000000001</v>
      </c>
      <c r="BE259" s="6">
        <v>0.52082200000000001</v>
      </c>
      <c r="BF259" s="6">
        <v>1.500578</v>
      </c>
      <c r="BG259" s="6">
        <v>-1.524481</v>
      </c>
      <c r="BH259" s="6">
        <v>1.351281</v>
      </c>
      <c r="BI259" s="6">
        <v>-0.49836000000000003</v>
      </c>
      <c r="BJ259" s="6">
        <v>-1.0244660000000001</v>
      </c>
      <c r="BK259" s="6">
        <v>0.92129499999999998</v>
      </c>
      <c r="BL259" s="4">
        <v>42986</v>
      </c>
      <c r="BM259" s="6">
        <f>VLOOKUP(BL259,Sheet1!$A$2:$E$1114,2,FALSE)</f>
        <v>2.3513582807913251</v>
      </c>
      <c r="BN259" s="6">
        <f t="shared" si="31"/>
        <v>2.3529451232517928E-3</v>
      </c>
    </row>
    <row r="260" spans="31:66" x14ac:dyDescent="0.3">
      <c r="AE260">
        <f t="shared" si="33"/>
        <v>231</v>
      </c>
      <c r="AG260" s="13">
        <f t="shared" si="32"/>
        <v>0</v>
      </c>
      <c r="AH260" s="13"/>
      <c r="AI260" s="13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W260">
        <f t="shared" si="30"/>
        <v>0</v>
      </c>
      <c r="AX260">
        <v>257</v>
      </c>
      <c r="AY260" s="4">
        <f t="shared" si="28"/>
        <v>42993</v>
      </c>
      <c r="AZ260" s="6">
        <f t="shared" si="29"/>
        <v>0.25154270411744672</v>
      </c>
      <c r="BA260" s="4">
        <v>42993</v>
      </c>
      <c r="BB260" s="6">
        <v>2.7976000000000001E-2</v>
      </c>
      <c r="BC260" s="6">
        <v>1.0528679999999999</v>
      </c>
      <c r="BD260" s="6">
        <v>1.3601350000000001</v>
      </c>
      <c r="BE260" s="6">
        <v>-9.6574999999999994E-2</v>
      </c>
      <c r="BF260" s="6">
        <v>-0.92025199999999996</v>
      </c>
      <c r="BG260" s="6">
        <v>2.645921</v>
      </c>
      <c r="BH260" s="6">
        <v>-0.26640900000000001</v>
      </c>
      <c r="BI260" s="6">
        <v>-2.3518889999999999</v>
      </c>
      <c r="BJ260" s="6">
        <v>-0.63790199999999997</v>
      </c>
      <c r="BK260" s="6">
        <v>-7.4339000000000002E-2</v>
      </c>
      <c r="BL260" s="4">
        <v>42993</v>
      </c>
      <c r="BM260" s="6">
        <f>VLOOKUP(BL260,Sheet1!$A$2:$E$1114,2,FALSE)</f>
        <v>2.3572729509943171</v>
      </c>
      <c r="BN260" s="6">
        <f t="shared" si="31"/>
        <v>0.25154270411744672</v>
      </c>
    </row>
    <row r="261" spans="31:66" x14ac:dyDescent="0.3">
      <c r="AE261">
        <f t="shared" si="33"/>
        <v>232</v>
      </c>
      <c r="AG261" s="13">
        <f t="shared" si="32"/>
        <v>0</v>
      </c>
      <c r="AH261" s="13"/>
      <c r="AI261" s="13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W261">
        <f t="shared" si="30"/>
        <v>0</v>
      </c>
      <c r="AX261">
        <v>258</v>
      </c>
      <c r="AY261" s="4">
        <f t="shared" ref="AY261:AY324" si="34">BA261</f>
        <v>43000</v>
      </c>
      <c r="AZ261" s="6">
        <f t="shared" ref="AZ261:AZ324" si="35">BN261</f>
        <v>2.89027990925117E-3</v>
      </c>
      <c r="BA261" s="4">
        <v>43000</v>
      </c>
      <c r="BB261" s="6">
        <v>-8.7117E-2</v>
      </c>
      <c r="BC261" s="6">
        <v>-1.0968340000000001</v>
      </c>
      <c r="BD261" s="6">
        <v>1.123062</v>
      </c>
      <c r="BE261" s="6">
        <v>-1.5210049999999999</v>
      </c>
      <c r="BF261" s="6">
        <v>1.1365E-2</v>
      </c>
      <c r="BG261" s="6">
        <v>1.215695</v>
      </c>
      <c r="BH261" s="6">
        <v>-0.28906700000000002</v>
      </c>
      <c r="BI261" s="6">
        <v>-0.71440000000000003</v>
      </c>
      <c r="BJ261" s="6">
        <v>-0.89507999999999999</v>
      </c>
      <c r="BK261" s="6">
        <v>4.0374340000000002</v>
      </c>
      <c r="BL261" s="4">
        <v>43000</v>
      </c>
      <c r="BM261" s="6">
        <f>VLOOKUP(BL261,Sheet1!$A$2:$E$1114,2,FALSE)</f>
        <v>2.3573410827808261</v>
      </c>
      <c r="BN261" s="6">
        <f t="shared" si="31"/>
        <v>2.89027990925117E-3</v>
      </c>
    </row>
    <row r="262" spans="31:66" x14ac:dyDescent="0.3">
      <c r="AE262">
        <f t="shared" si="33"/>
        <v>233</v>
      </c>
      <c r="AG262" s="13">
        <f t="shared" si="32"/>
        <v>0</v>
      </c>
      <c r="AH262" s="13"/>
      <c r="AI262" s="13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W262">
        <f t="shared" ref="AW262:AW325" si="36">IF(AY262&lt;=AY261,1,0)</f>
        <v>0</v>
      </c>
      <c r="AX262">
        <v>259</v>
      </c>
      <c r="AY262" s="4">
        <f t="shared" si="34"/>
        <v>43007</v>
      </c>
      <c r="AZ262" s="6">
        <f t="shared" si="35"/>
        <v>0.70997253635514124</v>
      </c>
      <c r="BA262" s="4">
        <v>43007</v>
      </c>
      <c r="BB262" s="6">
        <v>-1.3950260000000001</v>
      </c>
      <c r="BC262" s="6">
        <v>-0.311946</v>
      </c>
      <c r="BD262" s="6">
        <v>-3.4638000000000002E-2</v>
      </c>
      <c r="BE262" s="6">
        <v>0.38783800000000002</v>
      </c>
      <c r="BF262" s="6">
        <v>0.86874499999999999</v>
      </c>
      <c r="BG262" s="6">
        <v>2.0348890000000002</v>
      </c>
      <c r="BH262" s="6">
        <v>0.95590200000000003</v>
      </c>
      <c r="BI262" s="6">
        <v>4.6278E-2</v>
      </c>
      <c r="BJ262" s="6">
        <v>-0.66473000000000004</v>
      </c>
      <c r="BK262" s="6">
        <v>3.176021</v>
      </c>
      <c r="BL262" s="4">
        <v>43007</v>
      </c>
      <c r="BM262" s="6">
        <f>VLOOKUP(BL262,Sheet1!$A$2:$E$1114,2,FALSE)</f>
        <v>2.3740775570567871</v>
      </c>
      <c r="BN262" s="6">
        <f t="shared" ref="BN262:BN325" si="37">(BM262/BM261-1)*100</f>
        <v>0.70997253635514124</v>
      </c>
    </row>
    <row r="263" spans="31:66" x14ac:dyDescent="0.3">
      <c r="AE263">
        <f t="shared" si="33"/>
        <v>234</v>
      </c>
      <c r="AG263" s="13">
        <f t="shared" si="32"/>
        <v>0</v>
      </c>
      <c r="AH263" s="13"/>
      <c r="AI263" s="13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W263">
        <f t="shared" si="36"/>
        <v>0</v>
      </c>
      <c r="AX263">
        <v>260</v>
      </c>
      <c r="AY263" s="4">
        <f t="shared" si="34"/>
        <v>43021</v>
      </c>
      <c r="AZ263" s="6">
        <f t="shared" si="35"/>
        <v>1.6175631511718302</v>
      </c>
      <c r="BA263" s="4">
        <v>43021</v>
      </c>
      <c r="BB263" s="6">
        <v>1.167556</v>
      </c>
      <c r="BC263" s="6">
        <v>1.7148639999999999</v>
      </c>
      <c r="BD263" s="6">
        <v>3.0004040000000001</v>
      </c>
      <c r="BE263" s="6">
        <v>-7.2300000000000003E-2</v>
      </c>
      <c r="BF263" s="6">
        <v>3.1798289999999998</v>
      </c>
      <c r="BG263" s="6">
        <v>4.0076169999999998</v>
      </c>
      <c r="BH263" s="6">
        <v>4.2017350000000002</v>
      </c>
      <c r="BI263" s="6">
        <v>-1.3129949999999999</v>
      </c>
      <c r="BJ263" s="6">
        <v>2.0190419999999998</v>
      </c>
      <c r="BK263" s="6">
        <v>0.72515499999999999</v>
      </c>
      <c r="BL263" s="4">
        <v>43021</v>
      </c>
      <c r="BM263" s="6">
        <f>VLOOKUP(BL263,Sheet1!$A$2:$E$1114,2,FALSE)</f>
        <v>2.4124797607999779</v>
      </c>
      <c r="BN263" s="6">
        <f t="shared" si="37"/>
        <v>1.6175631511718302</v>
      </c>
    </row>
    <row r="264" spans="31:66" x14ac:dyDescent="0.3">
      <c r="AE264">
        <f t="shared" si="33"/>
        <v>235</v>
      </c>
      <c r="AG264" s="13">
        <f t="shared" si="32"/>
        <v>0</v>
      </c>
      <c r="AH264" s="13"/>
      <c r="AI264" s="13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W264">
        <f t="shared" si="36"/>
        <v>0</v>
      </c>
      <c r="AX264">
        <v>261</v>
      </c>
      <c r="AY264" s="4">
        <f t="shared" si="34"/>
        <v>43028</v>
      </c>
      <c r="AZ264" s="6">
        <f t="shared" si="35"/>
        <v>-0.4491150270006794</v>
      </c>
      <c r="BA264" s="4">
        <v>43028</v>
      </c>
      <c r="BB264" s="6">
        <v>-0.258461</v>
      </c>
      <c r="BC264" s="6">
        <v>-1.428849</v>
      </c>
      <c r="BD264" s="6">
        <v>-1.2054339999999999</v>
      </c>
      <c r="BE264" s="6">
        <v>-2.143081</v>
      </c>
      <c r="BF264" s="6">
        <v>-2.872017</v>
      </c>
      <c r="BG264" s="6">
        <v>0.79446600000000001</v>
      </c>
      <c r="BH264" s="6">
        <v>0.42469299999999999</v>
      </c>
      <c r="BI264" s="6">
        <v>-2.5790609999999998</v>
      </c>
      <c r="BJ264" s="6">
        <v>-1.6664099999999999</v>
      </c>
      <c r="BK264" s="6">
        <v>-3.183106</v>
      </c>
      <c r="BL264" s="4">
        <v>43028</v>
      </c>
      <c r="BM264" s="6">
        <f>VLOOKUP(BL264,Sheet1!$A$2:$E$1114,2,FALSE)</f>
        <v>2.4016449516708751</v>
      </c>
      <c r="BN264" s="6">
        <f t="shared" si="37"/>
        <v>-0.4491150270006794</v>
      </c>
    </row>
    <row r="265" spans="31:66" x14ac:dyDescent="0.3">
      <c r="AE265">
        <f t="shared" si="33"/>
        <v>236</v>
      </c>
      <c r="AG265" s="13">
        <f t="shared" si="32"/>
        <v>0</v>
      </c>
      <c r="AH265" s="13"/>
      <c r="AI265" s="13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W265">
        <f t="shared" si="36"/>
        <v>0</v>
      </c>
      <c r="AX265">
        <v>262</v>
      </c>
      <c r="AY265" s="4">
        <f t="shared" si="34"/>
        <v>43035</v>
      </c>
      <c r="AZ265" s="6">
        <f t="shared" si="35"/>
        <v>1.8217142717041668</v>
      </c>
      <c r="BA265" s="4">
        <v>43035</v>
      </c>
      <c r="BB265" s="6">
        <v>1.6976100000000001</v>
      </c>
      <c r="BC265" s="6">
        <v>0.82194599999999995</v>
      </c>
      <c r="BD265" s="6">
        <v>1.6075839999999999</v>
      </c>
      <c r="BE265" s="6">
        <v>0.29183999999999999</v>
      </c>
      <c r="BF265" s="6">
        <v>1.3486290000000001</v>
      </c>
      <c r="BG265" s="6">
        <v>4.0496309999999998</v>
      </c>
      <c r="BH265" s="6">
        <v>1.8433660000000001</v>
      </c>
      <c r="BI265" s="6">
        <v>0.57915300000000003</v>
      </c>
      <c r="BJ265" s="6">
        <v>0.35051300000000002</v>
      </c>
      <c r="BK265" s="6">
        <v>2.585413</v>
      </c>
      <c r="BL265" s="4">
        <v>43035</v>
      </c>
      <c r="BM265" s="6">
        <f>VLOOKUP(BL265,Sheet1!$A$2:$E$1114,2,FALSE)</f>
        <v>2.445396060511126</v>
      </c>
      <c r="BN265" s="6">
        <f t="shared" si="37"/>
        <v>1.8217142717041668</v>
      </c>
    </row>
    <row r="266" spans="31:66" x14ac:dyDescent="0.3">
      <c r="AE266">
        <f t="shared" si="33"/>
        <v>237</v>
      </c>
      <c r="AG266" s="13">
        <f t="shared" si="32"/>
        <v>0</v>
      </c>
      <c r="AH266" s="13"/>
      <c r="AI266" s="13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W266">
        <f t="shared" si="36"/>
        <v>0</v>
      </c>
      <c r="AX266">
        <v>263</v>
      </c>
      <c r="AY266" s="4">
        <f t="shared" si="34"/>
        <v>43042</v>
      </c>
      <c r="AZ266" s="6">
        <f t="shared" si="35"/>
        <v>-1.7430437253115882</v>
      </c>
      <c r="BA266" s="4">
        <v>43042</v>
      </c>
      <c r="BB266" s="6">
        <v>-1.299132</v>
      </c>
      <c r="BC266" s="6">
        <v>-2.2646980000000001</v>
      </c>
      <c r="BD266" s="6">
        <v>-3.2962880000000001</v>
      </c>
      <c r="BE266" s="6">
        <v>-3.6815169999999999</v>
      </c>
      <c r="BF266" s="6">
        <v>-1.306808</v>
      </c>
      <c r="BG266" s="6">
        <v>-0.856796</v>
      </c>
      <c r="BH266" s="6">
        <v>-1.440971</v>
      </c>
      <c r="BI266" s="6">
        <v>-2.135195</v>
      </c>
      <c r="BJ266" s="6">
        <v>-2.0840770000000002</v>
      </c>
      <c r="BK266" s="6">
        <v>-0.47708299999999998</v>
      </c>
      <c r="BL266" s="4">
        <v>43042</v>
      </c>
      <c r="BM266" s="6">
        <f>VLOOKUP(BL266,Sheet1!$A$2:$E$1114,2,FALSE)</f>
        <v>2.40277173791937</v>
      </c>
      <c r="BN266" s="6">
        <f t="shared" si="37"/>
        <v>-1.7430437253115882</v>
      </c>
    </row>
    <row r="267" spans="31:66" x14ac:dyDescent="0.3">
      <c r="AE267">
        <f t="shared" si="33"/>
        <v>238</v>
      </c>
      <c r="AG267" s="13">
        <f t="shared" si="32"/>
        <v>0</v>
      </c>
      <c r="AH267" s="13"/>
      <c r="AI267" s="13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W267">
        <f t="shared" si="36"/>
        <v>0</v>
      </c>
      <c r="AX267">
        <v>264</v>
      </c>
      <c r="AY267" s="4">
        <f t="shared" si="34"/>
        <v>43049</v>
      </c>
      <c r="AZ267" s="6">
        <f t="shared" si="35"/>
        <v>3.2758184195848195</v>
      </c>
      <c r="BA267" s="4">
        <v>43049</v>
      </c>
      <c r="BB267" s="6">
        <v>1.6929080000000001</v>
      </c>
      <c r="BC267" s="6">
        <v>1.825882</v>
      </c>
      <c r="BD267" s="6">
        <v>3.9791829999999999</v>
      </c>
      <c r="BE267" s="6">
        <v>2.0141</v>
      </c>
      <c r="BF267" s="6">
        <v>5.134004</v>
      </c>
      <c r="BG267" s="6">
        <v>4.11226</v>
      </c>
      <c r="BH267" s="6">
        <v>2.8296389999999998</v>
      </c>
      <c r="BI267" s="6">
        <v>2.1026639999999999</v>
      </c>
      <c r="BJ267" s="6">
        <v>1.5302420000000001</v>
      </c>
      <c r="BK267" s="6">
        <v>7.1595529999999998</v>
      </c>
      <c r="BL267" s="4">
        <v>43049</v>
      </c>
      <c r="BM267" s="6">
        <f>VLOOKUP(BL267,Sheet1!$A$2:$E$1114,2,FALSE)</f>
        <v>2.4814821770907112</v>
      </c>
      <c r="BN267" s="6">
        <f t="shared" si="37"/>
        <v>3.2758184195848195</v>
      </c>
    </row>
    <row r="268" spans="31:66" x14ac:dyDescent="0.3">
      <c r="AE268">
        <f t="shared" si="33"/>
        <v>239</v>
      </c>
      <c r="AG268" s="13">
        <f t="shared" si="32"/>
        <v>0</v>
      </c>
      <c r="AH268" s="13"/>
      <c r="AI268" s="13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W268">
        <f t="shared" si="36"/>
        <v>0</v>
      </c>
      <c r="AX268">
        <v>265</v>
      </c>
      <c r="AY268" s="4">
        <f t="shared" si="34"/>
        <v>43056</v>
      </c>
      <c r="AZ268" s="6">
        <f t="shared" si="35"/>
        <v>-1.0601086011289396</v>
      </c>
      <c r="BA268" s="4">
        <v>43056</v>
      </c>
      <c r="BB268" s="6">
        <v>2.392506</v>
      </c>
      <c r="BC268" s="6">
        <v>-4.2338009999999997</v>
      </c>
      <c r="BD268" s="6">
        <v>-3.4476979999999999</v>
      </c>
      <c r="BE268" s="6">
        <v>-3.9099529999999998</v>
      </c>
      <c r="BF268" s="6">
        <v>-4.8874259999999996</v>
      </c>
      <c r="BG268" s="6">
        <v>-1.0520620000000001</v>
      </c>
      <c r="BH268" s="6">
        <v>-1.920293</v>
      </c>
      <c r="BI268" s="6">
        <v>-3.0288520000000001</v>
      </c>
      <c r="BJ268" s="6">
        <v>-2.7999749999999999</v>
      </c>
      <c r="BK268" s="6">
        <v>-2.8164349999999998</v>
      </c>
      <c r="BL268" s="4">
        <v>43056</v>
      </c>
      <c r="BM268" s="6">
        <f>VLOOKUP(BL268,Sheet1!$A$2:$E$1114,2,FALSE)</f>
        <v>2.4551757710958908</v>
      </c>
      <c r="BN268" s="6">
        <f t="shared" si="37"/>
        <v>-1.0601086011289396</v>
      </c>
    </row>
    <row r="269" spans="31:66" x14ac:dyDescent="0.3">
      <c r="AE269">
        <f t="shared" si="33"/>
        <v>240</v>
      </c>
      <c r="AG269" s="13">
        <f t="shared" si="32"/>
        <v>0</v>
      </c>
      <c r="AH269" s="13"/>
      <c r="AI269" s="13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W269">
        <f t="shared" si="36"/>
        <v>0</v>
      </c>
      <c r="AX269">
        <v>266</v>
      </c>
      <c r="AY269" s="4">
        <f t="shared" si="34"/>
        <v>43063</v>
      </c>
      <c r="AZ269" s="6">
        <f t="shared" si="35"/>
        <v>-1.2196827221027218</v>
      </c>
      <c r="BA269" s="4">
        <v>43063</v>
      </c>
      <c r="BB269" s="6">
        <v>1.1869959999999999</v>
      </c>
      <c r="BC269" s="6">
        <v>-0.99302699999999999</v>
      </c>
      <c r="BD269" s="6">
        <v>-1.779053</v>
      </c>
      <c r="BE269" s="6">
        <v>4.2410999999999997E-2</v>
      </c>
      <c r="BF269" s="6">
        <v>-2.5452270000000001</v>
      </c>
      <c r="BG269" s="6">
        <v>-4.7222650000000002</v>
      </c>
      <c r="BH269" s="6">
        <v>-2.7676720000000001</v>
      </c>
      <c r="BI269" s="6">
        <v>1.310667</v>
      </c>
      <c r="BJ269" s="6">
        <v>-0.64444599999999996</v>
      </c>
      <c r="BK269" s="6">
        <v>-1.49E-3</v>
      </c>
      <c r="BL269" s="4">
        <v>43063</v>
      </c>
      <c r="BM269" s="6">
        <f>VLOOKUP(BL269,Sheet1!$A$2:$E$1114,2,FALSE)</f>
        <v>2.4252304164185818</v>
      </c>
      <c r="BN269" s="6">
        <f t="shared" si="37"/>
        <v>-1.2196827221027218</v>
      </c>
    </row>
    <row r="270" spans="31:66" x14ac:dyDescent="0.3">
      <c r="AE270">
        <f t="shared" si="33"/>
        <v>241</v>
      </c>
      <c r="AG270" s="13">
        <f t="shared" si="32"/>
        <v>0</v>
      </c>
      <c r="AH270" s="13"/>
      <c r="AI270" s="13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W270">
        <f t="shared" si="36"/>
        <v>0</v>
      </c>
      <c r="AX270">
        <v>267</v>
      </c>
      <c r="AY270" s="4">
        <f t="shared" si="34"/>
        <v>43070</v>
      </c>
      <c r="AZ270" s="6">
        <f t="shared" si="35"/>
        <v>-1.152744279584017</v>
      </c>
      <c r="BA270" s="4">
        <v>43070</v>
      </c>
      <c r="BB270" s="6">
        <v>-2.9979469999999999</v>
      </c>
      <c r="BC270" s="6">
        <v>-7.1529999999999996E-3</v>
      </c>
      <c r="BD270" s="6">
        <v>-1.801682</v>
      </c>
      <c r="BE270" s="6">
        <v>1.9169320000000001</v>
      </c>
      <c r="BF270" s="6">
        <v>0.26885700000000001</v>
      </c>
      <c r="BG270" s="6">
        <v>-2.5319919999999998</v>
      </c>
      <c r="BH270" s="6">
        <v>-0.64313299999999995</v>
      </c>
      <c r="BI270" s="6">
        <v>0.44575599999999999</v>
      </c>
      <c r="BJ270" s="6">
        <v>-0.84551100000000001</v>
      </c>
      <c r="BK270" s="6">
        <v>-2.2401970000000002</v>
      </c>
      <c r="BL270" s="4">
        <v>43070</v>
      </c>
      <c r="BM270" s="6">
        <f>VLOOKUP(BL270,Sheet1!$A$2:$E$1114,2,FALSE)</f>
        <v>2.397273711526585</v>
      </c>
      <c r="BN270" s="6">
        <f t="shared" si="37"/>
        <v>-1.152744279584017</v>
      </c>
    </row>
    <row r="271" spans="31:66" x14ac:dyDescent="0.3">
      <c r="AE271">
        <f t="shared" si="33"/>
        <v>242</v>
      </c>
      <c r="AG271" s="13">
        <f t="shared" si="32"/>
        <v>0</v>
      </c>
      <c r="AH271" s="13"/>
      <c r="AI271" s="13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W271">
        <f t="shared" si="36"/>
        <v>0</v>
      </c>
      <c r="AX271">
        <v>268</v>
      </c>
      <c r="AY271" s="4">
        <f t="shared" si="34"/>
        <v>43077</v>
      </c>
      <c r="AZ271" s="6">
        <f t="shared" si="35"/>
        <v>-0.65019869564606481</v>
      </c>
      <c r="BA271" s="4">
        <v>43077</v>
      </c>
      <c r="BB271" s="6">
        <v>0.19261</v>
      </c>
      <c r="BC271" s="6">
        <v>-1.608751</v>
      </c>
      <c r="BD271" s="6">
        <v>-0.99753800000000004</v>
      </c>
      <c r="BE271" s="6">
        <v>-2.6994159999999998</v>
      </c>
      <c r="BF271" s="6">
        <v>-0.37304399999999999</v>
      </c>
      <c r="BG271" s="6">
        <v>1.354365</v>
      </c>
      <c r="BH271" s="6">
        <v>-0.401111</v>
      </c>
      <c r="BI271" s="6">
        <v>-2.5694210000000002</v>
      </c>
      <c r="BJ271" s="6">
        <v>-1.0074730000000001</v>
      </c>
      <c r="BK271" s="6">
        <v>-0.80069400000000002</v>
      </c>
      <c r="BL271" s="4">
        <v>43077</v>
      </c>
      <c r="BM271" s="6">
        <f>VLOOKUP(BL271,Sheet1!$A$2:$E$1114,2,FALSE)</f>
        <v>2.3816866691231731</v>
      </c>
      <c r="BN271" s="6">
        <f t="shared" si="37"/>
        <v>-0.65019869564606481</v>
      </c>
    </row>
    <row r="272" spans="31:66" x14ac:dyDescent="0.3">
      <c r="AE272">
        <f t="shared" si="33"/>
        <v>243</v>
      </c>
      <c r="AG272" s="13">
        <f t="shared" si="32"/>
        <v>0</v>
      </c>
      <c r="AH272" s="13"/>
      <c r="AI272" s="13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W272">
        <f t="shared" si="36"/>
        <v>0</v>
      </c>
      <c r="AX272">
        <v>269</v>
      </c>
      <c r="AY272" s="4">
        <f t="shared" si="34"/>
        <v>43084</v>
      </c>
      <c r="AZ272" s="6">
        <f t="shared" si="35"/>
        <v>-0.16099378883498439</v>
      </c>
      <c r="BA272" s="4">
        <v>43084</v>
      </c>
      <c r="BB272" s="6">
        <v>-2.3239519999999998</v>
      </c>
      <c r="BC272" s="6">
        <v>-5.7990000000000003E-3</v>
      </c>
      <c r="BD272" s="6">
        <v>1.411543</v>
      </c>
      <c r="BE272" s="6">
        <v>-0.202121</v>
      </c>
      <c r="BF272" s="6">
        <v>0.200099</v>
      </c>
      <c r="BG272" s="6">
        <v>3.1272280000000001</v>
      </c>
      <c r="BH272" s="6">
        <v>1.2154590000000001</v>
      </c>
      <c r="BI272" s="6">
        <v>-1.1998530000000001</v>
      </c>
      <c r="BJ272" s="6">
        <v>-0.30006899999999997</v>
      </c>
      <c r="BK272" s="6">
        <v>0.109345</v>
      </c>
      <c r="BL272" s="4">
        <v>43084</v>
      </c>
      <c r="BM272" s="6">
        <f>VLOOKUP(BL272,Sheet1!$A$2:$E$1114,2,FALSE)</f>
        <v>2.3778523015163739</v>
      </c>
      <c r="BN272" s="6">
        <f t="shared" si="37"/>
        <v>-0.16099378883498439</v>
      </c>
    </row>
    <row r="273" spans="31:66" x14ac:dyDescent="0.3">
      <c r="AE273">
        <f t="shared" si="33"/>
        <v>244</v>
      </c>
      <c r="AG273" s="13">
        <f t="shared" si="32"/>
        <v>0</v>
      </c>
      <c r="AH273" s="13"/>
      <c r="AI273" s="13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W273">
        <f t="shared" si="36"/>
        <v>0</v>
      </c>
      <c r="AX273">
        <v>270</v>
      </c>
      <c r="AY273" s="4">
        <f t="shared" si="34"/>
        <v>43091</v>
      </c>
      <c r="AZ273" s="6">
        <f t="shared" si="35"/>
        <v>1.7990047113810803</v>
      </c>
      <c r="BA273" s="4">
        <v>43091</v>
      </c>
      <c r="BB273" s="6">
        <v>1.1467499999999999</v>
      </c>
      <c r="BC273" s="6">
        <v>-0.17899799999999999</v>
      </c>
      <c r="BD273" s="6">
        <v>0.28498600000000002</v>
      </c>
      <c r="BE273" s="6">
        <v>0.33372000000000002</v>
      </c>
      <c r="BF273" s="6">
        <v>-0.73621300000000001</v>
      </c>
      <c r="BG273" s="6">
        <v>3.0821939999999999</v>
      </c>
      <c r="BH273" s="6">
        <v>1.1066739999999999</v>
      </c>
      <c r="BI273" s="6">
        <v>3.5050780000000001</v>
      </c>
      <c r="BJ273" s="6">
        <v>0.28837099999999999</v>
      </c>
      <c r="BK273" s="6">
        <v>0.415184</v>
      </c>
      <c r="BL273" s="4">
        <v>43091</v>
      </c>
      <c r="BM273" s="6">
        <f>VLOOKUP(BL273,Sheet1!$A$2:$E$1114,2,FALSE)</f>
        <v>2.420629976450337</v>
      </c>
      <c r="BN273" s="6">
        <f t="shared" si="37"/>
        <v>1.7990047113810803</v>
      </c>
    </row>
    <row r="274" spans="31:66" x14ac:dyDescent="0.3">
      <c r="AE274">
        <f t="shared" si="33"/>
        <v>245</v>
      </c>
      <c r="AG274" s="13">
        <f t="shared" si="32"/>
        <v>0</v>
      </c>
      <c r="AH274" s="13"/>
      <c r="AI274" s="13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W274">
        <f t="shared" si="36"/>
        <v>0</v>
      </c>
      <c r="AX274">
        <v>271</v>
      </c>
      <c r="AY274" s="4">
        <f t="shared" si="34"/>
        <v>43098</v>
      </c>
      <c r="AZ274" s="6">
        <f t="shared" si="35"/>
        <v>-0.30924112645348556</v>
      </c>
      <c r="BA274" s="4">
        <v>43098</v>
      </c>
      <c r="BB274" s="6">
        <v>-0.41543400000000003</v>
      </c>
      <c r="BC274" s="6">
        <v>6.6649999999999999E-3</v>
      </c>
      <c r="BD274" s="6">
        <v>0.215866</v>
      </c>
      <c r="BE274" s="6">
        <v>1.5561780000000001</v>
      </c>
      <c r="BF274" s="6">
        <v>-1.984966</v>
      </c>
      <c r="BG274" s="6">
        <v>-0.76702000000000004</v>
      </c>
      <c r="BH274" s="6">
        <v>-0.51004799999999995</v>
      </c>
      <c r="BI274" s="6">
        <v>0.48227700000000001</v>
      </c>
      <c r="BJ274" s="6">
        <v>-1.3979090000000001</v>
      </c>
      <c r="BK274" s="6">
        <v>-2.6182850000000002</v>
      </c>
      <c r="BL274" s="4">
        <v>43098</v>
      </c>
      <c r="BM274" s="6">
        <f>VLOOKUP(BL274,Sheet1!$A$2:$E$1114,2,FALSE)</f>
        <v>2.4131443930438912</v>
      </c>
      <c r="BN274" s="6">
        <f t="shared" si="37"/>
        <v>-0.30924112645348556</v>
      </c>
    </row>
    <row r="275" spans="31:66" x14ac:dyDescent="0.3">
      <c r="AE275">
        <f t="shared" si="33"/>
        <v>246</v>
      </c>
      <c r="AG275" s="13">
        <f t="shared" si="32"/>
        <v>0</v>
      </c>
      <c r="AH275" s="13"/>
      <c r="AI275" s="13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W275">
        <f t="shared" si="36"/>
        <v>0</v>
      </c>
      <c r="AX275">
        <v>272</v>
      </c>
      <c r="AY275" s="4">
        <f t="shared" si="34"/>
        <v>43105</v>
      </c>
      <c r="AZ275" s="6">
        <f t="shared" si="35"/>
        <v>1.9275758639155649</v>
      </c>
      <c r="BA275" s="4">
        <v>43105</v>
      </c>
      <c r="BB275" s="6">
        <v>2.8345720000000001</v>
      </c>
      <c r="BC275" s="6">
        <v>2.1710430000000001</v>
      </c>
      <c r="BD275" s="6">
        <v>2.043555</v>
      </c>
      <c r="BE275" s="6">
        <v>3.9075929999999999</v>
      </c>
      <c r="BF275" s="6">
        <v>1.2947439999999999</v>
      </c>
      <c r="BG275" s="6">
        <v>3.3212000000000002</v>
      </c>
      <c r="BH275" s="6">
        <v>1.5071699999999999</v>
      </c>
      <c r="BI275" s="6">
        <v>5.7475639999999997</v>
      </c>
      <c r="BJ275" s="6">
        <v>2.2931349999999999</v>
      </c>
      <c r="BK275" s="6">
        <v>1.5977189999999999</v>
      </c>
      <c r="BL275" s="4">
        <v>43105</v>
      </c>
      <c r="BM275" s="6">
        <f>VLOOKUP(BL275,Sheet1!$A$2:$E$1114,2,FALSE)</f>
        <v>2.4596595819256368</v>
      </c>
      <c r="BN275" s="6">
        <f t="shared" si="37"/>
        <v>1.9275758639155649</v>
      </c>
    </row>
    <row r="276" spans="31:66" x14ac:dyDescent="0.3">
      <c r="AE276">
        <f t="shared" si="33"/>
        <v>247</v>
      </c>
      <c r="AG276" s="13">
        <f t="shared" si="32"/>
        <v>0</v>
      </c>
      <c r="AH276" s="13"/>
      <c r="AI276" s="13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W276">
        <f t="shared" si="36"/>
        <v>0</v>
      </c>
      <c r="AX276">
        <v>273</v>
      </c>
      <c r="AY276" s="4">
        <f t="shared" si="34"/>
        <v>43112</v>
      </c>
      <c r="AZ276" s="6">
        <f t="shared" si="35"/>
        <v>0.75219286455103784</v>
      </c>
      <c r="BA276" s="4">
        <v>43112</v>
      </c>
      <c r="BB276" s="6">
        <v>2.403203</v>
      </c>
      <c r="BC276" s="6">
        <v>-1.422048</v>
      </c>
      <c r="BD276" s="6">
        <v>1.639151</v>
      </c>
      <c r="BE276" s="6">
        <v>-0.64439000000000002</v>
      </c>
      <c r="BF276" s="6">
        <v>0.56211299999999997</v>
      </c>
      <c r="BG276" s="6">
        <v>3.4922309999999999</v>
      </c>
      <c r="BH276" s="6">
        <v>1.1345000000000001</v>
      </c>
      <c r="BI276" s="6">
        <v>0.66651899999999997</v>
      </c>
      <c r="BJ276" s="6">
        <v>-0.62655499999999997</v>
      </c>
      <c r="BK276" s="6">
        <v>-2.5154049999999999</v>
      </c>
      <c r="BL276" s="4">
        <v>43112</v>
      </c>
      <c r="BM276" s="6">
        <f>VLOOKUP(BL276,Sheet1!$A$2:$E$1114,2,FALSE)</f>
        <v>2.4781609657931272</v>
      </c>
      <c r="BN276" s="6">
        <f t="shared" si="37"/>
        <v>0.75219286455103784</v>
      </c>
    </row>
    <row r="277" spans="31:66" x14ac:dyDescent="0.3">
      <c r="AE277">
        <f t="shared" si="33"/>
        <v>248</v>
      </c>
      <c r="AG277" s="13">
        <f t="shared" si="32"/>
        <v>0</v>
      </c>
      <c r="AH277" s="13"/>
      <c r="AI277" s="13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W277">
        <f t="shared" si="36"/>
        <v>0</v>
      </c>
      <c r="AX277">
        <v>274</v>
      </c>
      <c r="AY277" s="4">
        <f t="shared" si="34"/>
        <v>43119</v>
      </c>
      <c r="AZ277" s="6">
        <f t="shared" si="35"/>
        <v>0.4555109217909914</v>
      </c>
      <c r="BA277" s="4">
        <v>43119</v>
      </c>
      <c r="BB277" s="6">
        <v>5.4654850000000001</v>
      </c>
      <c r="BC277" s="6">
        <v>-1.3420270000000001</v>
      </c>
      <c r="BD277" s="6">
        <v>-2.0045380000000002</v>
      </c>
      <c r="BE277" s="6">
        <v>-1.5032810000000001</v>
      </c>
      <c r="BF277" s="6">
        <v>-3.7696559999999999</v>
      </c>
      <c r="BG277" s="6">
        <v>-2.087561</v>
      </c>
      <c r="BH277" s="6">
        <v>-1.6031489999999999</v>
      </c>
      <c r="BI277" s="6">
        <v>-1.0902940000000001</v>
      </c>
      <c r="BJ277" s="6">
        <v>-0.70838800000000002</v>
      </c>
      <c r="BK277" s="6">
        <v>-2.5706199999999999</v>
      </c>
      <c r="BL277" s="4">
        <v>43119</v>
      </c>
      <c r="BM277" s="6">
        <f>VLOOKUP(BL277,Sheet1!$A$2:$E$1114,2,FALSE)</f>
        <v>2.489449259651876</v>
      </c>
      <c r="BN277" s="6">
        <f t="shared" si="37"/>
        <v>0.4555109217909914</v>
      </c>
    </row>
    <row r="278" spans="31:66" x14ac:dyDescent="0.3">
      <c r="AE278">
        <f t="shared" si="33"/>
        <v>249</v>
      </c>
      <c r="AG278" s="13">
        <f t="shared" si="32"/>
        <v>0</v>
      </c>
      <c r="AH278" s="13"/>
      <c r="AI278" s="13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W278">
        <f t="shared" si="36"/>
        <v>0</v>
      </c>
      <c r="AX278">
        <v>275</v>
      </c>
      <c r="AY278" s="4">
        <f t="shared" si="34"/>
        <v>43126</v>
      </c>
      <c r="AZ278" s="6">
        <f t="shared" si="35"/>
        <v>1.8740516255091766</v>
      </c>
      <c r="BA278" s="4">
        <v>43126</v>
      </c>
      <c r="BB278" s="6">
        <v>1.423662</v>
      </c>
      <c r="BC278" s="6">
        <v>1.812746</v>
      </c>
      <c r="BD278" s="6">
        <v>3.7640630000000002</v>
      </c>
      <c r="BE278" s="6">
        <v>1.7217180000000001</v>
      </c>
      <c r="BF278" s="6">
        <v>2.4494020000000001</v>
      </c>
      <c r="BG278" s="6">
        <v>1.9974179999999999</v>
      </c>
      <c r="BH278" s="6">
        <v>1.13171</v>
      </c>
      <c r="BI278" s="6">
        <v>2.9099689999999998</v>
      </c>
      <c r="BJ278" s="6">
        <v>0.86375400000000002</v>
      </c>
      <c r="BK278" s="6">
        <v>-0.75268800000000002</v>
      </c>
      <c r="BL278" s="4">
        <v>43126</v>
      </c>
      <c r="BM278" s="6">
        <f>VLOOKUP(BL278,Sheet1!$A$2:$E$1114,2,FALSE)</f>
        <v>2.5361028239686081</v>
      </c>
      <c r="BN278" s="6">
        <f t="shared" si="37"/>
        <v>1.8740516255091766</v>
      </c>
    </row>
    <row r="279" spans="31:66" x14ac:dyDescent="0.3">
      <c r="AE279">
        <f t="shared" si="33"/>
        <v>250</v>
      </c>
      <c r="AG279" s="13">
        <f t="shared" si="32"/>
        <v>0</v>
      </c>
      <c r="AH279" s="13"/>
      <c r="AI279" s="13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W279">
        <f t="shared" si="36"/>
        <v>0</v>
      </c>
      <c r="AX279">
        <v>276</v>
      </c>
      <c r="AY279" s="4">
        <f t="shared" si="34"/>
        <v>43133</v>
      </c>
      <c r="AZ279" s="6">
        <f t="shared" si="35"/>
        <v>-1.6649655496569715</v>
      </c>
      <c r="BA279" s="4">
        <v>43133</v>
      </c>
      <c r="BB279" s="6">
        <v>-2.1280230000000002</v>
      </c>
      <c r="BC279" s="6">
        <v>-6.582001</v>
      </c>
      <c r="BD279" s="6">
        <v>-5.0813189999999997</v>
      </c>
      <c r="BE279" s="6">
        <v>-3.0725500000000001</v>
      </c>
      <c r="BF279" s="6">
        <v>-8.2026529999999998</v>
      </c>
      <c r="BG279" s="6">
        <v>-5.681711</v>
      </c>
      <c r="BH279" s="6">
        <v>-5.3479460000000003</v>
      </c>
      <c r="BI279" s="6">
        <v>1.472361</v>
      </c>
      <c r="BJ279" s="6">
        <v>-4.4091680000000002</v>
      </c>
      <c r="BK279" s="6">
        <v>-8.1506310000000006</v>
      </c>
      <c r="BL279" s="4">
        <v>43133</v>
      </c>
      <c r="BM279" s="6">
        <f>VLOOKUP(BL279,Sheet1!$A$2:$E$1114,2,FALSE)</f>
        <v>2.4938775856456532</v>
      </c>
      <c r="BN279" s="6">
        <f t="shared" si="37"/>
        <v>-1.6649655496569715</v>
      </c>
    </row>
    <row r="280" spans="31:66" x14ac:dyDescent="0.3">
      <c r="AE280">
        <f t="shared" si="33"/>
        <v>251</v>
      </c>
      <c r="AG280" s="13">
        <f t="shared" si="32"/>
        <v>0</v>
      </c>
      <c r="AH280" s="13"/>
      <c r="AI280" s="13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W280">
        <f t="shared" si="36"/>
        <v>0</v>
      </c>
      <c r="AX280">
        <v>277</v>
      </c>
      <c r="AY280" s="4">
        <f t="shared" si="34"/>
        <v>43140</v>
      </c>
      <c r="AZ280" s="6">
        <f t="shared" si="35"/>
        <v>-9.2855520462653658</v>
      </c>
      <c r="BA280" s="4">
        <v>43140</v>
      </c>
      <c r="BB280" s="6">
        <v>-11.180287999999999</v>
      </c>
      <c r="BC280" s="6">
        <v>-7.8970779999999996</v>
      </c>
      <c r="BD280" s="6">
        <v>-7.6207209999999996</v>
      </c>
      <c r="BE280" s="6">
        <v>-9.3151989999999998</v>
      </c>
      <c r="BF280" s="6">
        <v>-6.0738050000000001</v>
      </c>
      <c r="BG280" s="6">
        <v>-8.6890739999999997</v>
      </c>
      <c r="BH280" s="6">
        <v>-6.7881710000000002</v>
      </c>
      <c r="BI280" s="6">
        <v>-13.242153</v>
      </c>
      <c r="BJ280" s="6">
        <v>-5.824122</v>
      </c>
      <c r="BK280" s="6">
        <v>-5.1265409999999996</v>
      </c>
      <c r="BL280" s="4">
        <v>43140</v>
      </c>
      <c r="BM280" s="6">
        <f>VLOOKUP(BL280,Sheet1!$A$2:$E$1114,2,FALSE)</f>
        <v>2.26230728446038</v>
      </c>
      <c r="BN280" s="6">
        <f t="shared" si="37"/>
        <v>-9.2855520462653658</v>
      </c>
    </row>
    <row r="281" spans="31:66" x14ac:dyDescent="0.3">
      <c r="AE281">
        <f t="shared" si="33"/>
        <v>252</v>
      </c>
      <c r="AG281" s="13">
        <f t="shared" si="32"/>
        <v>0</v>
      </c>
      <c r="AH281" s="13"/>
      <c r="AI281" s="13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W281">
        <f t="shared" si="36"/>
        <v>0</v>
      </c>
      <c r="AX281">
        <v>278</v>
      </c>
      <c r="AY281" s="4">
        <f t="shared" si="34"/>
        <v>43145</v>
      </c>
      <c r="AZ281" s="6">
        <f t="shared" si="35"/>
        <v>3.5856239737471318</v>
      </c>
      <c r="BA281" s="4">
        <v>43145</v>
      </c>
      <c r="BB281" s="6">
        <v>1.998605</v>
      </c>
      <c r="BC281" s="6">
        <v>2.4893730000000001</v>
      </c>
      <c r="BD281" s="6">
        <v>4.4124840000000001</v>
      </c>
      <c r="BE281" s="6">
        <v>4.4607929999999998</v>
      </c>
      <c r="BF281" s="6">
        <v>3.537131</v>
      </c>
      <c r="BG281" s="6">
        <v>4.2778790000000004</v>
      </c>
      <c r="BH281" s="6">
        <v>4.0821350000000001</v>
      </c>
      <c r="BI281" s="6">
        <v>1.570163</v>
      </c>
      <c r="BJ281" s="6">
        <v>1.2179679999999999</v>
      </c>
      <c r="BK281" s="6">
        <v>3.6133259999999998</v>
      </c>
      <c r="BL281" s="4">
        <v>43145</v>
      </c>
      <c r="BM281" s="6">
        <f>VLOOKUP(BL281,Sheet1!$A$2:$E$1114,2,FALSE)</f>
        <v>2.3434251168118192</v>
      </c>
      <c r="BN281" s="6">
        <f t="shared" si="37"/>
        <v>3.5856239737471318</v>
      </c>
    </row>
    <row r="282" spans="31:66" x14ac:dyDescent="0.3">
      <c r="AE282">
        <f t="shared" si="33"/>
        <v>253</v>
      </c>
      <c r="AG282" s="13">
        <f t="shared" si="32"/>
        <v>0</v>
      </c>
      <c r="AH282" s="13"/>
      <c r="AI282" s="13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W282">
        <f t="shared" si="36"/>
        <v>0</v>
      </c>
      <c r="AX282">
        <v>279</v>
      </c>
      <c r="AY282" s="4">
        <f t="shared" si="34"/>
        <v>43154</v>
      </c>
      <c r="AZ282" s="6">
        <f t="shared" si="35"/>
        <v>2.7982740048992927</v>
      </c>
      <c r="BA282" s="4">
        <v>43154</v>
      </c>
      <c r="BB282" s="6">
        <v>2.7415340000000001</v>
      </c>
      <c r="BC282" s="6">
        <v>2.3673799999999998</v>
      </c>
      <c r="BD282" s="6">
        <v>1.5318480000000001</v>
      </c>
      <c r="BE282" s="6">
        <v>3.4204089999999998</v>
      </c>
      <c r="BF282" s="6">
        <v>2.1184799999999999</v>
      </c>
      <c r="BG282" s="6">
        <v>2.5880519999999998</v>
      </c>
      <c r="BH282" s="6">
        <v>1.640207</v>
      </c>
      <c r="BI282" s="6">
        <v>3.5392800000000002</v>
      </c>
      <c r="BJ282" s="6">
        <v>1.7348460000000001</v>
      </c>
      <c r="BK282" s="6">
        <v>1.959157</v>
      </c>
      <c r="BL282" s="4">
        <v>43154</v>
      </c>
      <c r="BM282" s="6">
        <f>VLOOKUP(BL282,Sheet1!$A$2:$E$1114,2,FALSE)</f>
        <v>2.4090005726798451</v>
      </c>
      <c r="BN282" s="6">
        <f t="shared" si="37"/>
        <v>2.7982740048992927</v>
      </c>
    </row>
    <row r="283" spans="31:66" x14ac:dyDescent="0.3">
      <c r="AE283">
        <f t="shared" si="33"/>
        <v>254</v>
      </c>
      <c r="AG283" s="13">
        <f t="shared" si="32"/>
        <v>0</v>
      </c>
      <c r="AH283" s="13"/>
      <c r="AI283" s="13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W283">
        <f t="shared" si="36"/>
        <v>0</v>
      </c>
      <c r="AX283">
        <v>280</v>
      </c>
      <c r="AY283" s="4">
        <f t="shared" si="34"/>
        <v>43161</v>
      </c>
      <c r="AZ283" s="6">
        <f t="shared" si="35"/>
        <v>-0.95576098940530763</v>
      </c>
      <c r="BA283" s="4">
        <v>43161</v>
      </c>
      <c r="BB283" s="6">
        <v>-2.9373710000000002</v>
      </c>
      <c r="BC283" s="6">
        <v>2.5154999999999998</v>
      </c>
      <c r="BD283" s="6">
        <v>1.0883860000000001</v>
      </c>
      <c r="BE283" s="6">
        <v>0.20099800000000001</v>
      </c>
      <c r="BF283" s="6">
        <v>7.2152050000000001</v>
      </c>
      <c r="BG283" s="6">
        <v>-2.1405539999999998</v>
      </c>
      <c r="BH283" s="6">
        <v>2.0380319999999998</v>
      </c>
      <c r="BI283" s="6">
        <v>-3.2287159999999999</v>
      </c>
      <c r="BJ283" s="6">
        <v>2.2137790000000002</v>
      </c>
      <c r="BK283" s="6">
        <v>5.3664680000000002</v>
      </c>
      <c r="BL283" s="4">
        <v>43161</v>
      </c>
      <c r="BM283" s="6">
        <f>VLOOKUP(BL283,Sheet1!$A$2:$E$1114,2,FALSE)</f>
        <v>2.3859762849716208</v>
      </c>
      <c r="BN283" s="6">
        <f t="shared" si="37"/>
        <v>-0.95576098940530763</v>
      </c>
    </row>
    <row r="284" spans="31:66" x14ac:dyDescent="0.3">
      <c r="AE284">
        <f t="shared" si="33"/>
        <v>255</v>
      </c>
      <c r="AG284" s="13">
        <f t="shared" si="32"/>
        <v>0</v>
      </c>
      <c r="AH284" s="13"/>
      <c r="AI284" s="13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W284">
        <f t="shared" si="36"/>
        <v>0</v>
      </c>
      <c r="AX284">
        <v>281</v>
      </c>
      <c r="AY284" s="4">
        <f t="shared" si="34"/>
        <v>43168</v>
      </c>
      <c r="AZ284" s="6">
        <f t="shared" si="35"/>
        <v>1.7128952018857113</v>
      </c>
      <c r="BA284" s="4">
        <v>43168</v>
      </c>
      <c r="BB284" s="6">
        <v>2.2039369999999998</v>
      </c>
      <c r="BC284" s="6">
        <v>2.3251580000000001</v>
      </c>
      <c r="BD284" s="6">
        <v>2.5544419999999999</v>
      </c>
      <c r="BE284" s="6">
        <v>0.41908299999999998</v>
      </c>
      <c r="BF284" s="6">
        <v>5.0124129999999996</v>
      </c>
      <c r="BG284" s="6">
        <v>1.3280559999999999</v>
      </c>
      <c r="BH284" s="6">
        <v>5.8892300000000004</v>
      </c>
      <c r="BI284" s="6">
        <v>0.35692499999999999</v>
      </c>
      <c r="BJ284" s="6">
        <v>3.0916410000000001</v>
      </c>
      <c r="BK284" s="6">
        <v>3.1463809999999999</v>
      </c>
      <c r="BL284" s="4">
        <v>43168</v>
      </c>
      <c r="BM284" s="6">
        <f>VLOOKUP(BL284,Sheet1!$A$2:$E$1114,2,FALSE)</f>
        <v>2.4268455582750308</v>
      </c>
      <c r="BN284" s="6">
        <f t="shared" si="37"/>
        <v>1.7128952018857113</v>
      </c>
    </row>
    <row r="285" spans="31:66" x14ac:dyDescent="0.3">
      <c r="AE285">
        <f t="shared" si="33"/>
        <v>256</v>
      </c>
      <c r="AG285" s="13">
        <f t="shared" si="32"/>
        <v>0</v>
      </c>
      <c r="AH285" s="13"/>
      <c r="AI285" s="13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W285">
        <f t="shared" si="36"/>
        <v>0</v>
      </c>
      <c r="AX285">
        <v>282</v>
      </c>
      <c r="AY285" s="4">
        <f t="shared" si="34"/>
        <v>43175</v>
      </c>
      <c r="AZ285" s="6">
        <f t="shared" si="35"/>
        <v>-1.3466017651091455</v>
      </c>
      <c r="BA285" s="4">
        <v>43175</v>
      </c>
      <c r="BB285" s="6">
        <v>-2.0011489999999998</v>
      </c>
      <c r="BC285" s="6">
        <v>-1.02233</v>
      </c>
      <c r="BD285" s="6">
        <v>-0.269872</v>
      </c>
      <c r="BE285" s="6">
        <v>0.60247600000000001</v>
      </c>
      <c r="BF285" s="6">
        <v>-2.0098600000000002</v>
      </c>
      <c r="BG285" s="6">
        <v>-0.23940900000000001</v>
      </c>
      <c r="BH285" s="6">
        <v>-1.27081</v>
      </c>
      <c r="BI285" s="6">
        <v>-0.66173700000000002</v>
      </c>
      <c r="BJ285" s="6">
        <v>-1.2828919999999999</v>
      </c>
      <c r="BK285" s="6">
        <v>-2.4874800000000001</v>
      </c>
      <c r="BL285" s="4">
        <v>43175</v>
      </c>
      <c r="BM285" s="6">
        <f>VLOOKUP(BL285,Sheet1!$A$2:$E$1114,2,FALSE)</f>
        <v>2.3941656131508262</v>
      </c>
      <c r="BN285" s="6">
        <f t="shared" si="37"/>
        <v>-1.3466017651091455</v>
      </c>
    </row>
    <row r="286" spans="31:66" x14ac:dyDescent="0.3">
      <c r="AE286">
        <f t="shared" si="33"/>
        <v>257</v>
      </c>
      <c r="AG286" s="13">
        <f t="shared" si="32"/>
        <v>0</v>
      </c>
      <c r="AH286" s="13"/>
      <c r="AI286" s="13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W286">
        <f t="shared" si="36"/>
        <v>0</v>
      </c>
      <c r="AX286">
        <v>283</v>
      </c>
      <c r="AY286" s="4">
        <f t="shared" si="34"/>
        <v>43182</v>
      </c>
      <c r="AZ286" s="6">
        <f t="shared" si="35"/>
        <v>-4.2329488961620365</v>
      </c>
      <c r="BA286" s="4">
        <v>43182</v>
      </c>
      <c r="BB286" s="6">
        <v>-3.4717090000000002</v>
      </c>
      <c r="BC286" s="6">
        <v>-4.6498910000000002</v>
      </c>
      <c r="BD286" s="6">
        <v>-5.7312289999999999</v>
      </c>
      <c r="BE286" s="6">
        <v>-6.9491199999999997</v>
      </c>
      <c r="BF286" s="6">
        <v>-6.1411819999999997</v>
      </c>
      <c r="BG286" s="6">
        <v>-3.8051089999999999</v>
      </c>
      <c r="BH286" s="6">
        <v>-0.99403200000000003</v>
      </c>
      <c r="BI286" s="6">
        <v>-4.3944369999999999</v>
      </c>
      <c r="BJ286" s="6">
        <v>-3.5224799999999998</v>
      </c>
      <c r="BK286" s="6">
        <v>-7.7586510000000004</v>
      </c>
      <c r="BL286" s="4">
        <v>43182</v>
      </c>
      <c r="BM286" s="6">
        <f>VLOOKUP(BL286,Sheet1!$A$2:$E$1114,2,FALSE)</f>
        <v>2.2928218062566672</v>
      </c>
      <c r="BN286" s="6">
        <f t="shared" si="37"/>
        <v>-4.2329488961620365</v>
      </c>
    </row>
    <row r="287" spans="31:66" x14ac:dyDescent="0.3">
      <c r="AE287">
        <f t="shared" si="33"/>
        <v>258</v>
      </c>
      <c r="AG287" s="13">
        <f t="shared" ref="AG287:AG346" si="38">(AH287+AI287)/2</f>
        <v>0</v>
      </c>
      <c r="AH287" s="13"/>
      <c r="AI287" s="13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W287">
        <f t="shared" si="36"/>
        <v>0</v>
      </c>
      <c r="AX287">
        <v>284</v>
      </c>
      <c r="AY287" s="4">
        <f t="shared" si="34"/>
        <v>43189</v>
      </c>
      <c r="AZ287" s="6">
        <f t="shared" si="35"/>
        <v>2.0119357500103741</v>
      </c>
      <c r="BA287" s="4">
        <v>43189</v>
      </c>
      <c r="BB287" s="6">
        <v>-0.61900299999999997</v>
      </c>
      <c r="BC287" s="6">
        <v>3.8372130000000002</v>
      </c>
      <c r="BD287" s="6">
        <v>0.94970500000000002</v>
      </c>
      <c r="BE287" s="6">
        <v>3.353345</v>
      </c>
      <c r="BF287" s="6">
        <v>8.9524500000000007</v>
      </c>
      <c r="BG287" s="6">
        <v>-0.95283200000000001</v>
      </c>
      <c r="BH287" s="6">
        <v>5.8332119999999996</v>
      </c>
      <c r="BI287" s="6">
        <v>-0.29970000000000002</v>
      </c>
      <c r="BJ287" s="6">
        <v>1.688374</v>
      </c>
      <c r="BK287" s="6">
        <v>7.0404070000000001</v>
      </c>
      <c r="BL287" s="4">
        <v>43189</v>
      </c>
      <c r="BM287" s="6">
        <f>VLOOKUP(BL287,Sheet1!$A$2:$E$1114,2,FALSE)</f>
        <v>2.3389519078607788</v>
      </c>
      <c r="BN287" s="6">
        <f t="shared" si="37"/>
        <v>2.0119357500103741</v>
      </c>
    </row>
    <row r="288" spans="31:66" x14ac:dyDescent="0.3">
      <c r="AE288">
        <f t="shared" ref="AE288:AE346" si="39">AE287+1</f>
        <v>259</v>
      </c>
      <c r="AG288" s="13">
        <f t="shared" si="38"/>
        <v>0</v>
      </c>
      <c r="AH288" s="13"/>
      <c r="AI288" s="13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W288">
        <f t="shared" si="36"/>
        <v>0</v>
      </c>
      <c r="AX288">
        <v>285</v>
      </c>
      <c r="AY288" s="4">
        <f t="shared" si="34"/>
        <v>43194</v>
      </c>
      <c r="AZ288" s="6">
        <f t="shared" si="35"/>
        <v>-0.72273714005255396</v>
      </c>
      <c r="BA288" s="4">
        <v>43194</v>
      </c>
      <c r="BB288" s="6">
        <v>-1.145529</v>
      </c>
      <c r="BC288" s="6">
        <v>-1.4088959999999999</v>
      </c>
      <c r="BD288" s="6">
        <v>-1.450027</v>
      </c>
      <c r="BE288" s="6">
        <v>-1.7927690000000001</v>
      </c>
      <c r="BF288" s="6">
        <v>-2.5150109999999999</v>
      </c>
      <c r="BG288" s="6">
        <v>3.1429420000000001</v>
      </c>
      <c r="BH288" s="6">
        <v>-0.78616399999999997</v>
      </c>
      <c r="BI288" s="6">
        <v>-2.086983</v>
      </c>
      <c r="BJ288" s="6">
        <v>-1.8959090000000001</v>
      </c>
      <c r="BK288" s="6">
        <v>-2.2519290000000001</v>
      </c>
      <c r="BL288" s="4">
        <v>43194</v>
      </c>
      <c r="BM288" s="6">
        <f>VLOOKUP(BL288,Sheet1!$A$2:$E$1114,2,FALSE)</f>
        <v>2.322047433734701</v>
      </c>
      <c r="BN288" s="6">
        <f t="shared" si="37"/>
        <v>-0.72273714005255396</v>
      </c>
    </row>
    <row r="289" spans="31:66" x14ac:dyDescent="0.3">
      <c r="AE289">
        <f t="shared" si="39"/>
        <v>260</v>
      </c>
      <c r="AG289" s="13">
        <f t="shared" si="38"/>
        <v>0</v>
      </c>
      <c r="AH289" s="13"/>
      <c r="AI289" s="13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W289">
        <f t="shared" si="36"/>
        <v>0</v>
      </c>
      <c r="AX289">
        <v>286</v>
      </c>
      <c r="AY289" s="4">
        <f t="shared" si="34"/>
        <v>43203</v>
      </c>
      <c r="AZ289" s="6">
        <f t="shared" si="35"/>
        <v>0.65671708128853812</v>
      </c>
      <c r="BA289" s="4">
        <v>43203</v>
      </c>
      <c r="BB289" s="6">
        <v>1.145054</v>
      </c>
      <c r="BC289" s="6">
        <v>-0.13281699999999999</v>
      </c>
      <c r="BD289" s="6">
        <v>-0.362508</v>
      </c>
      <c r="BE289" s="6">
        <v>1.106714</v>
      </c>
      <c r="BF289" s="6">
        <v>0.74461999999999995</v>
      </c>
      <c r="BG289" s="6">
        <v>-1.960348</v>
      </c>
      <c r="BH289" s="6">
        <v>-0.35139799999999999</v>
      </c>
      <c r="BI289" s="6">
        <v>1.0797300000000001</v>
      </c>
      <c r="BJ289" s="6">
        <v>-0.148649</v>
      </c>
      <c r="BK289" s="6">
        <v>0.51218699999999995</v>
      </c>
      <c r="BL289" s="4">
        <v>43203</v>
      </c>
      <c r="BM289" s="6">
        <f>VLOOKUP(BL289,Sheet1!$A$2:$E$1114,2,FALSE)</f>
        <v>2.3372967158676592</v>
      </c>
      <c r="BN289" s="6">
        <f t="shared" si="37"/>
        <v>0.65671708128853812</v>
      </c>
    </row>
    <row r="290" spans="31:66" x14ac:dyDescent="0.3">
      <c r="AE290">
        <f t="shared" si="39"/>
        <v>261</v>
      </c>
      <c r="AG290" s="13">
        <f t="shared" si="38"/>
        <v>0</v>
      </c>
      <c r="AH290" s="13"/>
      <c r="AI290" s="13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W290">
        <f t="shared" si="36"/>
        <v>0</v>
      </c>
      <c r="AX290">
        <v>287</v>
      </c>
      <c r="AY290" s="4">
        <f t="shared" si="34"/>
        <v>43210</v>
      </c>
      <c r="AZ290" s="6">
        <f t="shared" si="35"/>
        <v>-2.4126541197692308</v>
      </c>
      <c r="BA290" s="4">
        <v>43210</v>
      </c>
      <c r="BB290" s="6">
        <v>-3.4676</v>
      </c>
      <c r="BC290" s="6">
        <v>-2.7594539999999999</v>
      </c>
      <c r="BD290" s="6">
        <v>-3.3249200000000001</v>
      </c>
      <c r="BE290" s="6">
        <v>-3.2936529999999999</v>
      </c>
      <c r="BF290" s="6">
        <v>-2.2876470000000002</v>
      </c>
      <c r="BG290" s="6">
        <v>-1.125453</v>
      </c>
      <c r="BH290" s="6">
        <v>-2.1935690000000001</v>
      </c>
      <c r="BI290" s="6">
        <v>-1.765666</v>
      </c>
      <c r="BJ290" s="6">
        <v>-3.0420020000000001</v>
      </c>
      <c r="BK290" s="6">
        <v>-3.8873030000000002</v>
      </c>
      <c r="BL290" s="4">
        <v>43210</v>
      </c>
      <c r="BM290" s="6">
        <f>VLOOKUP(BL290,Sheet1!$A$2:$E$1114,2,FALSE)</f>
        <v>2.2809058303610472</v>
      </c>
      <c r="BN290" s="6">
        <f t="shared" si="37"/>
        <v>-2.4126541197692308</v>
      </c>
    </row>
    <row r="291" spans="31:66" x14ac:dyDescent="0.3">
      <c r="AE291">
        <f t="shared" si="39"/>
        <v>262</v>
      </c>
      <c r="AG291" s="13">
        <f t="shared" si="38"/>
        <v>0</v>
      </c>
      <c r="AH291" s="13"/>
      <c r="AI291" s="13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W291">
        <f t="shared" si="36"/>
        <v>0</v>
      </c>
      <c r="AX291">
        <v>288</v>
      </c>
      <c r="AY291" s="4">
        <f t="shared" si="34"/>
        <v>43217</v>
      </c>
      <c r="AZ291" s="6">
        <f t="shared" si="35"/>
        <v>0.41482136461938879</v>
      </c>
      <c r="BA291" s="4">
        <v>43217</v>
      </c>
      <c r="BB291" s="6">
        <v>0.29441600000000001</v>
      </c>
      <c r="BC291" s="6">
        <v>0.189972</v>
      </c>
      <c r="BD291" s="6">
        <v>-0.89085800000000004</v>
      </c>
      <c r="BE291" s="6">
        <v>-0.83088700000000004</v>
      </c>
      <c r="BF291" s="6">
        <v>-1.540332</v>
      </c>
      <c r="BG291" s="6">
        <v>-1.5402530000000001</v>
      </c>
      <c r="BH291" s="6">
        <v>3.5147210000000002</v>
      </c>
      <c r="BI291" s="6">
        <v>0.110829</v>
      </c>
      <c r="BJ291" s="6">
        <v>0.218334</v>
      </c>
      <c r="BK291" s="6">
        <v>1.250651</v>
      </c>
      <c r="BL291" s="4">
        <v>43217</v>
      </c>
      <c r="BM291" s="6">
        <f>VLOOKUP(BL291,Sheet1!$A$2:$E$1114,2,FALSE)</f>
        <v>2.290367515052234</v>
      </c>
      <c r="BN291" s="6">
        <f t="shared" si="37"/>
        <v>0.41482136461938879</v>
      </c>
    </row>
    <row r="292" spans="31:66" x14ac:dyDescent="0.3">
      <c r="AE292">
        <f t="shared" si="39"/>
        <v>263</v>
      </c>
      <c r="AG292" s="13">
        <f t="shared" si="38"/>
        <v>0</v>
      </c>
      <c r="AH292" s="13"/>
      <c r="AI292" s="13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W292">
        <f t="shared" si="36"/>
        <v>0</v>
      </c>
      <c r="AX292">
        <v>289</v>
      </c>
      <c r="AY292" s="4">
        <f t="shared" si="34"/>
        <v>43224</v>
      </c>
      <c r="AZ292" s="6">
        <f t="shared" si="35"/>
        <v>0.89613365327174677</v>
      </c>
      <c r="BA292" s="4">
        <v>43224</v>
      </c>
      <c r="BB292" s="6">
        <v>-0.29022199999999998</v>
      </c>
      <c r="BC292" s="6">
        <v>8.2553000000000001E-2</v>
      </c>
      <c r="BD292" s="6">
        <v>1.1157410000000001</v>
      </c>
      <c r="BE292" s="6">
        <v>0.50187999999999999</v>
      </c>
      <c r="BF292" s="6">
        <v>0.38264500000000001</v>
      </c>
      <c r="BG292" s="6">
        <v>2.12086</v>
      </c>
      <c r="BH292" s="6">
        <v>2.163726</v>
      </c>
      <c r="BI292" s="6">
        <v>-5.4398000000000002E-2</v>
      </c>
      <c r="BJ292" s="6">
        <v>0.62758000000000003</v>
      </c>
      <c r="BK292" s="6">
        <v>9.1425000000000006E-2</v>
      </c>
      <c r="BL292" s="4">
        <v>43224</v>
      </c>
      <c r="BM292" s="6">
        <f>VLOOKUP(BL292,Sheet1!$A$2:$E$1114,2,FALSE)</f>
        <v>2.310892269138221</v>
      </c>
      <c r="BN292" s="6">
        <f t="shared" si="37"/>
        <v>0.89613365327174677</v>
      </c>
    </row>
    <row r="293" spans="31:66" x14ac:dyDescent="0.3">
      <c r="AE293">
        <f t="shared" si="39"/>
        <v>264</v>
      </c>
      <c r="AG293" s="13">
        <f t="shared" si="38"/>
        <v>0</v>
      </c>
      <c r="AH293" s="13"/>
      <c r="AI293" s="13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W293">
        <f t="shared" si="36"/>
        <v>0</v>
      </c>
      <c r="AX293">
        <v>290</v>
      </c>
      <c r="AY293" s="4">
        <f t="shared" si="34"/>
        <v>43231</v>
      </c>
      <c r="AZ293" s="6">
        <f t="shared" si="35"/>
        <v>1.5849514350716021</v>
      </c>
      <c r="BA293" s="4">
        <v>43231</v>
      </c>
      <c r="BB293" s="6">
        <v>2.1932309999999999</v>
      </c>
      <c r="BC293" s="6">
        <v>1.546165</v>
      </c>
      <c r="BD293" s="6">
        <v>2.7424979999999999</v>
      </c>
      <c r="BE293" s="6">
        <v>2.5943139999999998</v>
      </c>
      <c r="BF293" s="6">
        <v>0.301292</v>
      </c>
      <c r="BG293" s="6">
        <v>4.9222720000000004</v>
      </c>
      <c r="BH293" s="6">
        <v>1.649241</v>
      </c>
      <c r="BI293" s="6">
        <v>4.2077710000000002</v>
      </c>
      <c r="BJ293" s="6">
        <v>0.65982200000000002</v>
      </c>
      <c r="BK293" s="6">
        <v>0.44142300000000001</v>
      </c>
      <c r="BL293" s="4">
        <v>43231</v>
      </c>
      <c r="BM293" s="6">
        <f>VLOOKUP(BL293,Sheet1!$A$2:$E$1114,2,FALSE)</f>
        <v>2.347518789320886</v>
      </c>
      <c r="BN293" s="6">
        <f t="shared" si="37"/>
        <v>1.5849514350716021</v>
      </c>
    </row>
    <row r="294" spans="31:66" x14ac:dyDescent="0.3">
      <c r="AE294">
        <f t="shared" si="39"/>
        <v>265</v>
      </c>
      <c r="AG294" s="13">
        <f t="shared" si="38"/>
        <v>0</v>
      </c>
      <c r="AH294" s="13"/>
      <c r="AI294" s="13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W294">
        <f t="shared" si="36"/>
        <v>0</v>
      </c>
      <c r="AX294">
        <v>291</v>
      </c>
      <c r="AY294" s="4">
        <f t="shared" si="34"/>
        <v>43238</v>
      </c>
      <c r="AZ294" s="6">
        <f t="shared" si="35"/>
        <v>0.30445249832871113</v>
      </c>
      <c r="BA294" s="4">
        <v>43238</v>
      </c>
      <c r="BB294" s="6">
        <v>-0.22450100000000001</v>
      </c>
      <c r="BC294" s="6">
        <v>-0.38271899999999998</v>
      </c>
      <c r="BD294" s="6">
        <v>0.45735199999999998</v>
      </c>
      <c r="BE294" s="6">
        <v>0.46325699999999997</v>
      </c>
      <c r="BF294" s="6">
        <v>-0.49539</v>
      </c>
      <c r="BG294" s="6">
        <v>2.5324710000000001</v>
      </c>
      <c r="BH294" s="6">
        <v>1.9726459999999999</v>
      </c>
      <c r="BI294" s="6">
        <v>4.1812829999999996</v>
      </c>
      <c r="BJ294" s="6">
        <v>1.200396</v>
      </c>
      <c r="BK294" s="6">
        <v>-0.58281000000000005</v>
      </c>
      <c r="BL294" s="4">
        <v>43238</v>
      </c>
      <c r="BM294" s="6">
        <f>VLOOKUP(BL294,Sheet1!$A$2:$E$1114,2,FALSE)</f>
        <v>2.3546658689237092</v>
      </c>
      <c r="BN294" s="6">
        <f t="shared" si="37"/>
        <v>0.30445249832871113</v>
      </c>
    </row>
    <row r="295" spans="31:66" x14ac:dyDescent="0.3">
      <c r="AE295">
        <f t="shared" si="39"/>
        <v>266</v>
      </c>
      <c r="AG295" s="13">
        <f t="shared" si="38"/>
        <v>0</v>
      </c>
      <c r="AH295" s="13"/>
      <c r="AI295" s="13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W295">
        <f t="shared" si="36"/>
        <v>0</v>
      </c>
      <c r="AX295">
        <v>292</v>
      </c>
      <c r="AY295" s="4">
        <f t="shared" si="34"/>
        <v>43245</v>
      </c>
      <c r="AZ295" s="6">
        <f t="shared" si="35"/>
        <v>-1.4871741850806863</v>
      </c>
      <c r="BA295" s="4">
        <v>43245</v>
      </c>
      <c r="BB295" s="6">
        <v>-3.1036540000000001</v>
      </c>
      <c r="BC295" s="6">
        <v>-1.7375860000000001</v>
      </c>
      <c r="BD295" s="6">
        <v>-1.147124</v>
      </c>
      <c r="BE295" s="6">
        <v>-2.3997320000000002</v>
      </c>
      <c r="BF295" s="6">
        <v>-1.9390799999999999</v>
      </c>
      <c r="BG295" s="6">
        <v>-1.035007</v>
      </c>
      <c r="BH295" s="6">
        <v>2.5714079999999999</v>
      </c>
      <c r="BI295" s="6">
        <v>-5.5212440000000003</v>
      </c>
      <c r="BJ295" s="6">
        <v>1.462402</v>
      </c>
      <c r="BK295" s="6">
        <v>9.162E-3</v>
      </c>
      <c r="BL295" s="4">
        <v>43245</v>
      </c>
      <c r="BM295" s="6">
        <f>VLOOKUP(BL295,Sheet1!$A$2:$E$1114,2,FALSE)</f>
        <v>2.31964788597617</v>
      </c>
      <c r="BN295" s="6">
        <f t="shared" si="37"/>
        <v>-1.4871741850806863</v>
      </c>
    </row>
    <row r="296" spans="31:66" x14ac:dyDescent="0.3">
      <c r="AE296">
        <f t="shared" si="39"/>
        <v>267</v>
      </c>
      <c r="AG296" s="13">
        <f t="shared" si="38"/>
        <v>0</v>
      </c>
      <c r="AH296" s="13"/>
      <c r="AI296" s="13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W296">
        <f t="shared" si="36"/>
        <v>0</v>
      </c>
      <c r="AX296">
        <v>293</v>
      </c>
      <c r="AY296" s="4">
        <f t="shared" si="34"/>
        <v>43252</v>
      </c>
      <c r="AZ296" s="6">
        <f t="shared" si="35"/>
        <v>-1.6730603163476854</v>
      </c>
      <c r="BA296" s="4">
        <v>43252</v>
      </c>
      <c r="BB296" s="6">
        <v>-2.2084489999999999</v>
      </c>
      <c r="BC296" s="6">
        <v>-4.1903059999999996</v>
      </c>
      <c r="BD296" s="6">
        <v>-0.185138</v>
      </c>
      <c r="BE296" s="6">
        <v>-3.8208739999999999</v>
      </c>
      <c r="BF296" s="6">
        <v>-4.8426549999999997</v>
      </c>
      <c r="BG296" s="6">
        <v>3.3453140000000001</v>
      </c>
      <c r="BH296" s="6">
        <v>-4.8195569999999996</v>
      </c>
      <c r="BI296" s="6">
        <v>-2.5973899999999999</v>
      </c>
      <c r="BJ296" s="6">
        <v>-2.6324000000000001</v>
      </c>
      <c r="BK296" s="6">
        <v>-4.5014019999999997</v>
      </c>
      <c r="BL296" s="4">
        <v>43252</v>
      </c>
      <c r="BM296" s="6">
        <f>VLOOKUP(BL296,Sheet1!$A$2:$E$1114,2,FALSE)</f>
        <v>2.2808387777169048</v>
      </c>
      <c r="BN296" s="6">
        <f t="shared" si="37"/>
        <v>-1.6730603163476854</v>
      </c>
    </row>
    <row r="297" spans="31:66" x14ac:dyDescent="0.3">
      <c r="AE297">
        <f t="shared" si="39"/>
        <v>268</v>
      </c>
      <c r="AG297" s="13">
        <f t="shared" si="38"/>
        <v>0</v>
      </c>
      <c r="AH297" s="13"/>
      <c r="AI297" s="13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W297">
        <f t="shared" si="36"/>
        <v>0</v>
      </c>
      <c r="AX297">
        <v>294</v>
      </c>
      <c r="AY297" s="4">
        <f t="shared" si="34"/>
        <v>43259</v>
      </c>
      <c r="AZ297" s="6">
        <f t="shared" si="35"/>
        <v>1.1681582413916036</v>
      </c>
      <c r="BA297" s="4">
        <v>43259</v>
      </c>
      <c r="BB297" s="6">
        <v>-0.70463299999999995</v>
      </c>
      <c r="BC297" s="6">
        <v>-1.2637640000000001</v>
      </c>
      <c r="BD297" s="6">
        <v>-0.111151</v>
      </c>
      <c r="BE297" s="6">
        <v>0.63933600000000002</v>
      </c>
      <c r="BF297" s="6">
        <v>1.147491</v>
      </c>
      <c r="BG297" s="6">
        <v>0.62674099999999999</v>
      </c>
      <c r="BH297" s="6">
        <v>1.5038020000000001</v>
      </c>
      <c r="BI297" s="6">
        <v>-1.542295</v>
      </c>
      <c r="BJ297" s="6">
        <v>-1.9339010000000001</v>
      </c>
      <c r="BK297" s="6">
        <v>0.46964299999999998</v>
      </c>
      <c r="BL297" s="4">
        <v>43259</v>
      </c>
      <c r="BM297" s="6">
        <f>VLOOKUP(BL297,Sheet1!$A$2:$E$1114,2,FALSE)</f>
        <v>2.3074825838716602</v>
      </c>
      <c r="BN297" s="6">
        <f t="shared" si="37"/>
        <v>1.1681582413916036</v>
      </c>
    </row>
    <row r="298" spans="31:66" x14ac:dyDescent="0.3">
      <c r="AE298">
        <f t="shared" si="39"/>
        <v>269</v>
      </c>
      <c r="AG298" s="13">
        <f t="shared" si="38"/>
        <v>0</v>
      </c>
      <c r="AH298" s="13"/>
      <c r="AI298" s="13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W298">
        <f t="shared" si="36"/>
        <v>0</v>
      </c>
      <c r="AX298">
        <v>295</v>
      </c>
      <c r="AY298" s="4">
        <f t="shared" si="34"/>
        <v>43266</v>
      </c>
      <c r="AZ298" s="6">
        <f t="shared" si="35"/>
        <v>-1.1486051854619816</v>
      </c>
      <c r="BA298" s="4">
        <v>43266</v>
      </c>
      <c r="BB298" s="6">
        <v>0.71638500000000005</v>
      </c>
      <c r="BC298" s="6">
        <v>-3.0032700000000001</v>
      </c>
      <c r="BD298" s="6">
        <v>-1.9894810000000001</v>
      </c>
      <c r="BE298" s="6">
        <v>-2.1579980000000001</v>
      </c>
      <c r="BF298" s="6">
        <v>-4.3771950000000004</v>
      </c>
      <c r="BG298" s="6">
        <v>-2.6493500000000001</v>
      </c>
      <c r="BH298" s="6">
        <v>-5.109515</v>
      </c>
      <c r="BI298" s="6">
        <v>-0.460532</v>
      </c>
      <c r="BJ298" s="6">
        <v>-0.26222000000000001</v>
      </c>
      <c r="BK298" s="6">
        <v>-7.852811</v>
      </c>
      <c r="BL298" s="4">
        <v>43266</v>
      </c>
      <c r="BM298" s="6">
        <f>VLOOKUP(BL298,Sheet1!$A$2:$E$1114,2,FALSE)</f>
        <v>2.2809787192596782</v>
      </c>
      <c r="BN298" s="6">
        <f t="shared" si="37"/>
        <v>-1.1486051854619816</v>
      </c>
    </row>
    <row r="299" spans="31:66" x14ac:dyDescent="0.3">
      <c r="AE299">
        <f t="shared" si="39"/>
        <v>270</v>
      </c>
      <c r="AG299" s="13">
        <f t="shared" si="38"/>
        <v>0</v>
      </c>
      <c r="AH299" s="13"/>
      <c r="AI299" s="13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W299">
        <f t="shared" si="36"/>
        <v>0</v>
      </c>
      <c r="AX299">
        <v>296</v>
      </c>
      <c r="AY299" s="4">
        <f t="shared" si="34"/>
        <v>43273</v>
      </c>
      <c r="AZ299" s="6">
        <f t="shared" si="35"/>
        <v>-3.2812902679050127</v>
      </c>
      <c r="BA299" s="4">
        <v>43273</v>
      </c>
      <c r="BB299" s="6">
        <v>-3.941945</v>
      </c>
      <c r="BC299" s="6">
        <v>-5.4584849999999996</v>
      </c>
      <c r="BD299" s="6">
        <v>-5.1124429999999998</v>
      </c>
      <c r="BE299" s="6">
        <v>-5.5661500000000004</v>
      </c>
      <c r="BF299" s="6">
        <v>-8.3804010000000009</v>
      </c>
      <c r="BG299" s="6">
        <v>-3.1640630000000001</v>
      </c>
      <c r="BH299" s="6">
        <v>-1.5241530000000001</v>
      </c>
      <c r="BI299" s="6">
        <v>-4.0128430000000002</v>
      </c>
      <c r="BJ299" s="6">
        <v>-6.2308190000000003</v>
      </c>
      <c r="BK299" s="6">
        <v>-10.008106</v>
      </c>
      <c r="BL299" s="4">
        <v>43273</v>
      </c>
      <c r="BM299" s="6">
        <f>VLOOKUP(BL299,Sheet1!$A$2:$E$1114,2,FALSE)</f>
        <v>2.206133186531626</v>
      </c>
      <c r="BN299" s="6">
        <f t="shared" si="37"/>
        <v>-3.2812902679050127</v>
      </c>
    </row>
    <row r="300" spans="31:66" x14ac:dyDescent="0.3">
      <c r="AE300">
        <f t="shared" si="39"/>
        <v>271</v>
      </c>
      <c r="AG300" s="13">
        <f t="shared" si="38"/>
        <v>0</v>
      </c>
      <c r="AH300" s="13"/>
      <c r="AI300" s="13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W300">
        <f t="shared" si="36"/>
        <v>0</v>
      </c>
      <c r="AX300">
        <v>297</v>
      </c>
      <c r="AY300" s="4">
        <f t="shared" si="34"/>
        <v>43280</v>
      </c>
      <c r="AZ300" s="6">
        <f t="shared" si="35"/>
        <v>-1.7716946003508927</v>
      </c>
      <c r="BA300" s="4">
        <v>43280</v>
      </c>
      <c r="BB300" s="6">
        <v>-3.8775469999999999</v>
      </c>
      <c r="BC300" s="6">
        <v>-7.8584000000000001E-2</v>
      </c>
      <c r="BD300" s="6">
        <v>-0.83584899999999995</v>
      </c>
      <c r="BE300" s="6">
        <v>-0.96536699999999998</v>
      </c>
      <c r="BF300" s="6">
        <v>4.9091760000000004</v>
      </c>
      <c r="BG300" s="6">
        <v>-2.9322780000000002</v>
      </c>
      <c r="BH300" s="6">
        <v>-0.49029400000000001</v>
      </c>
      <c r="BI300" s="6">
        <v>-0.28151900000000002</v>
      </c>
      <c r="BJ300" s="6">
        <v>-0.95882400000000001</v>
      </c>
      <c r="BK300" s="6">
        <v>2.089928</v>
      </c>
      <c r="BL300" s="4">
        <v>43280</v>
      </c>
      <c r="BM300" s="6">
        <f>VLOOKUP(BL300,Sheet1!$A$2:$E$1114,2,FALSE)</f>
        <v>2.167047243989296</v>
      </c>
      <c r="BN300" s="6">
        <f t="shared" si="37"/>
        <v>-1.7716946003508927</v>
      </c>
    </row>
    <row r="301" spans="31:66" x14ac:dyDescent="0.3">
      <c r="AE301">
        <f t="shared" si="39"/>
        <v>272</v>
      </c>
      <c r="AG301" s="13">
        <f t="shared" si="38"/>
        <v>0</v>
      </c>
      <c r="AH301" s="13"/>
      <c r="AI301" s="13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W301">
        <f t="shared" si="36"/>
        <v>0</v>
      </c>
      <c r="AX301">
        <v>298</v>
      </c>
      <c r="AY301" s="4">
        <f t="shared" si="34"/>
        <v>43287</v>
      </c>
      <c r="AZ301" s="6">
        <f t="shared" si="35"/>
        <v>-3.6714028470027582</v>
      </c>
      <c r="BA301" s="4">
        <v>43287</v>
      </c>
      <c r="BB301" s="6">
        <v>-3.3560979999999998</v>
      </c>
      <c r="BC301" s="6">
        <v>-4.5379909999999999</v>
      </c>
      <c r="BD301" s="6">
        <v>-5.2669329999999999</v>
      </c>
      <c r="BE301" s="6">
        <v>-4.6924999999999999</v>
      </c>
      <c r="BF301" s="6">
        <v>-3.9423119999999998</v>
      </c>
      <c r="BG301" s="6">
        <v>-3.9637020000000001</v>
      </c>
      <c r="BH301" s="6">
        <v>-5.2156849999999997</v>
      </c>
      <c r="BI301" s="6">
        <v>-5.6217420000000002</v>
      </c>
      <c r="BJ301" s="6">
        <v>-1.1990959999999999</v>
      </c>
      <c r="BK301" s="6">
        <v>-2.8233130000000002</v>
      </c>
      <c r="BL301" s="4">
        <v>43287</v>
      </c>
      <c r="BM301" s="6">
        <f>VLOOKUP(BL301,Sheet1!$A$2:$E$1114,2,FALSE)</f>
        <v>2.0874862097775781</v>
      </c>
      <c r="BN301" s="6">
        <f t="shared" si="37"/>
        <v>-3.6714028470027582</v>
      </c>
    </row>
    <row r="302" spans="31:66" x14ac:dyDescent="0.3">
      <c r="AE302">
        <f t="shared" si="39"/>
        <v>273</v>
      </c>
      <c r="AG302" s="13">
        <f t="shared" si="38"/>
        <v>0</v>
      </c>
      <c r="AH302" s="13"/>
      <c r="AI302" s="13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W302">
        <f t="shared" si="36"/>
        <v>0</v>
      </c>
      <c r="AX302">
        <v>299</v>
      </c>
      <c r="AY302" s="4">
        <f t="shared" si="34"/>
        <v>43294</v>
      </c>
      <c r="AZ302" s="6">
        <f t="shared" si="35"/>
        <v>4.4562573465111832</v>
      </c>
      <c r="BA302" s="4">
        <v>43294</v>
      </c>
      <c r="BB302" s="6">
        <v>2.1791900000000002</v>
      </c>
      <c r="BC302" s="6">
        <v>2.4797820000000002</v>
      </c>
      <c r="BD302" s="6">
        <v>2.987412</v>
      </c>
      <c r="BE302" s="6">
        <v>5.5164020000000002</v>
      </c>
      <c r="BF302" s="6">
        <v>4.5544450000000003</v>
      </c>
      <c r="BG302" s="6">
        <v>5.6311080000000002</v>
      </c>
      <c r="BH302" s="6">
        <v>8.0988769999999999</v>
      </c>
      <c r="BI302" s="6">
        <v>0.97494000000000003</v>
      </c>
      <c r="BJ302" s="6">
        <v>1.2185010000000001</v>
      </c>
      <c r="BK302" s="6">
        <v>4.7995669999999997</v>
      </c>
      <c r="BL302" s="4">
        <v>43294</v>
      </c>
      <c r="BM302" s="6">
        <f>VLOOKUP(BL302,Sheet1!$A$2:$E$1114,2,FALSE)</f>
        <v>2.1805099673581991</v>
      </c>
      <c r="BN302" s="6">
        <f t="shared" si="37"/>
        <v>4.4562573465111832</v>
      </c>
    </row>
    <row r="303" spans="31:66" x14ac:dyDescent="0.3">
      <c r="AE303">
        <f t="shared" si="39"/>
        <v>274</v>
      </c>
      <c r="AG303" s="13">
        <f t="shared" si="38"/>
        <v>0</v>
      </c>
      <c r="AH303" s="13"/>
      <c r="AI303" s="13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W303">
        <f t="shared" si="36"/>
        <v>0</v>
      </c>
      <c r="AX303">
        <v>300</v>
      </c>
      <c r="AY303" s="4">
        <f t="shared" si="34"/>
        <v>43298</v>
      </c>
      <c r="AZ303" s="6">
        <f t="shared" si="35"/>
        <v>-0.37042024876065005</v>
      </c>
      <c r="BA303" s="4">
        <v>43298</v>
      </c>
      <c r="BB303" s="6">
        <v>-1.9492529999999999</v>
      </c>
      <c r="BC303" s="6">
        <v>3.0439000000000001E-2</v>
      </c>
      <c r="BD303" s="6">
        <v>-1.040592</v>
      </c>
      <c r="BE303" s="6">
        <v>-0.56030100000000005</v>
      </c>
      <c r="BF303" s="6">
        <v>0.83054300000000003</v>
      </c>
      <c r="BG303" s="6">
        <v>-0.90464100000000003</v>
      </c>
      <c r="BH303" s="6">
        <v>-1.0831809999999999</v>
      </c>
      <c r="BI303" s="6">
        <v>-0.73208200000000001</v>
      </c>
      <c r="BJ303" s="6">
        <v>-5.2262000000000003E-2</v>
      </c>
      <c r="BK303" s="6">
        <v>2.7790020000000002</v>
      </c>
      <c r="BL303" s="4">
        <v>43301</v>
      </c>
      <c r="BM303" s="6">
        <f>VLOOKUP(BL303,Sheet1!$A$2:$E$1114,2,FALSE)</f>
        <v>2.17243291691286</v>
      </c>
      <c r="BN303" s="6">
        <f t="shared" si="37"/>
        <v>-0.37042024876065005</v>
      </c>
    </row>
    <row r="304" spans="31:66" x14ac:dyDescent="0.3">
      <c r="AE304">
        <f t="shared" si="39"/>
        <v>275</v>
      </c>
      <c r="AG304" s="13">
        <f t="shared" si="38"/>
        <v>0</v>
      </c>
      <c r="AH304" s="13"/>
      <c r="AI304" s="13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W304">
        <f t="shared" si="36"/>
        <v>1</v>
      </c>
      <c r="AX304">
        <v>301</v>
      </c>
      <c r="AY304" s="4">
        <f t="shared" si="34"/>
        <v>43063</v>
      </c>
      <c r="AZ304" s="6">
        <f t="shared" si="35"/>
        <v>11.636607857376791</v>
      </c>
      <c r="BA304" s="4">
        <v>43063</v>
      </c>
      <c r="BB304" s="6">
        <v>-0.40398000000000001</v>
      </c>
      <c r="BC304" s="6">
        <v>-1.318981</v>
      </c>
      <c r="BD304" s="6">
        <v>-1.8301909999999999</v>
      </c>
      <c r="BE304" s="6"/>
      <c r="BF304" s="6"/>
      <c r="BG304" s="6"/>
      <c r="BH304" s="6"/>
      <c r="BI304" s="6"/>
      <c r="BJ304" s="6"/>
      <c r="BK304" s="6"/>
      <c r="BL304" s="4">
        <v>43063</v>
      </c>
      <c r="BM304" s="6">
        <f>VLOOKUP(BL304,Sheet1!$A$2:$E$1114,2,FALSE)</f>
        <v>2.4252304164185818</v>
      </c>
      <c r="BN304" s="6">
        <f t="shared" si="37"/>
        <v>11.636607857376791</v>
      </c>
    </row>
    <row r="305" spans="31:66" x14ac:dyDescent="0.3">
      <c r="AE305">
        <f t="shared" si="39"/>
        <v>276</v>
      </c>
      <c r="AG305" s="13">
        <f t="shared" si="38"/>
        <v>0</v>
      </c>
      <c r="AH305" s="13"/>
      <c r="AI305" s="13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W305">
        <f t="shared" si="36"/>
        <v>0</v>
      </c>
      <c r="AX305">
        <v>302</v>
      </c>
      <c r="AY305" s="4">
        <f t="shared" si="34"/>
        <v>43070</v>
      </c>
      <c r="AZ305" s="6">
        <f t="shared" si="35"/>
        <v>-1.152744279584017</v>
      </c>
      <c r="BA305" s="4">
        <v>43070</v>
      </c>
      <c r="BB305" s="6">
        <v>-2.5843479999999999</v>
      </c>
      <c r="BC305" s="6">
        <v>0.61131500000000005</v>
      </c>
      <c r="BD305" s="6">
        <v>1.0676159999999999</v>
      </c>
      <c r="BE305" s="6"/>
      <c r="BF305" s="6"/>
      <c r="BG305" s="6"/>
      <c r="BH305" s="6"/>
      <c r="BI305" s="6"/>
      <c r="BJ305" s="6"/>
      <c r="BK305" s="6"/>
      <c r="BL305" s="4">
        <v>43070</v>
      </c>
      <c r="BM305" s="6">
        <f>VLOOKUP(BL305,Sheet1!$A$2:$E$1114,2,FALSE)</f>
        <v>2.397273711526585</v>
      </c>
      <c r="BN305" s="6">
        <f t="shared" si="37"/>
        <v>-1.152744279584017</v>
      </c>
    </row>
    <row r="306" spans="31:66" x14ac:dyDescent="0.3">
      <c r="AE306">
        <f t="shared" si="39"/>
        <v>277</v>
      </c>
      <c r="AG306" s="13">
        <f t="shared" si="38"/>
        <v>0</v>
      </c>
      <c r="AH306" s="13"/>
      <c r="AI306" s="13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W306">
        <f t="shared" si="36"/>
        <v>0</v>
      </c>
      <c r="AX306">
        <v>303</v>
      </c>
      <c r="AY306" s="4">
        <f t="shared" si="34"/>
        <v>43077</v>
      </c>
      <c r="AZ306" s="6">
        <f t="shared" si="35"/>
        <v>-0.65019869564606481</v>
      </c>
      <c r="BA306" s="4">
        <v>43077</v>
      </c>
      <c r="BB306" s="6">
        <v>0.131129</v>
      </c>
      <c r="BC306" s="6">
        <v>-1.7931699999999999</v>
      </c>
      <c r="BD306" s="6">
        <v>-1.909357</v>
      </c>
      <c r="BE306" s="6"/>
      <c r="BF306" s="6"/>
      <c r="BG306" s="6"/>
      <c r="BH306" s="6"/>
      <c r="BI306" s="6"/>
      <c r="BJ306" s="6"/>
      <c r="BK306" s="6"/>
      <c r="BL306" s="4">
        <v>43077</v>
      </c>
      <c r="BM306" s="6">
        <f>VLOOKUP(BL306,Sheet1!$A$2:$E$1114,2,FALSE)</f>
        <v>2.3816866691231731</v>
      </c>
      <c r="BN306" s="6">
        <f t="shared" si="37"/>
        <v>-0.65019869564606481</v>
      </c>
    </row>
    <row r="307" spans="31:66" x14ac:dyDescent="0.3">
      <c r="AE307">
        <f t="shared" si="39"/>
        <v>278</v>
      </c>
      <c r="AG307" s="13">
        <f t="shared" si="38"/>
        <v>0</v>
      </c>
      <c r="AH307" s="13"/>
      <c r="AI307" s="13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W307">
        <f t="shared" si="36"/>
        <v>0</v>
      </c>
      <c r="AX307">
        <v>304</v>
      </c>
      <c r="AY307" s="4">
        <f t="shared" si="34"/>
        <v>43084</v>
      </c>
      <c r="AZ307" s="6">
        <f t="shared" si="35"/>
        <v>-0.16099378883498439</v>
      </c>
      <c r="BA307" s="4">
        <v>43084</v>
      </c>
      <c r="BB307" s="6">
        <v>-0.56261000000000005</v>
      </c>
      <c r="BC307" s="6">
        <v>0.52582200000000001</v>
      </c>
      <c r="BD307" s="6">
        <v>0.63220299999999996</v>
      </c>
      <c r="BE307" s="6"/>
      <c r="BF307" s="6"/>
      <c r="BG307" s="6"/>
      <c r="BH307" s="6"/>
      <c r="BI307" s="6"/>
      <c r="BJ307" s="6"/>
      <c r="BK307" s="6"/>
      <c r="BL307" s="4">
        <v>43084</v>
      </c>
      <c r="BM307" s="6">
        <f>VLOOKUP(BL307,Sheet1!$A$2:$E$1114,2,FALSE)</f>
        <v>2.3778523015163739</v>
      </c>
      <c r="BN307" s="6">
        <f t="shared" si="37"/>
        <v>-0.16099378883498439</v>
      </c>
    </row>
    <row r="308" spans="31:66" x14ac:dyDescent="0.3">
      <c r="AE308">
        <f t="shared" si="39"/>
        <v>279</v>
      </c>
      <c r="AG308" s="13">
        <f t="shared" si="38"/>
        <v>0</v>
      </c>
      <c r="AH308" s="13"/>
      <c r="AI308" s="13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W308">
        <f t="shared" si="36"/>
        <v>0</v>
      </c>
      <c r="AX308">
        <v>305</v>
      </c>
      <c r="AY308" s="4">
        <f t="shared" si="34"/>
        <v>43091</v>
      </c>
      <c r="AZ308" s="6">
        <f t="shared" si="35"/>
        <v>1.7990047113810803</v>
      </c>
      <c r="BA308" s="4">
        <v>43091</v>
      </c>
      <c r="BB308" s="6">
        <v>1.8524309999999999</v>
      </c>
      <c r="BC308" s="6">
        <v>0.114243</v>
      </c>
      <c r="BD308" s="6">
        <v>-1.198283</v>
      </c>
      <c r="BE308" s="6"/>
      <c r="BF308" s="6"/>
      <c r="BG308" s="6"/>
      <c r="BH308" s="6"/>
      <c r="BI308" s="6"/>
      <c r="BJ308" s="6"/>
      <c r="BK308" s="6"/>
      <c r="BL308" s="4">
        <v>43091</v>
      </c>
      <c r="BM308" s="6">
        <f>VLOOKUP(BL308,Sheet1!$A$2:$E$1114,2,FALSE)</f>
        <v>2.420629976450337</v>
      </c>
      <c r="BN308" s="6">
        <f t="shared" si="37"/>
        <v>1.7990047113810803</v>
      </c>
    </row>
    <row r="309" spans="31:66" x14ac:dyDescent="0.3">
      <c r="AE309">
        <f t="shared" si="39"/>
        <v>280</v>
      </c>
      <c r="AG309" s="13">
        <f t="shared" si="38"/>
        <v>0</v>
      </c>
      <c r="AH309" s="13"/>
      <c r="AI309" s="13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W309">
        <f t="shared" si="36"/>
        <v>0</v>
      </c>
      <c r="AX309">
        <v>306</v>
      </c>
      <c r="AY309" s="4">
        <f t="shared" si="34"/>
        <v>43098</v>
      </c>
      <c r="AZ309" s="6">
        <f t="shared" si="35"/>
        <v>-0.30924112645348556</v>
      </c>
      <c r="BA309" s="4">
        <v>43098</v>
      </c>
      <c r="BB309" s="6">
        <v>-0.58559399999999995</v>
      </c>
      <c r="BC309" s="6">
        <v>0.12712100000000001</v>
      </c>
      <c r="BD309" s="6">
        <v>-0.28484999999999999</v>
      </c>
      <c r="BE309" s="6"/>
      <c r="BF309" s="6"/>
      <c r="BG309" s="6"/>
      <c r="BH309" s="6"/>
      <c r="BI309" s="6"/>
      <c r="BJ309" s="6"/>
      <c r="BK309" s="6"/>
      <c r="BL309" s="4">
        <v>43098</v>
      </c>
      <c r="BM309" s="6">
        <f>VLOOKUP(BL309,Sheet1!$A$2:$E$1114,2,FALSE)</f>
        <v>2.4131443930438912</v>
      </c>
      <c r="BN309" s="6">
        <f t="shared" si="37"/>
        <v>-0.30924112645348556</v>
      </c>
    </row>
    <row r="310" spans="31:66" x14ac:dyDescent="0.3">
      <c r="AE310">
        <f t="shared" si="39"/>
        <v>281</v>
      </c>
      <c r="AG310" s="13">
        <f t="shared" si="38"/>
        <v>0</v>
      </c>
      <c r="AH310" s="13"/>
      <c r="AI310" s="13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W310">
        <f t="shared" si="36"/>
        <v>0</v>
      </c>
      <c r="AX310">
        <v>307</v>
      </c>
      <c r="AY310" s="4">
        <f t="shared" si="34"/>
        <v>43105</v>
      </c>
      <c r="AZ310" s="6">
        <f t="shared" si="35"/>
        <v>1.9275758639155649</v>
      </c>
      <c r="BA310" s="4">
        <v>43105</v>
      </c>
      <c r="BB310" s="6">
        <v>2.676742</v>
      </c>
      <c r="BC310" s="6">
        <v>2.6625779999999999</v>
      </c>
      <c r="BD310" s="6">
        <v>2.2731750000000002</v>
      </c>
      <c r="BE310" s="6"/>
      <c r="BF310" s="6"/>
      <c r="BG310" s="6"/>
      <c r="BH310" s="6"/>
      <c r="BI310" s="6"/>
      <c r="BJ310" s="6"/>
      <c r="BK310" s="6"/>
      <c r="BL310" s="4">
        <v>43105</v>
      </c>
      <c r="BM310" s="6">
        <f>VLOOKUP(BL310,Sheet1!$A$2:$E$1114,2,FALSE)</f>
        <v>2.4596595819256368</v>
      </c>
      <c r="BN310" s="6">
        <f t="shared" si="37"/>
        <v>1.9275758639155649</v>
      </c>
    </row>
    <row r="311" spans="31:66" x14ac:dyDescent="0.3">
      <c r="AE311">
        <f t="shared" si="39"/>
        <v>282</v>
      </c>
      <c r="AG311" s="13">
        <f t="shared" si="38"/>
        <v>0</v>
      </c>
      <c r="AH311" s="13"/>
      <c r="AI311" s="13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W311">
        <f t="shared" si="36"/>
        <v>0</v>
      </c>
      <c r="AX311">
        <v>308</v>
      </c>
      <c r="AY311" s="4">
        <f t="shared" si="34"/>
        <v>43112</v>
      </c>
      <c r="AZ311" s="6">
        <f t="shared" si="35"/>
        <v>0.75219286455103784</v>
      </c>
      <c r="BA311" s="4">
        <v>43112</v>
      </c>
      <c r="BB311" s="6">
        <v>2.083974</v>
      </c>
      <c r="BC311" s="6">
        <v>-0.27862399999999998</v>
      </c>
      <c r="BD311" s="6">
        <v>-0.68330500000000005</v>
      </c>
      <c r="BE311" s="6"/>
      <c r="BF311" s="6"/>
      <c r="BG311" s="6"/>
      <c r="BH311" s="6"/>
      <c r="BI311" s="6"/>
      <c r="BJ311" s="6"/>
      <c r="BK311" s="6"/>
      <c r="BL311" s="4">
        <v>43112</v>
      </c>
      <c r="BM311" s="6">
        <f>VLOOKUP(BL311,Sheet1!$A$2:$E$1114,2,FALSE)</f>
        <v>2.4781609657931272</v>
      </c>
      <c r="BN311" s="6">
        <f t="shared" si="37"/>
        <v>0.75219286455103784</v>
      </c>
    </row>
    <row r="312" spans="31:66" x14ac:dyDescent="0.3">
      <c r="AE312">
        <f t="shared" si="39"/>
        <v>283</v>
      </c>
      <c r="AG312" s="13">
        <f t="shared" si="38"/>
        <v>0</v>
      </c>
      <c r="AH312" s="13"/>
      <c r="AI312" s="13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W312">
        <f t="shared" si="36"/>
        <v>0</v>
      </c>
      <c r="AX312">
        <v>309</v>
      </c>
      <c r="AY312" s="4">
        <f t="shared" si="34"/>
        <v>43119</v>
      </c>
      <c r="AZ312" s="6">
        <f t="shared" si="35"/>
        <v>0.4555109217909914</v>
      </c>
      <c r="BA312" s="4">
        <v>43119</v>
      </c>
      <c r="BB312" s="6">
        <v>1.429443</v>
      </c>
      <c r="BC312" s="6">
        <v>-1.9844710000000001</v>
      </c>
      <c r="BD312" s="6">
        <v>-2.6588229999999999</v>
      </c>
      <c r="BE312" s="6"/>
      <c r="BF312" s="6"/>
      <c r="BG312" s="6"/>
      <c r="BH312" s="6"/>
      <c r="BI312" s="6"/>
      <c r="BJ312" s="6"/>
      <c r="BK312" s="6"/>
      <c r="BL312" s="4">
        <v>43119</v>
      </c>
      <c r="BM312" s="6">
        <f>VLOOKUP(BL312,Sheet1!$A$2:$E$1114,2,FALSE)</f>
        <v>2.489449259651876</v>
      </c>
      <c r="BN312" s="6">
        <f t="shared" si="37"/>
        <v>0.4555109217909914</v>
      </c>
    </row>
    <row r="313" spans="31:66" x14ac:dyDescent="0.3">
      <c r="AE313">
        <f t="shared" si="39"/>
        <v>284</v>
      </c>
      <c r="AG313" s="13">
        <f t="shared" si="38"/>
        <v>0</v>
      </c>
      <c r="AH313" s="13"/>
      <c r="AI313" s="13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W313">
        <f t="shared" si="36"/>
        <v>0</v>
      </c>
      <c r="AX313">
        <v>310</v>
      </c>
      <c r="AY313" s="4">
        <f t="shared" si="34"/>
        <v>43126</v>
      </c>
      <c r="AZ313" s="6">
        <f t="shared" si="35"/>
        <v>1.8740516255091766</v>
      </c>
      <c r="BA313" s="4">
        <v>43126</v>
      </c>
      <c r="BB313" s="6">
        <v>2.2379410000000002</v>
      </c>
      <c r="BC313" s="6">
        <v>1.773668</v>
      </c>
      <c r="BD313" s="6">
        <v>1.696401</v>
      </c>
      <c r="BE313" s="6"/>
      <c r="BF313" s="6"/>
      <c r="BG313" s="6"/>
      <c r="BH313" s="6"/>
      <c r="BI313" s="6"/>
      <c r="BJ313" s="6"/>
      <c r="BK313" s="6"/>
      <c r="BL313" s="4">
        <v>43126</v>
      </c>
      <c r="BM313" s="6">
        <f>VLOOKUP(BL313,Sheet1!$A$2:$E$1114,2,FALSE)</f>
        <v>2.5361028239686081</v>
      </c>
      <c r="BN313" s="6">
        <f t="shared" si="37"/>
        <v>1.8740516255091766</v>
      </c>
    </row>
    <row r="314" spans="31:66" x14ac:dyDescent="0.3">
      <c r="AE314">
        <f t="shared" si="39"/>
        <v>285</v>
      </c>
      <c r="AG314" s="13">
        <f t="shared" si="38"/>
        <v>0</v>
      </c>
      <c r="AH314" s="13"/>
      <c r="AI314" s="13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W314">
        <f t="shared" si="36"/>
        <v>0</v>
      </c>
      <c r="AX314">
        <v>311</v>
      </c>
      <c r="AY314" s="4">
        <f t="shared" si="34"/>
        <v>43133</v>
      </c>
      <c r="AZ314" s="6">
        <f t="shared" si="35"/>
        <v>-1.6649655496569715</v>
      </c>
      <c r="BA314" s="4">
        <v>43133</v>
      </c>
      <c r="BB314" s="6">
        <v>-2.5122</v>
      </c>
      <c r="BC314" s="6">
        <v>-5.9336419999999999</v>
      </c>
      <c r="BD314" s="6">
        <v>-8.0519429999999996</v>
      </c>
      <c r="BE314" s="6"/>
      <c r="BF314" s="6"/>
      <c r="BG314" s="6"/>
      <c r="BH314" s="6"/>
      <c r="BI314" s="6"/>
      <c r="BJ314" s="6"/>
      <c r="BK314" s="6"/>
      <c r="BL314" s="4">
        <v>43133</v>
      </c>
      <c r="BM314" s="6">
        <f>VLOOKUP(BL314,Sheet1!$A$2:$E$1114,2,FALSE)</f>
        <v>2.4938775856456532</v>
      </c>
      <c r="BN314" s="6">
        <f t="shared" si="37"/>
        <v>-1.6649655496569715</v>
      </c>
    </row>
    <row r="315" spans="31:66" x14ac:dyDescent="0.3">
      <c r="AE315">
        <f t="shared" si="39"/>
        <v>286</v>
      </c>
      <c r="AG315" s="13">
        <f t="shared" si="38"/>
        <v>0</v>
      </c>
      <c r="AH315" s="13"/>
      <c r="AI315" s="13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W315">
        <f t="shared" si="36"/>
        <v>0</v>
      </c>
      <c r="AX315">
        <v>312</v>
      </c>
      <c r="AY315" s="4">
        <f t="shared" si="34"/>
        <v>43140</v>
      </c>
      <c r="AZ315" s="6">
        <f t="shared" si="35"/>
        <v>-9.2855520462653658</v>
      </c>
      <c r="BA315" s="4">
        <v>43140</v>
      </c>
      <c r="BB315" s="6">
        <v>-10.080928</v>
      </c>
      <c r="BC315" s="6">
        <v>-7.493144</v>
      </c>
      <c r="BD315" s="6">
        <v>-6.7024600000000003</v>
      </c>
      <c r="BE315" s="6"/>
      <c r="BF315" s="6"/>
      <c r="BG315" s="6"/>
      <c r="BH315" s="6"/>
      <c r="BI315" s="6"/>
      <c r="BJ315" s="6"/>
      <c r="BK315" s="6"/>
      <c r="BL315" s="4">
        <v>43140</v>
      </c>
      <c r="BM315" s="6">
        <f>VLOOKUP(BL315,Sheet1!$A$2:$E$1114,2,FALSE)</f>
        <v>2.26230728446038</v>
      </c>
      <c r="BN315" s="6">
        <f t="shared" si="37"/>
        <v>-9.2855520462653658</v>
      </c>
    </row>
    <row r="316" spans="31:66" x14ac:dyDescent="0.3">
      <c r="AE316">
        <f t="shared" si="39"/>
        <v>287</v>
      </c>
      <c r="AG316" s="13">
        <f t="shared" si="38"/>
        <v>0</v>
      </c>
      <c r="AH316" s="13"/>
      <c r="AI316" s="13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W316">
        <f t="shared" si="36"/>
        <v>0</v>
      </c>
      <c r="AX316">
        <v>313</v>
      </c>
      <c r="AY316" s="4">
        <f t="shared" si="34"/>
        <v>43145</v>
      </c>
      <c r="AZ316" s="6">
        <f t="shared" si="35"/>
        <v>3.5856239737471318</v>
      </c>
      <c r="BA316" s="4">
        <v>43145</v>
      </c>
      <c r="BB316" s="6">
        <v>3.2887300000000002</v>
      </c>
      <c r="BC316" s="6">
        <v>3.5992920000000002</v>
      </c>
      <c r="BD316" s="6">
        <v>2.9347729999999999</v>
      </c>
      <c r="BE316" s="6"/>
      <c r="BF316" s="6"/>
      <c r="BG316" s="6"/>
      <c r="BH316" s="6"/>
      <c r="BI316" s="6"/>
      <c r="BJ316" s="6"/>
      <c r="BK316" s="6"/>
      <c r="BL316" s="4">
        <v>43145</v>
      </c>
      <c r="BM316" s="6">
        <f>VLOOKUP(BL316,Sheet1!$A$2:$E$1114,2,FALSE)</f>
        <v>2.3434251168118192</v>
      </c>
      <c r="BN316" s="6">
        <f t="shared" si="37"/>
        <v>3.5856239737471318</v>
      </c>
    </row>
    <row r="317" spans="31:66" x14ac:dyDescent="0.3">
      <c r="AE317">
        <f t="shared" si="39"/>
        <v>288</v>
      </c>
      <c r="AG317" s="13">
        <f t="shared" si="38"/>
        <v>0</v>
      </c>
      <c r="AH317" s="13"/>
      <c r="AI317" s="13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W317">
        <f t="shared" si="36"/>
        <v>0</v>
      </c>
      <c r="AX317">
        <v>314</v>
      </c>
      <c r="AY317" s="4">
        <f t="shared" si="34"/>
        <v>43154</v>
      </c>
      <c r="AZ317" s="6">
        <f t="shared" si="35"/>
        <v>2.7982740048992927</v>
      </c>
      <c r="BA317" s="4">
        <v>43154</v>
      </c>
      <c r="BB317" s="6">
        <v>2.6248680000000002</v>
      </c>
      <c r="BC317" s="6">
        <v>2.4821240000000002</v>
      </c>
      <c r="BD317" s="6">
        <v>2.1707740000000002</v>
      </c>
      <c r="BE317" s="6"/>
      <c r="BF317" s="6"/>
      <c r="BG317" s="6"/>
      <c r="BH317" s="6"/>
      <c r="BI317" s="6"/>
      <c r="BJ317" s="6"/>
      <c r="BK317" s="6"/>
      <c r="BL317" s="4">
        <v>43154</v>
      </c>
      <c r="BM317" s="6">
        <f>VLOOKUP(BL317,Sheet1!$A$2:$E$1114,2,FALSE)</f>
        <v>2.4090005726798451</v>
      </c>
      <c r="BN317" s="6">
        <f t="shared" si="37"/>
        <v>2.7982740048992927</v>
      </c>
    </row>
    <row r="318" spans="31:66" x14ac:dyDescent="0.3">
      <c r="AE318">
        <f t="shared" si="39"/>
        <v>289</v>
      </c>
      <c r="AG318" s="13">
        <f t="shared" si="38"/>
        <v>0</v>
      </c>
      <c r="AH318" s="13"/>
      <c r="AI318" s="13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W318">
        <f t="shared" si="36"/>
        <v>0</v>
      </c>
      <c r="AX318">
        <v>315</v>
      </c>
      <c r="AY318" s="4">
        <f t="shared" si="34"/>
        <v>43161</v>
      </c>
      <c r="AZ318" s="6">
        <f t="shared" si="35"/>
        <v>-0.95576098940530763</v>
      </c>
      <c r="BA318" s="4">
        <v>43161</v>
      </c>
      <c r="BB318" s="6">
        <v>-1.34185</v>
      </c>
      <c r="BC318" s="6">
        <v>2.6901929999999998</v>
      </c>
      <c r="BD318" s="6">
        <v>4.1856489999999997</v>
      </c>
      <c r="BE318" s="6"/>
      <c r="BF318" s="6"/>
      <c r="BG318" s="6"/>
      <c r="BH318" s="6"/>
      <c r="BI318" s="6"/>
      <c r="BJ318" s="6"/>
      <c r="BK318" s="6"/>
      <c r="BL318" s="4">
        <v>43161</v>
      </c>
      <c r="BM318" s="6">
        <f>VLOOKUP(BL318,Sheet1!$A$2:$E$1114,2,FALSE)</f>
        <v>2.3859762849716208</v>
      </c>
      <c r="BN318" s="6">
        <f t="shared" si="37"/>
        <v>-0.95576098940530763</v>
      </c>
    </row>
    <row r="319" spans="31:66" x14ac:dyDescent="0.3">
      <c r="AE319">
        <f t="shared" si="39"/>
        <v>290</v>
      </c>
      <c r="AG319" s="13">
        <f t="shared" si="38"/>
        <v>0</v>
      </c>
      <c r="AH319" s="13"/>
      <c r="AI319" s="13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W319">
        <f t="shared" si="36"/>
        <v>0</v>
      </c>
      <c r="AX319">
        <v>316</v>
      </c>
      <c r="AY319" s="4">
        <f t="shared" si="34"/>
        <v>43168</v>
      </c>
      <c r="AZ319" s="6">
        <f t="shared" si="35"/>
        <v>1.7128952018857113</v>
      </c>
      <c r="BA319" s="4">
        <v>43168</v>
      </c>
      <c r="BB319" s="6">
        <v>2.300637</v>
      </c>
      <c r="BC319" s="6">
        <v>2.4873129999999999</v>
      </c>
      <c r="BD319" s="6">
        <v>3.087208</v>
      </c>
      <c r="BE319" s="6"/>
      <c r="BF319" s="6"/>
      <c r="BG319" s="6"/>
      <c r="BH319" s="6"/>
      <c r="BI319" s="6"/>
      <c r="BJ319" s="6"/>
      <c r="BK319" s="6"/>
      <c r="BL319" s="4">
        <v>43168</v>
      </c>
      <c r="BM319" s="6">
        <f>VLOOKUP(BL319,Sheet1!$A$2:$E$1114,2,FALSE)</f>
        <v>2.4268455582750308</v>
      </c>
      <c r="BN319" s="6">
        <f t="shared" si="37"/>
        <v>1.7128952018857113</v>
      </c>
    </row>
    <row r="320" spans="31:66" x14ac:dyDescent="0.3">
      <c r="AE320">
        <f t="shared" si="39"/>
        <v>291</v>
      </c>
      <c r="AG320" s="13">
        <f t="shared" si="38"/>
        <v>0</v>
      </c>
      <c r="AH320" s="13"/>
      <c r="AI320" s="13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W320">
        <f t="shared" si="36"/>
        <v>0</v>
      </c>
      <c r="AX320">
        <v>317</v>
      </c>
      <c r="AY320" s="4">
        <f t="shared" si="34"/>
        <v>43175</v>
      </c>
      <c r="AZ320" s="6">
        <f t="shared" si="35"/>
        <v>-1.3466017651091455</v>
      </c>
      <c r="BA320" s="4">
        <v>43175</v>
      </c>
      <c r="BB320" s="6">
        <v>-1.2763279999999999</v>
      </c>
      <c r="BC320" s="6">
        <v>-0.97744200000000003</v>
      </c>
      <c r="BD320" s="6">
        <v>-0.45634400000000003</v>
      </c>
      <c r="BE320" s="6"/>
      <c r="BF320" s="6"/>
      <c r="BG320" s="6"/>
      <c r="BH320" s="6"/>
      <c r="BI320" s="6"/>
      <c r="BJ320" s="6"/>
      <c r="BK320" s="6"/>
      <c r="BL320" s="4">
        <v>43175</v>
      </c>
      <c r="BM320" s="6">
        <f>VLOOKUP(BL320,Sheet1!$A$2:$E$1114,2,FALSE)</f>
        <v>2.3941656131508262</v>
      </c>
      <c r="BN320" s="6">
        <f t="shared" si="37"/>
        <v>-1.3466017651091455</v>
      </c>
    </row>
    <row r="321" spans="31:66" x14ac:dyDescent="0.3">
      <c r="AE321">
        <f t="shared" si="39"/>
        <v>292</v>
      </c>
      <c r="AG321" s="13">
        <f t="shared" si="38"/>
        <v>0</v>
      </c>
      <c r="AH321" s="13"/>
      <c r="AI321" s="13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W321">
        <f t="shared" si="36"/>
        <v>0</v>
      </c>
      <c r="AX321">
        <v>318</v>
      </c>
      <c r="AY321" s="4">
        <f t="shared" si="34"/>
        <v>43182</v>
      </c>
      <c r="AZ321" s="6">
        <f t="shared" si="35"/>
        <v>-4.2329488961620365</v>
      </c>
      <c r="BA321" s="4">
        <v>43182</v>
      </c>
      <c r="BB321" s="6">
        <v>-3.7345000000000002</v>
      </c>
      <c r="BC321" s="6">
        <v>-5.8434039999999996</v>
      </c>
      <c r="BD321" s="6">
        <v>-5.9217909999999998</v>
      </c>
      <c r="BE321" s="6"/>
      <c r="BF321" s="6"/>
      <c r="BG321" s="6"/>
      <c r="BH321" s="6"/>
      <c r="BI321" s="6"/>
      <c r="BJ321" s="6"/>
      <c r="BK321" s="6"/>
      <c r="BL321" s="4">
        <v>43182</v>
      </c>
      <c r="BM321" s="6">
        <f>VLOOKUP(BL321,Sheet1!$A$2:$E$1114,2,FALSE)</f>
        <v>2.2928218062566672</v>
      </c>
      <c r="BN321" s="6">
        <f t="shared" si="37"/>
        <v>-4.2329488961620365</v>
      </c>
    </row>
    <row r="322" spans="31:66" x14ac:dyDescent="0.3">
      <c r="AE322">
        <f t="shared" si="39"/>
        <v>293</v>
      </c>
      <c r="AG322" s="13">
        <f t="shared" si="38"/>
        <v>0</v>
      </c>
      <c r="AH322" s="13"/>
      <c r="AI322" s="13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W322">
        <f t="shared" si="36"/>
        <v>0</v>
      </c>
      <c r="AX322">
        <v>319</v>
      </c>
      <c r="AY322" s="4">
        <f t="shared" si="34"/>
        <v>43189</v>
      </c>
      <c r="AZ322" s="6">
        <f t="shared" si="35"/>
        <v>2.0119357500103741</v>
      </c>
      <c r="BA322" s="16">
        <v>43189</v>
      </c>
      <c r="BB322" s="21">
        <v>-0.16486300000000001</v>
      </c>
      <c r="BC322" s="21">
        <v>5.6605720000000002</v>
      </c>
      <c r="BD322" s="21">
        <v>6.1811980000000002</v>
      </c>
      <c r="BE322" s="21"/>
      <c r="BF322" s="21"/>
      <c r="BG322" s="21"/>
      <c r="BH322" s="21"/>
      <c r="BI322" s="21"/>
      <c r="BJ322" s="21"/>
      <c r="BK322" s="21"/>
      <c r="BL322" s="16">
        <v>43189</v>
      </c>
      <c r="BM322" s="6">
        <f>VLOOKUP(BL322,Sheet1!$A$2:$E$1114,2,FALSE)</f>
        <v>2.3389519078607788</v>
      </c>
      <c r="BN322" s="6">
        <f t="shared" si="37"/>
        <v>2.0119357500103741</v>
      </c>
    </row>
    <row r="323" spans="31:66" x14ac:dyDescent="0.3">
      <c r="AE323">
        <f t="shared" si="39"/>
        <v>294</v>
      </c>
      <c r="AG323" s="13">
        <f t="shared" si="38"/>
        <v>0</v>
      </c>
      <c r="AH323" s="13"/>
      <c r="AI323" s="13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W323">
        <f t="shared" si="36"/>
        <v>0</v>
      </c>
      <c r="AX323">
        <v>320</v>
      </c>
      <c r="AY323" s="4">
        <f t="shared" si="34"/>
        <v>43194</v>
      </c>
      <c r="AZ323" s="6">
        <f t="shared" si="35"/>
        <v>-0.72273714005255396</v>
      </c>
      <c r="BA323" s="4">
        <v>43194</v>
      </c>
      <c r="BB323" s="6">
        <v>-1.1192820000000001</v>
      </c>
      <c r="BC323" s="6">
        <v>-1.58718</v>
      </c>
      <c r="BD323" s="6">
        <v>-1.32006</v>
      </c>
      <c r="BE323" s="6"/>
      <c r="BF323" s="6"/>
      <c r="BG323" s="6"/>
      <c r="BH323" s="6"/>
      <c r="BI323" s="6"/>
      <c r="BJ323" s="6"/>
      <c r="BK323" s="6"/>
      <c r="BL323" s="4">
        <v>43194</v>
      </c>
      <c r="BM323" s="6">
        <f>VLOOKUP(BL323,Sheet1!$A$2:$E$1114,2,FALSE)</f>
        <v>2.322047433734701</v>
      </c>
      <c r="BN323" s="6">
        <f t="shared" si="37"/>
        <v>-0.72273714005255396</v>
      </c>
    </row>
    <row r="324" spans="31:66" x14ac:dyDescent="0.3">
      <c r="AE324">
        <f t="shared" si="39"/>
        <v>295</v>
      </c>
      <c r="AG324" s="13">
        <f t="shared" si="38"/>
        <v>0</v>
      </c>
      <c r="AH324" s="13"/>
      <c r="AI324" s="13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W324">
        <f t="shared" si="36"/>
        <v>0</v>
      </c>
      <c r="AX324">
        <v>321</v>
      </c>
      <c r="AY324" s="4">
        <f t="shared" si="34"/>
        <v>43203</v>
      </c>
      <c r="AZ324" s="6">
        <f t="shared" si="35"/>
        <v>0.65671708128853812</v>
      </c>
      <c r="BA324" s="4">
        <v>43203</v>
      </c>
      <c r="BB324" s="6">
        <v>0.42237000000000002</v>
      </c>
      <c r="BC324" s="6">
        <v>0.15787499999999999</v>
      </c>
      <c r="BD324" s="6">
        <v>0.189911</v>
      </c>
      <c r="BE324" s="6"/>
      <c r="BF324" s="6"/>
      <c r="BG324" s="6"/>
      <c r="BH324" s="6"/>
      <c r="BI324" s="6"/>
      <c r="BJ324" s="6"/>
      <c r="BK324" s="6"/>
      <c r="BL324" s="4">
        <v>43203</v>
      </c>
      <c r="BM324" s="6">
        <f>VLOOKUP(BL324,Sheet1!$A$2:$E$1114,2,FALSE)</f>
        <v>2.3372967158676592</v>
      </c>
      <c r="BN324" s="6">
        <f t="shared" si="37"/>
        <v>0.65671708128853812</v>
      </c>
    </row>
    <row r="325" spans="31:66" x14ac:dyDescent="0.3">
      <c r="AE325">
        <f t="shared" si="39"/>
        <v>296</v>
      </c>
      <c r="AG325" s="13">
        <f t="shared" si="38"/>
        <v>0</v>
      </c>
      <c r="AH325" s="13"/>
      <c r="AI325" s="13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W325">
        <f t="shared" si="36"/>
        <v>0</v>
      </c>
      <c r="AX325">
        <v>322</v>
      </c>
      <c r="AY325" s="4">
        <f t="shared" ref="AY325:AY388" si="40">BA325</f>
        <v>43210</v>
      </c>
      <c r="AZ325" s="6">
        <f t="shared" ref="AZ325:AZ388" si="41">BN325</f>
        <v>-2.4126541197692308</v>
      </c>
      <c r="BA325" s="4">
        <v>43210</v>
      </c>
      <c r="BB325" s="6">
        <v>-2.8490280000000001</v>
      </c>
      <c r="BC325" s="6">
        <v>-2.4281779999999999</v>
      </c>
      <c r="BD325" s="6">
        <v>-2.7627030000000001</v>
      </c>
      <c r="BE325" s="6"/>
      <c r="BF325" s="6"/>
      <c r="BG325" s="6"/>
      <c r="BH325" s="6"/>
      <c r="BI325" s="6"/>
      <c r="BJ325" s="6"/>
      <c r="BK325" s="6"/>
      <c r="BL325" s="4">
        <v>43210</v>
      </c>
      <c r="BM325" s="6">
        <f>VLOOKUP(BL325,Sheet1!$A$2:$E$1114,2,FALSE)</f>
        <v>2.2809058303610472</v>
      </c>
      <c r="BN325" s="6">
        <f t="shared" si="37"/>
        <v>-2.4126541197692308</v>
      </c>
    </row>
    <row r="326" spans="31:66" x14ac:dyDescent="0.3">
      <c r="AE326">
        <f t="shared" si="39"/>
        <v>297</v>
      </c>
      <c r="AG326" s="13">
        <f t="shared" si="38"/>
        <v>0</v>
      </c>
      <c r="AH326" s="13"/>
      <c r="AI326" s="13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W326">
        <f t="shared" ref="AW326:AW389" si="42">IF(AY326&lt;=AY325,1,0)</f>
        <v>0</v>
      </c>
      <c r="AX326">
        <v>323</v>
      </c>
      <c r="AY326" s="4">
        <f t="shared" si="40"/>
        <v>43217</v>
      </c>
      <c r="AZ326" s="6">
        <f t="shared" si="41"/>
        <v>0.41482136461938879</v>
      </c>
      <c r="BA326" s="4">
        <v>43217</v>
      </c>
      <c r="BB326" s="6">
        <v>-0.105769</v>
      </c>
      <c r="BC326" s="6">
        <v>-0.33757599999999999</v>
      </c>
      <c r="BD326" s="6">
        <v>-0.28931000000000001</v>
      </c>
      <c r="BE326" s="6"/>
      <c r="BF326" s="6"/>
      <c r="BG326" s="6"/>
      <c r="BH326" s="6"/>
      <c r="BI326" s="6"/>
      <c r="BJ326" s="6"/>
      <c r="BK326" s="6"/>
      <c r="BL326" s="4">
        <v>43217</v>
      </c>
      <c r="BM326" s="6">
        <f>VLOOKUP(BL326,Sheet1!$A$2:$E$1114,2,FALSE)</f>
        <v>2.290367515052234</v>
      </c>
      <c r="BN326" s="6">
        <f t="shared" ref="BN326:BN389" si="43">(BM326/BM325-1)*100</f>
        <v>0.41482136461938879</v>
      </c>
    </row>
    <row r="327" spans="31:66" x14ac:dyDescent="0.3">
      <c r="AE327">
        <f t="shared" si="39"/>
        <v>298</v>
      </c>
      <c r="AG327" s="13">
        <f t="shared" si="38"/>
        <v>0</v>
      </c>
      <c r="AH327" s="13"/>
      <c r="AI327" s="13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W327">
        <f t="shared" si="42"/>
        <v>0</v>
      </c>
      <c r="AX327">
        <v>324</v>
      </c>
      <c r="AY327" s="4">
        <f t="shared" si="40"/>
        <v>43224</v>
      </c>
      <c r="AZ327" s="6">
        <f t="shared" si="41"/>
        <v>0.89613365327174677</v>
      </c>
      <c r="BA327" s="4">
        <v>43224</v>
      </c>
      <c r="BB327" s="6">
        <v>0.47171099999999999</v>
      </c>
      <c r="BC327" s="6">
        <v>0.82427799999999996</v>
      </c>
      <c r="BD327" s="6">
        <v>0.21848400000000001</v>
      </c>
      <c r="BE327" s="6"/>
      <c r="BF327" s="6"/>
      <c r="BG327" s="6"/>
      <c r="BH327" s="6"/>
      <c r="BI327" s="6"/>
      <c r="BJ327" s="6"/>
      <c r="BK327" s="6"/>
      <c r="BL327" s="4">
        <v>43224</v>
      </c>
      <c r="BM327" s="6">
        <f>VLOOKUP(BL327,Sheet1!$A$2:$E$1114,2,FALSE)</f>
        <v>2.310892269138221</v>
      </c>
      <c r="BN327" s="6">
        <f t="shared" si="43"/>
        <v>0.89613365327174677</v>
      </c>
    </row>
    <row r="328" spans="31:66" x14ac:dyDescent="0.3">
      <c r="AE328">
        <f t="shared" si="39"/>
        <v>299</v>
      </c>
      <c r="AG328" s="13">
        <f t="shared" si="38"/>
        <v>0</v>
      </c>
      <c r="AH328" s="13"/>
      <c r="AI328" s="13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W328">
        <f t="shared" si="42"/>
        <v>0</v>
      </c>
      <c r="AX328">
        <v>325</v>
      </c>
      <c r="AY328" s="4">
        <f t="shared" si="40"/>
        <v>43231</v>
      </c>
      <c r="AZ328" s="6">
        <f t="shared" si="41"/>
        <v>1.5849514350716021</v>
      </c>
      <c r="BA328" s="4">
        <v>43231</v>
      </c>
      <c r="BB328" s="6">
        <v>2.6026660000000001</v>
      </c>
      <c r="BC328" s="6">
        <v>1.3884570000000001</v>
      </c>
      <c r="BD328" s="6">
        <v>1.6148990000000001</v>
      </c>
      <c r="BE328" s="6"/>
      <c r="BF328" s="6"/>
      <c r="BG328" s="6"/>
      <c r="BH328" s="6"/>
      <c r="BI328" s="6"/>
      <c r="BJ328" s="6"/>
      <c r="BK328" s="6"/>
      <c r="BL328" s="4">
        <v>43231</v>
      </c>
      <c r="BM328" s="6">
        <f>VLOOKUP(BL328,Sheet1!$A$2:$E$1114,2,FALSE)</f>
        <v>2.347518789320886</v>
      </c>
      <c r="BN328" s="6">
        <f t="shared" si="43"/>
        <v>1.5849514350716021</v>
      </c>
    </row>
    <row r="329" spans="31:66" x14ac:dyDescent="0.3">
      <c r="AE329">
        <f t="shared" si="39"/>
        <v>300</v>
      </c>
      <c r="AG329" s="13">
        <f t="shared" si="38"/>
        <v>0</v>
      </c>
      <c r="AH329" s="13"/>
      <c r="AI329" s="13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W329">
        <f t="shared" si="42"/>
        <v>0</v>
      </c>
      <c r="AX329">
        <v>326</v>
      </c>
      <c r="AY329" s="4">
        <f t="shared" si="40"/>
        <v>43238</v>
      </c>
      <c r="AZ329" s="6">
        <f t="shared" si="41"/>
        <v>0.30445249832871113</v>
      </c>
      <c r="BA329" s="4">
        <v>43238</v>
      </c>
      <c r="BB329" s="6">
        <v>0.78044599999999997</v>
      </c>
      <c r="BC329" s="6">
        <v>6.3547000000000006E-2</v>
      </c>
      <c r="BD329" s="6">
        <v>-0.24095900000000001</v>
      </c>
      <c r="BE329" s="6"/>
      <c r="BF329" s="6"/>
      <c r="BG329" s="6"/>
      <c r="BH329" s="6"/>
      <c r="BI329" s="6"/>
      <c r="BJ329" s="6"/>
      <c r="BK329" s="6"/>
      <c r="BL329" s="4">
        <v>43238</v>
      </c>
      <c r="BM329" s="6">
        <f>VLOOKUP(BL329,Sheet1!$A$2:$E$1114,2,FALSE)</f>
        <v>2.3546658689237092</v>
      </c>
      <c r="BN329" s="6">
        <f t="shared" si="43"/>
        <v>0.30445249832871113</v>
      </c>
    </row>
    <row r="330" spans="31:66" x14ac:dyDescent="0.3">
      <c r="AE330">
        <f t="shared" si="39"/>
        <v>301</v>
      </c>
      <c r="AG330" s="13">
        <f t="shared" si="38"/>
        <v>0</v>
      </c>
      <c r="AH330" s="13"/>
      <c r="AI330" s="13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W330">
        <f t="shared" si="42"/>
        <v>0</v>
      </c>
      <c r="AX330">
        <v>327</v>
      </c>
      <c r="AY330" s="4">
        <f t="shared" si="40"/>
        <v>43245</v>
      </c>
      <c r="AZ330" s="6">
        <f t="shared" si="41"/>
        <v>-1.4871741850806863</v>
      </c>
      <c r="BA330" s="4">
        <v>43245</v>
      </c>
      <c r="BB330" s="6">
        <v>-2.2178909999999998</v>
      </c>
      <c r="BC330" s="6">
        <v>-1.290241</v>
      </c>
      <c r="BD330" s="6">
        <v>-1.198123</v>
      </c>
      <c r="BE330" s="6"/>
      <c r="BF330" s="6"/>
      <c r="BG330" s="6"/>
      <c r="BH330" s="6"/>
      <c r="BI330" s="6"/>
      <c r="BJ330" s="6"/>
      <c r="BK330" s="6"/>
      <c r="BL330" s="4">
        <v>43245</v>
      </c>
      <c r="BM330" s="6">
        <f>VLOOKUP(BL330,Sheet1!$A$2:$E$1114,2,FALSE)</f>
        <v>2.31964788597617</v>
      </c>
      <c r="BN330" s="6">
        <f t="shared" si="43"/>
        <v>-1.4871741850806863</v>
      </c>
    </row>
    <row r="331" spans="31:66" x14ac:dyDescent="0.3">
      <c r="AE331">
        <f t="shared" si="39"/>
        <v>302</v>
      </c>
      <c r="AG331" s="13">
        <f t="shared" si="38"/>
        <v>0</v>
      </c>
      <c r="AH331" s="13"/>
      <c r="AI331" s="13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W331">
        <f t="shared" si="42"/>
        <v>0</v>
      </c>
      <c r="AX331">
        <v>328</v>
      </c>
      <c r="AY331" s="4">
        <f t="shared" si="40"/>
        <v>43252</v>
      </c>
      <c r="AZ331" s="6">
        <f t="shared" si="41"/>
        <v>-1.6730603163476854</v>
      </c>
      <c r="BA331" s="4">
        <v>43252</v>
      </c>
      <c r="BB331" s="6">
        <v>-1.202906</v>
      </c>
      <c r="BC331" s="6">
        <v>-3.9319069999999998</v>
      </c>
      <c r="BD331" s="6">
        <v>-4.551253</v>
      </c>
      <c r="BE331" s="6"/>
      <c r="BF331" s="6"/>
      <c r="BG331" s="6"/>
      <c r="BH331" s="6"/>
      <c r="BI331" s="6"/>
      <c r="BJ331" s="6"/>
      <c r="BK331" s="6"/>
      <c r="BL331" s="4">
        <v>43252</v>
      </c>
      <c r="BM331" s="6">
        <f>VLOOKUP(BL331,Sheet1!$A$2:$E$1114,2,FALSE)</f>
        <v>2.2808387777169048</v>
      </c>
      <c r="BN331" s="6">
        <f t="shared" si="43"/>
        <v>-1.6730603163476854</v>
      </c>
    </row>
    <row r="332" spans="31:66" x14ac:dyDescent="0.3">
      <c r="AE332">
        <f t="shared" si="39"/>
        <v>303</v>
      </c>
      <c r="AG332" s="13">
        <f t="shared" si="38"/>
        <v>0</v>
      </c>
      <c r="AH332" s="13"/>
      <c r="AI332" s="13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W332">
        <f t="shared" si="42"/>
        <v>0</v>
      </c>
      <c r="AX332">
        <v>329</v>
      </c>
      <c r="AY332" s="4">
        <f t="shared" si="40"/>
        <v>43259</v>
      </c>
      <c r="AZ332" s="6">
        <f t="shared" si="41"/>
        <v>1.1681582413916036</v>
      </c>
      <c r="BA332" s="4">
        <v>43259</v>
      </c>
      <c r="BB332" s="6">
        <v>0.2394</v>
      </c>
      <c r="BC332" s="6">
        <v>-0.27813700000000002</v>
      </c>
      <c r="BD332" s="6">
        <v>-0.60502400000000001</v>
      </c>
      <c r="BE332" s="6"/>
      <c r="BF332" s="6"/>
      <c r="BG332" s="6"/>
      <c r="BH332" s="6"/>
      <c r="BI332" s="6"/>
      <c r="BJ332" s="6"/>
      <c r="BK332" s="6"/>
      <c r="BL332" s="4">
        <v>43259</v>
      </c>
      <c r="BM332" s="6">
        <f>VLOOKUP(BL332,Sheet1!$A$2:$E$1114,2,FALSE)</f>
        <v>2.3074825838716602</v>
      </c>
      <c r="BN332" s="6">
        <f t="shared" si="43"/>
        <v>1.1681582413916036</v>
      </c>
    </row>
    <row r="333" spans="31:66" x14ac:dyDescent="0.3">
      <c r="AE333">
        <f t="shared" si="39"/>
        <v>304</v>
      </c>
      <c r="AG333" s="13">
        <f t="shared" si="38"/>
        <v>0</v>
      </c>
      <c r="AH333" s="13"/>
      <c r="AI333" s="13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W333">
        <f t="shared" si="42"/>
        <v>0</v>
      </c>
      <c r="AX333">
        <v>330</v>
      </c>
      <c r="AY333" s="4">
        <f t="shared" si="40"/>
        <v>43266</v>
      </c>
      <c r="AZ333" s="6">
        <f t="shared" si="41"/>
        <v>-1.1486051854619816</v>
      </c>
      <c r="BA333" s="4">
        <v>43266</v>
      </c>
      <c r="BB333" s="6">
        <v>-0.69271899999999997</v>
      </c>
      <c r="BC333" s="6">
        <v>-3.2695110000000001</v>
      </c>
      <c r="BD333" s="6">
        <v>-4.4776860000000003</v>
      </c>
      <c r="BE333" s="6"/>
      <c r="BF333" s="6"/>
      <c r="BG333" s="6"/>
      <c r="BH333" s="6"/>
      <c r="BI333" s="6"/>
      <c r="BJ333" s="6"/>
      <c r="BK333" s="6"/>
      <c r="BL333" s="4">
        <v>43266</v>
      </c>
      <c r="BM333" s="6">
        <f>VLOOKUP(BL333,Sheet1!$A$2:$E$1114,2,FALSE)</f>
        <v>2.2809787192596782</v>
      </c>
      <c r="BN333" s="6">
        <f t="shared" si="43"/>
        <v>-1.1486051854619816</v>
      </c>
    </row>
    <row r="334" spans="31:66" x14ac:dyDescent="0.3">
      <c r="AE334">
        <f t="shared" si="39"/>
        <v>305</v>
      </c>
      <c r="AG334" s="13">
        <f t="shared" si="38"/>
        <v>0</v>
      </c>
      <c r="AH334" s="13"/>
      <c r="AI334" s="13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W334">
        <f t="shared" si="42"/>
        <v>0</v>
      </c>
      <c r="AX334">
        <v>331</v>
      </c>
      <c r="AY334" s="4">
        <f t="shared" si="40"/>
        <v>43273</v>
      </c>
      <c r="AZ334" s="6">
        <f t="shared" si="41"/>
        <v>-3.2812902679050127</v>
      </c>
      <c r="BA334" s="4">
        <v>43273</v>
      </c>
      <c r="BB334" s="6">
        <v>-3.8505859999999998</v>
      </c>
      <c r="BC334" s="6">
        <v>-5.9049060000000004</v>
      </c>
      <c r="BD334" s="6">
        <v>-6.5231709999999996</v>
      </c>
      <c r="BE334" s="6"/>
      <c r="BF334" s="6"/>
      <c r="BG334" s="6"/>
      <c r="BH334" s="6"/>
      <c r="BI334" s="6"/>
      <c r="BJ334" s="6"/>
      <c r="BK334" s="6"/>
      <c r="BL334" s="4">
        <v>43273</v>
      </c>
      <c r="BM334" s="6">
        <f>VLOOKUP(BL334,Sheet1!$A$2:$E$1114,2,FALSE)</f>
        <v>2.206133186531626</v>
      </c>
      <c r="BN334" s="6">
        <f t="shared" si="43"/>
        <v>-3.2812902679050127</v>
      </c>
    </row>
    <row r="335" spans="31:66" x14ac:dyDescent="0.3">
      <c r="AE335">
        <f t="shared" si="39"/>
        <v>306</v>
      </c>
      <c r="AG335" s="13">
        <f t="shared" si="38"/>
        <v>0</v>
      </c>
      <c r="AH335" s="13"/>
      <c r="AI335" s="13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W335">
        <f t="shared" si="42"/>
        <v>0</v>
      </c>
      <c r="AX335">
        <v>332</v>
      </c>
      <c r="AY335" s="4">
        <f t="shared" si="40"/>
        <v>43280</v>
      </c>
      <c r="AZ335" s="6">
        <f t="shared" si="41"/>
        <v>-1.7716946003508927</v>
      </c>
      <c r="BA335" s="4">
        <v>43280</v>
      </c>
      <c r="BB335" s="6">
        <v>-2.7132909999999999</v>
      </c>
      <c r="BC335" s="6">
        <v>1.117057</v>
      </c>
      <c r="BD335" s="6">
        <v>1.2120029999999999</v>
      </c>
      <c r="BE335" s="6"/>
      <c r="BF335" s="6"/>
      <c r="BG335" s="6"/>
      <c r="BH335" s="6"/>
      <c r="BI335" s="6"/>
      <c r="BJ335" s="6"/>
      <c r="BK335" s="6"/>
      <c r="BL335" s="4">
        <v>43280</v>
      </c>
      <c r="BM335" s="6">
        <f>VLOOKUP(BL335,Sheet1!$A$2:$E$1114,2,FALSE)</f>
        <v>2.167047243989296</v>
      </c>
      <c r="BN335" s="6">
        <f t="shared" si="43"/>
        <v>-1.7716946003508927</v>
      </c>
    </row>
    <row r="336" spans="31:66" x14ac:dyDescent="0.3">
      <c r="AE336">
        <f t="shared" si="39"/>
        <v>307</v>
      </c>
      <c r="AG336" s="13">
        <f t="shared" si="38"/>
        <v>0</v>
      </c>
      <c r="AH336" s="13"/>
      <c r="AI336" s="13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W336">
        <f t="shared" si="42"/>
        <v>0</v>
      </c>
      <c r="AX336">
        <v>333</v>
      </c>
      <c r="AY336" s="4">
        <f t="shared" si="40"/>
        <v>43287</v>
      </c>
      <c r="AZ336" s="6">
        <f t="shared" si="41"/>
        <v>-3.6714028470027582</v>
      </c>
      <c r="BA336" s="4">
        <v>43287</v>
      </c>
      <c r="BB336" s="6">
        <v>-4.1544420000000004</v>
      </c>
      <c r="BC336" s="6">
        <v>-4.2381060000000002</v>
      </c>
      <c r="BD336" s="6">
        <v>-4.1714219999999997</v>
      </c>
      <c r="BE336" s="6"/>
      <c r="BF336" s="6"/>
      <c r="BG336" s="6"/>
      <c r="BH336" s="6"/>
      <c r="BI336" s="6"/>
      <c r="BJ336" s="6"/>
      <c r="BK336" s="6"/>
      <c r="BL336" s="4">
        <v>43287</v>
      </c>
      <c r="BM336" s="6">
        <f>VLOOKUP(BL336,Sheet1!$A$2:$E$1114,2,FALSE)</f>
        <v>2.0874862097775781</v>
      </c>
      <c r="BN336" s="6">
        <f t="shared" si="43"/>
        <v>-3.6714028470027582</v>
      </c>
    </row>
    <row r="337" spans="31:66" x14ac:dyDescent="0.3">
      <c r="AE337">
        <f t="shared" si="39"/>
        <v>308</v>
      </c>
      <c r="AG337" s="13">
        <f t="shared" si="38"/>
        <v>0</v>
      </c>
      <c r="AH337" s="13"/>
      <c r="AI337" s="13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W337">
        <f t="shared" si="42"/>
        <v>0</v>
      </c>
      <c r="AX337">
        <v>334</v>
      </c>
      <c r="AY337" s="4">
        <f t="shared" si="40"/>
        <v>43294</v>
      </c>
      <c r="AZ337" s="6">
        <f t="shared" si="41"/>
        <v>4.4562573465111832</v>
      </c>
      <c r="BA337" s="4">
        <v>43294</v>
      </c>
      <c r="BB337" s="6">
        <v>3.7908569999999999</v>
      </c>
      <c r="BC337" s="6">
        <v>4.153912</v>
      </c>
      <c r="BD337" s="6">
        <v>3.4812989999999999</v>
      </c>
      <c r="BE337" s="6"/>
      <c r="BF337" s="6"/>
      <c r="BG337" s="6"/>
      <c r="BH337" s="6"/>
      <c r="BI337" s="6"/>
      <c r="BJ337" s="6"/>
      <c r="BK337" s="6"/>
      <c r="BL337" s="4">
        <v>43294</v>
      </c>
      <c r="BM337" s="6">
        <f>VLOOKUP(BL337,Sheet1!$A$2:$E$1114,2,FALSE)</f>
        <v>2.1805099673581991</v>
      </c>
      <c r="BN337" s="6">
        <f t="shared" si="43"/>
        <v>4.4562573465111832</v>
      </c>
    </row>
    <row r="338" spans="31:66" x14ac:dyDescent="0.3">
      <c r="AE338">
        <f t="shared" si="39"/>
        <v>309</v>
      </c>
      <c r="AG338" s="13">
        <f t="shared" si="38"/>
        <v>0</v>
      </c>
      <c r="AH338" s="13"/>
      <c r="AI338" s="13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W338">
        <f t="shared" si="42"/>
        <v>0</v>
      </c>
      <c r="AX338">
        <v>335</v>
      </c>
      <c r="AY338" s="4">
        <f t="shared" si="40"/>
        <v>43298</v>
      </c>
      <c r="AZ338" s="6">
        <f t="shared" si="41"/>
        <v>-0.66974452412325025</v>
      </c>
      <c r="BA338" s="4">
        <v>43298</v>
      </c>
      <c r="BB338" s="6">
        <v>-1.2400869999999999</v>
      </c>
      <c r="BC338" s="6">
        <v>-0.153503</v>
      </c>
      <c r="BD338" s="6">
        <v>0.247923</v>
      </c>
      <c r="BE338" s="6"/>
      <c r="BF338" s="6"/>
      <c r="BG338" s="6"/>
      <c r="BH338" s="6"/>
      <c r="BI338" s="6"/>
      <c r="BJ338" s="6"/>
      <c r="BK338" s="6"/>
      <c r="BL338" s="4">
        <v>43298</v>
      </c>
      <c r="BM338" s="6">
        <f>VLOOKUP(BL338,Sheet1!$A$2:$E$1114,2,FALSE)</f>
        <v>2.165906121253856</v>
      </c>
      <c r="BN338" s="6">
        <f t="shared" si="43"/>
        <v>-0.66974452412325025</v>
      </c>
    </row>
    <row r="339" spans="31:66" x14ac:dyDescent="0.3">
      <c r="AE339">
        <f t="shared" si="39"/>
        <v>310</v>
      </c>
      <c r="AG339" s="13">
        <f t="shared" si="38"/>
        <v>0</v>
      </c>
      <c r="AH339" s="13"/>
      <c r="AI339" s="13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W339">
        <f t="shared" si="42"/>
        <v>1</v>
      </c>
      <c r="AX339">
        <v>336</v>
      </c>
      <c r="AY339" s="4">
        <f t="shared" si="40"/>
        <v>42979</v>
      </c>
      <c r="AZ339" s="6">
        <f t="shared" si="41"/>
        <v>8.5597816475031507</v>
      </c>
      <c r="BA339" s="4">
        <v>42979</v>
      </c>
      <c r="BB339" s="6">
        <v>0.91639000000000004</v>
      </c>
      <c r="BC339" s="6">
        <v>2.8357869999999998</v>
      </c>
      <c r="BD339" s="6">
        <v>2.389106</v>
      </c>
      <c r="BE339" s="6"/>
      <c r="BF339" s="6"/>
      <c r="BG339" s="6"/>
      <c r="BH339" s="6"/>
      <c r="BI339" s="6"/>
      <c r="BJ339" s="6"/>
      <c r="BK339" s="6"/>
      <c r="BL339" s="4">
        <v>42979</v>
      </c>
      <c r="BM339" s="6">
        <f>VLOOKUP(BL339,Sheet1!$A$2:$E$1114,2,FALSE)</f>
        <v>2.3513029559230909</v>
      </c>
      <c r="BN339" s="6">
        <f t="shared" si="43"/>
        <v>8.5597816475031507</v>
      </c>
    </row>
    <row r="340" spans="31:66" x14ac:dyDescent="0.3">
      <c r="AE340">
        <f t="shared" si="39"/>
        <v>311</v>
      </c>
      <c r="AG340" s="13">
        <f t="shared" si="38"/>
        <v>0</v>
      </c>
      <c r="AH340" s="13"/>
      <c r="AI340" s="13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W340">
        <f t="shared" si="42"/>
        <v>0</v>
      </c>
      <c r="AX340">
        <v>337</v>
      </c>
      <c r="AY340" s="4">
        <f t="shared" si="40"/>
        <v>42986</v>
      </c>
      <c r="AZ340" s="6">
        <f t="shared" si="41"/>
        <v>2.3529451232517928E-3</v>
      </c>
      <c r="BA340" s="4">
        <v>42986</v>
      </c>
      <c r="BB340" s="6">
        <v>-0.118751</v>
      </c>
      <c r="BC340" s="6">
        <v>0.73052899999999998</v>
      </c>
      <c r="BD340" s="6">
        <v>1.2776719999999999</v>
      </c>
      <c r="BE340" s="6"/>
      <c r="BF340" s="6"/>
      <c r="BG340" s="6"/>
      <c r="BH340" s="6"/>
      <c r="BI340" s="6"/>
      <c r="BJ340" s="6"/>
      <c r="BK340" s="6"/>
      <c r="BL340" s="4">
        <v>42986</v>
      </c>
      <c r="BM340" s="6">
        <f>VLOOKUP(BL340,Sheet1!$A$2:$E$1114,2,FALSE)</f>
        <v>2.3513582807913251</v>
      </c>
      <c r="BN340" s="6">
        <f t="shared" si="43"/>
        <v>2.3529451232517928E-3</v>
      </c>
    </row>
    <row r="341" spans="31:66" x14ac:dyDescent="0.3">
      <c r="AE341">
        <f t="shared" si="39"/>
        <v>312</v>
      </c>
      <c r="AG341" s="13">
        <f t="shared" si="38"/>
        <v>0</v>
      </c>
      <c r="AH341" s="13"/>
      <c r="AI341" s="13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W341">
        <f t="shared" si="42"/>
        <v>0</v>
      </c>
      <c r="AX341">
        <v>338</v>
      </c>
      <c r="AY341" s="4">
        <f t="shared" si="40"/>
        <v>42993</v>
      </c>
      <c r="AZ341" s="6">
        <f t="shared" si="41"/>
        <v>0.25154270411744672</v>
      </c>
      <c r="BA341" s="4">
        <v>42993</v>
      </c>
      <c r="BB341" s="6">
        <v>0.138709</v>
      </c>
      <c r="BC341" s="6">
        <v>0.72801800000000005</v>
      </c>
      <c r="BD341" s="6">
        <v>0.53286900000000004</v>
      </c>
      <c r="BE341" s="6"/>
      <c r="BF341" s="6"/>
      <c r="BG341" s="6"/>
      <c r="BH341" s="6"/>
      <c r="BI341" s="6"/>
      <c r="BJ341" s="6"/>
      <c r="BK341" s="6"/>
      <c r="BL341" s="4">
        <v>42993</v>
      </c>
      <c r="BM341" s="6">
        <f>VLOOKUP(BL341,Sheet1!$A$2:$E$1114,2,FALSE)</f>
        <v>2.3572729509943171</v>
      </c>
      <c r="BN341" s="6">
        <f t="shared" si="43"/>
        <v>0.25154270411744672</v>
      </c>
    </row>
    <row r="342" spans="31:66" x14ac:dyDescent="0.3">
      <c r="AE342">
        <f t="shared" si="39"/>
        <v>313</v>
      </c>
      <c r="AG342" s="13">
        <f t="shared" si="38"/>
        <v>0</v>
      </c>
      <c r="AH342" s="13"/>
      <c r="AI342" s="13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W342">
        <f t="shared" si="42"/>
        <v>0</v>
      </c>
      <c r="AX342">
        <v>339</v>
      </c>
      <c r="AY342" s="4">
        <f t="shared" si="40"/>
        <v>43000</v>
      </c>
      <c r="AZ342" s="6">
        <f t="shared" si="41"/>
        <v>2.89027990925117E-3</v>
      </c>
      <c r="BA342" s="4">
        <v>43000</v>
      </c>
      <c r="BB342" s="6">
        <v>0.16793</v>
      </c>
      <c r="BC342" s="6">
        <v>-0.75556999999999996</v>
      </c>
      <c r="BD342" s="6">
        <v>-0.39134099999999999</v>
      </c>
      <c r="BE342" s="6"/>
      <c r="BF342" s="6"/>
      <c r="BG342" s="6"/>
      <c r="BH342" s="6"/>
      <c r="BI342" s="6"/>
      <c r="BJ342" s="6"/>
      <c r="BK342" s="6"/>
      <c r="BL342" s="4">
        <v>43000</v>
      </c>
      <c r="BM342" s="6">
        <f>VLOOKUP(BL342,Sheet1!$A$2:$E$1114,2,FALSE)</f>
        <v>2.3573410827808261</v>
      </c>
      <c r="BN342" s="6">
        <f t="shared" si="43"/>
        <v>2.89027990925117E-3</v>
      </c>
    </row>
    <row r="343" spans="31:66" x14ac:dyDescent="0.3">
      <c r="AE343">
        <f t="shared" si="39"/>
        <v>314</v>
      </c>
      <c r="AG343" s="13">
        <f t="shared" si="38"/>
        <v>0</v>
      </c>
      <c r="AH343" s="13"/>
      <c r="AI343" s="13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W343">
        <f t="shared" si="42"/>
        <v>0</v>
      </c>
      <c r="AX343">
        <v>340</v>
      </c>
      <c r="AY343" s="4">
        <f t="shared" si="40"/>
        <v>43007</v>
      </c>
      <c r="AZ343" s="6">
        <f t="shared" si="41"/>
        <v>0.70997253635514124</v>
      </c>
      <c r="BA343" s="4">
        <v>43007</v>
      </c>
      <c r="BB343" s="6">
        <v>-3.2027E-2</v>
      </c>
      <c r="BC343" s="6">
        <v>0.47548800000000002</v>
      </c>
      <c r="BD343" s="6">
        <v>-9.0964000000000003E-2</v>
      </c>
      <c r="BE343" s="6"/>
      <c r="BF343" s="6"/>
      <c r="BG343" s="6"/>
      <c r="BH343" s="6"/>
      <c r="BI343" s="6"/>
      <c r="BJ343" s="6"/>
      <c r="BK343" s="6"/>
      <c r="BL343" s="4">
        <v>43007</v>
      </c>
      <c r="BM343" s="6">
        <f>VLOOKUP(BL343,Sheet1!$A$2:$E$1114,2,FALSE)</f>
        <v>2.3740775570567871</v>
      </c>
      <c r="BN343" s="6">
        <f t="shared" si="43"/>
        <v>0.70997253635514124</v>
      </c>
    </row>
    <row r="344" spans="31:66" x14ac:dyDescent="0.3">
      <c r="AE344">
        <f t="shared" si="39"/>
        <v>315</v>
      </c>
      <c r="AG344" s="13">
        <f t="shared" si="38"/>
        <v>0</v>
      </c>
      <c r="AH344" s="13"/>
      <c r="AI344" s="13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W344">
        <f t="shared" si="42"/>
        <v>0</v>
      </c>
      <c r="AX344">
        <v>341</v>
      </c>
      <c r="AY344" s="4">
        <f t="shared" si="40"/>
        <v>43021</v>
      </c>
      <c r="AZ344" s="6">
        <f t="shared" si="41"/>
        <v>1.6175631511718302</v>
      </c>
      <c r="BA344" s="4">
        <v>43021</v>
      </c>
      <c r="BB344" s="6">
        <v>2.2025380000000001</v>
      </c>
      <c r="BC344" s="6">
        <v>1.6137140000000001</v>
      </c>
      <c r="BD344" s="6">
        <v>1.655491</v>
      </c>
      <c r="BE344" s="6"/>
      <c r="BF344" s="6"/>
      <c r="BG344" s="6"/>
      <c r="BH344" s="6"/>
      <c r="BI344" s="6"/>
      <c r="BJ344" s="6"/>
      <c r="BK344" s="6"/>
      <c r="BL344" s="4">
        <v>43021</v>
      </c>
      <c r="BM344" s="6">
        <f>VLOOKUP(BL344,Sheet1!$A$2:$E$1114,2,FALSE)</f>
        <v>2.4124797607999779</v>
      </c>
      <c r="BN344" s="6">
        <f t="shared" si="43"/>
        <v>1.6175631511718302</v>
      </c>
    </row>
    <row r="345" spans="31:66" x14ac:dyDescent="0.3">
      <c r="AE345">
        <f t="shared" si="39"/>
        <v>316</v>
      </c>
      <c r="AG345" s="13">
        <f t="shared" si="38"/>
        <v>0</v>
      </c>
      <c r="AH345" s="13"/>
      <c r="AI345" s="13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W345">
        <f t="shared" si="42"/>
        <v>0</v>
      </c>
      <c r="AX345">
        <v>342</v>
      </c>
      <c r="AY345" s="4">
        <f t="shared" si="40"/>
        <v>43028</v>
      </c>
      <c r="AZ345" s="6">
        <f t="shared" si="41"/>
        <v>-0.4491150270006794</v>
      </c>
      <c r="BA345" s="4">
        <v>43028</v>
      </c>
      <c r="BB345" s="6">
        <v>0.149204</v>
      </c>
      <c r="BC345" s="6">
        <v>-2.0625360000000001</v>
      </c>
      <c r="BD345" s="6">
        <v>-2.7719490000000002</v>
      </c>
      <c r="BE345" s="6"/>
      <c r="BF345" s="6"/>
      <c r="BG345" s="6"/>
      <c r="BH345" s="6"/>
      <c r="BI345" s="6"/>
      <c r="BJ345" s="6"/>
      <c r="BK345" s="6"/>
      <c r="BL345" s="4">
        <v>43028</v>
      </c>
      <c r="BM345" s="6">
        <f>VLOOKUP(BL345,Sheet1!$A$2:$E$1114,2,FALSE)</f>
        <v>2.4016449516708751</v>
      </c>
      <c r="BN345" s="6">
        <f t="shared" si="43"/>
        <v>-0.4491150270006794</v>
      </c>
    </row>
    <row r="346" spans="31:66" x14ac:dyDescent="0.3">
      <c r="AE346">
        <f t="shared" si="39"/>
        <v>317</v>
      </c>
      <c r="AG346" s="13">
        <f t="shared" si="38"/>
        <v>0</v>
      </c>
      <c r="AH346" s="13"/>
      <c r="AI346" s="13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W346">
        <f t="shared" si="42"/>
        <v>0</v>
      </c>
      <c r="AX346">
        <v>343</v>
      </c>
      <c r="AY346" s="4">
        <f t="shared" si="40"/>
        <v>43035</v>
      </c>
      <c r="AZ346" s="6">
        <f t="shared" si="41"/>
        <v>1.8217142717041668</v>
      </c>
      <c r="BA346" s="4">
        <v>43035</v>
      </c>
      <c r="BB346" s="6">
        <v>2.4221840000000001</v>
      </c>
      <c r="BC346" s="6">
        <v>0.90364999999999995</v>
      </c>
      <c r="BD346" s="6">
        <v>0.24878900000000001</v>
      </c>
      <c r="BE346" s="6"/>
      <c r="BF346" s="6"/>
      <c r="BG346" s="6"/>
      <c r="BH346" s="6"/>
      <c r="BI346" s="6"/>
      <c r="BJ346" s="6"/>
      <c r="BK346" s="6"/>
      <c r="BL346" s="4">
        <v>43035</v>
      </c>
      <c r="BM346" s="6">
        <f>VLOOKUP(BL346,Sheet1!$A$2:$E$1114,2,FALSE)</f>
        <v>2.445396060511126</v>
      </c>
      <c r="BN346" s="6">
        <f t="shared" si="43"/>
        <v>1.8217142717041668</v>
      </c>
    </row>
    <row r="347" spans="31:66" x14ac:dyDescent="0.3">
      <c r="AH347" s="13"/>
      <c r="AI347" s="13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W347">
        <f t="shared" si="42"/>
        <v>0</v>
      </c>
      <c r="AX347">
        <v>344</v>
      </c>
      <c r="AY347" s="4">
        <f t="shared" si="40"/>
        <v>43042</v>
      </c>
      <c r="AZ347" s="6">
        <f t="shared" si="41"/>
        <v>-1.7430437253115882</v>
      </c>
      <c r="BA347" s="4">
        <v>43042</v>
      </c>
      <c r="BB347" s="6">
        <v>-0.727746</v>
      </c>
      <c r="BC347" s="6">
        <v>-3.0739369999999999</v>
      </c>
      <c r="BD347" s="6">
        <v>-3.7799839999999998</v>
      </c>
      <c r="BE347" s="6"/>
      <c r="BF347" s="6"/>
      <c r="BG347" s="6"/>
      <c r="BH347" s="6"/>
      <c r="BI347" s="6"/>
      <c r="BJ347" s="6"/>
      <c r="BK347" s="6"/>
      <c r="BL347" s="4">
        <v>43042</v>
      </c>
      <c r="BM347" s="6">
        <f>VLOOKUP(BL347,Sheet1!$A$2:$E$1114,2,FALSE)</f>
        <v>2.40277173791937</v>
      </c>
      <c r="BN347" s="6">
        <f t="shared" si="43"/>
        <v>-1.7430437253115882</v>
      </c>
    </row>
    <row r="348" spans="31:66" x14ac:dyDescent="0.3">
      <c r="AH348" s="13"/>
      <c r="AI348" s="13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W348">
        <f t="shared" si="42"/>
        <v>0</v>
      </c>
      <c r="AX348">
        <v>345</v>
      </c>
      <c r="AY348" s="4">
        <f t="shared" si="40"/>
        <v>43049</v>
      </c>
      <c r="AZ348" s="6">
        <f t="shared" si="41"/>
        <v>3.2758184195848195</v>
      </c>
      <c r="BA348" s="4">
        <v>43049</v>
      </c>
      <c r="BB348" s="6">
        <v>2.9857830000000001</v>
      </c>
      <c r="BC348" s="6">
        <v>3.3333930000000001</v>
      </c>
      <c r="BD348" s="6">
        <v>2.5811220000000001</v>
      </c>
      <c r="BE348" s="6"/>
      <c r="BF348" s="6"/>
      <c r="BG348" s="6"/>
      <c r="BH348" s="6"/>
      <c r="BI348" s="6"/>
      <c r="BJ348" s="6"/>
      <c r="BK348" s="6"/>
      <c r="BL348" s="4">
        <v>43049</v>
      </c>
      <c r="BM348" s="6">
        <f>VLOOKUP(BL348,Sheet1!$A$2:$E$1114,2,FALSE)</f>
        <v>2.4814821770907112</v>
      </c>
      <c r="BN348" s="6">
        <f t="shared" si="43"/>
        <v>3.2758184195848195</v>
      </c>
    </row>
    <row r="349" spans="31:66" x14ac:dyDescent="0.3">
      <c r="AH349" s="13"/>
      <c r="AI349" s="13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W349">
        <f t="shared" si="42"/>
        <v>0</v>
      </c>
      <c r="AX349">
        <v>346</v>
      </c>
      <c r="AY349" s="4">
        <f t="shared" si="40"/>
        <v>43056</v>
      </c>
      <c r="AZ349" s="6">
        <f t="shared" si="41"/>
        <v>-1.0601086011289396</v>
      </c>
      <c r="BA349" s="4">
        <v>43056</v>
      </c>
      <c r="BB349" s="6">
        <v>0.21740699999999999</v>
      </c>
      <c r="BC349" s="6">
        <v>-4.2051769999999999</v>
      </c>
      <c r="BD349" s="6">
        <v>-5.1801370000000002</v>
      </c>
      <c r="BE349" s="6"/>
      <c r="BF349" s="6"/>
      <c r="BG349" s="6"/>
      <c r="BH349" s="6"/>
      <c r="BI349" s="6"/>
      <c r="BJ349" s="6"/>
      <c r="BK349" s="6"/>
      <c r="BL349" s="4">
        <v>43056</v>
      </c>
      <c r="BM349" s="6">
        <f>VLOOKUP(BL349,Sheet1!$A$2:$E$1114,2,FALSE)</f>
        <v>2.4551757710958908</v>
      </c>
      <c r="BN349" s="6">
        <f t="shared" si="43"/>
        <v>-1.0601086011289396</v>
      </c>
    </row>
    <row r="350" spans="31:66" x14ac:dyDescent="0.3">
      <c r="AH350" s="13"/>
      <c r="AI350" s="13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W350">
        <f t="shared" si="42"/>
        <v>0</v>
      </c>
      <c r="AX350">
        <v>347</v>
      </c>
      <c r="AY350" s="4">
        <f t="shared" si="40"/>
        <v>43063</v>
      </c>
      <c r="AZ350" s="6">
        <f t="shared" si="41"/>
        <v>-1.2196827221027218</v>
      </c>
      <c r="BA350" s="4">
        <v>43063</v>
      </c>
      <c r="BB350" s="6">
        <v>-0.40398000000000001</v>
      </c>
      <c r="BC350" s="6">
        <v>-1.318981</v>
      </c>
      <c r="BD350" s="6">
        <v>-1.8301909999999999</v>
      </c>
      <c r="BE350" s="6"/>
      <c r="BF350" s="6"/>
      <c r="BG350" s="6"/>
      <c r="BH350" s="6"/>
      <c r="BI350" s="6"/>
      <c r="BJ350" s="6"/>
      <c r="BK350" s="6"/>
      <c r="BL350" s="4">
        <v>43063</v>
      </c>
      <c r="BM350" s="6">
        <f>VLOOKUP(BL350,Sheet1!$A$2:$E$1114,2,FALSE)</f>
        <v>2.4252304164185818</v>
      </c>
      <c r="BN350" s="6">
        <f t="shared" si="43"/>
        <v>-1.2196827221027218</v>
      </c>
    </row>
    <row r="351" spans="31:66" x14ac:dyDescent="0.3">
      <c r="AH351" s="13"/>
      <c r="AI351" s="13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W351">
        <f t="shared" si="42"/>
        <v>0</v>
      </c>
      <c r="AX351">
        <v>348</v>
      </c>
      <c r="AY351" s="4">
        <f t="shared" si="40"/>
        <v>43070</v>
      </c>
      <c r="AZ351" s="6">
        <f t="shared" si="41"/>
        <v>-1.152744279584017</v>
      </c>
      <c r="BA351" s="4">
        <v>43070</v>
      </c>
      <c r="BB351" s="6">
        <v>-2.5843479999999999</v>
      </c>
      <c r="BC351" s="6">
        <v>0.61131500000000005</v>
      </c>
      <c r="BD351" s="6">
        <v>1.0676159999999999</v>
      </c>
      <c r="BE351" s="6"/>
      <c r="BF351" s="6"/>
      <c r="BG351" s="6"/>
      <c r="BH351" s="6"/>
      <c r="BI351" s="6"/>
      <c r="BJ351" s="6"/>
      <c r="BK351" s="6"/>
      <c r="BL351" s="4">
        <v>43070</v>
      </c>
      <c r="BM351" s="6">
        <f>VLOOKUP(BL351,Sheet1!$A$2:$E$1114,2,FALSE)</f>
        <v>2.397273711526585</v>
      </c>
      <c r="BN351" s="6">
        <f t="shared" si="43"/>
        <v>-1.152744279584017</v>
      </c>
    </row>
    <row r="352" spans="31:66" x14ac:dyDescent="0.3">
      <c r="AH352" s="13"/>
      <c r="AI352" s="13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W352">
        <f t="shared" si="42"/>
        <v>0</v>
      </c>
      <c r="AX352">
        <v>349</v>
      </c>
      <c r="AY352" s="4">
        <f t="shared" si="40"/>
        <v>43077</v>
      </c>
      <c r="AZ352" s="6">
        <f t="shared" si="41"/>
        <v>-0.65019869564606481</v>
      </c>
      <c r="BA352" s="4">
        <v>43077</v>
      </c>
      <c r="BB352" s="6">
        <v>0.131129</v>
      </c>
      <c r="BC352" s="6">
        <v>-1.7931699999999999</v>
      </c>
      <c r="BD352" s="6">
        <v>-1.909357</v>
      </c>
      <c r="BE352" s="6"/>
      <c r="BF352" s="6"/>
      <c r="BG352" s="6"/>
      <c r="BH352" s="6"/>
      <c r="BI352" s="6"/>
      <c r="BJ352" s="6"/>
      <c r="BK352" s="6"/>
      <c r="BL352" s="4">
        <v>43077</v>
      </c>
      <c r="BM352" s="6">
        <f>VLOOKUP(BL352,Sheet1!$A$2:$E$1114,2,FALSE)</f>
        <v>2.3816866691231731</v>
      </c>
      <c r="BN352" s="6">
        <f t="shared" si="43"/>
        <v>-0.65019869564606481</v>
      </c>
    </row>
    <row r="353" spans="34:66" x14ac:dyDescent="0.3">
      <c r="AH353" s="13"/>
      <c r="AI353" s="13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W353">
        <f t="shared" si="42"/>
        <v>0</v>
      </c>
      <c r="AX353">
        <v>350</v>
      </c>
      <c r="AY353" s="4">
        <f t="shared" si="40"/>
        <v>43084</v>
      </c>
      <c r="AZ353" s="6">
        <f t="shared" si="41"/>
        <v>-0.16099378883498439</v>
      </c>
      <c r="BA353" s="4">
        <v>43084</v>
      </c>
      <c r="BB353" s="6">
        <v>-0.56261000000000005</v>
      </c>
      <c r="BC353" s="6">
        <v>0.52582200000000001</v>
      </c>
      <c r="BD353" s="6">
        <v>0.63220299999999996</v>
      </c>
      <c r="BE353" s="6"/>
      <c r="BF353" s="6"/>
      <c r="BG353" s="6"/>
      <c r="BH353" s="6"/>
      <c r="BI353" s="6"/>
      <c r="BJ353" s="6"/>
      <c r="BK353" s="6"/>
      <c r="BL353" s="4">
        <v>43084</v>
      </c>
      <c r="BM353" s="6">
        <f>VLOOKUP(BL353,Sheet1!$A$2:$E$1114,2,FALSE)</f>
        <v>2.3778523015163739</v>
      </c>
      <c r="BN353" s="6">
        <f t="shared" si="43"/>
        <v>-0.16099378883498439</v>
      </c>
    </row>
    <row r="354" spans="34:66" x14ac:dyDescent="0.3">
      <c r="AH354" s="13"/>
      <c r="AI354" s="13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W354">
        <f t="shared" si="42"/>
        <v>0</v>
      </c>
      <c r="AX354">
        <v>351</v>
      </c>
      <c r="AY354" s="4">
        <f t="shared" si="40"/>
        <v>43091</v>
      </c>
      <c r="AZ354" s="6">
        <f t="shared" si="41"/>
        <v>1.7990047113810803</v>
      </c>
      <c r="BA354" s="4">
        <v>43091</v>
      </c>
      <c r="BB354" s="6">
        <v>1.8524309999999999</v>
      </c>
      <c r="BC354" s="6">
        <v>0.114243</v>
      </c>
      <c r="BD354" s="6">
        <v>-1.198283</v>
      </c>
      <c r="BE354" s="6"/>
      <c r="BF354" s="6"/>
      <c r="BG354" s="6"/>
      <c r="BH354" s="6"/>
      <c r="BI354" s="6"/>
      <c r="BJ354" s="6"/>
      <c r="BK354" s="6"/>
      <c r="BL354" s="4">
        <v>43091</v>
      </c>
      <c r="BM354" s="6">
        <f>VLOOKUP(BL354,Sheet1!$A$2:$E$1114,2,FALSE)</f>
        <v>2.420629976450337</v>
      </c>
      <c r="BN354" s="6">
        <f t="shared" si="43"/>
        <v>1.7990047113810803</v>
      </c>
    </row>
    <row r="355" spans="34:66" x14ac:dyDescent="0.3">
      <c r="AH355" s="13"/>
      <c r="AI355" s="13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W355">
        <f t="shared" si="42"/>
        <v>0</v>
      </c>
      <c r="AX355">
        <v>352</v>
      </c>
      <c r="AY355" s="4">
        <f t="shared" si="40"/>
        <v>43098</v>
      </c>
      <c r="AZ355" s="6">
        <f t="shared" si="41"/>
        <v>-0.30924112645348556</v>
      </c>
      <c r="BA355" s="4">
        <v>43098</v>
      </c>
      <c r="BB355" s="6">
        <v>-0.58559399999999995</v>
      </c>
      <c r="BC355" s="6">
        <v>0.12712100000000001</v>
      </c>
      <c r="BD355" s="6">
        <v>-0.28484999999999999</v>
      </c>
      <c r="BE355" s="6"/>
      <c r="BF355" s="6"/>
      <c r="BG355" s="6"/>
      <c r="BH355" s="6"/>
      <c r="BI355" s="6"/>
      <c r="BJ355" s="6"/>
      <c r="BK355" s="6"/>
      <c r="BL355" s="4">
        <v>43098</v>
      </c>
      <c r="BM355" s="6">
        <f>VLOOKUP(BL355,Sheet1!$A$2:$E$1114,2,FALSE)</f>
        <v>2.4131443930438912</v>
      </c>
      <c r="BN355" s="6">
        <f t="shared" si="43"/>
        <v>-0.30924112645348556</v>
      </c>
    </row>
    <row r="356" spans="34:66" x14ac:dyDescent="0.3">
      <c r="AH356" s="13"/>
      <c r="AI356" s="13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W356">
        <f t="shared" si="42"/>
        <v>0</v>
      </c>
      <c r="AX356">
        <v>353</v>
      </c>
      <c r="AY356" s="4">
        <f t="shared" si="40"/>
        <v>43105</v>
      </c>
      <c r="AZ356" s="6">
        <f t="shared" si="41"/>
        <v>1.9275758639155649</v>
      </c>
      <c r="BA356" s="4">
        <v>43105</v>
      </c>
      <c r="BB356" s="6">
        <v>2.676742</v>
      </c>
      <c r="BC356" s="6">
        <v>2.6625779999999999</v>
      </c>
      <c r="BD356" s="6">
        <v>2.2731750000000002</v>
      </c>
      <c r="BE356" s="6"/>
      <c r="BF356" s="6"/>
      <c r="BG356" s="6"/>
      <c r="BH356" s="6"/>
      <c r="BI356" s="6"/>
      <c r="BJ356" s="6"/>
      <c r="BK356" s="6"/>
      <c r="BL356" s="4">
        <v>43105</v>
      </c>
      <c r="BM356" s="6">
        <f>VLOOKUP(BL356,Sheet1!$A$2:$E$1114,2,FALSE)</f>
        <v>2.4596595819256368</v>
      </c>
      <c r="BN356" s="6">
        <f t="shared" si="43"/>
        <v>1.9275758639155649</v>
      </c>
    </row>
    <row r="357" spans="34:66" x14ac:dyDescent="0.3">
      <c r="AH357" s="13"/>
      <c r="AI357" s="13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W357">
        <f t="shared" si="42"/>
        <v>0</v>
      </c>
      <c r="AX357">
        <v>354</v>
      </c>
      <c r="AY357" s="4">
        <f t="shared" si="40"/>
        <v>43112</v>
      </c>
      <c r="AZ357" s="6">
        <f t="shared" si="41"/>
        <v>0.75219286455103784</v>
      </c>
      <c r="BA357" s="4">
        <v>43112</v>
      </c>
      <c r="BB357" s="6">
        <v>2.083974</v>
      </c>
      <c r="BC357" s="6">
        <v>-0.27862399999999998</v>
      </c>
      <c r="BD357" s="6">
        <v>-0.68330500000000005</v>
      </c>
      <c r="BE357" s="6"/>
      <c r="BF357" s="6"/>
      <c r="BG357" s="6"/>
      <c r="BH357" s="6"/>
      <c r="BI357" s="6"/>
      <c r="BJ357" s="6"/>
      <c r="BK357" s="6"/>
      <c r="BL357" s="4">
        <v>43112</v>
      </c>
      <c r="BM357" s="6">
        <f>VLOOKUP(BL357,Sheet1!$A$2:$E$1114,2,FALSE)</f>
        <v>2.4781609657931272</v>
      </c>
      <c r="BN357" s="6">
        <f t="shared" si="43"/>
        <v>0.75219286455103784</v>
      </c>
    </row>
    <row r="358" spans="34:66" x14ac:dyDescent="0.3">
      <c r="AH358" s="13"/>
      <c r="AI358" s="13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W358">
        <f t="shared" si="42"/>
        <v>0</v>
      </c>
      <c r="AX358">
        <v>355</v>
      </c>
      <c r="AY358" s="4">
        <f t="shared" si="40"/>
        <v>43119</v>
      </c>
      <c r="AZ358" s="6">
        <f t="shared" si="41"/>
        <v>0.4555109217909914</v>
      </c>
      <c r="BA358" s="4">
        <v>43119</v>
      </c>
      <c r="BB358" s="6">
        <v>1.429443</v>
      </c>
      <c r="BC358" s="6">
        <v>-1.9844710000000001</v>
      </c>
      <c r="BD358" s="6">
        <v>-2.6588229999999999</v>
      </c>
      <c r="BE358" s="6"/>
      <c r="BF358" s="6"/>
      <c r="BG358" s="6"/>
      <c r="BH358" s="6"/>
      <c r="BI358" s="6"/>
      <c r="BJ358" s="6"/>
      <c r="BK358" s="6"/>
      <c r="BL358" s="4">
        <v>43119</v>
      </c>
      <c r="BM358" s="6">
        <f>VLOOKUP(BL358,Sheet1!$A$2:$E$1114,2,FALSE)</f>
        <v>2.489449259651876</v>
      </c>
      <c r="BN358" s="6">
        <f t="shared" si="43"/>
        <v>0.4555109217909914</v>
      </c>
    </row>
    <row r="359" spans="34:66" x14ac:dyDescent="0.3">
      <c r="AH359" s="13"/>
      <c r="AI359" s="13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W359">
        <f t="shared" si="42"/>
        <v>0</v>
      </c>
      <c r="AX359">
        <v>356</v>
      </c>
      <c r="AY359" s="4">
        <f t="shared" si="40"/>
        <v>43126</v>
      </c>
      <c r="AZ359" s="6">
        <f t="shared" si="41"/>
        <v>1.8740516255091766</v>
      </c>
      <c r="BA359" s="4">
        <v>43126</v>
      </c>
      <c r="BB359" s="6">
        <v>2.2379410000000002</v>
      </c>
      <c r="BC359" s="6">
        <v>1.773668</v>
      </c>
      <c r="BD359" s="6">
        <v>1.696401</v>
      </c>
      <c r="BE359" s="6"/>
      <c r="BF359" s="6"/>
      <c r="BG359" s="6"/>
      <c r="BH359" s="6"/>
      <c r="BI359" s="6"/>
      <c r="BJ359" s="6"/>
      <c r="BK359" s="6"/>
      <c r="BL359" s="4">
        <v>43126</v>
      </c>
      <c r="BM359" s="6">
        <f>VLOOKUP(BL359,Sheet1!$A$2:$E$1114,2,FALSE)</f>
        <v>2.5361028239686081</v>
      </c>
      <c r="BN359" s="6">
        <f t="shared" si="43"/>
        <v>1.8740516255091766</v>
      </c>
    </row>
    <row r="360" spans="34:66" x14ac:dyDescent="0.3">
      <c r="AH360" s="13"/>
      <c r="AI360" s="13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W360">
        <f t="shared" si="42"/>
        <v>0</v>
      </c>
      <c r="AX360">
        <v>357</v>
      </c>
      <c r="AY360" s="4">
        <f t="shared" si="40"/>
        <v>43133</v>
      </c>
      <c r="AZ360" s="6">
        <f t="shared" si="41"/>
        <v>-1.6649655496569715</v>
      </c>
      <c r="BA360" s="4">
        <v>43133</v>
      </c>
      <c r="BB360" s="6">
        <v>-2.5122</v>
      </c>
      <c r="BC360" s="6">
        <v>-5.9336419999999999</v>
      </c>
      <c r="BD360" s="6">
        <v>-8.0519429999999996</v>
      </c>
      <c r="BE360" s="6"/>
      <c r="BF360" s="6"/>
      <c r="BG360" s="6"/>
      <c r="BH360" s="6"/>
      <c r="BI360" s="6"/>
      <c r="BJ360" s="6"/>
      <c r="BK360" s="6"/>
      <c r="BL360" s="4">
        <v>43133</v>
      </c>
      <c r="BM360" s="6">
        <f>VLOOKUP(BL360,Sheet1!$A$2:$E$1114,2,FALSE)</f>
        <v>2.4938775856456532</v>
      </c>
      <c r="BN360" s="6">
        <f t="shared" si="43"/>
        <v>-1.6649655496569715</v>
      </c>
    </row>
    <row r="361" spans="34:66" x14ac:dyDescent="0.3">
      <c r="AH361" s="13"/>
      <c r="AI361" s="13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W361">
        <f t="shared" si="42"/>
        <v>0</v>
      </c>
      <c r="AX361">
        <v>358</v>
      </c>
      <c r="AY361" s="4">
        <f t="shared" si="40"/>
        <v>43140</v>
      </c>
      <c r="AZ361" s="6">
        <f t="shared" si="41"/>
        <v>-9.2855520462653658</v>
      </c>
      <c r="BA361" s="4">
        <v>43140</v>
      </c>
      <c r="BB361" s="6">
        <v>-10.080928</v>
      </c>
      <c r="BC361" s="6">
        <v>-7.493144</v>
      </c>
      <c r="BD361" s="6">
        <v>-6.7024600000000003</v>
      </c>
      <c r="BE361" s="6"/>
      <c r="BF361" s="6"/>
      <c r="BG361" s="6"/>
      <c r="BH361" s="6"/>
      <c r="BI361" s="6"/>
      <c r="BJ361" s="6"/>
      <c r="BK361" s="6"/>
      <c r="BL361" s="4">
        <v>43140</v>
      </c>
      <c r="BM361" s="6">
        <f>VLOOKUP(BL361,Sheet1!$A$2:$E$1114,2,FALSE)</f>
        <v>2.26230728446038</v>
      </c>
      <c r="BN361" s="6">
        <f t="shared" si="43"/>
        <v>-9.2855520462653658</v>
      </c>
    </row>
    <row r="362" spans="34:66" x14ac:dyDescent="0.3">
      <c r="AH362" s="13"/>
      <c r="AI362" s="13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W362">
        <f t="shared" si="42"/>
        <v>0</v>
      </c>
      <c r="AX362">
        <v>359</v>
      </c>
      <c r="AY362" s="4">
        <f t="shared" si="40"/>
        <v>43145</v>
      </c>
      <c r="AZ362" s="6">
        <f t="shared" si="41"/>
        <v>3.5856239737471318</v>
      </c>
      <c r="BA362" s="4">
        <v>43145</v>
      </c>
      <c r="BB362" s="6">
        <v>3.2887300000000002</v>
      </c>
      <c r="BC362" s="6">
        <v>3.5992920000000002</v>
      </c>
      <c r="BD362" s="6">
        <v>2.9347729999999999</v>
      </c>
      <c r="BE362" s="6"/>
      <c r="BF362" s="6"/>
      <c r="BG362" s="6"/>
      <c r="BH362" s="6"/>
      <c r="BI362" s="6"/>
      <c r="BJ362" s="6"/>
      <c r="BK362" s="6"/>
      <c r="BL362" s="4">
        <v>43145</v>
      </c>
      <c r="BM362" s="6">
        <f>VLOOKUP(BL362,Sheet1!$A$2:$E$1114,2,FALSE)</f>
        <v>2.3434251168118192</v>
      </c>
      <c r="BN362" s="6">
        <f t="shared" si="43"/>
        <v>3.5856239737471318</v>
      </c>
    </row>
    <row r="363" spans="34:66" x14ac:dyDescent="0.3">
      <c r="AH363" s="13"/>
      <c r="AI363" s="13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W363">
        <f t="shared" si="42"/>
        <v>0</v>
      </c>
      <c r="AX363">
        <v>360</v>
      </c>
      <c r="AY363" s="4">
        <f t="shared" si="40"/>
        <v>43154</v>
      </c>
      <c r="AZ363" s="6">
        <f t="shared" si="41"/>
        <v>2.7982740048992927</v>
      </c>
      <c r="BA363" s="4">
        <v>43154</v>
      </c>
      <c r="BB363" s="6">
        <v>2.6248680000000002</v>
      </c>
      <c r="BC363" s="6">
        <v>2.4821240000000002</v>
      </c>
      <c r="BD363" s="6">
        <v>2.1707740000000002</v>
      </c>
      <c r="BE363" s="6"/>
      <c r="BF363" s="6"/>
      <c r="BG363" s="6"/>
      <c r="BH363" s="6"/>
      <c r="BI363" s="6"/>
      <c r="BJ363" s="6"/>
      <c r="BK363" s="6"/>
      <c r="BL363" s="4">
        <v>43154</v>
      </c>
      <c r="BM363" s="6">
        <f>VLOOKUP(BL363,Sheet1!$A$2:$E$1114,2,FALSE)</f>
        <v>2.4090005726798451</v>
      </c>
      <c r="BN363" s="6">
        <f t="shared" si="43"/>
        <v>2.7982740048992927</v>
      </c>
    </row>
    <row r="364" spans="34:66" x14ac:dyDescent="0.3">
      <c r="AH364" s="13"/>
      <c r="AI364" s="13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W364">
        <f t="shared" si="42"/>
        <v>0</v>
      </c>
      <c r="AX364">
        <v>361</v>
      </c>
      <c r="AY364" s="4">
        <f t="shared" si="40"/>
        <v>43161</v>
      </c>
      <c r="AZ364" s="6">
        <f t="shared" si="41"/>
        <v>-0.95576098940530763</v>
      </c>
      <c r="BA364" s="4">
        <v>43161</v>
      </c>
      <c r="BB364" s="6">
        <v>-1.34185</v>
      </c>
      <c r="BC364" s="6">
        <v>2.6901929999999998</v>
      </c>
      <c r="BD364" s="6">
        <v>4.1856489999999997</v>
      </c>
      <c r="BE364" s="6"/>
      <c r="BF364" s="6"/>
      <c r="BG364" s="6"/>
      <c r="BH364" s="6"/>
      <c r="BI364" s="6"/>
      <c r="BJ364" s="6"/>
      <c r="BK364" s="6"/>
      <c r="BL364" s="4">
        <v>43161</v>
      </c>
      <c r="BM364" s="6">
        <f>VLOOKUP(BL364,Sheet1!$A$2:$E$1114,2,FALSE)</f>
        <v>2.3859762849716208</v>
      </c>
      <c r="BN364" s="6">
        <f t="shared" si="43"/>
        <v>-0.95576098940530763</v>
      </c>
    </row>
    <row r="365" spans="34:66" x14ac:dyDescent="0.3">
      <c r="AH365" s="13"/>
      <c r="AI365" s="13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W365">
        <f t="shared" si="42"/>
        <v>0</v>
      </c>
      <c r="AX365">
        <v>362</v>
      </c>
      <c r="AY365" s="4">
        <f t="shared" si="40"/>
        <v>43168</v>
      </c>
      <c r="AZ365" s="6">
        <f t="shared" si="41"/>
        <v>1.7128952018857113</v>
      </c>
      <c r="BA365" s="4">
        <v>43168</v>
      </c>
      <c r="BB365" s="6">
        <v>2.300637</v>
      </c>
      <c r="BC365" s="6">
        <v>2.4873129999999999</v>
      </c>
      <c r="BD365" s="6">
        <v>3.087208</v>
      </c>
      <c r="BE365" s="6"/>
      <c r="BF365" s="6"/>
      <c r="BG365" s="6"/>
      <c r="BH365" s="6"/>
      <c r="BI365" s="6"/>
      <c r="BJ365" s="6"/>
      <c r="BK365" s="6"/>
      <c r="BL365" s="4">
        <v>43168</v>
      </c>
      <c r="BM365" s="6">
        <f>VLOOKUP(BL365,Sheet1!$A$2:$E$1114,2,FALSE)</f>
        <v>2.4268455582750308</v>
      </c>
      <c r="BN365" s="6">
        <f t="shared" si="43"/>
        <v>1.7128952018857113</v>
      </c>
    </row>
    <row r="366" spans="34:66" x14ac:dyDescent="0.3">
      <c r="AH366" s="13"/>
      <c r="AI366" s="13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W366">
        <f t="shared" si="42"/>
        <v>0</v>
      </c>
      <c r="AX366">
        <v>363</v>
      </c>
      <c r="AY366" s="4">
        <f t="shared" si="40"/>
        <v>43175</v>
      </c>
      <c r="AZ366" s="6">
        <f t="shared" si="41"/>
        <v>-1.3466017651091455</v>
      </c>
      <c r="BA366" s="4">
        <v>43175</v>
      </c>
      <c r="BB366" s="6">
        <v>-1.2763279999999999</v>
      </c>
      <c r="BC366" s="6">
        <v>-0.97744200000000003</v>
      </c>
      <c r="BD366" s="6">
        <v>-0.45634400000000003</v>
      </c>
      <c r="BE366" s="6"/>
      <c r="BF366" s="6"/>
      <c r="BG366" s="6"/>
      <c r="BH366" s="6"/>
      <c r="BI366" s="6"/>
      <c r="BJ366" s="6"/>
      <c r="BK366" s="6"/>
      <c r="BL366" s="4">
        <v>43175</v>
      </c>
      <c r="BM366" s="6">
        <f>VLOOKUP(BL366,Sheet1!$A$2:$E$1114,2,FALSE)</f>
        <v>2.3941656131508262</v>
      </c>
      <c r="BN366" s="6">
        <f t="shared" si="43"/>
        <v>-1.3466017651091455</v>
      </c>
    </row>
    <row r="367" spans="34:66" x14ac:dyDescent="0.3">
      <c r="AH367" s="13"/>
      <c r="AI367" s="13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W367">
        <f t="shared" si="42"/>
        <v>0</v>
      </c>
      <c r="AX367">
        <v>364</v>
      </c>
      <c r="AY367" s="4">
        <f t="shared" si="40"/>
        <v>43182</v>
      </c>
      <c r="AZ367" s="6">
        <f t="shared" si="41"/>
        <v>-4.2329488961620365</v>
      </c>
      <c r="BA367" s="4">
        <v>43182</v>
      </c>
      <c r="BB367" s="6">
        <v>-3.7345000000000002</v>
      </c>
      <c r="BC367" s="6">
        <v>-5.8434039999999996</v>
      </c>
      <c r="BD367" s="6">
        <v>-5.9217909999999998</v>
      </c>
      <c r="BE367" s="6"/>
      <c r="BF367" s="6"/>
      <c r="BG367" s="6"/>
      <c r="BH367" s="6"/>
      <c r="BI367" s="6"/>
      <c r="BJ367" s="6"/>
      <c r="BK367" s="6"/>
      <c r="BL367" s="4">
        <v>43182</v>
      </c>
      <c r="BM367" s="6">
        <f>VLOOKUP(BL367,Sheet1!$A$2:$E$1114,2,FALSE)</f>
        <v>2.2928218062566672</v>
      </c>
      <c r="BN367" s="6">
        <f t="shared" si="43"/>
        <v>-4.2329488961620365</v>
      </c>
    </row>
    <row r="368" spans="34:66" x14ac:dyDescent="0.3">
      <c r="AH368" s="13"/>
      <c r="AI368" s="13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W368">
        <f t="shared" si="42"/>
        <v>0</v>
      </c>
      <c r="AX368">
        <v>365</v>
      </c>
      <c r="AY368" s="4">
        <f t="shared" si="40"/>
        <v>43189</v>
      </c>
      <c r="AZ368" s="6">
        <f t="shared" si="41"/>
        <v>2.0119357500103741</v>
      </c>
      <c r="BA368" s="4">
        <v>43189</v>
      </c>
      <c r="BB368" s="6">
        <v>-0.16486300000000001</v>
      </c>
      <c r="BC368" s="6">
        <v>5.6605720000000002</v>
      </c>
      <c r="BD368" s="6">
        <v>6.1811980000000002</v>
      </c>
      <c r="BE368" s="6"/>
      <c r="BF368" s="6"/>
      <c r="BG368" s="6"/>
      <c r="BH368" s="6"/>
      <c r="BI368" s="6"/>
      <c r="BJ368" s="6"/>
      <c r="BK368" s="6"/>
      <c r="BL368" s="4">
        <v>43189</v>
      </c>
      <c r="BM368" s="6">
        <f>VLOOKUP(BL368,Sheet1!$A$2:$E$1114,2,FALSE)</f>
        <v>2.3389519078607788</v>
      </c>
      <c r="BN368" s="6">
        <f t="shared" si="43"/>
        <v>2.0119357500103741</v>
      </c>
    </row>
    <row r="369" spans="34:66" x14ac:dyDescent="0.3">
      <c r="AH369" s="13"/>
      <c r="AI369" s="13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W369">
        <f t="shared" si="42"/>
        <v>0</v>
      </c>
      <c r="AX369">
        <v>366</v>
      </c>
      <c r="AY369" s="4">
        <f t="shared" si="40"/>
        <v>43194</v>
      </c>
      <c r="AZ369" s="6">
        <f t="shared" si="41"/>
        <v>-0.72273714005255396</v>
      </c>
      <c r="BA369" s="4">
        <v>43194</v>
      </c>
      <c r="BB369" s="6">
        <v>-1.1192820000000001</v>
      </c>
      <c r="BC369" s="6">
        <v>-1.58718</v>
      </c>
      <c r="BD369" s="6">
        <v>-1.32006</v>
      </c>
      <c r="BE369" s="6"/>
      <c r="BF369" s="6"/>
      <c r="BG369" s="6"/>
      <c r="BH369" s="6"/>
      <c r="BI369" s="6"/>
      <c r="BJ369" s="6"/>
      <c r="BK369" s="6"/>
      <c r="BL369" s="4">
        <v>43194</v>
      </c>
      <c r="BM369" s="6">
        <f>VLOOKUP(BL369,Sheet1!$A$2:$E$1114,2,FALSE)</f>
        <v>2.322047433734701</v>
      </c>
      <c r="BN369" s="6">
        <f t="shared" si="43"/>
        <v>-0.72273714005255396</v>
      </c>
    </row>
    <row r="370" spans="34:66" x14ac:dyDescent="0.3">
      <c r="AH370" s="13"/>
      <c r="AI370" s="13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W370">
        <f t="shared" si="42"/>
        <v>0</v>
      </c>
      <c r="AX370">
        <v>367</v>
      </c>
      <c r="AY370" s="4">
        <f t="shared" si="40"/>
        <v>43203</v>
      </c>
      <c r="AZ370" s="6">
        <f t="shared" si="41"/>
        <v>0.65671708128853812</v>
      </c>
      <c r="BA370" s="4">
        <v>43203</v>
      </c>
      <c r="BB370" s="6">
        <v>0.42237000000000002</v>
      </c>
      <c r="BC370" s="6">
        <v>0.15787499999999999</v>
      </c>
      <c r="BD370" s="6">
        <v>0.189911</v>
      </c>
      <c r="BE370" s="6"/>
      <c r="BF370" s="6"/>
      <c r="BG370" s="6"/>
      <c r="BH370" s="6"/>
      <c r="BI370" s="6"/>
      <c r="BJ370" s="6"/>
      <c r="BK370" s="6"/>
      <c r="BL370" s="4">
        <v>43203</v>
      </c>
      <c r="BM370" s="6">
        <f>VLOOKUP(BL370,Sheet1!$A$2:$E$1114,2,FALSE)</f>
        <v>2.3372967158676592</v>
      </c>
      <c r="BN370" s="6">
        <f t="shared" si="43"/>
        <v>0.65671708128853812</v>
      </c>
    </row>
    <row r="371" spans="34:66" x14ac:dyDescent="0.3">
      <c r="AH371" s="13"/>
      <c r="AI371" s="13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W371">
        <f t="shared" si="42"/>
        <v>0</v>
      </c>
      <c r="AX371">
        <v>368</v>
      </c>
      <c r="AY371" s="4">
        <f t="shared" si="40"/>
        <v>43210</v>
      </c>
      <c r="AZ371" s="6">
        <f t="shared" si="41"/>
        <v>-2.4126541197692308</v>
      </c>
      <c r="BA371" s="4">
        <v>43210</v>
      </c>
      <c r="BB371" s="6">
        <v>-2.8490280000000001</v>
      </c>
      <c r="BC371" s="6">
        <v>-2.4281779999999999</v>
      </c>
      <c r="BD371" s="6">
        <v>-2.7627030000000001</v>
      </c>
      <c r="BE371" s="6"/>
      <c r="BF371" s="6"/>
      <c r="BG371" s="6"/>
      <c r="BH371" s="6"/>
      <c r="BI371" s="6"/>
      <c r="BJ371" s="6"/>
      <c r="BK371" s="6"/>
      <c r="BL371" s="4">
        <v>43210</v>
      </c>
      <c r="BM371" s="6">
        <f>VLOOKUP(BL371,Sheet1!$A$2:$E$1114,2,FALSE)</f>
        <v>2.2809058303610472</v>
      </c>
      <c r="BN371" s="6">
        <f t="shared" si="43"/>
        <v>-2.4126541197692308</v>
      </c>
    </row>
    <row r="372" spans="34:66" x14ac:dyDescent="0.3">
      <c r="AH372" s="13"/>
      <c r="AI372" s="13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W372">
        <f t="shared" si="42"/>
        <v>0</v>
      </c>
      <c r="AX372">
        <v>369</v>
      </c>
      <c r="AY372" s="4">
        <f t="shared" si="40"/>
        <v>43217</v>
      </c>
      <c r="AZ372" s="6">
        <f t="shared" si="41"/>
        <v>0.41482136461938879</v>
      </c>
      <c r="BA372" s="4">
        <v>43217</v>
      </c>
      <c r="BB372" s="6">
        <v>-0.105769</v>
      </c>
      <c r="BC372" s="6">
        <v>-0.33757599999999999</v>
      </c>
      <c r="BD372" s="6">
        <v>-0.28931000000000001</v>
      </c>
      <c r="BE372" s="6"/>
      <c r="BF372" s="6"/>
      <c r="BG372" s="6"/>
      <c r="BH372" s="6"/>
      <c r="BI372" s="6"/>
      <c r="BJ372" s="6"/>
      <c r="BK372" s="6"/>
      <c r="BL372" s="4">
        <v>43217</v>
      </c>
      <c r="BM372" s="6">
        <f>VLOOKUP(BL372,Sheet1!$A$2:$E$1114,2,FALSE)</f>
        <v>2.290367515052234</v>
      </c>
      <c r="BN372" s="6">
        <f t="shared" si="43"/>
        <v>0.41482136461938879</v>
      </c>
    </row>
    <row r="373" spans="34:66" x14ac:dyDescent="0.3">
      <c r="AH373" s="13"/>
      <c r="AI373" s="13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W373">
        <f t="shared" si="42"/>
        <v>0</v>
      </c>
      <c r="AX373">
        <v>370</v>
      </c>
      <c r="AY373" s="4">
        <f t="shared" si="40"/>
        <v>43224</v>
      </c>
      <c r="AZ373" s="6">
        <f t="shared" si="41"/>
        <v>0.89613365327174677</v>
      </c>
      <c r="BA373" s="4">
        <v>43224</v>
      </c>
      <c r="BB373" s="6">
        <v>0.47171099999999999</v>
      </c>
      <c r="BC373" s="6">
        <v>0.82427799999999996</v>
      </c>
      <c r="BD373" s="6">
        <v>0.21848400000000001</v>
      </c>
      <c r="BE373" s="6"/>
      <c r="BF373" s="6"/>
      <c r="BG373" s="6"/>
      <c r="BH373" s="6"/>
      <c r="BI373" s="6"/>
      <c r="BJ373" s="6"/>
      <c r="BK373" s="6"/>
      <c r="BL373" s="4">
        <v>43224</v>
      </c>
      <c r="BM373" s="6">
        <f>VLOOKUP(BL373,Sheet1!$A$2:$E$1114,2,FALSE)</f>
        <v>2.310892269138221</v>
      </c>
      <c r="BN373" s="6">
        <f t="shared" si="43"/>
        <v>0.89613365327174677</v>
      </c>
    </row>
    <row r="374" spans="34:66" x14ac:dyDescent="0.3">
      <c r="AH374" s="13"/>
      <c r="AI374" s="13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W374">
        <f t="shared" si="42"/>
        <v>0</v>
      </c>
      <c r="AX374">
        <v>371</v>
      </c>
      <c r="AY374" s="4">
        <f t="shared" si="40"/>
        <v>43231</v>
      </c>
      <c r="AZ374" s="6">
        <f t="shared" si="41"/>
        <v>1.5849514350716021</v>
      </c>
      <c r="BA374" s="4">
        <v>43231</v>
      </c>
      <c r="BB374" s="6">
        <v>2.6026660000000001</v>
      </c>
      <c r="BC374" s="6">
        <v>1.3884570000000001</v>
      </c>
      <c r="BD374" s="6">
        <v>1.6148990000000001</v>
      </c>
      <c r="BE374" s="6"/>
      <c r="BF374" s="6"/>
      <c r="BG374" s="6"/>
      <c r="BH374" s="6"/>
      <c r="BI374" s="6"/>
      <c r="BJ374" s="6"/>
      <c r="BK374" s="6"/>
      <c r="BL374" s="4">
        <v>43231</v>
      </c>
      <c r="BM374" s="6">
        <f>VLOOKUP(BL374,Sheet1!$A$2:$E$1114,2,FALSE)</f>
        <v>2.347518789320886</v>
      </c>
      <c r="BN374" s="6">
        <f t="shared" si="43"/>
        <v>1.5849514350716021</v>
      </c>
    </row>
    <row r="375" spans="34:66" x14ac:dyDescent="0.3">
      <c r="AH375" s="13"/>
      <c r="AI375" s="13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W375">
        <f t="shared" si="42"/>
        <v>0</v>
      </c>
      <c r="AX375">
        <v>372</v>
      </c>
      <c r="AY375" s="4">
        <f t="shared" si="40"/>
        <v>43238</v>
      </c>
      <c r="AZ375" s="6">
        <f t="shared" si="41"/>
        <v>0.30445249832871113</v>
      </c>
      <c r="BA375" s="4">
        <v>43238</v>
      </c>
      <c r="BB375" s="6">
        <v>0.78044599999999997</v>
      </c>
      <c r="BC375" s="6">
        <v>6.3547000000000006E-2</v>
      </c>
      <c r="BD375" s="6">
        <v>-0.24095900000000001</v>
      </c>
      <c r="BE375" s="6"/>
      <c r="BF375" s="6"/>
      <c r="BG375" s="6"/>
      <c r="BH375" s="6"/>
      <c r="BI375" s="6"/>
      <c r="BJ375" s="6"/>
      <c r="BK375" s="6"/>
      <c r="BL375" s="4">
        <v>43238</v>
      </c>
      <c r="BM375" s="6">
        <f>VLOOKUP(BL375,Sheet1!$A$2:$E$1114,2,FALSE)</f>
        <v>2.3546658689237092</v>
      </c>
      <c r="BN375" s="6">
        <f t="shared" si="43"/>
        <v>0.30445249832871113</v>
      </c>
    </row>
    <row r="376" spans="34:66" x14ac:dyDescent="0.3">
      <c r="AH376" s="13"/>
      <c r="AI376" s="13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W376">
        <f t="shared" si="42"/>
        <v>0</v>
      </c>
      <c r="AX376">
        <v>373</v>
      </c>
      <c r="AY376" s="4">
        <f t="shared" si="40"/>
        <v>43245</v>
      </c>
      <c r="AZ376" s="6">
        <f t="shared" si="41"/>
        <v>-1.4871741850806863</v>
      </c>
      <c r="BA376" s="4">
        <v>43245</v>
      </c>
      <c r="BB376" s="6">
        <v>-2.2178909999999998</v>
      </c>
      <c r="BC376" s="6">
        <v>-1.290241</v>
      </c>
      <c r="BD376" s="6">
        <v>-1.198123</v>
      </c>
      <c r="BE376" s="6"/>
      <c r="BF376" s="6"/>
      <c r="BG376" s="6"/>
      <c r="BH376" s="6"/>
      <c r="BI376" s="6"/>
      <c r="BJ376" s="6"/>
      <c r="BK376" s="6"/>
      <c r="BL376" s="4">
        <v>43245</v>
      </c>
      <c r="BM376" s="6">
        <f>VLOOKUP(BL376,Sheet1!$A$2:$E$1114,2,FALSE)</f>
        <v>2.31964788597617</v>
      </c>
      <c r="BN376" s="6">
        <f t="shared" si="43"/>
        <v>-1.4871741850806863</v>
      </c>
    </row>
    <row r="377" spans="34:66" x14ac:dyDescent="0.3">
      <c r="AH377" s="13"/>
      <c r="AI377" s="13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W377">
        <f t="shared" si="42"/>
        <v>0</v>
      </c>
      <c r="AX377">
        <v>374</v>
      </c>
      <c r="AY377" s="4">
        <f t="shared" si="40"/>
        <v>43252</v>
      </c>
      <c r="AZ377" s="6">
        <f t="shared" si="41"/>
        <v>-1.6730603163476854</v>
      </c>
      <c r="BA377" s="4">
        <v>43252</v>
      </c>
      <c r="BB377" s="6">
        <v>-1.202906</v>
      </c>
      <c r="BC377" s="6">
        <v>-3.9319069999999998</v>
      </c>
      <c r="BD377" s="6">
        <v>-4.551253</v>
      </c>
      <c r="BE377" s="6"/>
      <c r="BF377" s="6"/>
      <c r="BG377" s="6"/>
      <c r="BH377" s="6"/>
      <c r="BI377" s="6"/>
      <c r="BJ377" s="6"/>
      <c r="BK377" s="6"/>
      <c r="BL377" s="4">
        <v>43252</v>
      </c>
      <c r="BM377" s="6">
        <f>VLOOKUP(BL377,Sheet1!$A$2:$E$1114,2,FALSE)</f>
        <v>2.2808387777169048</v>
      </c>
      <c r="BN377" s="6">
        <f t="shared" si="43"/>
        <v>-1.6730603163476854</v>
      </c>
    </row>
    <row r="378" spans="34:66" x14ac:dyDescent="0.3">
      <c r="AH378" s="13"/>
      <c r="AI378" s="13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W378">
        <f t="shared" si="42"/>
        <v>0</v>
      </c>
      <c r="AX378">
        <v>375</v>
      </c>
      <c r="AY378" s="4">
        <f t="shared" si="40"/>
        <v>43259</v>
      </c>
      <c r="AZ378" s="6">
        <f t="shared" si="41"/>
        <v>1.1681582413916036</v>
      </c>
      <c r="BA378" s="4">
        <v>43259</v>
      </c>
      <c r="BB378" s="6">
        <v>0.2394</v>
      </c>
      <c r="BC378" s="6">
        <v>-0.27813700000000002</v>
      </c>
      <c r="BD378" s="6">
        <v>-0.60502400000000001</v>
      </c>
      <c r="BE378" s="6"/>
      <c r="BF378" s="6"/>
      <c r="BG378" s="6"/>
      <c r="BH378" s="6"/>
      <c r="BI378" s="6"/>
      <c r="BJ378" s="6"/>
      <c r="BK378" s="6"/>
      <c r="BL378" s="4">
        <v>43259</v>
      </c>
      <c r="BM378" s="6">
        <f>VLOOKUP(BL378,Sheet1!$A$2:$E$1114,2,FALSE)</f>
        <v>2.3074825838716602</v>
      </c>
      <c r="BN378" s="6">
        <f t="shared" si="43"/>
        <v>1.1681582413916036</v>
      </c>
    </row>
    <row r="379" spans="34:66" x14ac:dyDescent="0.3">
      <c r="AH379" s="13"/>
      <c r="AI379" s="13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W379">
        <f t="shared" si="42"/>
        <v>0</v>
      </c>
      <c r="AX379">
        <v>376</v>
      </c>
      <c r="AY379" s="4">
        <f t="shared" si="40"/>
        <v>43266</v>
      </c>
      <c r="AZ379" s="6">
        <f t="shared" si="41"/>
        <v>-1.1486051854619816</v>
      </c>
      <c r="BA379" s="4">
        <v>43266</v>
      </c>
      <c r="BB379" s="6">
        <v>-0.69271899999999997</v>
      </c>
      <c r="BC379" s="6">
        <v>-3.2695110000000001</v>
      </c>
      <c r="BD379" s="6">
        <v>-4.4776860000000003</v>
      </c>
      <c r="BE379" s="6"/>
      <c r="BF379" s="6"/>
      <c r="BG379" s="6"/>
      <c r="BH379" s="6"/>
      <c r="BI379" s="6"/>
      <c r="BJ379" s="6"/>
      <c r="BK379" s="6"/>
      <c r="BL379" s="4">
        <v>43266</v>
      </c>
      <c r="BM379" s="6">
        <f>VLOOKUP(BL379,Sheet1!$A$2:$E$1114,2,FALSE)</f>
        <v>2.2809787192596782</v>
      </c>
      <c r="BN379" s="6">
        <f t="shared" si="43"/>
        <v>-1.1486051854619816</v>
      </c>
    </row>
    <row r="380" spans="34:66" x14ac:dyDescent="0.3">
      <c r="AH380" s="13"/>
      <c r="AI380" s="13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W380">
        <f t="shared" si="42"/>
        <v>0</v>
      </c>
      <c r="AX380">
        <v>377</v>
      </c>
      <c r="AY380" s="4">
        <f t="shared" si="40"/>
        <v>43273</v>
      </c>
      <c r="AZ380" s="6">
        <f t="shared" si="41"/>
        <v>-3.2812902679050127</v>
      </c>
      <c r="BA380" s="4">
        <v>43273</v>
      </c>
      <c r="BB380" s="6">
        <v>-3.8505859999999998</v>
      </c>
      <c r="BC380" s="6">
        <v>-5.9049060000000004</v>
      </c>
      <c r="BD380" s="6">
        <v>-6.5231709999999996</v>
      </c>
      <c r="BE380" s="6"/>
      <c r="BF380" s="6"/>
      <c r="BG380" s="6"/>
      <c r="BH380" s="6"/>
      <c r="BI380" s="6"/>
      <c r="BJ380" s="6"/>
      <c r="BK380" s="6"/>
      <c r="BL380" s="4">
        <v>43273</v>
      </c>
      <c r="BM380" s="6">
        <f>VLOOKUP(BL380,Sheet1!$A$2:$E$1114,2,FALSE)</f>
        <v>2.206133186531626</v>
      </c>
      <c r="BN380" s="6">
        <f t="shared" si="43"/>
        <v>-3.2812902679050127</v>
      </c>
    </row>
    <row r="381" spans="34:66" x14ac:dyDescent="0.3">
      <c r="AH381" s="13"/>
      <c r="AI381" s="13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W381">
        <f t="shared" si="42"/>
        <v>0</v>
      </c>
      <c r="AX381">
        <v>378</v>
      </c>
      <c r="AY381" s="4">
        <f t="shared" si="40"/>
        <v>43280</v>
      </c>
      <c r="AZ381" s="6">
        <f t="shared" si="41"/>
        <v>-1.7716946003508927</v>
      </c>
      <c r="BA381" s="4">
        <v>43280</v>
      </c>
      <c r="BB381" s="6">
        <v>-2.7132909999999999</v>
      </c>
      <c r="BC381" s="6">
        <v>1.117057</v>
      </c>
      <c r="BD381" s="6">
        <v>1.2120029999999999</v>
      </c>
      <c r="BE381" s="6"/>
      <c r="BF381" s="6"/>
      <c r="BG381" s="6"/>
      <c r="BH381" s="6"/>
      <c r="BI381" s="6"/>
      <c r="BJ381" s="6"/>
      <c r="BK381" s="6"/>
      <c r="BL381" s="4">
        <v>43280</v>
      </c>
      <c r="BM381" s="6">
        <f>VLOOKUP(BL381,Sheet1!$A$2:$E$1114,2,FALSE)</f>
        <v>2.167047243989296</v>
      </c>
      <c r="BN381" s="6">
        <f t="shared" si="43"/>
        <v>-1.7716946003508927</v>
      </c>
    </row>
    <row r="382" spans="34:66" x14ac:dyDescent="0.3">
      <c r="AH382" s="13"/>
      <c r="AI382" s="13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W382">
        <f t="shared" si="42"/>
        <v>0</v>
      </c>
      <c r="AX382">
        <v>379</v>
      </c>
      <c r="AY382" s="4">
        <f t="shared" si="40"/>
        <v>43287</v>
      </c>
      <c r="AZ382" s="6">
        <f t="shared" si="41"/>
        <v>-3.6714028470027582</v>
      </c>
      <c r="BA382" s="4">
        <v>43287</v>
      </c>
      <c r="BB382" s="6">
        <v>-4.1544420000000004</v>
      </c>
      <c r="BC382" s="6">
        <v>-4.2381060000000002</v>
      </c>
      <c r="BD382" s="6">
        <v>-4.1714219999999997</v>
      </c>
      <c r="BE382" s="6"/>
      <c r="BF382" s="6"/>
      <c r="BG382" s="6"/>
      <c r="BH382" s="6"/>
      <c r="BI382" s="6"/>
      <c r="BJ382" s="6"/>
      <c r="BK382" s="6"/>
      <c r="BL382" s="4">
        <v>43287</v>
      </c>
      <c r="BM382" s="6">
        <f>VLOOKUP(BL382,Sheet1!$A$2:$E$1114,2,FALSE)</f>
        <v>2.0874862097775781</v>
      </c>
      <c r="BN382" s="6">
        <f t="shared" si="43"/>
        <v>-3.6714028470027582</v>
      </c>
    </row>
    <row r="383" spans="34:66" x14ac:dyDescent="0.3">
      <c r="AH383" s="13"/>
      <c r="AI383" s="13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W383">
        <f t="shared" si="42"/>
        <v>0</v>
      </c>
      <c r="AX383">
        <v>380</v>
      </c>
      <c r="AY383" s="4">
        <f t="shared" si="40"/>
        <v>43294</v>
      </c>
      <c r="AZ383" s="6">
        <f t="shared" si="41"/>
        <v>4.4562573465111832</v>
      </c>
      <c r="BA383" s="4">
        <v>43294</v>
      </c>
      <c r="BB383" s="6">
        <v>3.7908569999999999</v>
      </c>
      <c r="BC383" s="6">
        <v>4.153912</v>
      </c>
      <c r="BD383" s="6">
        <v>3.4812989999999999</v>
      </c>
      <c r="BE383" s="6"/>
      <c r="BF383" s="6"/>
      <c r="BG383" s="6"/>
      <c r="BH383" s="6"/>
      <c r="BI383" s="6"/>
      <c r="BJ383" s="6"/>
      <c r="BK383" s="6"/>
      <c r="BL383" s="4">
        <v>43294</v>
      </c>
      <c r="BM383" s="6">
        <f>VLOOKUP(BL383,Sheet1!$A$2:$E$1114,2,FALSE)</f>
        <v>2.1805099673581991</v>
      </c>
      <c r="BN383" s="6">
        <f t="shared" si="43"/>
        <v>4.4562573465111832</v>
      </c>
    </row>
    <row r="384" spans="34:66" x14ac:dyDescent="0.3">
      <c r="AH384" s="13"/>
      <c r="AI384" s="13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W384">
        <f t="shared" si="42"/>
        <v>0</v>
      </c>
      <c r="AX384">
        <v>381</v>
      </c>
      <c r="AY384" s="4">
        <f t="shared" si="40"/>
        <v>43298</v>
      </c>
      <c r="AZ384" s="6">
        <f t="shared" si="41"/>
        <v>-0.37042024876065005</v>
      </c>
      <c r="BA384" s="4">
        <v>43298</v>
      </c>
      <c r="BB384" s="6">
        <v>-1.2400869999999999</v>
      </c>
      <c r="BC384" s="6">
        <v>-0.153503</v>
      </c>
      <c r="BD384" s="6">
        <v>0.247923</v>
      </c>
      <c r="BE384" s="6"/>
      <c r="BF384" s="6"/>
      <c r="BG384" s="6"/>
      <c r="BH384" s="6"/>
      <c r="BI384" s="6"/>
      <c r="BJ384" s="6"/>
      <c r="BK384" s="6"/>
      <c r="BL384" s="4">
        <v>43301</v>
      </c>
      <c r="BM384" s="6">
        <f>VLOOKUP(BL384,Sheet1!$A$2:$E$1114,2,FALSE)</f>
        <v>2.17243291691286</v>
      </c>
      <c r="BN384" s="6">
        <f t="shared" si="43"/>
        <v>-0.37042024876065005</v>
      </c>
    </row>
    <row r="385" spans="34:66" x14ac:dyDescent="0.3">
      <c r="AH385" s="13"/>
      <c r="AI385" s="13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W385">
        <f t="shared" si="42"/>
        <v>1</v>
      </c>
      <c r="AX385">
        <v>382</v>
      </c>
      <c r="AY385" s="4">
        <f t="shared" si="40"/>
        <v>42405</v>
      </c>
      <c r="AZ385" s="6">
        <f t="shared" si="41"/>
        <v>-15.469943396606356</v>
      </c>
      <c r="BA385" s="4">
        <v>42405</v>
      </c>
      <c r="BB385" s="6">
        <v>0.600769</v>
      </c>
      <c r="BC385" s="6">
        <v>3.5667810000000002</v>
      </c>
      <c r="BD385" s="6">
        <v>4.5079950000000002</v>
      </c>
      <c r="BE385" s="6"/>
      <c r="BF385" s="6"/>
      <c r="BG385" s="6"/>
      <c r="BH385" s="6"/>
      <c r="BI385" s="6"/>
      <c r="BJ385" s="6"/>
      <c r="BK385" s="6"/>
      <c r="BL385" s="4">
        <v>42405</v>
      </c>
      <c r="BM385" s="6">
        <f>VLOOKUP(BL385,Sheet1!$A$2:$E$1114,2,FALSE)</f>
        <v>1.8363587743371961</v>
      </c>
      <c r="BN385" s="6">
        <f t="shared" si="43"/>
        <v>-15.469943396606356</v>
      </c>
    </row>
    <row r="386" spans="34:66" x14ac:dyDescent="0.3">
      <c r="AH386" s="13"/>
      <c r="AI386" s="13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W386">
        <f t="shared" si="42"/>
        <v>0</v>
      </c>
      <c r="AX386">
        <v>383</v>
      </c>
      <c r="AY386" s="4">
        <f t="shared" si="40"/>
        <v>42419</v>
      </c>
      <c r="AZ386" s="6">
        <f t="shared" si="41"/>
        <v>3.8879221371991957</v>
      </c>
      <c r="BA386" s="4">
        <v>42419</v>
      </c>
      <c r="BB386" s="6">
        <v>2.962275</v>
      </c>
      <c r="BC386" s="6">
        <v>5.5668839999999999</v>
      </c>
      <c r="BD386" s="6">
        <v>6.7439730000000004</v>
      </c>
      <c r="BE386" s="6"/>
      <c r="BF386" s="6"/>
      <c r="BG386" s="6"/>
      <c r="BH386" s="6"/>
      <c r="BI386" s="6"/>
      <c r="BJ386" s="6"/>
      <c r="BK386" s="6"/>
      <c r="BL386" s="4">
        <v>42419</v>
      </c>
      <c r="BM386" s="6">
        <f>VLOOKUP(BL386,Sheet1!$A$2:$E$1114,2,FALSE)</f>
        <v>1.9077549736430519</v>
      </c>
      <c r="BN386" s="6">
        <f t="shared" si="43"/>
        <v>3.8879221371991957</v>
      </c>
    </row>
    <row r="387" spans="34:66" x14ac:dyDescent="0.3">
      <c r="AH387" s="13"/>
      <c r="AI387" s="13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W387">
        <f t="shared" si="42"/>
        <v>0</v>
      </c>
      <c r="AX387">
        <v>384</v>
      </c>
      <c r="AY387" s="4">
        <f t="shared" si="40"/>
        <v>42426</v>
      </c>
      <c r="AZ387" s="6">
        <f t="shared" si="41"/>
        <v>-4.1196380241554476</v>
      </c>
      <c r="BA387" s="4">
        <v>42426</v>
      </c>
      <c r="BB387" s="6">
        <v>-3.3934630000000001</v>
      </c>
      <c r="BC387" s="6">
        <v>-5.5285209999999996</v>
      </c>
      <c r="BD387" s="6">
        <v>-6.9476329999999997</v>
      </c>
      <c r="BE387" s="6"/>
      <c r="BF387" s="6"/>
      <c r="BG387" s="6"/>
      <c r="BH387" s="6"/>
      <c r="BI387" s="6"/>
      <c r="BJ387" s="6"/>
      <c r="BK387" s="6"/>
      <c r="BL387" s="4">
        <v>42426</v>
      </c>
      <c r="BM387" s="6">
        <f>VLOOKUP(BL387,Sheet1!$A$2:$E$1114,2,FALSE)</f>
        <v>1.829162374341136</v>
      </c>
      <c r="BN387" s="6">
        <f t="shared" si="43"/>
        <v>-4.1196380241554476</v>
      </c>
    </row>
    <row r="388" spans="34:66" x14ac:dyDescent="0.3">
      <c r="AH388" s="13"/>
      <c r="AI388" s="13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W388">
        <f t="shared" si="42"/>
        <v>0</v>
      </c>
      <c r="AX388">
        <v>385</v>
      </c>
      <c r="AY388" s="4">
        <f t="shared" si="40"/>
        <v>42433</v>
      </c>
      <c r="AZ388" s="6">
        <f t="shared" si="41"/>
        <v>0.90462191006204229</v>
      </c>
      <c r="BA388" s="4">
        <v>42433</v>
      </c>
      <c r="BB388" s="6">
        <v>4.947673</v>
      </c>
      <c r="BC388" s="6">
        <v>-0.484626</v>
      </c>
      <c r="BD388" s="6">
        <v>-3.235004</v>
      </c>
      <c r="BE388" s="6"/>
      <c r="BF388" s="6"/>
      <c r="BG388" s="6"/>
      <c r="BH388" s="6"/>
      <c r="BI388" s="6"/>
      <c r="BJ388" s="6"/>
      <c r="BK388" s="6"/>
      <c r="BL388" s="4">
        <v>42433</v>
      </c>
      <c r="BM388" s="6">
        <f>VLOOKUP(BL388,Sheet1!$A$2:$E$1114,2,FALSE)</f>
        <v>1.8457093779500371</v>
      </c>
      <c r="BN388" s="6">
        <f t="shared" si="43"/>
        <v>0.90462191006204229</v>
      </c>
    </row>
    <row r="389" spans="34:66" x14ac:dyDescent="0.3">
      <c r="AH389" s="13"/>
      <c r="AI389" s="13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W389">
        <f t="shared" si="42"/>
        <v>0</v>
      </c>
      <c r="AX389">
        <v>386</v>
      </c>
      <c r="AY389" s="4">
        <f t="shared" ref="AY389:AY452" si="44">BA389</f>
        <v>42440</v>
      </c>
      <c r="AZ389" s="6">
        <f t="shared" ref="AZ389:AZ452" si="45">BN389</f>
        <v>-1.8382760463732439</v>
      </c>
      <c r="BA389" s="4">
        <v>42440</v>
      </c>
      <c r="BB389" s="6">
        <v>-2.4436909999999998</v>
      </c>
      <c r="BC389" s="6">
        <v>-2.0026389999999998</v>
      </c>
      <c r="BD389" s="6">
        <v>-0.93321799999999999</v>
      </c>
      <c r="BE389" s="6"/>
      <c r="BF389" s="6"/>
      <c r="BG389" s="6"/>
      <c r="BH389" s="6"/>
      <c r="BI389" s="6"/>
      <c r="BJ389" s="6"/>
      <c r="BK389" s="6"/>
      <c r="BL389" s="4">
        <v>42440</v>
      </c>
      <c r="BM389" s="6">
        <f>VLOOKUP(BL389,Sheet1!$A$2:$E$1114,2,FALSE)</f>
        <v>1.811780144569517</v>
      </c>
      <c r="BN389" s="6">
        <f t="shared" si="43"/>
        <v>-1.8382760463732439</v>
      </c>
    </row>
    <row r="390" spans="34:66" x14ac:dyDescent="0.3">
      <c r="AH390" s="13"/>
      <c r="AI390" s="13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W390">
        <f t="shared" ref="AW390:AW453" si="46">IF(AY390&lt;=AY389,1,0)</f>
        <v>0</v>
      </c>
      <c r="AX390">
        <v>387</v>
      </c>
      <c r="AY390" s="4">
        <f t="shared" si="44"/>
        <v>42447</v>
      </c>
      <c r="AZ390" s="6">
        <f t="shared" si="45"/>
        <v>6.816511543380277</v>
      </c>
      <c r="BA390" s="4">
        <v>42447</v>
      </c>
      <c r="BB390" s="6">
        <v>5.0915879999999998</v>
      </c>
      <c r="BC390" s="6">
        <v>7.9920609999999996</v>
      </c>
      <c r="BD390" s="6">
        <v>10.172530999999999</v>
      </c>
      <c r="BE390" s="6"/>
      <c r="BF390" s="6"/>
      <c r="BG390" s="6"/>
      <c r="BH390" s="6"/>
      <c r="BI390" s="6"/>
      <c r="BJ390" s="6"/>
      <c r="BK390" s="6"/>
      <c r="BL390" s="4">
        <v>42447</v>
      </c>
      <c r="BM390" s="6">
        <f>VLOOKUP(BL390,Sheet1!$A$2:$E$1114,2,FALSE)</f>
        <v>1.9352803472647699</v>
      </c>
      <c r="BN390" s="6">
        <f t="shared" ref="BN390:BN453" si="47">(BM390/BM389-1)*100</f>
        <v>6.816511543380277</v>
      </c>
    </row>
    <row r="391" spans="34:66" x14ac:dyDescent="0.3">
      <c r="AH391" s="13"/>
      <c r="AI391" s="13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W391">
        <f t="shared" si="46"/>
        <v>0</v>
      </c>
      <c r="AX391">
        <v>388</v>
      </c>
      <c r="AY391" s="4">
        <f t="shared" si="44"/>
        <v>42454</v>
      </c>
      <c r="AZ391" s="6">
        <f t="shared" si="45"/>
        <v>1.2111484060033373</v>
      </c>
      <c r="BA391" s="4">
        <v>42454</v>
      </c>
      <c r="BB391" s="6">
        <v>0.81507600000000002</v>
      </c>
      <c r="BC391" s="6">
        <v>2.1543540000000001</v>
      </c>
      <c r="BD391" s="6">
        <v>3.0385580000000001</v>
      </c>
      <c r="BE391" s="6"/>
      <c r="BF391" s="6"/>
      <c r="BG391" s="6"/>
      <c r="BH391" s="6"/>
      <c r="BI391" s="6"/>
      <c r="BJ391" s="6"/>
      <c r="BK391" s="6"/>
      <c r="BL391" s="4">
        <v>42454</v>
      </c>
      <c r="BM391" s="6">
        <f>VLOOKUP(BL391,Sheet1!$A$2:$E$1114,2,FALSE)</f>
        <v>1.9587194643423631</v>
      </c>
      <c r="BN391" s="6">
        <f t="shared" si="47"/>
        <v>1.2111484060033373</v>
      </c>
    </row>
    <row r="392" spans="34:66" x14ac:dyDescent="0.3"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W392">
        <f t="shared" si="46"/>
        <v>0</v>
      </c>
      <c r="AX392">
        <v>389</v>
      </c>
      <c r="AY392" s="4">
        <f t="shared" si="44"/>
        <v>42461</v>
      </c>
      <c r="AZ392" s="6">
        <f t="shared" si="45"/>
        <v>1.0965508061701046</v>
      </c>
      <c r="BA392" s="4">
        <v>42461</v>
      </c>
      <c r="BB392" s="6">
        <v>0.75294799999999995</v>
      </c>
      <c r="BC392" s="6">
        <v>0.77494300000000005</v>
      </c>
      <c r="BD392" s="6">
        <v>0.55187699999999995</v>
      </c>
      <c r="BE392" s="6"/>
      <c r="BF392" s="6"/>
      <c r="BG392" s="6"/>
      <c r="BH392" s="6"/>
      <c r="BI392" s="6"/>
      <c r="BJ392" s="6"/>
      <c r="BK392" s="6"/>
      <c r="BL392" s="4">
        <v>42461</v>
      </c>
      <c r="BM392" s="6">
        <f>VLOOKUP(BL392,Sheet1!$A$2:$E$1114,2,FALSE)</f>
        <v>1.9801978184192199</v>
      </c>
      <c r="BN392" s="6">
        <f t="shared" si="47"/>
        <v>1.0965508061701046</v>
      </c>
    </row>
    <row r="393" spans="34:66" x14ac:dyDescent="0.3"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W393">
        <f t="shared" si="46"/>
        <v>0</v>
      </c>
      <c r="AX393">
        <v>390</v>
      </c>
      <c r="AY393" s="4">
        <f t="shared" si="44"/>
        <v>42468</v>
      </c>
      <c r="AZ393" s="6">
        <f t="shared" si="45"/>
        <v>8.8696697843815286E-2</v>
      </c>
      <c r="BA393" s="4">
        <v>42468</v>
      </c>
      <c r="BB393" s="6">
        <v>-1.1226</v>
      </c>
      <c r="BC393" s="6">
        <v>0.72191899999999998</v>
      </c>
      <c r="BD393" s="6">
        <v>1.1310579999999999</v>
      </c>
      <c r="BE393" s="6"/>
      <c r="BF393" s="6"/>
      <c r="BG393" s="6"/>
      <c r="BH393" s="6"/>
      <c r="BI393" s="6"/>
      <c r="BJ393" s="6"/>
      <c r="BK393" s="6"/>
      <c r="BL393" s="4">
        <v>42468</v>
      </c>
      <c r="BM393" s="6">
        <f>VLOOKUP(BL393,Sheet1!$A$2:$E$1114,2,FALSE)</f>
        <v>1.981954188494933</v>
      </c>
      <c r="BN393" s="6">
        <f t="shared" si="47"/>
        <v>8.8696697843815286E-2</v>
      </c>
    </row>
    <row r="394" spans="34:66" x14ac:dyDescent="0.3"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W394">
        <f t="shared" si="46"/>
        <v>0</v>
      </c>
      <c r="AX394">
        <v>391</v>
      </c>
      <c r="AY394" s="4">
        <f t="shared" si="44"/>
        <v>42475</v>
      </c>
      <c r="AZ394" s="6">
        <f t="shared" si="45"/>
        <v>2.8916799512705094</v>
      </c>
      <c r="BA394" s="4">
        <v>42475</v>
      </c>
      <c r="BB394" s="6">
        <v>2.7145929999999998</v>
      </c>
      <c r="BC394" s="6">
        <v>3.4951650000000001</v>
      </c>
      <c r="BD394" s="6">
        <v>4.2068940000000001</v>
      </c>
      <c r="BE394" s="6"/>
      <c r="BF394" s="6"/>
      <c r="BG394" s="6"/>
      <c r="BH394" s="6"/>
      <c r="BI394" s="6"/>
      <c r="BJ394" s="6"/>
      <c r="BK394" s="6"/>
      <c r="BL394" s="4">
        <v>42475</v>
      </c>
      <c r="BM394" s="6">
        <f>VLOOKUP(BL394,Sheet1!$A$2:$E$1114,2,FALSE)</f>
        <v>2.0392659604070071</v>
      </c>
      <c r="BN394" s="6">
        <f t="shared" si="47"/>
        <v>2.8916799512705094</v>
      </c>
    </row>
    <row r="395" spans="34:66" x14ac:dyDescent="0.3"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W395">
        <f t="shared" si="46"/>
        <v>0</v>
      </c>
      <c r="AX395">
        <v>392</v>
      </c>
      <c r="AY395" s="4">
        <f t="shared" si="44"/>
        <v>42482</v>
      </c>
      <c r="AZ395" s="6">
        <f t="shared" si="45"/>
        <v>-3.9265067363950856</v>
      </c>
      <c r="BA395" s="4">
        <v>42482</v>
      </c>
      <c r="BB395" s="6">
        <v>-2.9736549999999999</v>
      </c>
      <c r="BC395" s="6">
        <v>-5.8428740000000001</v>
      </c>
      <c r="BD395" s="6">
        <v>-6.3190200000000001</v>
      </c>
      <c r="BE395" s="6"/>
      <c r="BF395" s="6"/>
      <c r="BG395" s="6"/>
      <c r="BH395" s="6"/>
      <c r="BI395" s="6"/>
      <c r="BJ395" s="6"/>
      <c r="BK395" s="6"/>
      <c r="BL395" s="4">
        <v>42482</v>
      </c>
      <c r="BM395" s="6">
        <f>VLOOKUP(BL395,Sheet1!$A$2:$E$1114,2,FALSE)</f>
        <v>1.9591940450986141</v>
      </c>
      <c r="BN395" s="6">
        <f t="shared" si="47"/>
        <v>-3.9265067363950856</v>
      </c>
    </row>
    <row r="396" spans="34:66" x14ac:dyDescent="0.3"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W396">
        <f t="shared" si="46"/>
        <v>0</v>
      </c>
      <c r="AX396">
        <v>393</v>
      </c>
      <c r="AY396" s="4">
        <f t="shared" si="44"/>
        <v>42489</v>
      </c>
      <c r="AZ396" s="6">
        <f t="shared" si="45"/>
        <v>0.53300875448039076</v>
      </c>
      <c r="BA396" s="4">
        <v>42489</v>
      </c>
      <c r="BB396" s="6">
        <v>-0.57186300000000001</v>
      </c>
      <c r="BC396" s="6">
        <v>-0.42796099999999998</v>
      </c>
      <c r="BD396" s="6">
        <v>0.11197799999999999</v>
      </c>
      <c r="BE396" s="6"/>
      <c r="BF396" s="6"/>
      <c r="BG396" s="6"/>
      <c r="BH396" s="6"/>
      <c r="BI396" s="6"/>
      <c r="BJ396" s="6"/>
      <c r="BK396" s="6"/>
      <c r="BL396" s="4">
        <v>42489</v>
      </c>
      <c r="BM396" s="6">
        <f>VLOOKUP(BL396,Sheet1!$A$2:$E$1114,2,FALSE)</f>
        <v>1.969636720876248</v>
      </c>
      <c r="BN396" s="6">
        <f t="shared" si="47"/>
        <v>0.53300875448039076</v>
      </c>
    </row>
    <row r="397" spans="34:66" x14ac:dyDescent="0.3"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W397">
        <f t="shared" si="46"/>
        <v>0</v>
      </c>
      <c r="AX397">
        <v>394</v>
      </c>
      <c r="AY397" s="4">
        <f t="shared" si="44"/>
        <v>42496</v>
      </c>
      <c r="AZ397" s="6">
        <f t="shared" si="45"/>
        <v>-0.60578656885660331</v>
      </c>
      <c r="BA397" s="4">
        <v>42496</v>
      </c>
      <c r="BB397" s="6">
        <v>-0.83601000000000003</v>
      </c>
      <c r="BC397" s="6">
        <v>-0.40271699999999999</v>
      </c>
      <c r="BD397" s="6">
        <v>-0.18892900000000001</v>
      </c>
      <c r="BE397" s="6"/>
      <c r="BF397" s="6"/>
      <c r="BG397" s="6"/>
      <c r="BH397" s="6"/>
      <c r="BI397" s="6"/>
      <c r="BJ397" s="6"/>
      <c r="BK397" s="6"/>
      <c r="BL397" s="4">
        <v>42496</v>
      </c>
      <c r="BM397" s="6">
        <f>VLOOKUP(BL397,Sheet1!$A$2:$E$1114,2,FALSE)</f>
        <v>1.9577049261659121</v>
      </c>
      <c r="BN397" s="6">
        <f t="shared" si="47"/>
        <v>-0.60578656885660331</v>
      </c>
    </row>
    <row r="398" spans="34:66" x14ac:dyDescent="0.3"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W398">
        <f t="shared" si="46"/>
        <v>0</v>
      </c>
      <c r="AX398">
        <v>395</v>
      </c>
      <c r="AY398" s="4">
        <f t="shared" si="44"/>
        <v>42503</v>
      </c>
      <c r="AZ398" s="6">
        <f t="shared" si="45"/>
        <v>-2.5004465743349469</v>
      </c>
      <c r="BA398" s="4">
        <v>42503</v>
      </c>
      <c r="BB398" s="6">
        <v>-1.770384</v>
      </c>
      <c r="BC398" s="6">
        <v>-4.1462510000000004</v>
      </c>
      <c r="BD398" s="6">
        <v>-5.6678879999999996</v>
      </c>
      <c r="BE398" s="6"/>
      <c r="BF398" s="6"/>
      <c r="BG398" s="6"/>
      <c r="BH398" s="6"/>
      <c r="BI398" s="6"/>
      <c r="BJ398" s="6"/>
      <c r="BK398" s="6"/>
      <c r="BL398" s="4">
        <v>42503</v>
      </c>
      <c r="BM398" s="6">
        <f>VLOOKUP(BL398,Sheet1!$A$2:$E$1114,2,FALSE)</f>
        <v>1.90875356040401</v>
      </c>
      <c r="BN398" s="6">
        <f t="shared" si="47"/>
        <v>-2.5004465743349469</v>
      </c>
    </row>
    <row r="399" spans="34:66" x14ac:dyDescent="0.3"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W399">
        <f t="shared" si="46"/>
        <v>0</v>
      </c>
      <c r="AX399">
        <v>396</v>
      </c>
      <c r="AY399" s="4">
        <f t="shared" si="44"/>
        <v>42510</v>
      </c>
      <c r="AZ399" s="6">
        <f t="shared" si="45"/>
        <v>-0.20749450008363812</v>
      </c>
      <c r="BA399" s="4">
        <v>42510</v>
      </c>
      <c r="BB399" s="6">
        <v>0.10677300000000001</v>
      </c>
      <c r="BC399" s="6">
        <v>0.32534299999999999</v>
      </c>
      <c r="BD399" s="6">
        <v>0.68107300000000004</v>
      </c>
      <c r="BE399" s="6"/>
      <c r="BF399" s="6"/>
      <c r="BG399" s="6"/>
      <c r="BH399" s="6"/>
      <c r="BI399" s="6"/>
      <c r="BJ399" s="6"/>
      <c r="BK399" s="6"/>
      <c r="BL399" s="4">
        <v>42510</v>
      </c>
      <c r="BM399" s="6">
        <f>VLOOKUP(BL399,Sheet1!$A$2:$E$1114,2,FALSE)</f>
        <v>1.9047930017460211</v>
      </c>
      <c r="BN399" s="6">
        <f t="shared" si="47"/>
        <v>-0.20749450008363812</v>
      </c>
    </row>
    <row r="400" spans="34:66" x14ac:dyDescent="0.3"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W400">
        <f t="shared" si="46"/>
        <v>0</v>
      </c>
      <c r="AX400">
        <v>397</v>
      </c>
      <c r="AY400" s="4">
        <f t="shared" si="44"/>
        <v>42517</v>
      </c>
      <c r="AZ400" s="6">
        <f t="shared" si="45"/>
        <v>0.46719322320818435</v>
      </c>
      <c r="BA400" s="4">
        <v>42517</v>
      </c>
      <c r="BB400" s="6">
        <v>-0.51065300000000002</v>
      </c>
      <c r="BC400" s="6">
        <v>0.116658</v>
      </c>
      <c r="BD400" s="6">
        <v>0.67092799999999997</v>
      </c>
      <c r="BE400" s="6"/>
      <c r="BF400" s="6"/>
      <c r="BG400" s="6"/>
      <c r="BH400" s="6"/>
      <c r="BI400" s="6"/>
      <c r="BJ400" s="6"/>
      <c r="BK400" s="6"/>
      <c r="BL400" s="4">
        <v>42517</v>
      </c>
      <c r="BM400" s="6">
        <f>VLOOKUP(BL400,Sheet1!$A$2:$E$1114,2,FALSE)</f>
        <v>1.9136920655663221</v>
      </c>
      <c r="BN400" s="6">
        <f t="shared" si="47"/>
        <v>0.46719322320818435</v>
      </c>
    </row>
    <row r="401" spans="36:66" x14ac:dyDescent="0.3"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W401">
        <f t="shared" si="46"/>
        <v>0</v>
      </c>
      <c r="AX401">
        <v>398</v>
      </c>
      <c r="AY401" s="4">
        <f t="shared" si="44"/>
        <v>42524</v>
      </c>
      <c r="AZ401" s="6">
        <f t="shared" si="45"/>
        <v>4.1065747418872478</v>
      </c>
      <c r="BA401" s="4">
        <v>42524</v>
      </c>
      <c r="BB401" s="6">
        <v>4.1412649999999998</v>
      </c>
      <c r="BC401" s="6">
        <v>5.1051260000000003</v>
      </c>
      <c r="BD401" s="6">
        <v>6.0521640000000003</v>
      </c>
      <c r="BE401" s="6"/>
      <c r="BF401" s="6"/>
      <c r="BG401" s="6"/>
      <c r="BH401" s="6"/>
      <c r="BI401" s="6"/>
      <c r="BJ401" s="6"/>
      <c r="BK401" s="6"/>
      <c r="BL401" s="4">
        <v>42524</v>
      </c>
      <c r="BM401" s="6">
        <f>VLOOKUP(BL401,Sheet1!$A$2:$E$1114,2,FALSE)</f>
        <v>1.992279260568369</v>
      </c>
      <c r="BN401" s="6">
        <f t="shared" si="47"/>
        <v>4.1065747418872478</v>
      </c>
    </row>
    <row r="402" spans="36:66" x14ac:dyDescent="0.3"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W402">
        <f t="shared" si="46"/>
        <v>0</v>
      </c>
      <c r="AX402">
        <v>399</v>
      </c>
      <c r="AY402" s="4">
        <f t="shared" si="44"/>
        <v>42529</v>
      </c>
      <c r="AZ402" s="6">
        <f t="shared" si="45"/>
        <v>-0.35826239415450711</v>
      </c>
      <c r="BA402" s="4">
        <v>42529</v>
      </c>
      <c r="BB402" s="6">
        <v>-0.79449700000000001</v>
      </c>
      <c r="BC402" s="6">
        <v>-0.14463699999999999</v>
      </c>
      <c r="BD402" s="6">
        <v>0.47818699999999997</v>
      </c>
      <c r="BE402" s="6"/>
      <c r="BF402" s="6"/>
      <c r="BG402" s="6"/>
      <c r="BH402" s="6"/>
      <c r="BI402" s="6"/>
      <c r="BJ402" s="6"/>
      <c r="BK402" s="6"/>
      <c r="BL402" s="4">
        <v>42529</v>
      </c>
      <c r="BM402" s="6">
        <f>VLOOKUP(BL402,Sheet1!$A$2:$E$1114,2,FALSE)</f>
        <v>1.985141673191213</v>
      </c>
      <c r="BN402" s="6">
        <f t="shared" si="47"/>
        <v>-0.35826239415450711</v>
      </c>
    </row>
    <row r="403" spans="36:66" x14ac:dyDescent="0.3"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W403">
        <f t="shared" si="46"/>
        <v>0</v>
      </c>
      <c r="AX403">
        <v>400</v>
      </c>
      <c r="AY403" s="4">
        <f t="shared" si="44"/>
        <v>42538</v>
      </c>
      <c r="AZ403" s="6">
        <f t="shared" si="45"/>
        <v>-0.20302335134448901</v>
      </c>
      <c r="BA403" s="4">
        <v>42538</v>
      </c>
      <c r="BB403" s="6">
        <v>-1.6949879999999999</v>
      </c>
      <c r="BC403" s="6">
        <v>-0.98948199999999997</v>
      </c>
      <c r="BD403" s="6">
        <v>-0.20616999999999999</v>
      </c>
      <c r="BE403" s="6"/>
      <c r="BF403" s="6"/>
      <c r="BG403" s="6"/>
      <c r="BH403" s="6"/>
      <c r="BI403" s="6"/>
      <c r="BJ403" s="6"/>
      <c r="BK403" s="6"/>
      <c r="BL403" s="4">
        <v>42538</v>
      </c>
      <c r="BM403" s="6">
        <f>VLOOKUP(BL403,Sheet1!$A$2:$E$1114,2,FALSE)</f>
        <v>1.9811113720373641</v>
      </c>
      <c r="BN403" s="6">
        <f t="shared" si="47"/>
        <v>-0.20302335134448901</v>
      </c>
    </row>
    <row r="404" spans="36:66" x14ac:dyDescent="0.3"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W404">
        <f t="shared" si="46"/>
        <v>0</v>
      </c>
      <c r="AX404">
        <v>401</v>
      </c>
      <c r="AY404" s="4">
        <f t="shared" si="44"/>
        <v>42545</v>
      </c>
      <c r="AZ404" s="6">
        <f t="shared" si="45"/>
        <v>-0.3841700831923478</v>
      </c>
      <c r="BA404" s="4">
        <v>42545</v>
      </c>
      <c r="BB404" s="6">
        <v>-1.0674589999999999</v>
      </c>
      <c r="BC404" s="6">
        <v>-1.0169250000000001</v>
      </c>
      <c r="BD404" s="6">
        <v>0.170125</v>
      </c>
      <c r="BE404" s="6"/>
      <c r="BF404" s="6"/>
      <c r="BG404" s="6"/>
      <c r="BH404" s="6"/>
      <c r="BI404" s="6"/>
      <c r="BJ404" s="6"/>
      <c r="BK404" s="6"/>
      <c r="BL404" s="4">
        <v>42545</v>
      </c>
      <c r="BM404" s="6">
        <f>VLOOKUP(BL404,Sheet1!$A$2:$E$1114,2,FALSE)</f>
        <v>1.9735005348312751</v>
      </c>
      <c r="BN404" s="6">
        <f t="shared" si="47"/>
        <v>-0.3841700831923478</v>
      </c>
    </row>
    <row r="405" spans="36:66" x14ac:dyDescent="0.3"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W405">
        <f t="shared" si="46"/>
        <v>0</v>
      </c>
      <c r="AX405">
        <v>402</v>
      </c>
      <c r="AY405" s="4">
        <f t="shared" si="44"/>
        <v>42552</v>
      </c>
      <c r="AZ405" s="6">
        <f t="shared" si="45"/>
        <v>2.8150445332184582</v>
      </c>
      <c r="BA405" s="4">
        <v>42552</v>
      </c>
      <c r="BB405" s="6">
        <v>2.5037699999999998</v>
      </c>
      <c r="BC405" s="6">
        <v>3.5218780000000001</v>
      </c>
      <c r="BD405" s="6">
        <v>3.342041</v>
      </c>
      <c r="BE405" s="6"/>
      <c r="BF405" s="6"/>
      <c r="BG405" s="6"/>
      <c r="BH405" s="6"/>
      <c r="BI405" s="6"/>
      <c r="BJ405" s="6"/>
      <c r="BK405" s="6"/>
      <c r="BL405" s="4">
        <v>42552</v>
      </c>
      <c r="BM405" s="6">
        <f>VLOOKUP(BL405,Sheet1!$A$2:$E$1114,2,FALSE)</f>
        <v>2.0290554537500798</v>
      </c>
      <c r="BN405" s="6">
        <f t="shared" si="47"/>
        <v>2.8150445332184582</v>
      </c>
    </row>
    <row r="406" spans="36:66" x14ac:dyDescent="0.3"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W406">
        <f t="shared" si="46"/>
        <v>0</v>
      </c>
      <c r="AX406">
        <v>403</v>
      </c>
      <c r="AY406" s="4">
        <f t="shared" si="44"/>
        <v>42559</v>
      </c>
      <c r="AZ406" s="6">
        <f t="shared" si="45"/>
        <v>3.1774495094319066</v>
      </c>
      <c r="BA406" s="4">
        <v>42559</v>
      </c>
      <c r="BB406" s="6">
        <v>1.207282</v>
      </c>
      <c r="BC406" s="6">
        <v>3.081299</v>
      </c>
      <c r="BD406" s="6">
        <v>2.6260330000000001</v>
      </c>
      <c r="BE406" s="6"/>
      <c r="BF406" s="6"/>
      <c r="BG406" s="6"/>
      <c r="BH406" s="6"/>
      <c r="BI406" s="6"/>
      <c r="BJ406" s="6"/>
      <c r="BK406" s="6"/>
      <c r="BL406" s="4">
        <v>42559</v>
      </c>
      <c r="BM406" s="6">
        <f>VLOOKUP(BL406,Sheet1!$A$2:$E$1114,2,FALSE)</f>
        <v>2.0935276663113629</v>
      </c>
      <c r="BN406" s="6">
        <f t="shared" si="47"/>
        <v>3.1774495094319066</v>
      </c>
    </row>
    <row r="407" spans="36:66" x14ac:dyDescent="0.3"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W407">
        <f t="shared" si="46"/>
        <v>0</v>
      </c>
      <c r="AX407">
        <v>404</v>
      </c>
      <c r="AY407" s="4">
        <f t="shared" si="44"/>
        <v>42566</v>
      </c>
      <c r="AZ407" s="6">
        <f t="shared" si="45"/>
        <v>1.9214889289740356</v>
      </c>
      <c r="BA407" s="4">
        <v>42566</v>
      </c>
      <c r="BB407" s="6">
        <v>2.6312570000000002</v>
      </c>
      <c r="BC407" s="6">
        <v>2.2407279999999998</v>
      </c>
      <c r="BD407" s="6">
        <v>0.48803999999999997</v>
      </c>
      <c r="BE407" s="6"/>
      <c r="BF407" s="6"/>
      <c r="BG407" s="6"/>
      <c r="BH407" s="6"/>
      <c r="BI407" s="6"/>
      <c r="BJ407" s="6"/>
      <c r="BK407" s="6"/>
      <c r="BL407" s="4">
        <v>42566</v>
      </c>
      <c r="BM407" s="6">
        <f>VLOOKUP(BL407,Sheet1!$A$2:$E$1114,2,FALSE)</f>
        <v>2.133754568644544</v>
      </c>
      <c r="BN407" s="6">
        <f t="shared" si="47"/>
        <v>1.9214889289740356</v>
      </c>
    </row>
    <row r="408" spans="36:66" x14ac:dyDescent="0.3"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W408">
        <f t="shared" si="46"/>
        <v>0</v>
      </c>
      <c r="AX408">
        <v>405</v>
      </c>
      <c r="AY408" s="4">
        <f t="shared" si="44"/>
        <v>42573</v>
      </c>
      <c r="AZ408" s="6">
        <f t="shared" si="45"/>
        <v>-1.3798298653846186</v>
      </c>
      <c r="BA408" s="4">
        <v>42573</v>
      </c>
      <c r="BB408" s="6">
        <v>-1.5601670000000001</v>
      </c>
      <c r="BC408" s="6">
        <v>-0.77768000000000004</v>
      </c>
      <c r="BD408" s="6">
        <v>-0.56685300000000005</v>
      </c>
      <c r="BE408" s="6"/>
      <c r="BF408" s="6"/>
      <c r="BG408" s="6"/>
      <c r="BH408" s="6"/>
      <c r="BI408" s="6"/>
      <c r="BJ408" s="6"/>
      <c r="BK408" s="6"/>
      <c r="BL408" s="4">
        <v>42573</v>
      </c>
      <c r="BM408" s="6">
        <f>VLOOKUP(BL408,Sheet1!$A$2:$E$1114,2,FALSE)</f>
        <v>2.1043123858523778</v>
      </c>
      <c r="BN408" s="6">
        <f t="shared" si="47"/>
        <v>-1.3798298653846186</v>
      </c>
    </row>
    <row r="409" spans="36:66" x14ac:dyDescent="0.3"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W409">
        <f t="shared" si="46"/>
        <v>0</v>
      </c>
      <c r="AX409">
        <v>406</v>
      </c>
      <c r="AY409" s="4">
        <f t="shared" si="44"/>
        <v>42580</v>
      </c>
      <c r="AZ409" s="6">
        <f t="shared" si="45"/>
        <v>-1.3478088949504641</v>
      </c>
      <c r="BA409" s="4">
        <v>42580</v>
      </c>
      <c r="BB409" s="6">
        <v>-0.65831399999999995</v>
      </c>
      <c r="BC409" s="6">
        <v>-2.9421889999999999</v>
      </c>
      <c r="BD409" s="6">
        <v>-4.8239739999999998</v>
      </c>
      <c r="BE409" s="6"/>
      <c r="BF409" s="6"/>
      <c r="BG409" s="6"/>
      <c r="BH409" s="6"/>
      <c r="BI409" s="6"/>
      <c r="BJ409" s="6"/>
      <c r="BK409" s="6"/>
      <c r="BL409" s="4">
        <v>42580</v>
      </c>
      <c r="BM409" s="6">
        <f>VLOOKUP(BL409,Sheet1!$A$2:$E$1114,2,FALSE)</f>
        <v>2.0759502763383151</v>
      </c>
      <c r="BN409" s="6">
        <f t="shared" si="47"/>
        <v>-1.3478088949504641</v>
      </c>
    </row>
    <row r="410" spans="36:66" x14ac:dyDescent="0.3"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W410">
        <f t="shared" si="46"/>
        <v>0</v>
      </c>
      <c r="AX410">
        <v>407</v>
      </c>
      <c r="AY410" s="4">
        <f t="shared" si="44"/>
        <v>42587</v>
      </c>
      <c r="AZ410" s="6">
        <f t="shared" si="45"/>
        <v>4.2854481834164737E-2</v>
      </c>
      <c r="BA410" s="4">
        <v>42587</v>
      </c>
      <c r="BB410" s="6">
        <v>3.6819999999999999E-2</v>
      </c>
      <c r="BC410" s="6">
        <v>6.3660000000000001E-3</v>
      </c>
      <c r="BD410" s="6">
        <v>5.0271000000000003E-2</v>
      </c>
      <c r="BE410" s="6"/>
      <c r="BF410" s="6"/>
      <c r="BG410" s="6"/>
      <c r="BH410" s="6"/>
      <c r="BI410" s="6"/>
      <c r="BJ410" s="6"/>
      <c r="BK410" s="6"/>
      <c r="BL410" s="4">
        <v>42587</v>
      </c>
      <c r="BM410" s="6">
        <f>VLOOKUP(BL410,Sheet1!$A$2:$E$1114,2,FALSE)</f>
        <v>2.0768399140723748</v>
      </c>
      <c r="BN410" s="6">
        <f t="shared" si="47"/>
        <v>4.2854481834164737E-2</v>
      </c>
    </row>
    <row r="411" spans="36:66" x14ac:dyDescent="0.3"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W411">
        <f t="shared" si="46"/>
        <v>0</v>
      </c>
      <c r="AX411">
        <v>408</v>
      </c>
      <c r="AY411" s="4">
        <f t="shared" si="44"/>
        <v>42594</v>
      </c>
      <c r="AZ411" s="6">
        <f t="shared" si="45"/>
        <v>1.2063297494109726</v>
      </c>
      <c r="BA411" s="4">
        <v>42594</v>
      </c>
      <c r="BB411" s="6">
        <v>2.780672</v>
      </c>
      <c r="BC411" s="6">
        <v>1.5444119999999999</v>
      </c>
      <c r="BD411" s="6">
        <v>1.2896510000000001</v>
      </c>
      <c r="BE411" s="6"/>
      <c r="BF411" s="6"/>
      <c r="BG411" s="6"/>
      <c r="BH411" s="6"/>
      <c r="BI411" s="6"/>
      <c r="BJ411" s="6"/>
      <c r="BK411" s="6"/>
      <c r="BL411" s="4">
        <v>42594</v>
      </c>
      <c r="BM411" s="6">
        <f>VLOOKUP(BL411,Sheet1!$A$2:$E$1114,2,FALSE)</f>
        <v>2.1018934518034711</v>
      </c>
      <c r="BN411" s="6">
        <f t="shared" si="47"/>
        <v>1.2063297494109726</v>
      </c>
    </row>
    <row r="412" spans="36:66" x14ac:dyDescent="0.3"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W412">
        <f t="shared" si="46"/>
        <v>0</v>
      </c>
      <c r="AX412">
        <v>409</v>
      </c>
      <c r="AY412" s="4">
        <f t="shared" si="44"/>
        <v>42601</v>
      </c>
      <c r="AZ412" s="6">
        <f t="shared" si="45"/>
        <v>1.7843774132832557</v>
      </c>
      <c r="BA412" s="4">
        <v>42601</v>
      </c>
      <c r="BB412" s="6">
        <v>2.1487850000000002</v>
      </c>
      <c r="BC412" s="6">
        <v>3.1824159999999999</v>
      </c>
      <c r="BD412" s="6">
        <v>3.5787300000000002</v>
      </c>
      <c r="BE412" s="6"/>
      <c r="BF412" s="6"/>
      <c r="BG412" s="6"/>
      <c r="BH412" s="6"/>
      <c r="BI412" s="6"/>
      <c r="BJ412" s="6"/>
      <c r="BK412" s="6"/>
      <c r="BL412" s="4">
        <v>42601</v>
      </c>
      <c r="BM412" s="6">
        <f>VLOOKUP(BL412,Sheet1!$A$2:$E$1114,2,FALSE)</f>
        <v>2.139399163808732</v>
      </c>
      <c r="BN412" s="6">
        <f t="shared" si="47"/>
        <v>1.7843774132832557</v>
      </c>
    </row>
    <row r="413" spans="36:66" x14ac:dyDescent="0.3"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W413">
        <f t="shared" si="46"/>
        <v>0</v>
      </c>
      <c r="AX413">
        <v>410</v>
      </c>
      <c r="AY413" s="4">
        <f t="shared" si="44"/>
        <v>42608</v>
      </c>
      <c r="AZ413" s="6">
        <f t="shared" si="45"/>
        <v>-0.92963852292956561</v>
      </c>
      <c r="BA413" s="4">
        <v>42608</v>
      </c>
      <c r="BB413" s="6">
        <v>-1.7215199999999999</v>
      </c>
      <c r="BC413" s="6">
        <v>-1.3665750000000001</v>
      </c>
      <c r="BD413" s="6">
        <v>-1.2203740000000001</v>
      </c>
      <c r="BE413" s="6"/>
      <c r="BF413" s="6"/>
      <c r="BG413" s="6"/>
      <c r="BH413" s="6"/>
      <c r="BI413" s="6"/>
      <c r="BJ413" s="6"/>
      <c r="BK413" s="6"/>
      <c r="BL413" s="4">
        <v>42608</v>
      </c>
      <c r="BM413" s="6">
        <f>VLOOKUP(BL413,Sheet1!$A$2:$E$1114,2,FALSE)</f>
        <v>2.1195104850227331</v>
      </c>
      <c r="BN413" s="6">
        <f t="shared" si="47"/>
        <v>-0.92963852292956561</v>
      </c>
    </row>
    <row r="414" spans="36:66" x14ac:dyDescent="0.3"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W414">
        <f t="shared" si="46"/>
        <v>0</v>
      </c>
      <c r="AX414">
        <v>411</v>
      </c>
      <c r="AY414" s="4">
        <f t="shared" si="44"/>
        <v>42615</v>
      </c>
      <c r="AZ414" s="6">
        <f t="shared" si="45"/>
        <v>-0.6222461845824534</v>
      </c>
      <c r="BA414" s="4">
        <v>42615</v>
      </c>
      <c r="BB414" s="6">
        <v>0.212392</v>
      </c>
      <c r="BC414" s="6">
        <v>-0.83890100000000001</v>
      </c>
      <c r="BD414" s="6">
        <v>-1.0156339999999999</v>
      </c>
      <c r="BE414" s="6"/>
      <c r="BF414" s="6"/>
      <c r="BG414" s="6"/>
      <c r="BH414" s="6"/>
      <c r="BI414" s="6"/>
      <c r="BJ414" s="6"/>
      <c r="BK414" s="6"/>
      <c r="BL414" s="4">
        <v>42615</v>
      </c>
      <c r="BM414" s="6">
        <f>VLOOKUP(BL414,Sheet1!$A$2:$E$1114,2,FALSE)</f>
        <v>2.106321911897854</v>
      </c>
      <c r="BN414" s="6">
        <f t="shared" si="47"/>
        <v>-0.6222461845824534</v>
      </c>
    </row>
    <row r="415" spans="36:66" x14ac:dyDescent="0.3"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W415">
        <f t="shared" si="46"/>
        <v>0</v>
      </c>
      <c r="AX415">
        <v>412</v>
      </c>
      <c r="AY415" s="4">
        <f t="shared" si="44"/>
        <v>42622</v>
      </c>
      <c r="AZ415" s="6">
        <f t="shared" si="45"/>
        <v>0.99204748303152179</v>
      </c>
      <c r="BA415" s="4">
        <v>42622</v>
      </c>
      <c r="BB415" s="6">
        <v>0.118578</v>
      </c>
      <c r="BC415" s="6">
        <v>1.794872</v>
      </c>
      <c r="BD415" s="6">
        <v>1.6890860000000001</v>
      </c>
      <c r="BE415" s="6"/>
      <c r="BF415" s="6"/>
      <c r="BG415" s="6"/>
      <c r="BH415" s="6"/>
      <c r="BI415" s="6"/>
      <c r="BJ415" s="6"/>
      <c r="BK415" s="6"/>
      <c r="BL415" s="4">
        <v>42622</v>
      </c>
      <c r="BM415" s="6">
        <f>VLOOKUP(BL415,Sheet1!$A$2:$E$1114,2,FALSE)</f>
        <v>2.127217625409378</v>
      </c>
      <c r="BN415" s="6">
        <f t="shared" si="47"/>
        <v>0.99204748303152179</v>
      </c>
    </row>
    <row r="416" spans="36:66" x14ac:dyDescent="0.3"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W416">
        <f t="shared" si="46"/>
        <v>0</v>
      </c>
      <c r="AX416">
        <v>413</v>
      </c>
      <c r="AY416" s="4">
        <f t="shared" si="44"/>
        <v>42627</v>
      </c>
      <c r="AZ416" s="6">
        <f t="shared" si="45"/>
        <v>-2.5082447249561879</v>
      </c>
      <c r="BA416" s="4">
        <v>42627</v>
      </c>
      <c r="BB416" s="6">
        <v>-2.390387</v>
      </c>
      <c r="BC416" s="6">
        <v>-2.98089</v>
      </c>
      <c r="BD416" s="6">
        <v>-2.8646889999999998</v>
      </c>
      <c r="BE416" s="6"/>
      <c r="BF416" s="6"/>
      <c r="BG416" s="6"/>
      <c r="BH416" s="6"/>
      <c r="BI416" s="6"/>
      <c r="BJ416" s="6"/>
      <c r="BK416" s="6"/>
      <c r="BL416" s="4">
        <v>42627</v>
      </c>
      <c r="BM416" s="6">
        <f>VLOOKUP(BL416,Sheet1!$A$2:$E$1114,2,FALSE)</f>
        <v>2.073861801531709</v>
      </c>
      <c r="BN416" s="6">
        <f t="shared" si="47"/>
        <v>-2.5082447249561879</v>
      </c>
    </row>
    <row r="417" spans="36:66" x14ac:dyDescent="0.3"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W417">
        <f t="shared" si="46"/>
        <v>0</v>
      </c>
      <c r="AX417">
        <v>414</v>
      </c>
      <c r="AY417" s="4">
        <f t="shared" si="44"/>
        <v>42636</v>
      </c>
      <c r="AZ417" s="6">
        <f t="shared" si="45"/>
        <v>1.2717920456917442</v>
      </c>
      <c r="BA417" s="4">
        <v>42636</v>
      </c>
      <c r="BB417" s="6">
        <v>1.140466</v>
      </c>
      <c r="BC417" s="6">
        <v>1.4721740000000001</v>
      </c>
      <c r="BD417" s="6">
        <v>1.2933330000000001</v>
      </c>
      <c r="BE417" s="6"/>
      <c r="BF417" s="6"/>
      <c r="BG417" s="6"/>
      <c r="BH417" s="6"/>
      <c r="BI417" s="6"/>
      <c r="BJ417" s="6"/>
      <c r="BK417" s="6"/>
      <c r="BL417" s="4">
        <v>42636</v>
      </c>
      <c r="BM417" s="6">
        <f>VLOOKUP(BL417,Sheet1!$A$2:$E$1114,2,FALSE)</f>
        <v>2.1002370109622288</v>
      </c>
      <c r="BN417" s="6">
        <f t="shared" si="47"/>
        <v>1.2717920456917442</v>
      </c>
    </row>
    <row r="418" spans="36:66" x14ac:dyDescent="0.3"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W418">
        <f t="shared" si="46"/>
        <v>0</v>
      </c>
      <c r="AX418">
        <v>415</v>
      </c>
      <c r="AY418" s="4">
        <f t="shared" si="44"/>
        <v>42643</v>
      </c>
      <c r="AZ418" s="6">
        <f t="shared" si="45"/>
        <v>-0.29911173688570436</v>
      </c>
      <c r="BA418" s="4">
        <v>42643</v>
      </c>
      <c r="BB418" s="6">
        <v>-0.68327199999999999</v>
      </c>
      <c r="BC418" s="6">
        <v>-0.66709399999999996</v>
      </c>
      <c r="BD418" s="6">
        <v>-0.78573599999999999</v>
      </c>
      <c r="BE418" s="6"/>
      <c r="BF418" s="6"/>
      <c r="BG418" s="6"/>
      <c r="BH418" s="6"/>
      <c r="BI418" s="6"/>
      <c r="BJ418" s="6"/>
      <c r="BK418" s="6"/>
      <c r="BL418" s="4">
        <v>42643</v>
      </c>
      <c r="BM418" s="6">
        <f>VLOOKUP(BL418,Sheet1!$A$2:$E$1114,2,FALSE)</f>
        <v>2.0939549555600232</v>
      </c>
      <c r="BN418" s="6">
        <f t="shared" si="47"/>
        <v>-0.29911173688570436</v>
      </c>
    </row>
    <row r="419" spans="36:66" x14ac:dyDescent="0.3"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W419">
        <f t="shared" si="46"/>
        <v>0</v>
      </c>
      <c r="AX419">
        <v>416</v>
      </c>
      <c r="AY419" s="4">
        <f t="shared" si="44"/>
        <v>42657</v>
      </c>
      <c r="AZ419" s="6">
        <f t="shared" si="45"/>
        <v>1.8700313802097135</v>
      </c>
      <c r="BA419" s="4">
        <v>42657</v>
      </c>
      <c r="BB419" s="6">
        <v>1.615699</v>
      </c>
      <c r="BC419" s="6">
        <v>2.2345760000000001</v>
      </c>
      <c r="BD419" s="6">
        <v>2.917395</v>
      </c>
      <c r="BE419" s="6"/>
      <c r="BF419" s="6"/>
      <c r="BG419" s="6"/>
      <c r="BH419" s="6"/>
      <c r="BI419" s="6"/>
      <c r="BJ419" s="6"/>
      <c r="BK419" s="6"/>
      <c r="BL419" s="4">
        <v>42657</v>
      </c>
      <c r="BM419" s="6">
        <f>VLOOKUP(BL419,Sheet1!$A$2:$E$1114,2,FALSE)</f>
        <v>2.133112570316452</v>
      </c>
      <c r="BN419" s="6">
        <f t="shared" si="47"/>
        <v>1.8700313802097135</v>
      </c>
    </row>
    <row r="420" spans="36:66" x14ac:dyDescent="0.3"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W420">
        <f t="shared" si="46"/>
        <v>0</v>
      </c>
      <c r="AX420">
        <v>417</v>
      </c>
      <c r="AY420" s="4">
        <f t="shared" si="44"/>
        <v>42664</v>
      </c>
      <c r="AZ420" s="6">
        <f t="shared" si="45"/>
        <v>0.35636491683908034</v>
      </c>
      <c r="BA420" s="4">
        <v>42664</v>
      </c>
      <c r="BB420" s="6">
        <v>0.66221699999999994</v>
      </c>
      <c r="BC420" s="6">
        <v>8.9484999999999995E-2</v>
      </c>
      <c r="BD420" s="6">
        <v>0.32888699999999998</v>
      </c>
      <c r="BE420" s="6"/>
      <c r="BF420" s="6"/>
      <c r="BG420" s="6"/>
      <c r="BH420" s="6"/>
      <c r="BI420" s="6"/>
      <c r="BJ420" s="6"/>
      <c r="BK420" s="6"/>
      <c r="BL420" s="4">
        <v>42664</v>
      </c>
      <c r="BM420" s="6">
        <f>VLOOKUP(BL420,Sheet1!$A$2:$E$1114,2,FALSE)</f>
        <v>2.140714235153744</v>
      </c>
      <c r="BN420" s="6">
        <f t="shared" si="47"/>
        <v>0.35636491683908034</v>
      </c>
    </row>
    <row r="421" spans="36:66" x14ac:dyDescent="0.3"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W421">
        <f t="shared" si="46"/>
        <v>0</v>
      </c>
      <c r="AX421">
        <v>418</v>
      </c>
      <c r="AY421" s="4">
        <f t="shared" si="44"/>
        <v>42671</v>
      </c>
      <c r="AZ421" s="6">
        <f t="shared" si="45"/>
        <v>0.21795634927712637</v>
      </c>
      <c r="BA421" s="4">
        <v>42671</v>
      </c>
      <c r="BB421" s="6">
        <v>0.37221100000000001</v>
      </c>
      <c r="BC421" s="6">
        <v>-0.30030800000000002</v>
      </c>
      <c r="BD421" s="6">
        <v>-0.31750499999999998</v>
      </c>
      <c r="BE421" s="6"/>
      <c r="BF421" s="6"/>
      <c r="BG421" s="6"/>
      <c r="BH421" s="6"/>
      <c r="BI421" s="6"/>
      <c r="BJ421" s="6"/>
      <c r="BK421" s="6"/>
      <c r="BL421" s="4">
        <v>42671</v>
      </c>
      <c r="BM421" s="6">
        <f>VLOOKUP(BL421,Sheet1!$A$2:$E$1114,2,FALSE)</f>
        <v>2.1453800577491409</v>
      </c>
      <c r="BN421" s="6">
        <f t="shared" si="47"/>
        <v>0.21795634927712637</v>
      </c>
    </row>
    <row r="422" spans="36:66" x14ac:dyDescent="0.3">
      <c r="AW422">
        <f t="shared" si="46"/>
        <v>0</v>
      </c>
      <c r="AX422">
        <v>419</v>
      </c>
      <c r="AY422" s="4">
        <f t="shared" si="44"/>
        <v>42678</v>
      </c>
      <c r="AZ422" s="6">
        <f t="shared" si="45"/>
        <v>0.37272272957924457</v>
      </c>
      <c r="BA422" s="4">
        <v>42678</v>
      </c>
      <c r="BB422" s="6">
        <v>0.42060399999999998</v>
      </c>
      <c r="BC422" s="6">
        <v>0.10467899999999999</v>
      </c>
      <c r="BD422" s="6">
        <v>0.73261100000000001</v>
      </c>
      <c r="BE422" s="6"/>
      <c r="BF422" s="6"/>
      <c r="BG422" s="6"/>
      <c r="BH422" s="6"/>
      <c r="BI422" s="6"/>
      <c r="BJ422" s="6"/>
      <c r="BK422" s="6"/>
      <c r="BL422" s="4">
        <v>42678</v>
      </c>
      <c r="BM422" s="6">
        <f>VLOOKUP(BL422,Sheet1!$A$2:$E$1114,2,FALSE)</f>
        <v>2.1533763768602321</v>
      </c>
      <c r="BN422" s="6">
        <f t="shared" si="47"/>
        <v>0.37272272957924457</v>
      </c>
    </row>
    <row r="423" spans="36:66" x14ac:dyDescent="0.3">
      <c r="AW423">
        <f t="shared" si="46"/>
        <v>0</v>
      </c>
      <c r="AX423">
        <v>420</v>
      </c>
      <c r="AY423" s="4">
        <f t="shared" si="44"/>
        <v>42685</v>
      </c>
      <c r="AZ423" s="6">
        <f t="shared" si="45"/>
        <v>1.1575777446406033</v>
      </c>
      <c r="BA423" s="4">
        <v>42685</v>
      </c>
      <c r="BB423" s="6">
        <v>1.879634</v>
      </c>
      <c r="BC423" s="6">
        <v>1.876857</v>
      </c>
      <c r="BD423" s="6">
        <v>1.576662</v>
      </c>
      <c r="BE423" s="6"/>
      <c r="BF423" s="6"/>
      <c r="BG423" s="6"/>
      <c r="BH423" s="6"/>
      <c r="BI423" s="6"/>
      <c r="BJ423" s="6"/>
      <c r="BK423" s="6"/>
      <c r="BL423" s="4">
        <v>42685</v>
      </c>
      <c r="BM423" s="6">
        <f>VLOOKUP(BL423,Sheet1!$A$2:$E$1114,2,FALSE)</f>
        <v>2.1783033825571141</v>
      </c>
      <c r="BN423" s="6">
        <f t="shared" si="47"/>
        <v>1.1575777446406033</v>
      </c>
    </row>
    <row r="424" spans="36:66" x14ac:dyDescent="0.3">
      <c r="AW424">
        <f t="shared" si="46"/>
        <v>0</v>
      </c>
      <c r="AX424">
        <v>421</v>
      </c>
      <c r="AY424" s="4">
        <f t="shared" si="44"/>
        <v>42692</v>
      </c>
      <c r="AZ424" s="6">
        <f t="shared" si="45"/>
        <v>-0.43910602549309674</v>
      </c>
      <c r="BA424" s="4">
        <v>42692</v>
      </c>
      <c r="BB424" s="6">
        <v>6.8560000000000001E-3</v>
      </c>
      <c r="BC424" s="6">
        <v>0.28007900000000002</v>
      </c>
      <c r="BD424" s="6">
        <v>0.270839</v>
      </c>
      <c r="BE424" s="6"/>
      <c r="BF424" s="6"/>
      <c r="BG424" s="6"/>
      <c r="BH424" s="6"/>
      <c r="BI424" s="6"/>
      <c r="BJ424" s="6"/>
      <c r="BK424" s="6"/>
      <c r="BL424" s="4">
        <v>42692</v>
      </c>
      <c r="BM424" s="6">
        <f>VLOOKUP(BL424,Sheet1!$A$2:$E$1114,2,FALSE)</f>
        <v>2.1687383211507858</v>
      </c>
      <c r="BN424" s="6">
        <f t="shared" si="47"/>
        <v>-0.43910602549309674</v>
      </c>
    </row>
    <row r="425" spans="36:66" x14ac:dyDescent="0.3">
      <c r="AW425">
        <f t="shared" si="46"/>
        <v>0</v>
      </c>
      <c r="AX425">
        <v>422</v>
      </c>
      <c r="AY425" s="4">
        <f t="shared" si="44"/>
        <v>42699</v>
      </c>
      <c r="AZ425" s="6">
        <f t="shared" si="45"/>
        <v>1.3293005463079988</v>
      </c>
      <c r="BA425" s="4">
        <v>42699</v>
      </c>
      <c r="BB425" s="6">
        <v>3.0386060000000001</v>
      </c>
      <c r="BC425" s="6">
        <v>0.76474900000000001</v>
      </c>
      <c r="BD425" s="6">
        <v>-0.124625</v>
      </c>
      <c r="BE425" s="6"/>
      <c r="BF425" s="6"/>
      <c r="BG425" s="6"/>
      <c r="BH425" s="6"/>
      <c r="BI425" s="6"/>
      <c r="BJ425" s="6"/>
      <c r="BK425" s="6"/>
      <c r="BL425" s="4">
        <v>42699</v>
      </c>
      <c r="BM425" s="6">
        <f>VLOOKUP(BL425,Sheet1!$A$2:$E$1114,2,FALSE)</f>
        <v>2.197567371501834</v>
      </c>
      <c r="BN425" s="6">
        <f t="shared" si="47"/>
        <v>1.3293005463079988</v>
      </c>
    </row>
    <row r="426" spans="36:66" x14ac:dyDescent="0.3">
      <c r="AW426">
        <f t="shared" si="46"/>
        <v>0</v>
      </c>
      <c r="AX426">
        <v>423</v>
      </c>
      <c r="AY426" s="4">
        <f t="shared" si="44"/>
        <v>42706</v>
      </c>
      <c r="AZ426" s="6">
        <f t="shared" si="45"/>
        <v>-1.2600718146411172</v>
      </c>
      <c r="BA426" s="4">
        <v>42706</v>
      </c>
      <c r="BB426" s="6">
        <v>0.21742800000000001</v>
      </c>
      <c r="BC426" s="6">
        <v>-1.981765</v>
      </c>
      <c r="BD426" s="6">
        <v>-2.566017</v>
      </c>
      <c r="BE426" s="6"/>
      <c r="BF426" s="6"/>
      <c r="BG426" s="6"/>
      <c r="BH426" s="6"/>
      <c r="BI426" s="6"/>
      <c r="BJ426" s="6"/>
      <c r="BK426" s="6"/>
      <c r="BL426" s="4">
        <v>42706</v>
      </c>
      <c r="BM426" s="6">
        <f>VLOOKUP(BL426,Sheet1!$A$2:$E$1114,2,FALSE)</f>
        <v>2.1698764444457899</v>
      </c>
      <c r="BN426" s="6">
        <f t="shared" si="47"/>
        <v>-1.2600718146411172</v>
      </c>
    </row>
    <row r="427" spans="36:66" x14ac:dyDescent="0.3">
      <c r="AW427">
        <f t="shared" si="46"/>
        <v>0</v>
      </c>
      <c r="AX427">
        <v>424</v>
      </c>
      <c r="AY427" s="4">
        <f t="shared" si="44"/>
        <v>42713</v>
      </c>
      <c r="AZ427" s="6">
        <f t="shared" si="45"/>
        <v>-0.23079844619212642</v>
      </c>
      <c r="BA427" s="4">
        <v>42713</v>
      </c>
      <c r="BB427" s="6">
        <v>-0.99900100000000003</v>
      </c>
      <c r="BC427" s="6">
        <v>-0.108251</v>
      </c>
      <c r="BD427" s="6">
        <v>-0.214277</v>
      </c>
      <c r="BE427" s="6"/>
      <c r="BF427" s="6"/>
      <c r="BG427" s="6"/>
      <c r="BH427" s="6"/>
      <c r="BI427" s="6"/>
      <c r="BJ427" s="6"/>
      <c r="BK427" s="6"/>
      <c r="BL427" s="4">
        <v>42713</v>
      </c>
      <c r="BM427" s="6">
        <f>VLOOKUP(BL427,Sheet1!$A$2:$E$1114,2,FALSE)</f>
        <v>2.1648684033277199</v>
      </c>
      <c r="BN427" s="6">
        <f t="shared" si="47"/>
        <v>-0.23079844619212642</v>
      </c>
    </row>
    <row r="428" spans="36:66" x14ac:dyDescent="0.3">
      <c r="AW428">
        <f t="shared" si="46"/>
        <v>0</v>
      </c>
      <c r="AX428">
        <v>425</v>
      </c>
      <c r="AY428" s="4">
        <f t="shared" si="44"/>
        <v>42720</v>
      </c>
      <c r="AZ428" s="6">
        <f t="shared" si="45"/>
        <v>-3.3395363420702817</v>
      </c>
      <c r="BA428" s="4">
        <v>42720</v>
      </c>
      <c r="BB428" s="6">
        <v>-4.2267479999999997</v>
      </c>
      <c r="BC428" s="6">
        <v>-2.999603</v>
      </c>
      <c r="BD428" s="6">
        <v>-3.6182859999999999</v>
      </c>
      <c r="BE428" s="6"/>
      <c r="BF428" s="6"/>
      <c r="BG428" s="6"/>
      <c r="BH428" s="6"/>
      <c r="BI428" s="6"/>
      <c r="BJ428" s="6"/>
      <c r="BK428" s="6"/>
      <c r="BL428" s="4">
        <v>42720</v>
      </c>
      <c r="BM428" s="6">
        <f>VLOOKUP(BL428,Sheet1!$A$2:$E$1114,2,FALSE)</f>
        <v>2.0925718362405941</v>
      </c>
      <c r="BN428" s="6">
        <f t="shared" si="47"/>
        <v>-3.3395363420702817</v>
      </c>
    </row>
    <row r="429" spans="36:66" x14ac:dyDescent="0.3">
      <c r="AW429">
        <f t="shared" si="46"/>
        <v>0</v>
      </c>
      <c r="AX429">
        <v>426</v>
      </c>
      <c r="AY429" s="4">
        <f t="shared" si="44"/>
        <v>42727</v>
      </c>
      <c r="AZ429" s="6">
        <f t="shared" si="45"/>
        <v>-0.59838159085590092</v>
      </c>
      <c r="BA429" s="4">
        <v>42727</v>
      </c>
      <c r="BB429" s="6">
        <v>-1.1485669999999999</v>
      </c>
      <c r="BC429" s="6">
        <v>-0.57809900000000003</v>
      </c>
      <c r="BD429" s="6">
        <v>-0.59146699999999996</v>
      </c>
      <c r="BE429" s="6"/>
      <c r="BF429" s="6"/>
      <c r="BG429" s="6"/>
      <c r="BH429" s="6"/>
      <c r="BI429" s="6"/>
      <c r="BJ429" s="6"/>
      <c r="BK429" s="6"/>
      <c r="BL429" s="4">
        <v>42727</v>
      </c>
      <c r="BM429" s="6">
        <f>VLOOKUP(BL429,Sheet1!$A$2:$E$1114,2,FALSE)</f>
        <v>2.080050271597095</v>
      </c>
      <c r="BN429" s="6">
        <f t="shared" si="47"/>
        <v>-0.59838159085590092</v>
      </c>
    </row>
    <row r="430" spans="36:66" x14ac:dyDescent="0.3">
      <c r="AW430">
        <f t="shared" si="46"/>
        <v>0</v>
      </c>
      <c r="AX430">
        <v>427</v>
      </c>
      <c r="AY430" s="4">
        <f t="shared" si="44"/>
        <v>42734</v>
      </c>
      <c r="AZ430" s="6">
        <f t="shared" si="45"/>
        <v>0.30911035364320494</v>
      </c>
      <c r="BA430" s="4">
        <v>42734</v>
      </c>
      <c r="BB430" s="6">
        <v>7.5029999999999999E-2</v>
      </c>
      <c r="BC430" s="6">
        <v>-0.292439</v>
      </c>
      <c r="BD430" s="6">
        <v>-0.21740599999999999</v>
      </c>
      <c r="BE430" s="6"/>
      <c r="BF430" s="6"/>
      <c r="BG430" s="6"/>
      <c r="BH430" s="6"/>
      <c r="BI430" s="6"/>
      <c r="BJ430" s="6"/>
      <c r="BK430" s="6"/>
      <c r="BL430" s="4">
        <v>42734</v>
      </c>
      <c r="BM430" s="6">
        <f>VLOOKUP(BL430,Sheet1!$A$2:$E$1114,2,FALSE)</f>
        <v>2.0864799223475852</v>
      </c>
      <c r="BN430" s="6">
        <f t="shared" si="47"/>
        <v>0.30911035364320494</v>
      </c>
    </row>
    <row r="431" spans="36:66" x14ac:dyDescent="0.3">
      <c r="AW431">
        <f t="shared" si="46"/>
        <v>0</v>
      </c>
      <c r="AX431">
        <v>428</v>
      </c>
      <c r="AY431" s="4">
        <f t="shared" si="44"/>
        <v>42741</v>
      </c>
      <c r="AZ431" s="6">
        <f t="shared" si="45"/>
        <v>1.4160763843325874</v>
      </c>
      <c r="BA431" s="4">
        <v>42741</v>
      </c>
      <c r="BB431" s="6">
        <v>1.1354919999999999</v>
      </c>
      <c r="BC431" s="6">
        <v>1.7241</v>
      </c>
      <c r="BD431" s="6">
        <v>1.4019470000000001</v>
      </c>
      <c r="BE431" s="6"/>
      <c r="BF431" s="6"/>
      <c r="BG431" s="6"/>
      <c r="BH431" s="6"/>
      <c r="BI431" s="6"/>
      <c r="BJ431" s="6"/>
      <c r="BK431" s="6"/>
      <c r="BL431" s="4">
        <v>42741</v>
      </c>
      <c r="BM431" s="6">
        <f>VLOOKUP(BL431,Sheet1!$A$2:$E$1114,2,FALSE)</f>
        <v>2.11602607179179</v>
      </c>
      <c r="BN431" s="6">
        <f t="shared" si="47"/>
        <v>1.4160763843325874</v>
      </c>
    </row>
    <row r="432" spans="36:66" x14ac:dyDescent="0.3">
      <c r="AW432">
        <f t="shared" si="46"/>
        <v>0</v>
      </c>
      <c r="AX432">
        <v>429</v>
      </c>
      <c r="AY432" s="4">
        <f t="shared" si="44"/>
        <v>42748</v>
      </c>
      <c r="AZ432" s="6">
        <f t="shared" si="45"/>
        <v>-2.1215896941541357</v>
      </c>
      <c r="BA432" s="4">
        <v>42748</v>
      </c>
      <c r="BB432" s="6">
        <v>-0.82906400000000002</v>
      </c>
      <c r="BC432" s="6">
        <v>-2.7773059999999998</v>
      </c>
      <c r="BD432" s="6">
        <v>-3.759131</v>
      </c>
      <c r="BE432" s="6"/>
      <c r="BF432" s="6"/>
      <c r="BG432" s="6"/>
      <c r="BH432" s="6"/>
      <c r="BI432" s="6"/>
      <c r="BJ432" s="6"/>
      <c r="BK432" s="6"/>
      <c r="BL432" s="4">
        <v>42748</v>
      </c>
      <c r="BM432" s="6">
        <f>VLOOKUP(BL432,Sheet1!$A$2:$E$1114,2,FALSE)</f>
        <v>2.0711326807270409</v>
      </c>
      <c r="BN432" s="6">
        <f t="shared" si="47"/>
        <v>-2.1215896941541357</v>
      </c>
    </row>
    <row r="433" spans="49:66" x14ac:dyDescent="0.3">
      <c r="AW433">
        <f t="shared" si="46"/>
        <v>0</v>
      </c>
      <c r="AX433">
        <v>430</v>
      </c>
      <c r="AY433" s="4">
        <f t="shared" si="44"/>
        <v>42755</v>
      </c>
      <c r="AZ433" s="6">
        <f t="shared" si="45"/>
        <v>-4.3776602083389626E-2</v>
      </c>
      <c r="BA433" s="4">
        <v>42755</v>
      </c>
      <c r="BB433" s="6">
        <v>1.0535490000000001</v>
      </c>
      <c r="BC433" s="6">
        <v>-1.172933</v>
      </c>
      <c r="BD433" s="6">
        <v>-2.3951609999999999</v>
      </c>
      <c r="BE433" s="6"/>
      <c r="BF433" s="6"/>
      <c r="BG433" s="6"/>
      <c r="BH433" s="6"/>
      <c r="BI433" s="6"/>
      <c r="BJ433" s="6"/>
      <c r="BK433" s="6"/>
      <c r="BL433" s="4">
        <v>42755</v>
      </c>
      <c r="BM433" s="6">
        <f>VLOOKUP(BL433,Sheet1!$A$2:$E$1114,2,FALSE)</f>
        <v>2.0702260092147799</v>
      </c>
      <c r="BN433" s="6">
        <f t="shared" si="47"/>
        <v>-4.3776602083389626E-2</v>
      </c>
    </row>
    <row r="434" spans="49:66" x14ac:dyDescent="0.3">
      <c r="AW434">
        <f t="shared" si="46"/>
        <v>0</v>
      </c>
      <c r="AX434">
        <v>431</v>
      </c>
      <c r="AY434" s="4">
        <f t="shared" si="44"/>
        <v>42761</v>
      </c>
      <c r="AZ434" s="6">
        <f t="shared" si="45"/>
        <v>1.072774202876281</v>
      </c>
      <c r="BA434" s="4">
        <v>42761</v>
      </c>
      <c r="BB434" s="6">
        <v>0.98577000000000004</v>
      </c>
      <c r="BC434" s="6">
        <v>1.6613500000000001</v>
      </c>
      <c r="BD434" s="6">
        <v>1.460208</v>
      </c>
      <c r="BE434" s="6"/>
      <c r="BF434" s="6"/>
      <c r="BG434" s="6"/>
      <c r="BH434" s="6"/>
      <c r="BI434" s="6"/>
      <c r="BJ434" s="6"/>
      <c r="BK434" s="6"/>
      <c r="BL434" s="4">
        <v>42761</v>
      </c>
      <c r="BM434" s="6">
        <f>VLOOKUP(BL434,Sheet1!$A$2:$E$1114,2,FALSE)</f>
        <v>2.092434859782871</v>
      </c>
      <c r="BN434" s="6">
        <f t="shared" si="47"/>
        <v>1.072774202876281</v>
      </c>
    </row>
    <row r="435" spans="49:66" x14ac:dyDescent="0.3">
      <c r="AW435">
        <f t="shared" si="46"/>
        <v>0</v>
      </c>
      <c r="AX435">
        <v>432</v>
      </c>
      <c r="AY435" s="4">
        <f t="shared" si="44"/>
        <v>42769</v>
      </c>
      <c r="AZ435" s="6">
        <f t="shared" si="45"/>
        <v>-0.45570247429899124</v>
      </c>
      <c r="BA435" s="4">
        <v>42769</v>
      </c>
      <c r="BB435" s="6">
        <v>-0.69269700000000001</v>
      </c>
      <c r="BC435" s="6">
        <v>-0.26694699999999999</v>
      </c>
      <c r="BD435" s="6">
        <v>-0.28750300000000001</v>
      </c>
      <c r="BE435" s="6"/>
      <c r="BF435" s="6"/>
      <c r="BG435" s="6"/>
      <c r="BH435" s="6"/>
      <c r="BI435" s="6"/>
      <c r="BJ435" s="6"/>
      <c r="BK435" s="6"/>
      <c r="BL435" s="4">
        <v>42769</v>
      </c>
      <c r="BM435" s="6">
        <f>VLOOKUP(BL435,Sheet1!$A$2:$E$1114,2,FALSE)</f>
        <v>2.0828995823537459</v>
      </c>
      <c r="BN435" s="6">
        <f t="shared" si="47"/>
        <v>-0.45570247429899124</v>
      </c>
    </row>
    <row r="436" spans="49:66" x14ac:dyDescent="0.3">
      <c r="AW436">
        <f t="shared" si="46"/>
        <v>0</v>
      </c>
      <c r="AX436">
        <v>433</v>
      </c>
      <c r="AY436" s="4">
        <f t="shared" si="44"/>
        <v>42776</v>
      </c>
      <c r="AZ436" s="6">
        <f t="shared" si="45"/>
        <v>1.7048540931145606</v>
      </c>
      <c r="BA436" s="4">
        <v>42776</v>
      </c>
      <c r="BB436" s="6">
        <v>1.456223</v>
      </c>
      <c r="BC436" s="6">
        <v>2.0946359999999999</v>
      </c>
      <c r="BD436" s="6">
        <v>2.4260700000000002</v>
      </c>
      <c r="BE436" s="6"/>
      <c r="BF436" s="6"/>
      <c r="BG436" s="6"/>
      <c r="BH436" s="6"/>
      <c r="BI436" s="6"/>
      <c r="BJ436" s="6"/>
      <c r="BK436" s="6"/>
      <c r="BL436" s="4">
        <v>42776</v>
      </c>
      <c r="BM436" s="6">
        <f>VLOOKUP(BL436,Sheet1!$A$2:$E$1114,2,FALSE)</f>
        <v>2.1184099811389698</v>
      </c>
      <c r="BN436" s="6">
        <f t="shared" si="47"/>
        <v>1.7048540931145606</v>
      </c>
    </row>
    <row r="437" spans="49:66" x14ac:dyDescent="0.3">
      <c r="AW437">
        <f t="shared" si="46"/>
        <v>0</v>
      </c>
      <c r="AX437">
        <v>434</v>
      </c>
      <c r="AY437" s="4">
        <f t="shared" si="44"/>
        <v>42783</v>
      </c>
      <c r="AZ437" s="6">
        <f t="shared" si="45"/>
        <v>-8.2715694106283433E-2</v>
      </c>
      <c r="BA437" s="4">
        <v>42783</v>
      </c>
      <c r="BB437" s="6">
        <v>0.23304900000000001</v>
      </c>
      <c r="BC437" s="6">
        <v>-0.47254000000000002</v>
      </c>
      <c r="BD437" s="6">
        <v>-0.67259999999999998</v>
      </c>
      <c r="BE437" s="6"/>
      <c r="BF437" s="6"/>
      <c r="BG437" s="6"/>
      <c r="BH437" s="6"/>
      <c r="BI437" s="6"/>
      <c r="BJ437" s="6"/>
      <c r="BK437" s="6"/>
      <c r="BL437" s="4">
        <v>42783</v>
      </c>
      <c r="BM437" s="6">
        <f>VLOOKUP(BL437,Sheet1!$A$2:$E$1114,2,FALSE)</f>
        <v>2.116657723619054</v>
      </c>
      <c r="BN437" s="6">
        <f t="shared" si="47"/>
        <v>-8.2715694106283433E-2</v>
      </c>
    </row>
    <row r="438" spans="49:66" x14ac:dyDescent="0.3">
      <c r="AW438">
        <f t="shared" si="46"/>
        <v>0</v>
      </c>
      <c r="AX438">
        <v>435</v>
      </c>
      <c r="AY438" s="4">
        <f t="shared" si="44"/>
        <v>42790</v>
      </c>
      <c r="AZ438" s="6">
        <f t="shared" si="45"/>
        <v>1.9022325040356725</v>
      </c>
      <c r="BA438" s="4">
        <v>42790</v>
      </c>
      <c r="BB438" s="6">
        <v>1.5318039999999999</v>
      </c>
      <c r="BC438" s="6">
        <v>2.679538</v>
      </c>
      <c r="BD438" s="6">
        <v>2.6311930000000001</v>
      </c>
      <c r="BE438" s="6"/>
      <c r="BF438" s="6"/>
      <c r="BG438" s="6"/>
      <c r="BH438" s="6"/>
      <c r="BI438" s="6"/>
      <c r="BJ438" s="6"/>
      <c r="BK438" s="6"/>
      <c r="BL438" s="4">
        <v>42790</v>
      </c>
      <c r="BM438" s="6">
        <f>VLOOKUP(BL438,Sheet1!$A$2:$E$1114,2,FALSE)</f>
        <v>2.156921474836917</v>
      </c>
      <c r="BN438" s="6">
        <f t="shared" si="47"/>
        <v>1.9022325040356725</v>
      </c>
    </row>
    <row r="439" spans="49:66" x14ac:dyDescent="0.3">
      <c r="AW439">
        <f t="shared" si="46"/>
        <v>0</v>
      </c>
      <c r="AX439">
        <v>436</v>
      </c>
      <c r="AY439" s="4">
        <f t="shared" si="44"/>
        <v>42797</v>
      </c>
      <c r="AZ439" s="6">
        <f t="shared" si="45"/>
        <v>-0.49168910914407782</v>
      </c>
      <c r="BA439" s="4">
        <v>42797</v>
      </c>
      <c r="BB439" s="6">
        <v>-1.3238589999999999</v>
      </c>
      <c r="BC439" s="6">
        <v>-0.36019000000000001</v>
      </c>
      <c r="BD439" s="6">
        <v>-0.44474999999999998</v>
      </c>
      <c r="BE439" s="6"/>
      <c r="BF439" s="6"/>
      <c r="BG439" s="6"/>
      <c r="BH439" s="6"/>
      <c r="BI439" s="6"/>
      <c r="BJ439" s="6"/>
      <c r="BK439" s="6"/>
      <c r="BL439" s="4">
        <v>42797</v>
      </c>
      <c r="BM439" s="6">
        <f>VLOOKUP(BL439,Sheet1!$A$2:$E$1114,2,FALSE)</f>
        <v>2.1463161268523541</v>
      </c>
      <c r="BN439" s="6">
        <f t="shared" si="47"/>
        <v>-0.49168910914407782</v>
      </c>
    </row>
    <row r="440" spans="49:66" x14ac:dyDescent="0.3">
      <c r="AW440">
        <f t="shared" si="46"/>
        <v>0</v>
      </c>
      <c r="AX440">
        <v>437</v>
      </c>
      <c r="AY440" s="4">
        <f t="shared" si="44"/>
        <v>42804</v>
      </c>
      <c r="AZ440" s="6">
        <f t="shared" si="45"/>
        <v>5.0508086314615674E-2</v>
      </c>
      <c r="BA440" s="4">
        <v>42804</v>
      </c>
      <c r="BB440" s="6">
        <v>8.4000000000000003E-4</v>
      </c>
      <c r="BC440" s="6">
        <v>-7.6284000000000005E-2</v>
      </c>
      <c r="BD440" s="6">
        <v>0.38009399999999999</v>
      </c>
      <c r="BE440" s="6"/>
      <c r="BF440" s="6"/>
      <c r="BG440" s="6"/>
      <c r="BH440" s="6"/>
      <c r="BI440" s="6"/>
      <c r="BJ440" s="6"/>
      <c r="BK440" s="6"/>
      <c r="BL440" s="4">
        <v>42804</v>
      </c>
      <c r="BM440" s="6">
        <f>VLOOKUP(BL440,Sheet1!$A$2:$E$1114,2,FALSE)</f>
        <v>2.1474001900542889</v>
      </c>
      <c r="BN440" s="6">
        <f t="shared" si="47"/>
        <v>5.0508086314615674E-2</v>
      </c>
    </row>
    <row r="441" spans="49:66" x14ac:dyDescent="0.3">
      <c r="AW441">
        <f t="shared" si="46"/>
        <v>0</v>
      </c>
      <c r="AX441">
        <v>438</v>
      </c>
      <c r="AY441" s="4">
        <f t="shared" si="44"/>
        <v>42811</v>
      </c>
      <c r="AZ441" s="6">
        <f t="shared" si="45"/>
        <v>0.51740277615348607</v>
      </c>
      <c r="BA441" s="4">
        <v>42811</v>
      </c>
      <c r="BB441" s="6">
        <v>0.52258099999999996</v>
      </c>
      <c r="BC441" s="6">
        <v>0.54792600000000002</v>
      </c>
      <c r="BD441" s="6">
        <v>0.77402899999999997</v>
      </c>
      <c r="BE441" s="6"/>
      <c r="BF441" s="6"/>
      <c r="BG441" s="6"/>
      <c r="BH441" s="6"/>
      <c r="BI441" s="6"/>
      <c r="BJ441" s="6"/>
      <c r="BK441" s="6"/>
      <c r="BL441" s="4">
        <v>42811</v>
      </c>
      <c r="BM441" s="6">
        <f>VLOOKUP(BL441,Sheet1!$A$2:$E$1114,2,FALSE)</f>
        <v>2.158510898252755</v>
      </c>
      <c r="BN441" s="6">
        <f t="shared" si="47"/>
        <v>0.51740277615348607</v>
      </c>
    </row>
    <row r="442" spans="49:66" x14ac:dyDescent="0.3">
      <c r="AW442">
        <f t="shared" si="46"/>
        <v>0</v>
      </c>
      <c r="AX442">
        <v>439</v>
      </c>
      <c r="AY442" s="4">
        <f t="shared" si="44"/>
        <v>42818</v>
      </c>
      <c r="AZ442" s="6">
        <f t="shared" si="45"/>
        <v>1.1667268683974497</v>
      </c>
      <c r="BA442" s="4">
        <v>42818</v>
      </c>
      <c r="BB442" s="6">
        <v>1.2709539999999999</v>
      </c>
      <c r="BC442" s="6">
        <v>0.97742200000000001</v>
      </c>
      <c r="BD442" s="6">
        <v>-1.831E-2</v>
      </c>
      <c r="BE442" s="6"/>
      <c r="BF442" s="6"/>
      <c r="BG442" s="6"/>
      <c r="BH442" s="6"/>
      <c r="BI442" s="6"/>
      <c r="BJ442" s="6"/>
      <c r="BK442" s="6"/>
      <c r="BL442" s="4">
        <v>42818</v>
      </c>
      <c r="BM442" s="6">
        <f>VLOOKUP(BL442,Sheet1!$A$2:$E$1114,2,FALSE)</f>
        <v>2.1836948248599568</v>
      </c>
      <c r="BN442" s="6">
        <f t="shared" si="47"/>
        <v>1.1667268683974497</v>
      </c>
    </row>
    <row r="443" spans="49:66" x14ac:dyDescent="0.3">
      <c r="AW443">
        <f t="shared" si="46"/>
        <v>0</v>
      </c>
      <c r="AX443">
        <v>440</v>
      </c>
      <c r="AY443" s="4">
        <f t="shared" si="44"/>
        <v>42825</v>
      </c>
      <c r="AZ443" s="6">
        <f t="shared" si="45"/>
        <v>-1.4904592584887411</v>
      </c>
      <c r="BA443" s="4">
        <v>42825</v>
      </c>
      <c r="BB443" s="6">
        <v>-0.96154899999999999</v>
      </c>
      <c r="BC443" s="6">
        <v>-2.2143830000000002</v>
      </c>
      <c r="BD443" s="6">
        <v>-3.0589949999999999</v>
      </c>
      <c r="BE443" s="6"/>
      <c r="BF443" s="6"/>
      <c r="BG443" s="6"/>
      <c r="BH443" s="6"/>
      <c r="BI443" s="6"/>
      <c r="BJ443" s="6"/>
      <c r="BK443" s="6"/>
      <c r="BL443" s="4">
        <v>42825</v>
      </c>
      <c r="BM443" s="6">
        <f>VLOOKUP(BL443,Sheet1!$A$2:$E$1114,2,FALSE)</f>
        <v>2.151147743165692</v>
      </c>
      <c r="BN443" s="6">
        <f t="shared" si="47"/>
        <v>-1.4904592584887411</v>
      </c>
    </row>
    <row r="444" spans="49:66" x14ac:dyDescent="0.3">
      <c r="AW444">
        <f t="shared" si="46"/>
        <v>0</v>
      </c>
      <c r="AX444">
        <v>441</v>
      </c>
      <c r="AY444" s="4">
        <f t="shared" si="44"/>
        <v>42832</v>
      </c>
      <c r="AZ444" s="6">
        <f t="shared" si="45"/>
        <v>2.1907355305513354</v>
      </c>
      <c r="BA444" s="4">
        <v>42832</v>
      </c>
      <c r="BB444" s="6">
        <v>1.777115</v>
      </c>
      <c r="BC444" s="6">
        <v>2.766133</v>
      </c>
      <c r="BD444" s="6">
        <v>2.46549</v>
      </c>
      <c r="BE444" s="6"/>
      <c r="BF444" s="6"/>
      <c r="BG444" s="6"/>
      <c r="BH444" s="6"/>
      <c r="BI444" s="6"/>
      <c r="BJ444" s="6"/>
      <c r="BK444" s="6"/>
      <c r="BL444" s="4">
        <v>42832</v>
      </c>
      <c r="BM444" s="6">
        <f>VLOOKUP(BL444,Sheet1!$A$2:$E$1114,2,FALSE)</f>
        <v>2.1982737010898759</v>
      </c>
      <c r="BN444" s="6">
        <f t="shared" si="47"/>
        <v>2.1907355305513354</v>
      </c>
    </row>
    <row r="445" spans="49:66" x14ac:dyDescent="0.3">
      <c r="AW445">
        <f t="shared" si="46"/>
        <v>0</v>
      </c>
      <c r="AX445">
        <v>442</v>
      </c>
      <c r="AY445" s="4">
        <f t="shared" si="44"/>
        <v>42839</v>
      </c>
      <c r="AZ445" s="6">
        <f t="shared" si="45"/>
        <v>-0.86701236660928771</v>
      </c>
      <c r="BA445" s="4">
        <v>42839</v>
      </c>
      <c r="BB445" s="6">
        <v>-0.88014800000000004</v>
      </c>
      <c r="BC445" s="6">
        <v>-0.76859299999999997</v>
      </c>
      <c r="BD445" s="6">
        <v>-2.3300329999999998</v>
      </c>
      <c r="BE445" s="6"/>
      <c r="BF445" s="6"/>
      <c r="BG445" s="6"/>
      <c r="BH445" s="6"/>
      <c r="BI445" s="6"/>
      <c r="BJ445" s="6"/>
      <c r="BK445" s="6"/>
      <c r="BL445" s="4">
        <v>42839</v>
      </c>
      <c r="BM445" s="6">
        <f>VLOOKUP(BL445,Sheet1!$A$2:$E$1114,2,FALSE)</f>
        <v>2.179214396249507</v>
      </c>
      <c r="BN445" s="6">
        <f t="shared" si="47"/>
        <v>-0.86701236660928771</v>
      </c>
    </row>
    <row r="446" spans="49:66" x14ac:dyDescent="0.3">
      <c r="AW446">
        <f t="shared" si="46"/>
        <v>0</v>
      </c>
      <c r="AX446">
        <v>443</v>
      </c>
      <c r="AY446" s="4">
        <f t="shared" si="44"/>
        <v>42846</v>
      </c>
      <c r="AZ446" s="6">
        <f t="shared" si="45"/>
        <v>-1.1926304552605904</v>
      </c>
      <c r="BA446" s="4">
        <v>42846</v>
      </c>
      <c r="BB446" s="6">
        <v>-0.56555200000000005</v>
      </c>
      <c r="BC446" s="6">
        <v>-3.4841289999999998</v>
      </c>
      <c r="BD446" s="6">
        <v>-4.7960500000000001</v>
      </c>
      <c r="BE446" s="6"/>
      <c r="BF446" s="6"/>
      <c r="BG446" s="6"/>
      <c r="BH446" s="6"/>
      <c r="BI446" s="6"/>
      <c r="BJ446" s="6"/>
      <c r="BK446" s="6"/>
      <c r="BL446" s="4">
        <v>42846</v>
      </c>
      <c r="BM446" s="6">
        <f>VLOOKUP(BL446,Sheet1!$A$2:$E$1114,2,FALSE)</f>
        <v>2.1532244216744121</v>
      </c>
      <c r="BN446" s="6">
        <f t="shared" si="47"/>
        <v>-1.1926304552605904</v>
      </c>
    </row>
    <row r="447" spans="49:66" x14ac:dyDescent="0.3">
      <c r="AW447">
        <f t="shared" si="46"/>
        <v>0</v>
      </c>
      <c r="AX447">
        <v>444</v>
      </c>
      <c r="AY447" s="4">
        <f t="shared" si="44"/>
        <v>42853</v>
      </c>
      <c r="AZ447" s="6">
        <f t="shared" si="45"/>
        <v>-0.77921643342995228</v>
      </c>
      <c r="BA447" s="4">
        <v>42853</v>
      </c>
      <c r="BB447" s="6">
        <v>-0.77978599999999998</v>
      </c>
      <c r="BC447" s="6">
        <v>-1.410164</v>
      </c>
      <c r="BD447" s="6">
        <v>-1.300222</v>
      </c>
      <c r="BE447" s="6"/>
      <c r="BF447" s="6"/>
      <c r="BG447" s="6"/>
      <c r="BH447" s="6"/>
      <c r="BI447" s="6"/>
      <c r="BJ447" s="6"/>
      <c r="BK447" s="6"/>
      <c r="BL447" s="4">
        <v>42853</v>
      </c>
      <c r="BM447" s="6">
        <f>VLOOKUP(BL447,Sheet1!$A$2:$E$1114,2,FALSE)</f>
        <v>2.136446143132098</v>
      </c>
      <c r="BN447" s="6">
        <f t="shared" si="47"/>
        <v>-0.77921643342995228</v>
      </c>
    </row>
    <row r="448" spans="49:66" x14ac:dyDescent="0.3">
      <c r="AW448">
        <f t="shared" si="46"/>
        <v>0</v>
      </c>
      <c r="AX448">
        <v>445</v>
      </c>
      <c r="AY448" s="4">
        <f t="shared" si="44"/>
        <v>42860</v>
      </c>
      <c r="AZ448" s="6">
        <f t="shared" si="45"/>
        <v>-1.5748795409925576</v>
      </c>
      <c r="BA448" s="4">
        <v>42860</v>
      </c>
      <c r="BB448" s="6">
        <v>-1.6629910000000001</v>
      </c>
      <c r="BC448" s="6">
        <v>-1.9668760000000001</v>
      </c>
      <c r="BD448" s="6">
        <v>-1.808419</v>
      </c>
      <c r="BE448" s="6"/>
      <c r="BF448" s="6"/>
      <c r="BG448" s="6"/>
      <c r="BH448" s="6"/>
      <c r="BI448" s="6"/>
      <c r="BJ448" s="6"/>
      <c r="BK448" s="6"/>
      <c r="BL448" s="4">
        <v>42860</v>
      </c>
      <c r="BM448" s="6">
        <f>VLOOKUP(BL448,Sheet1!$A$2:$E$1114,2,FALSE)</f>
        <v>2.102799689919586</v>
      </c>
      <c r="BN448" s="6">
        <f t="shared" si="47"/>
        <v>-1.5748795409925576</v>
      </c>
    </row>
    <row r="449" spans="49:66" x14ac:dyDescent="0.3">
      <c r="AW449">
        <f t="shared" si="46"/>
        <v>0</v>
      </c>
      <c r="AX449">
        <v>446</v>
      </c>
      <c r="AY449" s="4">
        <f t="shared" si="44"/>
        <v>42867</v>
      </c>
      <c r="AZ449" s="6">
        <f t="shared" si="45"/>
        <v>-0.64215029959635572</v>
      </c>
      <c r="BA449" s="4">
        <v>42867</v>
      </c>
      <c r="BB449" s="6">
        <v>8.362E-2</v>
      </c>
      <c r="BC449" s="6">
        <v>-3.709546</v>
      </c>
      <c r="BD449" s="6">
        <v>-4.2721</v>
      </c>
      <c r="BE449" s="6"/>
      <c r="BF449" s="6"/>
      <c r="BG449" s="6"/>
      <c r="BH449" s="6"/>
      <c r="BI449" s="6"/>
      <c r="BJ449" s="6"/>
      <c r="BK449" s="6"/>
      <c r="BL449" s="4">
        <v>42867</v>
      </c>
      <c r="BM449" s="6">
        <f>VLOOKUP(BL449,Sheet1!$A$2:$E$1114,2,FALSE)</f>
        <v>2.089296555410856</v>
      </c>
      <c r="BN449" s="6">
        <f t="shared" si="47"/>
        <v>-0.64215029959635572</v>
      </c>
    </row>
    <row r="450" spans="49:66" x14ac:dyDescent="0.3">
      <c r="AW450">
        <f t="shared" si="46"/>
        <v>0</v>
      </c>
      <c r="AX450">
        <v>447</v>
      </c>
      <c r="AY450" s="4">
        <f t="shared" si="44"/>
        <v>42874</v>
      </c>
      <c r="AZ450" s="6">
        <f t="shared" si="45"/>
        <v>0.79828929141032567</v>
      </c>
      <c r="BA450" s="4">
        <v>42874</v>
      </c>
      <c r="BB450" s="6">
        <v>0.54559599999999997</v>
      </c>
      <c r="BC450" s="6">
        <v>1.8962840000000001</v>
      </c>
      <c r="BD450" s="6">
        <v>1.883043</v>
      </c>
      <c r="BE450" s="6"/>
      <c r="BF450" s="6"/>
      <c r="BG450" s="6"/>
      <c r="BH450" s="6"/>
      <c r="BI450" s="6"/>
      <c r="BJ450" s="6"/>
      <c r="BK450" s="6"/>
      <c r="BL450" s="4">
        <v>42874</v>
      </c>
      <c r="BM450" s="6">
        <f>VLOOKUP(BL450,Sheet1!$A$2:$E$1114,2,FALSE)</f>
        <v>2.1059751860785059</v>
      </c>
      <c r="BN450" s="6">
        <f t="shared" si="47"/>
        <v>0.79828929141032567</v>
      </c>
    </row>
    <row r="451" spans="49:66" x14ac:dyDescent="0.3">
      <c r="AW451">
        <f t="shared" si="46"/>
        <v>0</v>
      </c>
      <c r="AX451">
        <v>448</v>
      </c>
      <c r="AY451" s="4">
        <f t="shared" si="44"/>
        <v>42881</v>
      </c>
      <c r="AZ451" s="6">
        <f t="shared" si="45"/>
        <v>0.22838924836789953</v>
      </c>
      <c r="BA451" s="4">
        <v>42881</v>
      </c>
      <c r="BB451" s="6">
        <v>2.249962</v>
      </c>
      <c r="BC451" s="6">
        <v>-2.3103590000000001</v>
      </c>
      <c r="BD451" s="6">
        <v>-3.6852740000000002</v>
      </c>
      <c r="BE451" s="6"/>
      <c r="BF451" s="6"/>
      <c r="BG451" s="6"/>
      <c r="BH451" s="6"/>
      <c r="BI451" s="6"/>
      <c r="BJ451" s="6"/>
      <c r="BK451" s="6"/>
      <c r="BL451" s="4">
        <v>42881</v>
      </c>
      <c r="BM451" s="6">
        <f>VLOOKUP(BL451,Sheet1!$A$2:$E$1114,2,FALSE)</f>
        <v>2.1107850069768048</v>
      </c>
      <c r="BN451" s="6">
        <f t="shared" si="47"/>
        <v>0.22838924836789953</v>
      </c>
    </row>
    <row r="452" spans="49:66" x14ac:dyDescent="0.3">
      <c r="AW452">
        <f t="shared" si="46"/>
        <v>0</v>
      </c>
      <c r="AX452">
        <v>449</v>
      </c>
      <c r="AY452" s="4">
        <f t="shared" si="44"/>
        <v>42888</v>
      </c>
      <c r="AZ452" s="6">
        <f t="shared" si="45"/>
        <v>-0.30485820929418983</v>
      </c>
      <c r="BA452" s="4">
        <v>42888</v>
      </c>
      <c r="BB452" s="6">
        <v>0.174487</v>
      </c>
      <c r="BC452" s="6">
        <v>-1.1035999999999999</v>
      </c>
      <c r="BD452" s="6">
        <v>-1.9204270000000001</v>
      </c>
      <c r="BE452" s="6"/>
      <c r="BF452" s="6"/>
      <c r="BG452" s="6"/>
      <c r="BH452" s="6"/>
      <c r="BI452" s="6"/>
      <c r="BJ452" s="6"/>
      <c r="BK452" s="6"/>
      <c r="BL452" s="4">
        <v>42888</v>
      </c>
      <c r="BM452" s="6">
        <f>VLOOKUP(BL452,Sheet1!$A$2:$E$1114,2,FALSE)</f>
        <v>2.1043501056024851</v>
      </c>
      <c r="BN452" s="6">
        <f t="shared" si="47"/>
        <v>-0.30485820929418983</v>
      </c>
    </row>
    <row r="453" spans="49:66" x14ac:dyDescent="0.3">
      <c r="AW453">
        <f t="shared" si="46"/>
        <v>0</v>
      </c>
      <c r="AX453">
        <v>450</v>
      </c>
      <c r="AY453" s="4">
        <f t="shared" ref="AY453:AY516" si="48">BA453</f>
        <v>42895</v>
      </c>
      <c r="AZ453" s="6">
        <f t="shared" ref="AZ453:AZ516" si="49">BN453</f>
        <v>2.7666827525467452</v>
      </c>
      <c r="BA453" s="4">
        <v>42895</v>
      </c>
      <c r="BB453" s="6">
        <v>2.5717110000000001</v>
      </c>
      <c r="BC453" s="6">
        <v>3.4085079999999999</v>
      </c>
      <c r="BD453" s="6">
        <v>3.581591</v>
      </c>
      <c r="BE453" s="6"/>
      <c r="BF453" s="6"/>
      <c r="BG453" s="6"/>
      <c r="BH453" s="6"/>
      <c r="BI453" s="6"/>
      <c r="BJ453" s="6"/>
      <c r="BK453" s="6"/>
      <c r="BL453" s="4">
        <v>42895</v>
      </c>
      <c r="BM453" s="6">
        <f>VLOOKUP(BL453,Sheet1!$A$2:$E$1114,2,FALSE)</f>
        <v>2.1625707970273882</v>
      </c>
      <c r="BN453" s="6">
        <f t="shared" si="47"/>
        <v>2.7666827525467452</v>
      </c>
    </row>
    <row r="454" spans="49:66" x14ac:dyDescent="0.3">
      <c r="AW454">
        <f t="shared" ref="AW454:AW517" si="50">IF(AY454&lt;=AY453,1,0)</f>
        <v>0</v>
      </c>
      <c r="AX454">
        <v>451</v>
      </c>
      <c r="AY454" s="4">
        <f t="shared" si="48"/>
        <v>42902</v>
      </c>
      <c r="AZ454" s="6">
        <f t="shared" si="49"/>
        <v>-0.78708479672781051</v>
      </c>
      <c r="BA454" s="4">
        <v>42902</v>
      </c>
      <c r="BB454" s="6">
        <v>-1.605326</v>
      </c>
      <c r="BC454" s="6">
        <v>0.73250999999999999</v>
      </c>
      <c r="BD454" s="6">
        <v>1.285053</v>
      </c>
      <c r="BE454" s="6"/>
      <c r="BF454" s="6"/>
      <c r="BG454" s="6"/>
      <c r="BH454" s="6"/>
      <c r="BI454" s="6"/>
      <c r="BJ454" s="6"/>
      <c r="BK454" s="6"/>
      <c r="BL454" s="4">
        <v>42902</v>
      </c>
      <c r="BM454" s="6">
        <f>VLOOKUP(BL454,Sheet1!$A$2:$E$1114,2,FALSE)</f>
        <v>2.1455495310655102</v>
      </c>
      <c r="BN454" s="6">
        <f t="shared" ref="BN454:BN517" si="51">(BM454/BM453-1)*100</f>
        <v>-0.78708479672781051</v>
      </c>
    </row>
    <row r="455" spans="49:66" x14ac:dyDescent="0.3">
      <c r="AW455">
        <f t="shared" si="50"/>
        <v>0</v>
      </c>
      <c r="AX455">
        <v>452</v>
      </c>
      <c r="AY455" s="4">
        <f t="shared" si="48"/>
        <v>42909</v>
      </c>
      <c r="AZ455" s="6">
        <f t="shared" si="49"/>
        <v>1.4550447328166571</v>
      </c>
      <c r="BA455" s="4">
        <v>42909</v>
      </c>
      <c r="BB455" s="6">
        <v>2.9590529999999999</v>
      </c>
      <c r="BC455" s="6">
        <v>-4.4667999999999999E-2</v>
      </c>
      <c r="BD455" s="6">
        <v>-0.89061299999999999</v>
      </c>
      <c r="BE455" s="6"/>
      <c r="BF455" s="6"/>
      <c r="BG455" s="6"/>
      <c r="BH455" s="6"/>
      <c r="BI455" s="6"/>
      <c r="BJ455" s="6"/>
      <c r="BK455" s="6"/>
      <c r="BL455" s="4">
        <v>42909</v>
      </c>
      <c r="BM455" s="6">
        <f>VLOOKUP(BL455,Sheet1!$A$2:$E$1114,2,FALSE)</f>
        <v>2.1767682365072512</v>
      </c>
      <c r="BN455" s="6">
        <f t="shared" si="51"/>
        <v>1.4550447328166571</v>
      </c>
    </row>
    <row r="456" spans="49:66" x14ac:dyDescent="0.3">
      <c r="AW456">
        <f t="shared" si="50"/>
        <v>0</v>
      </c>
      <c r="AX456">
        <v>453</v>
      </c>
      <c r="AY456" s="4">
        <f t="shared" si="48"/>
        <v>42916</v>
      </c>
      <c r="AZ456" s="6">
        <f t="shared" si="49"/>
        <v>1.7374431154432601</v>
      </c>
      <c r="BA456" s="4">
        <v>42916</v>
      </c>
      <c r="BB456" s="6">
        <v>1.212145</v>
      </c>
      <c r="BC456" s="6">
        <v>2.1270419999999999</v>
      </c>
      <c r="BD456" s="6">
        <v>1.207822</v>
      </c>
      <c r="BE456" s="6"/>
      <c r="BF456" s="6"/>
      <c r="BG456" s="6"/>
      <c r="BH456" s="6"/>
      <c r="BI456" s="6"/>
      <c r="BJ456" s="6"/>
      <c r="BK456" s="6"/>
      <c r="BL456" s="4">
        <v>42916</v>
      </c>
      <c r="BM456" s="6">
        <f>VLOOKUP(BL456,Sheet1!$A$2:$E$1114,2,FALSE)</f>
        <v>2.2145883463716021</v>
      </c>
      <c r="BN456" s="6">
        <f t="shared" si="51"/>
        <v>1.7374431154432601</v>
      </c>
    </row>
    <row r="457" spans="49:66" x14ac:dyDescent="0.3">
      <c r="AW457">
        <f t="shared" si="50"/>
        <v>0</v>
      </c>
      <c r="AX457">
        <v>454</v>
      </c>
      <c r="AY457" s="4">
        <f t="shared" si="48"/>
        <v>42923</v>
      </c>
      <c r="AZ457" s="6">
        <f t="shared" si="49"/>
        <v>0.74349105872604238</v>
      </c>
      <c r="BA457" s="4">
        <v>42923</v>
      </c>
      <c r="BB457" s="6">
        <v>-0.2964</v>
      </c>
      <c r="BC457" s="6">
        <v>1.4312959999999999</v>
      </c>
      <c r="BD457" s="6">
        <v>2.1112109999999999</v>
      </c>
      <c r="BE457" s="6"/>
      <c r="BF457" s="6"/>
      <c r="BG457" s="6"/>
      <c r="BH457" s="6"/>
      <c r="BI457" s="6"/>
      <c r="BJ457" s="6"/>
      <c r="BK457" s="6"/>
      <c r="BL457" s="4">
        <v>42923</v>
      </c>
      <c r="BM457" s="6">
        <f>VLOOKUP(BL457,Sheet1!$A$2:$E$1114,2,FALSE)</f>
        <v>2.2310536127144638</v>
      </c>
      <c r="BN457" s="6">
        <f t="shared" si="51"/>
        <v>0.74349105872604238</v>
      </c>
    </row>
    <row r="458" spans="49:66" x14ac:dyDescent="0.3">
      <c r="AW458">
        <f t="shared" si="50"/>
        <v>0</v>
      </c>
      <c r="AX458">
        <v>455</v>
      </c>
      <c r="AY458" s="4">
        <f t="shared" si="48"/>
        <v>42930</v>
      </c>
      <c r="AZ458" s="6">
        <f t="shared" si="49"/>
        <v>0.37083769320833682</v>
      </c>
      <c r="BA458" s="4">
        <v>42930</v>
      </c>
      <c r="BB458" s="6">
        <v>1.2900879999999999</v>
      </c>
      <c r="BC458" s="6">
        <v>-1.5623339999999999</v>
      </c>
      <c r="BD458" s="6">
        <v>-2.4949650000000001</v>
      </c>
      <c r="BE458" s="6"/>
      <c r="BF458" s="6"/>
      <c r="BG458" s="6"/>
      <c r="BH458" s="6"/>
      <c r="BI458" s="6"/>
      <c r="BJ458" s="6"/>
      <c r="BK458" s="6"/>
      <c r="BL458" s="4">
        <v>42930</v>
      </c>
      <c r="BM458" s="6">
        <f>VLOOKUP(BL458,Sheet1!$A$2:$E$1114,2,FALSE)</f>
        <v>2.2393272004660951</v>
      </c>
      <c r="BN458" s="6">
        <f t="shared" si="51"/>
        <v>0.37083769320833682</v>
      </c>
    </row>
    <row r="459" spans="49:66" x14ac:dyDescent="0.3">
      <c r="AW459">
        <f t="shared" si="50"/>
        <v>0</v>
      </c>
      <c r="AX459">
        <v>456</v>
      </c>
      <c r="AY459" s="4">
        <f t="shared" si="48"/>
        <v>42937</v>
      </c>
      <c r="AZ459" s="6">
        <f t="shared" si="49"/>
        <v>0.31723280762563366</v>
      </c>
      <c r="BA459" s="4">
        <v>42937</v>
      </c>
      <c r="BB459" s="6">
        <v>0.68871099999999996</v>
      </c>
      <c r="BC459" s="6">
        <v>-4.2935000000000001E-2</v>
      </c>
      <c r="BD459" s="6">
        <v>-2.4279299999999999</v>
      </c>
      <c r="BE459" s="6"/>
      <c r="BF459" s="6"/>
      <c r="BG459" s="6"/>
      <c r="BH459" s="6"/>
      <c r="BI459" s="6"/>
      <c r="BJ459" s="6"/>
      <c r="BK459" s="6"/>
      <c r="BL459" s="4">
        <v>42937</v>
      </c>
      <c r="BM459" s="6">
        <f>VLOOKUP(BL459,Sheet1!$A$2:$E$1114,2,FALSE)</f>
        <v>2.2464310810160582</v>
      </c>
      <c r="BN459" s="6">
        <f t="shared" si="51"/>
        <v>0.31723280762563366</v>
      </c>
    </row>
    <row r="460" spans="49:66" x14ac:dyDescent="0.3">
      <c r="AW460">
        <f t="shared" si="50"/>
        <v>0</v>
      </c>
      <c r="AX460">
        <v>457</v>
      </c>
      <c r="AY460" s="4">
        <f t="shared" si="48"/>
        <v>42944</v>
      </c>
      <c r="AZ460" s="6">
        <f t="shared" si="49"/>
        <v>0.2760743152330658</v>
      </c>
      <c r="BA460" s="4">
        <v>42944</v>
      </c>
      <c r="BB460" s="6">
        <v>-0.17985899999999999</v>
      </c>
      <c r="BC460" s="6">
        <v>1.458593</v>
      </c>
      <c r="BD460" s="6">
        <v>1.8406990000000001</v>
      </c>
      <c r="BE460" s="6"/>
      <c r="BF460" s="6"/>
      <c r="BG460" s="6"/>
      <c r="BH460" s="6"/>
      <c r="BI460" s="6"/>
      <c r="BJ460" s="6"/>
      <c r="BK460" s="6"/>
      <c r="BL460" s="4">
        <v>42944</v>
      </c>
      <c r="BM460" s="6">
        <f>VLOOKUP(BL460,Sheet1!$A$2:$E$1114,2,FALSE)</f>
        <v>2.2526329002401559</v>
      </c>
      <c r="BN460" s="6">
        <f t="shared" si="51"/>
        <v>0.2760743152330658</v>
      </c>
    </row>
    <row r="461" spans="49:66" x14ac:dyDescent="0.3">
      <c r="AW461">
        <f t="shared" si="50"/>
        <v>0</v>
      </c>
      <c r="AX461">
        <v>458</v>
      </c>
      <c r="AY461" s="4">
        <f t="shared" si="48"/>
        <v>42951</v>
      </c>
      <c r="AZ461" s="6">
        <f t="shared" si="49"/>
        <v>8.0154921988384586E-2</v>
      </c>
      <c r="BA461" s="4">
        <v>42951</v>
      </c>
      <c r="BB461" s="6">
        <v>-0.38452999999999998</v>
      </c>
      <c r="BC461" s="6">
        <v>0.15528700000000001</v>
      </c>
      <c r="BD461" s="6">
        <v>3.9773999999999997E-2</v>
      </c>
      <c r="BE461" s="6"/>
      <c r="BF461" s="6"/>
      <c r="BG461" s="6"/>
      <c r="BH461" s="6"/>
      <c r="BI461" s="6"/>
      <c r="BJ461" s="6"/>
      <c r="BK461" s="6"/>
      <c r="BL461" s="4">
        <v>42951</v>
      </c>
      <c r="BM461" s="6">
        <f>VLOOKUP(BL461,Sheet1!$A$2:$E$1114,2,FALSE)</f>
        <v>2.254438496384028</v>
      </c>
      <c r="BN461" s="6">
        <f t="shared" si="51"/>
        <v>8.0154921988384586E-2</v>
      </c>
    </row>
    <row r="462" spans="49:66" x14ac:dyDescent="0.3">
      <c r="AW462">
        <f t="shared" si="50"/>
        <v>0</v>
      </c>
      <c r="AX462">
        <v>459</v>
      </c>
      <c r="AY462" s="4">
        <f t="shared" si="48"/>
        <v>42958</v>
      </c>
      <c r="AZ462" s="6">
        <f t="shared" si="49"/>
        <v>-1.3450791437552456</v>
      </c>
      <c r="BA462" s="4">
        <v>42958</v>
      </c>
      <c r="BB462" s="6">
        <v>-1.6244909999999999</v>
      </c>
      <c r="BC462" s="6">
        <v>-1.026885</v>
      </c>
      <c r="BD462" s="6">
        <v>-0.822071</v>
      </c>
      <c r="BE462" s="6"/>
      <c r="BF462" s="6"/>
      <c r="BG462" s="6"/>
      <c r="BH462" s="6"/>
      <c r="BI462" s="6"/>
      <c r="BJ462" s="6"/>
      <c r="BK462" s="6"/>
      <c r="BL462" s="4">
        <v>42958</v>
      </c>
      <c r="BM462" s="6">
        <f>VLOOKUP(BL462,Sheet1!$A$2:$E$1114,2,FALSE)</f>
        <v>2.2241145143603771</v>
      </c>
      <c r="BN462" s="6">
        <f t="shared" si="51"/>
        <v>-1.3450791437552456</v>
      </c>
    </row>
    <row r="463" spans="49:66" x14ac:dyDescent="0.3">
      <c r="AW463">
        <f t="shared" si="50"/>
        <v>0</v>
      </c>
      <c r="AX463">
        <v>460</v>
      </c>
      <c r="AY463" s="4">
        <f t="shared" si="48"/>
        <v>42965</v>
      </c>
      <c r="AZ463" s="6">
        <f t="shared" si="49"/>
        <v>2.2791487282030953</v>
      </c>
      <c r="BA463" s="4">
        <v>42965</v>
      </c>
      <c r="BB463" s="6">
        <v>2.120018</v>
      </c>
      <c r="BC463" s="6">
        <v>3.0280740000000002</v>
      </c>
      <c r="BD463" s="6">
        <v>3.3793600000000001</v>
      </c>
      <c r="BE463" s="6"/>
      <c r="BF463" s="6"/>
      <c r="BG463" s="6"/>
      <c r="BH463" s="6"/>
      <c r="BI463" s="6"/>
      <c r="BJ463" s="6"/>
      <c r="BK463" s="6"/>
      <c r="BL463" s="4">
        <v>42965</v>
      </c>
      <c r="BM463" s="6">
        <f>VLOOKUP(BL463,Sheet1!$A$2:$E$1114,2,FALSE)</f>
        <v>2.2748053920282021</v>
      </c>
      <c r="BN463" s="6">
        <f t="shared" si="51"/>
        <v>2.2791487282030953</v>
      </c>
    </row>
    <row r="464" spans="49:66" x14ac:dyDescent="0.3">
      <c r="AW464">
        <f t="shared" si="50"/>
        <v>0</v>
      </c>
      <c r="AX464">
        <v>461</v>
      </c>
      <c r="AY464" s="4">
        <f t="shared" si="48"/>
        <v>42972</v>
      </c>
      <c r="AZ464" s="6">
        <f t="shared" si="49"/>
        <v>1.2639377726538781</v>
      </c>
      <c r="BA464" s="4">
        <v>42972</v>
      </c>
      <c r="BB464" s="6">
        <v>1.908344</v>
      </c>
      <c r="BC464" s="6">
        <v>-1.9300999999999999E-2</v>
      </c>
      <c r="BD464" s="6">
        <v>-0.221079</v>
      </c>
      <c r="BE464" s="6"/>
      <c r="BF464" s="6"/>
      <c r="BG464" s="6"/>
      <c r="BH464" s="6"/>
      <c r="BI464" s="6"/>
      <c r="BJ464" s="6"/>
      <c r="BK464" s="6"/>
      <c r="BL464" s="4">
        <v>42972</v>
      </c>
      <c r="BM464" s="6">
        <f>VLOOKUP(BL464,Sheet1!$A$2:$E$1114,2,FALSE)</f>
        <v>2.3035575166324138</v>
      </c>
      <c r="BN464" s="6">
        <f t="shared" si="51"/>
        <v>1.2639377726538781</v>
      </c>
    </row>
    <row r="465" spans="49:66" x14ac:dyDescent="0.3">
      <c r="AW465">
        <f t="shared" si="50"/>
        <v>0</v>
      </c>
      <c r="AX465">
        <v>462</v>
      </c>
      <c r="AY465" s="4">
        <f t="shared" si="48"/>
        <v>42979</v>
      </c>
      <c r="AZ465" s="6">
        <f t="shared" si="49"/>
        <v>2.0726827503085854</v>
      </c>
      <c r="BA465" s="4">
        <v>42979</v>
      </c>
      <c r="BB465" s="6">
        <v>0.91639000000000004</v>
      </c>
      <c r="BC465" s="6">
        <v>2.8357869999999998</v>
      </c>
      <c r="BD465" s="6">
        <v>2.389106</v>
      </c>
      <c r="BE465" s="6"/>
      <c r="BF465" s="6"/>
      <c r="BG465" s="6"/>
      <c r="BH465" s="6"/>
      <c r="BI465" s="6"/>
      <c r="BJ465" s="6"/>
      <c r="BK465" s="6"/>
      <c r="BL465" s="4">
        <v>42979</v>
      </c>
      <c r="BM465" s="6">
        <f>VLOOKUP(BL465,Sheet1!$A$2:$E$1114,2,FALSE)</f>
        <v>2.3513029559230909</v>
      </c>
      <c r="BN465" s="6">
        <f t="shared" si="51"/>
        <v>2.0726827503085854</v>
      </c>
    </row>
    <row r="466" spans="49:66" x14ac:dyDescent="0.3">
      <c r="AW466">
        <f t="shared" si="50"/>
        <v>0</v>
      </c>
      <c r="AX466">
        <v>463</v>
      </c>
      <c r="AY466" s="4">
        <f t="shared" si="48"/>
        <v>42986</v>
      </c>
      <c r="AZ466" s="6">
        <f t="shared" si="49"/>
        <v>2.3529451232517928E-3</v>
      </c>
      <c r="BA466" s="4">
        <v>42986</v>
      </c>
      <c r="BB466" s="6">
        <v>-0.118751</v>
      </c>
      <c r="BC466" s="6">
        <v>0.73052899999999998</v>
      </c>
      <c r="BD466" s="6">
        <v>1.2776719999999999</v>
      </c>
      <c r="BE466" s="6"/>
      <c r="BF466" s="6"/>
      <c r="BG466" s="6"/>
      <c r="BH466" s="6"/>
      <c r="BI466" s="6"/>
      <c r="BJ466" s="6"/>
      <c r="BK466" s="6"/>
      <c r="BL466" s="4">
        <v>42986</v>
      </c>
      <c r="BM466" s="6">
        <f>VLOOKUP(BL466,Sheet1!$A$2:$E$1114,2,FALSE)</f>
        <v>2.3513582807913251</v>
      </c>
      <c r="BN466" s="6">
        <f t="shared" si="51"/>
        <v>2.3529451232517928E-3</v>
      </c>
    </row>
    <row r="467" spans="49:66" x14ac:dyDescent="0.3">
      <c r="AW467">
        <f t="shared" si="50"/>
        <v>0</v>
      </c>
      <c r="AX467">
        <v>464</v>
      </c>
      <c r="AY467" s="4">
        <f t="shared" si="48"/>
        <v>42993</v>
      </c>
      <c r="AZ467" s="6">
        <f t="shared" si="49"/>
        <v>0.25154270411744672</v>
      </c>
      <c r="BA467" s="4">
        <v>42993</v>
      </c>
      <c r="BB467" s="6">
        <v>0.138709</v>
      </c>
      <c r="BC467" s="6">
        <v>0.72801800000000005</v>
      </c>
      <c r="BD467" s="6">
        <v>0.53286900000000004</v>
      </c>
      <c r="BE467" s="6"/>
      <c r="BF467" s="6"/>
      <c r="BG467" s="6"/>
      <c r="BH467" s="6"/>
      <c r="BI467" s="6"/>
      <c r="BJ467" s="6"/>
      <c r="BK467" s="6"/>
      <c r="BL467" s="4">
        <v>42993</v>
      </c>
      <c r="BM467" s="6">
        <f>VLOOKUP(BL467,Sheet1!$A$2:$E$1114,2,FALSE)</f>
        <v>2.3572729509943171</v>
      </c>
      <c r="BN467" s="6">
        <f t="shared" si="51"/>
        <v>0.25154270411744672</v>
      </c>
    </row>
    <row r="468" spans="49:66" x14ac:dyDescent="0.3">
      <c r="AW468">
        <f t="shared" si="50"/>
        <v>0</v>
      </c>
      <c r="AX468">
        <v>465</v>
      </c>
      <c r="AY468" s="4">
        <f t="shared" si="48"/>
        <v>43000</v>
      </c>
      <c r="AZ468" s="6">
        <f t="shared" si="49"/>
        <v>2.89027990925117E-3</v>
      </c>
      <c r="BA468" s="4">
        <v>43000</v>
      </c>
      <c r="BB468" s="6">
        <v>0.16793</v>
      </c>
      <c r="BC468" s="6">
        <v>-0.75556999999999996</v>
      </c>
      <c r="BD468" s="6">
        <v>-0.39134099999999999</v>
      </c>
      <c r="BE468" s="6"/>
      <c r="BF468" s="6"/>
      <c r="BG468" s="6"/>
      <c r="BH468" s="6"/>
      <c r="BI468" s="6"/>
      <c r="BJ468" s="6"/>
      <c r="BK468" s="6"/>
      <c r="BL468" s="4">
        <v>43000</v>
      </c>
      <c r="BM468" s="6">
        <f>VLOOKUP(BL468,Sheet1!$A$2:$E$1114,2,FALSE)</f>
        <v>2.3573410827808261</v>
      </c>
      <c r="BN468" s="6">
        <f t="shared" si="51"/>
        <v>2.89027990925117E-3</v>
      </c>
    </row>
    <row r="469" spans="49:66" x14ac:dyDescent="0.3">
      <c r="AW469">
        <f t="shared" si="50"/>
        <v>0</v>
      </c>
      <c r="AX469">
        <v>466</v>
      </c>
      <c r="AY469" s="4">
        <f t="shared" si="48"/>
        <v>43007</v>
      </c>
      <c r="AZ469" s="6">
        <f t="shared" si="49"/>
        <v>0.70997253635514124</v>
      </c>
      <c r="BA469" s="4">
        <v>43007</v>
      </c>
      <c r="BB469" s="6">
        <v>-3.2027E-2</v>
      </c>
      <c r="BC469" s="6">
        <v>0.47548800000000002</v>
      </c>
      <c r="BD469" s="6">
        <v>-9.0964000000000003E-2</v>
      </c>
      <c r="BE469" s="6"/>
      <c r="BF469" s="6"/>
      <c r="BG469" s="6"/>
      <c r="BH469" s="6"/>
      <c r="BI469" s="6"/>
      <c r="BJ469" s="6"/>
      <c r="BK469" s="6"/>
      <c r="BL469" s="4">
        <v>43007</v>
      </c>
      <c r="BM469" s="6">
        <f>VLOOKUP(BL469,Sheet1!$A$2:$E$1114,2,FALSE)</f>
        <v>2.3740775570567871</v>
      </c>
      <c r="BN469" s="6">
        <f t="shared" si="51"/>
        <v>0.70997253635514124</v>
      </c>
    </row>
    <row r="470" spans="49:66" x14ac:dyDescent="0.3">
      <c r="AW470">
        <f t="shared" si="50"/>
        <v>0</v>
      </c>
      <c r="AX470">
        <v>467</v>
      </c>
      <c r="AY470" s="4">
        <f t="shared" si="48"/>
        <v>43021</v>
      </c>
      <c r="AZ470" s="6">
        <f t="shared" si="49"/>
        <v>1.6175631511718302</v>
      </c>
      <c r="BA470" s="4">
        <v>43021</v>
      </c>
      <c r="BB470" s="6">
        <v>2.2025380000000001</v>
      </c>
      <c r="BC470" s="6">
        <v>1.6137140000000001</v>
      </c>
      <c r="BD470" s="6">
        <v>1.655491</v>
      </c>
      <c r="BE470" s="6"/>
      <c r="BF470" s="6"/>
      <c r="BG470" s="6"/>
      <c r="BH470" s="6"/>
      <c r="BI470" s="6"/>
      <c r="BJ470" s="6"/>
      <c r="BK470" s="6"/>
      <c r="BL470" s="4">
        <v>43021</v>
      </c>
      <c r="BM470" s="6">
        <f>VLOOKUP(BL470,Sheet1!$A$2:$E$1114,2,FALSE)</f>
        <v>2.4124797607999779</v>
      </c>
      <c r="BN470" s="6">
        <f t="shared" si="51"/>
        <v>1.6175631511718302</v>
      </c>
    </row>
    <row r="471" spans="49:66" x14ac:dyDescent="0.3">
      <c r="AW471">
        <f t="shared" si="50"/>
        <v>0</v>
      </c>
      <c r="AX471">
        <v>468</v>
      </c>
      <c r="AY471" s="4">
        <f t="shared" si="48"/>
        <v>43028</v>
      </c>
      <c r="AZ471" s="6">
        <f t="shared" si="49"/>
        <v>-0.4491150270006794</v>
      </c>
      <c r="BA471" s="4">
        <v>43028</v>
      </c>
      <c r="BB471" s="6">
        <v>0.149204</v>
      </c>
      <c r="BC471" s="6">
        <v>-2.0625360000000001</v>
      </c>
      <c r="BD471" s="6">
        <v>-2.7719490000000002</v>
      </c>
      <c r="BE471" s="6"/>
      <c r="BF471" s="6"/>
      <c r="BG471" s="6"/>
      <c r="BH471" s="6"/>
      <c r="BI471" s="6"/>
      <c r="BJ471" s="6"/>
      <c r="BK471" s="6"/>
      <c r="BL471" s="4">
        <v>43028</v>
      </c>
      <c r="BM471" s="6">
        <f>VLOOKUP(BL471,Sheet1!$A$2:$E$1114,2,FALSE)</f>
        <v>2.4016449516708751</v>
      </c>
      <c r="BN471" s="6">
        <f t="shared" si="51"/>
        <v>-0.4491150270006794</v>
      </c>
    </row>
    <row r="472" spans="49:66" x14ac:dyDescent="0.3">
      <c r="AW472">
        <f t="shared" si="50"/>
        <v>0</v>
      </c>
      <c r="AX472">
        <v>469</v>
      </c>
      <c r="AY472" s="4">
        <f t="shared" si="48"/>
        <v>43035</v>
      </c>
      <c r="AZ472" s="6">
        <f t="shared" si="49"/>
        <v>1.8217142717041668</v>
      </c>
      <c r="BA472" s="4">
        <v>43035</v>
      </c>
      <c r="BB472" s="6">
        <v>2.4221840000000001</v>
      </c>
      <c r="BC472" s="6">
        <v>0.90364999999999995</v>
      </c>
      <c r="BD472" s="6">
        <v>0.24878900000000001</v>
      </c>
      <c r="BE472" s="6"/>
      <c r="BF472" s="6"/>
      <c r="BG472" s="6"/>
      <c r="BH472" s="6"/>
      <c r="BI472" s="6"/>
      <c r="BJ472" s="6"/>
      <c r="BK472" s="6"/>
      <c r="BL472" s="4">
        <v>43035</v>
      </c>
      <c r="BM472" s="6">
        <f>VLOOKUP(BL472,Sheet1!$A$2:$E$1114,2,FALSE)</f>
        <v>2.445396060511126</v>
      </c>
      <c r="BN472" s="6">
        <f t="shared" si="51"/>
        <v>1.8217142717041668</v>
      </c>
    </row>
    <row r="473" spans="49:66" x14ac:dyDescent="0.3">
      <c r="AW473">
        <f t="shared" si="50"/>
        <v>0</v>
      </c>
      <c r="AX473">
        <v>470</v>
      </c>
      <c r="AY473" s="4">
        <f t="shared" si="48"/>
        <v>43042</v>
      </c>
      <c r="AZ473" s="6">
        <f t="shared" si="49"/>
        <v>-1.7430437253115882</v>
      </c>
      <c r="BA473" s="4">
        <v>43042</v>
      </c>
      <c r="BB473" s="6">
        <v>-0.727746</v>
      </c>
      <c r="BC473" s="6">
        <v>-3.0739369999999999</v>
      </c>
      <c r="BD473" s="6">
        <v>-3.7799839999999998</v>
      </c>
      <c r="BE473" s="6"/>
      <c r="BF473" s="6"/>
      <c r="BG473" s="6"/>
      <c r="BH473" s="6"/>
      <c r="BI473" s="6"/>
      <c r="BJ473" s="6"/>
      <c r="BK473" s="6"/>
      <c r="BL473" s="4">
        <v>43042</v>
      </c>
      <c r="BM473" s="6">
        <f>VLOOKUP(BL473,Sheet1!$A$2:$E$1114,2,FALSE)</f>
        <v>2.40277173791937</v>
      </c>
      <c r="BN473" s="6">
        <f t="shared" si="51"/>
        <v>-1.7430437253115882</v>
      </c>
    </row>
    <row r="474" spans="49:66" x14ac:dyDescent="0.3">
      <c r="AW474">
        <f t="shared" si="50"/>
        <v>0</v>
      </c>
      <c r="AX474">
        <v>471</v>
      </c>
      <c r="AY474" s="4">
        <f t="shared" si="48"/>
        <v>43049</v>
      </c>
      <c r="AZ474" s="6">
        <f t="shared" si="49"/>
        <v>3.2758184195848195</v>
      </c>
      <c r="BA474" s="4">
        <v>43049</v>
      </c>
      <c r="BB474" s="6">
        <v>2.9857830000000001</v>
      </c>
      <c r="BC474" s="6">
        <v>3.3333930000000001</v>
      </c>
      <c r="BD474" s="6">
        <v>2.5811220000000001</v>
      </c>
      <c r="BE474" s="6"/>
      <c r="BF474" s="6"/>
      <c r="BG474" s="6"/>
      <c r="BH474" s="6"/>
      <c r="BI474" s="6"/>
      <c r="BJ474" s="6"/>
      <c r="BK474" s="6"/>
      <c r="BL474" s="4">
        <v>43049</v>
      </c>
      <c r="BM474" s="6">
        <f>VLOOKUP(BL474,Sheet1!$A$2:$E$1114,2,FALSE)</f>
        <v>2.4814821770907112</v>
      </c>
      <c r="BN474" s="6">
        <f t="shared" si="51"/>
        <v>3.2758184195848195</v>
      </c>
    </row>
    <row r="475" spans="49:66" x14ac:dyDescent="0.3">
      <c r="AW475">
        <f t="shared" si="50"/>
        <v>0</v>
      </c>
      <c r="AX475">
        <v>472</v>
      </c>
      <c r="AY475" s="4">
        <f t="shared" si="48"/>
        <v>43056</v>
      </c>
      <c r="AZ475" s="6">
        <f t="shared" si="49"/>
        <v>-1.0601086011289396</v>
      </c>
      <c r="BA475" s="4">
        <v>43056</v>
      </c>
      <c r="BB475" s="6">
        <v>0.21740699999999999</v>
      </c>
      <c r="BC475" s="6">
        <v>-4.2051769999999999</v>
      </c>
      <c r="BD475" s="6">
        <v>-5.1801370000000002</v>
      </c>
      <c r="BE475" s="6"/>
      <c r="BF475" s="6"/>
      <c r="BG475" s="6"/>
      <c r="BH475" s="6"/>
      <c r="BI475" s="6"/>
      <c r="BJ475" s="6"/>
      <c r="BK475" s="6"/>
      <c r="BL475" s="4">
        <v>43056</v>
      </c>
      <c r="BM475" s="6">
        <f>VLOOKUP(BL475,Sheet1!$A$2:$E$1114,2,FALSE)</f>
        <v>2.4551757710958908</v>
      </c>
      <c r="BN475" s="6">
        <f t="shared" si="51"/>
        <v>-1.0601086011289396</v>
      </c>
    </row>
    <row r="476" spans="49:66" x14ac:dyDescent="0.3">
      <c r="AW476">
        <f t="shared" si="50"/>
        <v>0</v>
      </c>
      <c r="AX476">
        <v>473</v>
      </c>
      <c r="AY476" s="4">
        <f t="shared" si="48"/>
        <v>43063</v>
      </c>
      <c r="AZ476" s="6">
        <f t="shared" si="49"/>
        <v>-1.2196827221027218</v>
      </c>
      <c r="BA476" s="4">
        <v>43063</v>
      </c>
      <c r="BB476" s="6">
        <v>-0.40398000000000001</v>
      </c>
      <c r="BC476" s="6">
        <v>-1.318981</v>
      </c>
      <c r="BD476" s="6">
        <v>-1.8301909999999999</v>
      </c>
      <c r="BE476" s="6"/>
      <c r="BF476" s="6"/>
      <c r="BG476" s="6"/>
      <c r="BH476" s="6"/>
      <c r="BI476" s="6"/>
      <c r="BJ476" s="6"/>
      <c r="BK476" s="6"/>
      <c r="BL476" s="4">
        <v>43063</v>
      </c>
      <c r="BM476" s="6">
        <f>VLOOKUP(BL476,Sheet1!$A$2:$E$1114,2,FALSE)</f>
        <v>2.4252304164185818</v>
      </c>
      <c r="BN476" s="6">
        <f t="shared" si="51"/>
        <v>-1.2196827221027218</v>
      </c>
    </row>
    <row r="477" spans="49:66" x14ac:dyDescent="0.3">
      <c r="AW477">
        <f t="shared" si="50"/>
        <v>0</v>
      </c>
      <c r="AX477">
        <v>474</v>
      </c>
      <c r="AY477" s="4">
        <f t="shared" si="48"/>
        <v>43070</v>
      </c>
      <c r="AZ477" s="6">
        <f t="shared" si="49"/>
        <v>-1.152744279584017</v>
      </c>
      <c r="BA477" s="4">
        <v>43070</v>
      </c>
      <c r="BB477" s="6">
        <v>-2.5843479999999999</v>
      </c>
      <c r="BC477" s="6">
        <v>0.61131500000000005</v>
      </c>
      <c r="BD477" s="6">
        <v>1.0676159999999999</v>
      </c>
      <c r="BE477" s="6"/>
      <c r="BF477" s="6"/>
      <c r="BG477" s="6"/>
      <c r="BH477" s="6"/>
      <c r="BI477" s="6"/>
      <c r="BJ477" s="6"/>
      <c r="BK477" s="6"/>
      <c r="BL477" s="4">
        <v>43070</v>
      </c>
      <c r="BM477" s="6">
        <f>VLOOKUP(BL477,Sheet1!$A$2:$E$1114,2,FALSE)</f>
        <v>2.397273711526585</v>
      </c>
      <c r="BN477" s="6">
        <f t="shared" si="51"/>
        <v>-1.152744279584017</v>
      </c>
    </row>
    <row r="478" spans="49:66" x14ac:dyDescent="0.3">
      <c r="AW478">
        <f t="shared" si="50"/>
        <v>0</v>
      </c>
      <c r="AX478">
        <v>475</v>
      </c>
      <c r="AY478" s="4">
        <f t="shared" si="48"/>
        <v>43077</v>
      </c>
      <c r="AZ478" s="6">
        <f t="shared" si="49"/>
        <v>-0.65019869564606481</v>
      </c>
      <c r="BA478" s="4">
        <v>43077</v>
      </c>
      <c r="BB478" s="6">
        <v>0.131129</v>
      </c>
      <c r="BC478" s="6">
        <v>-1.7931699999999999</v>
      </c>
      <c r="BD478" s="6">
        <v>-1.909357</v>
      </c>
      <c r="BE478" s="6"/>
      <c r="BF478" s="6"/>
      <c r="BG478" s="6"/>
      <c r="BH478" s="6"/>
      <c r="BI478" s="6"/>
      <c r="BJ478" s="6"/>
      <c r="BK478" s="6"/>
      <c r="BL478" s="4">
        <v>43077</v>
      </c>
      <c r="BM478" s="6">
        <f>VLOOKUP(BL478,Sheet1!$A$2:$E$1114,2,FALSE)</f>
        <v>2.3816866691231731</v>
      </c>
      <c r="BN478" s="6">
        <f t="shared" si="51"/>
        <v>-0.65019869564606481</v>
      </c>
    </row>
    <row r="479" spans="49:66" x14ac:dyDescent="0.3">
      <c r="AW479">
        <f t="shared" si="50"/>
        <v>0</v>
      </c>
      <c r="AX479">
        <v>476</v>
      </c>
      <c r="AY479" s="4">
        <f t="shared" si="48"/>
        <v>43084</v>
      </c>
      <c r="AZ479" s="6">
        <f t="shared" si="49"/>
        <v>-0.16099378883498439</v>
      </c>
      <c r="BA479" s="4">
        <v>43084</v>
      </c>
      <c r="BB479" s="6">
        <v>-0.56261000000000005</v>
      </c>
      <c r="BC479" s="6">
        <v>0.52582200000000001</v>
      </c>
      <c r="BD479" s="6">
        <v>0.63220299999999996</v>
      </c>
      <c r="BE479" s="6"/>
      <c r="BF479" s="6"/>
      <c r="BG479" s="6"/>
      <c r="BH479" s="6"/>
      <c r="BI479" s="6"/>
      <c r="BJ479" s="6"/>
      <c r="BK479" s="6"/>
      <c r="BL479" s="4">
        <v>43084</v>
      </c>
      <c r="BM479" s="6">
        <f>VLOOKUP(BL479,Sheet1!$A$2:$E$1114,2,FALSE)</f>
        <v>2.3778523015163739</v>
      </c>
      <c r="BN479" s="6">
        <f t="shared" si="51"/>
        <v>-0.16099378883498439</v>
      </c>
    </row>
    <row r="480" spans="49:66" x14ac:dyDescent="0.3">
      <c r="AW480">
        <f t="shared" si="50"/>
        <v>0</v>
      </c>
      <c r="AX480">
        <v>477</v>
      </c>
      <c r="AY480" s="4">
        <f t="shared" si="48"/>
        <v>43091</v>
      </c>
      <c r="AZ480" s="6">
        <f t="shared" si="49"/>
        <v>1.7990047113810803</v>
      </c>
      <c r="BA480" s="4">
        <v>43091</v>
      </c>
      <c r="BB480" s="6">
        <v>1.8524309999999999</v>
      </c>
      <c r="BC480" s="6">
        <v>0.114243</v>
      </c>
      <c r="BD480" s="6">
        <v>-1.198283</v>
      </c>
      <c r="BE480" s="6"/>
      <c r="BF480" s="6"/>
      <c r="BG480" s="6"/>
      <c r="BH480" s="6"/>
      <c r="BI480" s="6"/>
      <c r="BJ480" s="6"/>
      <c r="BK480" s="6"/>
      <c r="BL480" s="4">
        <v>43091</v>
      </c>
      <c r="BM480" s="6">
        <f>VLOOKUP(BL480,Sheet1!$A$2:$E$1114,2,FALSE)</f>
        <v>2.420629976450337</v>
      </c>
      <c r="BN480" s="6">
        <f t="shared" si="51"/>
        <v>1.7990047113810803</v>
      </c>
    </row>
    <row r="481" spans="49:66" x14ac:dyDescent="0.3">
      <c r="AW481">
        <f t="shared" si="50"/>
        <v>0</v>
      </c>
      <c r="AX481">
        <v>478</v>
      </c>
      <c r="AY481" s="4">
        <f t="shared" si="48"/>
        <v>43098</v>
      </c>
      <c r="AZ481" s="6">
        <f t="shared" si="49"/>
        <v>-0.30924112645348556</v>
      </c>
      <c r="BA481" s="4">
        <v>43098</v>
      </c>
      <c r="BB481" s="6">
        <v>-0.58559399999999995</v>
      </c>
      <c r="BC481" s="6">
        <v>0.12712100000000001</v>
      </c>
      <c r="BD481" s="6">
        <v>-0.28484999999999999</v>
      </c>
      <c r="BE481" s="6"/>
      <c r="BF481" s="6"/>
      <c r="BG481" s="6"/>
      <c r="BH481" s="6"/>
      <c r="BI481" s="6"/>
      <c r="BJ481" s="6"/>
      <c r="BK481" s="6"/>
      <c r="BL481" s="4">
        <v>43098</v>
      </c>
      <c r="BM481" s="6">
        <f>VLOOKUP(BL481,Sheet1!$A$2:$E$1114,2,FALSE)</f>
        <v>2.4131443930438912</v>
      </c>
      <c r="BN481" s="6">
        <f t="shared" si="51"/>
        <v>-0.30924112645348556</v>
      </c>
    </row>
    <row r="482" spans="49:66" x14ac:dyDescent="0.3">
      <c r="AW482">
        <f t="shared" si="50"/>
        <v>0</v>
      </c>
      <c r="AX482">
        <v>479</v>
      </c>
      <c r="AY482" s="4">
        <f t="shared" si="48"/>
        <v>43105</v>
      </c>
      <c r="AZ482" s="6">
        <f t="shared" si="49"/>
        <v>1.9275758639155649</v>
      </c>
      <c r="BA482" s="4">
        <v>43105</v>
      </c>
      <c r="BB482" s="6">
        <v>2.676742</v>
      </c>
      <c r="BC482" s="6">
        <v>2.6625779999999999</v>
      </c>
      <c r="BD482" s="6">
        <v>2.2731750000000002</v>
      </c>
      <c r="BE482" s="6"/>
      <c r="BF482" s="6"/>
      <c r="BG482" s="6"/>
      <c r="BH482" s="6"/>
      <c r="BI482" s="6"/>
      <c r="BJ482" s="6"/>
      <c r="BK482" s="6"/>
      <c r="BL482" s="4">
        <v>43105</v>
      </c>
      <c r="BM482" s="6">
        <f>VLOOKUP(BL482,Sheet1!$A$2:$E$1114,2,FALSE)</f>
        <v>2.4596595819256368</v>
      </c>
      <c r="BN482" s="6">
        <f t="shared" si="51"/>
        <v>1.9275758639155649</v>
      </c>
    </row>
    <row r="483" spans="49:66" x14ac:dyDescent="0.3">
      <c r="AW483">
        <f t="shared" si="50"/>
        <v>0</v>
      </c>
      <c r="AX483">
        <v>480</v>
      </c>
      <c r="AY483" s="4">
        <f t="shared" si="48"/>
        <v>43112</v>
      </c>
      <c r="AZ483" s="6">
        <f t="shared" si="49"/>
        <v>0.75219286455103784</v>
      </c>
      <c r="BA483" s="4">
        <v>43112</v>
      </c>
      <c r="BB483" s="6">
        <v>2.083974</v>
      </c>
      <c r="BC483" s="6">
        <v>-0.27862399999999998</v>
      </c>
      <c r="BD483" s="6">
        <v>-0.68330500000000005</v>
      </c>
      <c r="BE483" s="6"/>
      <c r="BF483" s="6"/>
      <c r="BG483" s="6"/>
      <c r="BH483" s="6"/>
      <c r="BI483" s="6"/>
      <c r="BJ483" s="6"/>
      <c r="BK483" s="6"/>
      <c r="BL483" s="4">
        <v>43112</v>
      </c>
      <c r="BM483" s="6">
        <f>VLOOKUP(BL483,Sheet1!$A$2:$E$1114,2,FALSE)</f>
        <v>2.4781609657931272</v>
      </c>
      <c r="BN483" s="6">
        <f t="shared" si="51"/>
        <v>0.75219286455103784</v>
      </c>
    </row>
    <row r="484" spans="49:66" x14ac:dyDescent="0.3">
      <c r="AW484">
        <f t="shared" si="50"/>
        <v>0</v>
      </c>
      <c r="AX484">
        <v>481</v>
      </c>
      <c r="AY484" s="4">
        <f t="shared" si="48"/>
        <v>43119</v>
      </c>
      <c r="AZ484" s="6">
        <f t="shared" si="49"/>
        <v>0.4555109217909914</v>
      </c>
      <c r="BA484" s="4">
        <v>43119</v>
      </c>
      <c r="BB484" s="6">
        <v>1.429443</v>
      </c>
      <c r="BC484" s="6">
        <v>-1.9844710000000001</v>
      </c>
      <c r="BD484" s="6">
        <v>-2.6588229999999999</v>
      </c>
      <c r="BE484" s="6"/>
      <c r="BF484" s="6"/>
      <c r="BG484" s="6"/>
      <c r="BH484" s="6"/>
      <c r="BI484" s="6"/>
      <c r="BJ484" s="6"/>
      <c r="BK484" s="6"/>
      <c r="BL484" s="4">
        <v>43119</v>
      </c>
      <c r="BM484" s="6">
        <f>VLOOKUP(BL484,Sheet1!$A$2:$E$1114,2,FALSE)</f>
        <v>2.489449259651876</v>
      </c>
      <c r="BN484" s="6">
        <f t="shared" si="51"/>
        <v>0.4555109217909914</v>
      </c>
    </row>
    <row r="485" spans="49:66" x14ac:dyDescent="0.3">
      <c r="AW485">
        <f t="shared" si="50"/>
        <v>0</v>
      </c>
      <c r="AX485">
        <v>482</v>
      </c>
      <c r="AY485" s="4">
        <f t="shared" si="48"/>
        <v>43126</v>
      </c>
      <c r="AZ485" s="6">
        <f t="shared" si="49"/>
        <v>1.8740516255091766</v>
      </c>
      <c r="BA485" s="4">
        <v>43126</v>
      </c>
      <c r="BB485" s="6">
        <v>2.2379410000000002</v>
      </c>
      <c r="BC485" s="6">
        <v>1.773668</v>
      </c>
      <c r="BD485" s="6">
        <v>1.696401</v>
      </c>
      <c r="BE485" s="6"/>
      <c r="BF485" s="6"/>
      <c r="BG485" s="6"/>
      <c r="BH485" s="6"/>
      <c r="BI485" s="6"/>
      <c r="BJ485" s="6"/>
      <c r="BK485" s="6"/>
      <c r="BL485" s="4">
        <v>43126</v>
      </c>
      <c r="BM485" s="6">
        <f>VLOOKUP(BL485,Sheet1!$A$2:$E$1114,2,FALSE)</f>
        <v>2.5361028239686081</v>
      </c>
      <c r="BN485" s="6">
        <f t="shared" si="51"/>
        <v>1.8740516255091766</v>
      </c>
    </row>
    <row r="486" spans="49:66" x14ac:dyDescent="0.3">
      <c r="AW486">
        <f t="shared" si="50"/>
        <v>0</v>
      </c>
      <c r="AX486">
        <v>483</v>
      </c>
      <c r="AY486" s="4">
        <f t="shared" si="48"/>
        <v>43133</v>
      </c>
      <c r="AZ486" s="6">
        <f t="shared" si="49"/>
        <v>-1.6649655496569715</v>
      </c>
      <c r="BA486" s="4">
        <v>43133</v>
      </c>
      <c r="BB486" s="6">
        <v>-2.5122</v>
      </c>
      <c r="BC486" s="6">
        <v>-5.9336419999999999</v>
      </c>
      <c r="BD486" s="6">
        <v>-8.0519429999999996</v>
      </c>
      <c r="BE486" s="6"/>
      <c r="BF486" s="6"/>
      <c r="BG486" s="6"/>
      <c r="BH486" s="6"/>
      <c r="BI486" s="6"/>
      <c r="BJ486" s="6"/>
      <c r="BK486" s="6"/>
      <c r="BL486" s="4">
        <v>43133</v>
      </c>
      <c r="BM486" s="6">
        <f>VLOOKUP(BL486,Sheet1!$A$2:$E$1114,2,FALSE)</f>
        <v>2.4938775856456532</v>
      </c>
      <c r="BN486" s="6">
        <f t="shared" si="51"/>
        <v>-1.6649655496569715</v>
      </c>
    </row>
    <row r="487" spans="49:66" x14ac:dyDescent="0.3">
      <c r="AW487">
        <f t="shared" si="50"/>
        <v>0</v>
      </c>
      <c r="AX487">
        <v>484</v>
      </c>
      <c r="AY487" s="4">
        <f t="shared" si="48"/>
        <v>43140</v>
      </c>
      <c r="AZ487" s="6">
        <f t="shared" si="49"/>
        <v>-9.2855520462653658</v>
      </c>
      <c r="BA487" s="4">
        <v>43140</v>
      </c>
      <c r="BB487" s="6">
        <v>-10.080928</v>
      </c>
      <c r="BC487" s="6">
        <v>-7.493144</v>
      </c>
      <c r="BD487" s="6">
        <v>-6.7024600000000003</v>
      </c>
      <c r="BE487" s="6"/>
      <c r="BF487" s="6"/>
      <c r="BG487" s="6"/>
      <c r="BH487" s="6"/>
      <c r="BI487" s="6"/>
      <c r="BJ487" s="6"/>
      <c r="BK487" s="6"/>
      <c r="BL487" s="4">
        <v>43140</v>
      </c>
      <c r="BM487" s="6">
        <f>VLOOKUP(BL487,Sheet1!$A$2:$E$1114,2,FALSE)</f>
        <v>2.26230728446038</v>
      </c>
      <c r="BN487" s="6">
        <f t="shared" si="51"/>
        <v>-9.2855520462653658</v>
      </c>
    </row>
    <row r="488" spans="49:66" x14ac:dyDescent="0.3">
      <c r="AW488">
        <f t="shared" si="50"/>
        <v>0</v>
      </c>
      <c r="AX488">
        <v>485</v>
      </c>
      <c r="AY488" s="4">
        <f t="shared" si="48"/>
        <v>43145</v>
      </c>
      <c r="AZ488" s="6">
        <f t="shared" si="49"/>
        <v>3.5856239737471318</v>
      </c>
      <c r="BA488" s="4">
        <v>43145</v>
      </c>
      <c r="BB488" s="6">
        <v>3.2887300000000002</v>
      </c>
      <c r="BC488" s="6">
        <v>3.5992920000000002</v>
      </c>
      <c r="BD488" s="6">
        <v>2.9347729999999999</v>
      </c>
      <c r="BE488" s="6"/>
      <c r="BF488" s="6"/>
      <c r="BG488" s="6"/>
      <c r="BH488" s="6"/>
      <c r="BI488" s="6"/>
      <c r="BJ488" s="6"/>
      <c r="BK488" s="6"/>
      <c r="BL488" s="4">
        <v>43145</v>
      </c>
      <c r="BM488" s="6">
        <f>VLOOKUP(BL488,Sheet1!$A$2:$E$1114,2,FALSE)</f>
        <v>2.3434251168118192</v>
      </c>
      <c r="BN488" s="6">
        <f t="shared" si="51"/>
        <v>3.5856239737471318</v>
      </c>
    </row>
    <row r="489" spans="49:66" x14ac:dyDescent="0.3">
      <c r="AW489">
        <f t="shared" si="50"/>
        <v>0</v>
      </c>
      <c r="AX489">
        <v>486</v>
      </c>
      <c r="AY489" s="4">
        <f t="shared" si="48"/>
        <v>43154</v>
      </c>
      <c r="AZ489" s="6">
        <f t="shared" si="49"/>
        <v>2.7982740048992927</v>
      </c>
      <c r="BA489" s="4">
        <v>43154</v>
      </c>
      <c r="BB489" s="6">
        <v>2.6248680000000002</v>
      </c>
      <c r="BC489" s="6">
        <v>2.4821240000000002</v>
      </c>
      <c r="BD489" s="6">
        <v>2.1707740000000002</v>
      </c>
      <c r="BE489" s="6"/>
      <c r="BF489" s="6"/>
      <c r="BG489" s="6"/>
      <c r="BH489" s="6"/>
      <c r="BI489" s="6"/>
      <c r="BJ489" s="6"/>
      <c r="BK489" s="6"/>
      <c r="BL489" s="4">
        <v>43154</v>
      </c>
      <c r="BM489" s="6">
        <f>VLOOKUP(BL489,Sheet1!$A$2:$E$1114,2,FALSE)</f>
        <v>2.4090005726798451</v>
      </c>
      <c r="BN489" s="6">
        <f t="shared" si="51"/>
        <v>2.7982740048992927</v>
      </c>
    </row>
    <row r="490" spans="49:66" x14ac:dyDescent="0.3">
      <c r="AW490">
        <f t="shared" si="50"/>
        <v>0</v>
      </c>
      <c r="AX490">
        <v>487</v>
      </c>
      <c r="AY490" s="4">
        <f t="shared" si="48"/>
        <v>43161</v>
      </c>
      <c r="AZ490" s="6">
        <f t="shared" si="49"/>
        <v>-0.95576098940530763</v>
      </c>
      <c r="BA490" s="4">
        <v>43161</v>
      </c>
      <c r="BB490" s="6">
        <v>-1.34185</v>
      </c>
      <c r="BC490" s="6">
        <v>2.6901929999999998</v>
      </c>
      <c r="BD490" s="6">
        <v>4.1856489999999997</v>
      </c>
      <c r="BE490" s="6"/>
      <c r="BF490" s="6"/>
      <c r="BG490" s="6"/>
      <c r="BH490" s="6"/>
      <c r="BI490" s="6"/>
      <c r="BJ490" s="6"/>
      <c r="BK490" s="6"/>
      <c r="BL490" s="4">
        <v>43161</v>
      </c>
      <c r="BM490" s="6">
        <f>VLOOKUP(BL490,Sheet1!$A$2:$E$1114,2,FALSE)</f>
        <v>2.3859762849716208</v>
      </c>
      <c r="BN490" s="6">
        <f t="shared" si="51"/>
        <v>-0.95576098940530763</v>
      </c>
    </row>
    <row r="491" spans="49:66" x14ac:dyDescent="0.3">
      <c r="AW491">
        <f t="shared" si="50"/>
        <v>0</v>
      </c>
      <c r="AX491">
        <v>488</v>
      </c>
      <c r="AY491" s="4">
        <f t="shared" si="48"/>
        <v>43168</v>
      </c>
      <c r="AZ491" s="6">
        <f t="shared" si="49"/>
        <v>1.7128952018857113</v>
      </c>
      <c r="BA491" s="4">
        <v>43168</v>
      </c>
      <c r="BB491" s="6">
        <v>2.300637</v>
      </c>
      <c r="BC491" s="6">
        <v>2.4873129999999999</v>
      </c>
      <c r="BD491" s="6">
        <v>3.087208</v>
      </c>
      <c r="BE491" s="6"/>
      <c r="BF491" s="6"/>
      <c r="BG491" s="6"/>
      <c r="BH491" s="6"/>
      <c r="BI491" s="6"/>
      <c r="BJ491" s="6"/>
      <c r="BK491" s="6"/>
      <c r="BL491" s="4">
        <v>43168</v>
      </c>
      <c r="BM491" s="6">
        <f>VLOOKUP(BL491,Sheet1!$A$2:$E$1114,2,FALSE)</f>
        <v>2.4268455582750308</v>
      </c>
      <c r="BN491" s="6">
        <f t="shared" si="51"/>
        <v>1.7128952018857113</v>
      </c>
    </row>
    <row r="492" spans="49:66" x14ac:dyDescent="0.3">
      <c r="AW492">
        <f t="shared" si="50"/>
        <v>0</v>
      </c>
      <c r="AX492">
        <v>489</v>
      </c>
      <c r="AY492" s="4">
        <f t="shared" si="48"/>
        <v>43175</v>
      </c>
      <c r="AZ492" s="6">
        <f t="shared" si="49"/>
        <v>-1.3466017651091455</v>
      </c>
      <c r="BA492" s="4">
        <v>43175</v>
      </c>
      <c r="BB492" s="6">
        <v>-1.2763279999999999</v>
      </c>
      <c r="BC492" s="6">
        <v>-0.97744200000000003</v>
      </c>
      <c r="BD492" s="6">
        <v>-0.45634400000000003</v>
      </c>
      <c r="BE492" s="6"/>
      <c r="BF492" s="6"/>
      <c r="BG492" s="6"/>
      <c r="BH492" s="6"/>
      <c r="BI492" s="6"/>
      <c r="BJ492" s="6"/>
      <c r="BK492" s="6"/>
      <c r="BL492" s="4">
        <v>43175</v>
      </c>
      <c r="BM492" s="6">
        <f>VLOOKUP(BL492,Sheet1!$A$2:$E$1114,2,FALSE)</f>
        <v>2.3941656131508262</v>
      </c>
      <c r="BN492" s="6">
        <f t="shared" si="51"/>
        <v>-1.3466017651091455</v>
      </c>
    </row>
    <row r="493" spans="49:66" x14ac:dyDescent="0.3">
      <c r="AW493">
        <f t="shared" si="50"/>
        <v>0</v>
      </c>
      <c r="AX493">
        <v>490</v>
      </c>
      <c r="AY493" s="4">
        <f t="shared" si="48"/>
        <v>43182</v>
      </c>
      <c r="AZ493" s="6">
        <f t="shared" si="49"/>
        <v>-4.2329488961620365</v>
      </c>
      <c r="BA493" s="4">
        <v>43182</v>
      </c>
      <c r="BB493" s="6">
        <v>-3.7345000000000002</v>
      </c>
      <c r="BC493" s="6">
        <v>-5.8434039999999996</v>
      </c>
      <c r="BD493" s="6">
        <v>-5.9217909999999998</v>
      </c>
      <c r="BE493" s="6"/>
      <c r="BF493" s="6"/>
      <c r="BG493" s="6"/>
      <c r="BH493" s="6"/>
      <c r="BI493" s="6"/>
      <c r="BJ493" s="6"/>
      <c r="BK493" s="6"/>
      <c r="BL493" s="4">
        <v>43182</v>
      </c>
      <c r="BM493" s="6">
        <f>VLOOKUP(BL493,Sheet1!$A$2:$E$1114,2,FALSE)</f>
        <v>2.2928218062566672</v>
      </c>
      <c r="BN493" s="6">
        <f t="shared" si="51"/>
        <v>-4.2329488961620365</v>
      </c>
    </row>
    <row r="494" spans="49:66" x14ac:dyDescent="0.3">
      <c r="AW494">
        <f t="shared" si="50"/>
        <v>0</v>
      </c>
      <c r="AX494">
        <v>491</v>
      </c>
      <c r="AY494" s="4">
        <f t="shared" si="48"/>
        <v>43189</v>
      </c>
      <c r="AZ494" s="6">
        <f t="shared" si="49"/>
        <v>2.0119357500103741</v>
      </c>
      <c r="BA494" s="4">
        <v>43189</v>
      </c>
      <c r="BB494" s="6">
        <v>-0.16486300000000001</v>
      </c>
      <c r="BC494" s="6">
        <v>5.6605720000000002</v>
      </c>
      <c r="BD494" s="6">
        <v>6.1811980000000002</v>
      </c>
      <c r="BE494" s="6"/>
      <c r="BF494" s="6"/>
      <c r="BG494" s="6"/>
      <c r="BH494" s="6"/>
      <c r="BI494" s="6"/>
      <c r="BJ494" s="6"/>
      <c r="BK494" s="6"/>
      <c r="BL494" s="4">
        <v>43189</v>
      </c>
      <c r="BM494" s="6">
        <f>VLOOKUP(BL494,Sheet1!$A$2:$E$1114,2,FALSE)</f>
        <v>2.3389519078607788</v>
      </c>
      <c r="BN494" s="6">
        <f t="shared" si="51"/>
        <v>2.0119357500103741</v>
      </c>
    </row>
    <row r="495" spans="49:66" x14ac:dyDescent="0.3">
      <c r="AW495">
        <f t="shared" si="50"/>
        <v>0</v>
      </c>
      <c r="AX495">
        <v>492</v>
      </c>
      <c r="AY495" s="4">
        <f t="shared" si="48"/>
        <v>43194</v>
      </c>
      <c r="AZ495" s="6">
        <f t="shared" si="49"/>
        <v>-0.72273714005255396</v>
      </c>
      <c r="BA495" s="4">
        <v>43194</v>
      </c>
      <c r="BB495" s="6">
        <v>-1.1192820000000001</v>
      </c>
      <c r="BC495" s="6">
        <v>-1.58718</v>
      </c>
      <c r="BD495" s="6">
        <v>-1.32006</v>
      </c>
      <c r="BE495" s="6"/>
      <c r="BF495" s="6"/>
      <c r="BG495" s="6"/>
      <c r="BH495" s="6"/>
      <c r="BI495" s="6"/>
      <c r="BJ495" s="6"/>
      <c r="BK495" s="6"/>
      <c r="BL495" s="4">
        <v>43194</v>
      </c>
      <c r="BM495" s="6">
        <f>VLOOKUP(BL495,Sheet1!$A$2:$E$1114,2,FALSE)</f>
        <v>2.322047433734701</v>
      </c>
      <c r="BN495" s="6">
        <f t="shared" si="51"/>
        <v>-0.72273714005255396</v>
      </c>
    </row>
    <row r="496" spans="49:66" x14ac:dyDescent="0.3">
      <c r="AW496">
        <f t="shared" si="50"/>
        <v>0</v>
      </c>
      <c r="AX496">
        <v>493</v>
      </c>
      <c r="AY496" s="4">
        <f t="shared" si="48"/>
        <v>43203</v>
      </c>
      <c r="AZ496" s="6">
        <f t="shared" si="49"/>
        <v>0.65671708128853812</v>
      </c>
      <c r="BA496" s="4">
        <v>43203</v>
      </c>
      <c r="BB496" s="6">
        <v>0.42237000000000002</v>
      </c>
      <c r="BC496" s="6">
        <v>0.15787499999999999</v>
      </c>
      <c r="BD496" s="6">
        <v>0.189911</v>
      </c>
      <c r="BE496" s="6"/>
      <c r="BF496" s="6"/>
      <c r="BG496" s="6"/>
      <c r="BH496" s="6"/>
      <c r="BI496" s="6"/>
      <c r="BJ496" s="6"/>
      <c r="BK496" s="6"/>
      <c r="BL496" s="4">
        <v>43203</v>
      </c>
      <c r="BM496" s="6">
        <f>VLOOKUP(BL496,Sheet1!$A$2:$E$1114,2,FALSE)</f>
        <v>2.3372967158676592</v>
      </c>
      <c r="BN496" s="6">
        <f t="shared" si="51"/>
        <v>0.65671708128853812</v>
      </c>
    </row>
    <row r="497" spans="49:66" x14ac:dyDescent="0.3">
      <c r="AW497">
        <f t="shared" si="50"/>
        <v>0</v>
      </c>
      <c r="AX497">
        <v>494</v>
      </c>
      <c r="AY497" s="4">
        <f t="shared" si="48"/>
        <v>43210</v>
      </c>
      <c r="AZ497" s="6">
        <f t="shared" si="49"/>
        <v>-2.4126541197692308</v>
      </c>
      <c r="BA497" s="4">
        <v>43210</v>
      </c>
      <c r="BB497" s="6">
        <v>-2.8490280000000001</v>
      </c>
      <c r="BC497" s="6">
        <v>-2.4281779999999999</v>
      </c>
      <c r="BD497" s="6">
        <v>-2.7627030000000001</v>
      </c>
      <c r="BE497" s="6"/>
      <c r="BF497" s="6"/>
      <c r="BG497" s="6"/>
      <c r="BH497" s="6"/>
      <c r="BI497" s="6"/>
      <c r="BJ497" s="6"/>
      <c r="BK497" s="6"/>
      <c r="BL497" s="4">
        <v>43210</v>
      </c>
      <c r="BM497" s="6">
        <f>VLOOKUP(BL497,Sheet1!$A$2:$E$1114,2,FALSE)</f>
        <v>2.2809058303610472</v>
      </c>
      <c r="BN497" s="6">
        <f t="shared" si="51"/>
        <v>-2.4126541197692308</v>
      </c>
    </row>
    <row r="498" spans="49:66" x14ac:dyDescent="0.3">
      <c r="AW498">
        <f t="shared" si="50"/>
        <v>0</v>
      </c>
      <c r="AX498">
        <v>495</v>
      </c>
      <c r="AY498" s="4">
        <f t="shared" si="48"/>
        <v>43217</v>
      </c>
      <c r="AZ498" s="6">
        <f t="shared" si="49"/>
        <v>0.41482136461938879</v>
      </c>
      <c r="BA498" s="4">
        <v>43217</v>
      </c>
      <c r="BB498" s="6">
        <v>-0.105769</v>
      </c>
      <c r="BC498" s="6">
        <v>-0.33757599999999999</v>
      </c>
      <c r="BD498" s="6">
        <v>-0.28931000000000001</v>
      </c>
      <c r="BE498" s="6"/>
      <c r="BF498" s="6"/>
      <c r="BG498" s="6"/>
      <c r="BH498" s="6"/>
      <c r="BI498" s="6"/>
      <c r="BJ498" s="6"/>
      <c r="BK498" s="6"/>
      <c r="BL498" s="4">
        <v>43217</v>
      </c>
      <c r="BM498" s="6">
        <f>VLOOKUP(BL498,Sheet1!$A$2:$E$1114,2,FALSE)</f>
        <v>2.290367515052234</v>
      </c>
      <c r="BN498" s="6">
        <f t="shared" si="51"/>
        <v>0.41482136461938879</v>
      </c>
    </row>
    <row r="499" spans="49:66" x14ac:dyDescent="0.3">
      <c r="AW499">
        <f t="shared" si="50"/>
        <v>0</v>
      </c>
      <c r="AX499">
        <v>496</v>
      </c>
      <c r="AY499" s="4">
        <f t="shared" si="48"/>
        <v>43224</v>
      </c>
      <c r="AZ499" s="6">
        <f t="shared" si="49"/>
        <v>0.89613365327174677</v>
      </c>
      <c r="BA499" s="4">
        <v>43224</v>
      </c>
      <c r="BB499" s="6">
        <v>0.47171099999999999</v>
      </c>
      <c r="BC499" s="6">
        <v>0.82427799999999996</v>
      </c>
      <c r="BD499" s="6">
        <v>0.21848400000000001</v>
      </c>
      <c r="BE499" s="6"/>
      <c r="BF499" s="6"/>
      <c r="BG499" s="6"/>
      <c r="BH499" s="6"/>
      <c r="BI499" s="6"/>
      <c r="BJ499" s="6"/>
      <c r="BK499" s="6"/>
      <c r="BL499" s="4">
        <v>43224</v>
      </c>
      <c r="BM499" s="6">
        <f>VLOOKUP(BL499,Sheet1!$A$2:$E$1114,2,FALSE)</f>
        <v>2.310892269138221</v>
      </c>
      <c r="BN499" s="6">
        <f t="shared" si="51"/>
        <v>0.89613365327174677</v>
      </c>
    </row>
    <row r="500" spans="49:66" x14ac:dyDescent="0.3">
      <c r="AW500">
        <f t="shared" si="50"/>
        <v>0</v>
      </c>
      <c r="AX500">
        <v>497</v>
      </c>
      <c r="AY500" s="4">
        <f t="shared" si="48"/>
        <v>43231</v>
      </c>
      <c r="AZ500" s="6">
        <f t="shared" si="49"/>
        <v>1.5849514350716021</v>
      </c>
      <c r="BA500" s="4">
        <v>43231</v>
      </c>
      <c r="BB500" s="6">
        <v>2.6026660000000001</v>
      </c>
      <c r="BC500" s="6">
        <v>1.3884570000000001</v>
      </c>
      <c r="BD500" s="6">
        <v>1.6148990000000001</v>
      </c>
      <c r="BE500" s="6"/>
      <c r="BF500" s="6"/>
      <c r="BG500" s="6"/>
      <c r="BH500" s="6"/>
      <c r="BI500" s="6"/>
      <c r="BJ500" s="6"/>
      <c r="BK500" s="6"/>
      <c r="BL500" s="4">
        <v>43231</v>
      </c>
      <c r="BM500" s="6">
        <f>VLOOKUP(BL500,Sheet1!$A$2:$E$1114,2,FALSE)</f>
        <v>2.347518789320886</v>
      </c>
      <c r="BN500" s="6">
        <f t="shared" si="51"/>
        <v>1.5849514350716021</v>
      </c>
    </row>
    <row r="501" spans="49:66" x14ac:dyDescent="0.3">
      <c r="AW501">
        <f t="shared" si="50"/>
        <v>0</v>
      </c>
      <c r="AX501">
        <v>498</v>
      </c>
      <c r="AY501" s="4">
        <f t="shared" si="48"/>
        <v>43238</v>
      </c>
      <c r="AZ501" s="6">
        <f t="shared" si="49"/>
        <v>0.30445249832871113</v>
      </c>
      <c r="BA501" s="4">
        <v>43238</v>
      </c>
      <c r="BB501" s="6">
        <v>0.78044599999999997</v>
      </c>
      <c r="BC501" s="6">
        <v>6.3547000000000006E-2</v>
      </c>
      <c r="BD501" s="6">
        <v>-0.24095900000000001</v>
      </c>
      <c r="BE501" s="6"/>
      <c r="BF501" s="6"/>
      <c r="BG501" s="6"/>
      <c r="BH501" s="6"/>
      <c r="BI501" s="6"/>
      <c r="BJ501" s="6"/>
      <c r="BK501" s="6"/>
      <c r="BL501" s="4">
        <v>43238</v>
      </c>
      <c r="BM501" s="6">
        <f>VLOOKUP(BL501,Sheet1!$A$2:$E$1114,2,FALSE)</f>
        <v>2.3546658689237092</v>
      </c>
      <c r="BN501" s="6">
        <f t="shared" si="51"/>
        <v>0.30445249832871113</v>
      </c>
    </row>
    <row r="502" spans="49:66" x14ac:dyDescent="0.3">
      <c r="AW502">
        <f t="shared" si="50"/>
        <v>0</v>
      </c>
      <c r="AX502">
        <v>499</v>
      </c>
      <c r="AY502" s="4">
        <f t="shared" si="48"/>
        <v>43245</v>
      </c>
      <c r="AZ502" s="6">
        <f t="shared" si="49"/>
        <v>-1.4871741850806863</v>
      </c>
      <c r="BA502" s="4">
        <v>43245</v>
      </c>
      <c r="BB502" s="6">
        <v>-2.2178909999999998</v>
      </c>
      <c r="BC502" s="6">
        <v>-1.290241</v>
      </c>
      <c r="BD502" s="6">
        <v>-1.198123</v>
      </c>
      <c r="BE502" s="6"/>
      <c r="BF502" s="6"/>
      <c r="BG502" s="6"/>
      <c r="BH502" s="6"/>
      <c r="BI502" s="6"/>
      <c r="BJ502" s="6"/>
      <c r="BK502" s="6"/>
      <c r="BL502" s="4">
        <v>43245</v>
      </c>
      <c r="BM502" s="6">
        <f>VLOOKUP(BL502,Sheet1!$A$2:$E$1114,2,FALSE)</f>
        <v>2.31964788597617</v>
      </c>
      <c r="BN502" s="6">
        <f t="shared" si="51"/>
        <v>-1.4871741850806863</v>
      </c>
    </row>
    <row r="503" spans="49:66" x14ac:dyDescent="0.3">
      <c r="AW503">
        <f t="shared" si="50"/>
        <v>0</v>
      </c>
      <c r="AX503">
        <v>500</v>
      </c>
      <c r="AY503" s="4">
        <f t="shared" si="48"/>
        <v>43252</v>
      </c>
      <c r="AZ503" s="6">
        <f t="shared" si="49"/>
        <v>-1.6730603163476854</v>
      </c>
      <c r="BA503" s="4">
        <v>43252</v>
      </c>
      <c r="BB503" s="6">
        <v>-1.202906</v>
      </c>
      <c r="BC503" s="6">
        <v>-3.9319069999999998</v>
      </c>
      <c r="BD503" s="6">
        <v>-4.551253</v>
      </c>
      <c r="BE503" s="6"/>
      <c r="BF503" s="6"/>
      <c r="BG503" s="6"/>
      <c r="BH503" s="6"/>
      <c r="BI503" s="6"/>
      <c r="BJ503" s="6"/>
      <c r="BK503" s="6"/>
      <c r="BL503" s="4">
        <v>43252</v>
      </c>
      <c r="BM503" s="6">
        <f>VLOOKUP(BL503,Sheet1!$A$2:$E$1114,2,FALSE)</f>
        <v>2.2808387777169048</v>
      </c>
      <c r="BN503" s="6">
        <f t="shared" si="51"/>
        <v>-1.6730603163476854</v>
      </c>
    </row>
    <row r="504" spans="49:66" x14ac:dyDescent="0.3">
      <c r="AW504">
        <f t="shared" si="50"/>
        <v>0</v>
      </c>
      <c r="AX504">
        <v>501</v>
      </c>
      <c r="AY504" s="4">
        <f t="shared" si="48"/>
        <v>43259</v>
      </c>
      <c r="AZ504" s="6">
        <f t="shared" si="49"/>
        <v>1.1681582413916036</v>
      </c>
      <c r="BA504" s="4">
        <v>43259</v>
      </c>
      <c r="BB504" s="6">
        <v>0.2394</v>
      </c>
      <c r="BC504" s="6">
        <v>-0.27813700000000002</v>
      </c>
      <c r="BD504" s="6">
        <v>-0.60502400000000001</v>
      </c>
      <c r="BE504" s="6"/>
      <c r="BF504" s="6"/>
      <c r="BG504" s="6"/>
      <c r="BH504" s="6"/>
      <c r="BI504" s="6"/>
      <c r="BJ504" s="6"/>
      <c r="BK504" s="6"/>
      <c r="BL504" s="4">
        <v>43259</v>
      </c>
      <c r="BM504" s="6">
        <f>VLOOKUP(BL504,Sheet1!$A$2:$E$1114,2,FALSE)</f>
        <v>2.3074825838716602</v>
      </c>
      <c r="BN504" s="6">
        <f t="shared" si="51"/>
        <v>1.1681582413916036</v>
      </c>
    </row>
    <row r="505" spans="49:66" x14ac:dyDescent="0.3">
      <c r="AW505">
        <f t="shared" si="50"/>
        <v>0</v>
      </c>
      <c r="AX505">
        <v>502</v>
      </c>
      <c r="AY505" s="4">
        <f t="shared" si="48"/>
        <v>43266</v>
      </c>
      <c r="AZ505" s="6">
        <f t="shared" si="49"/>
        <v>-1.1486051854619816</v>
      </c>
      <c r="BA505" s="4">
        <v>43266</v>
      </c>
      <c r="BB505" s="6">
        <v>-0.69271899999999997</v>
      </c>
      <c r="BC505" s="6">
        <v>-3.2695110000000001</v>
      </c>
      <c r="BD505" s="6">
        <v>-4.4776860000000003</v>
      </c>
      <c r="BE505" s="6"/>
      <c r="BF505" s="6"/>
      <c r="BG505" s="6"/>
      <c r="BH505" s="6"/>
      <c r="BI505" s="6"/>
      <c r="BJ505" s="6"/>
      <c r="BK505" s="6"/>
      <c r="BL505" s="4">
        <v>43266</v>
      </c>
      <c r="BM505" s="6">
        <f>VLOOKUP(BL505,Sheet1!$A$2:$E$1114,2,FALSE)</f>
        <v>2.2809787192596782</v>
      </c>
      <c r="BN505" s="6">
        <f t="shared" si="51"/>
        <v>-1.1486051854619816</v>
      </c>
    </row>
    <row r="506" spans="49:66" x14ac:dyDescent="0.3">
      <c r="AW506">
        <f t="shared" si="50"/>
        <v>0</v>
      </c>
      <c r="AX506">
        <v>503</v>
      </c>
      <c r="AY506" s="4">
        <f t="shared" si="48"/>
        <v>43273</v>
      </c>
      <c r="AZ506" s="6">
        <f t="shared" si="49"/>
        <v>-3.2812902679050127</v>
      </c>
      <c r="BA506" s="4">
        <v>43273</v>
      </c>
      <c r="BB506" s="6">
        <v>-3.8505859999999998</v>
      </c>
      <c r="BC506" s="6">
        <v>-5.9049060000000004</v>
      </c>
      <c r="BD506" s="6">
        <v>-6.5231709999999996</v>
      </c>
      <c r="BE506" s="6"/>
      <c r="BF506" s="6"/>
      <c r="BG506" s="6"/>
      <c r="BH506" s="6"/>
      <c r="BI506" s="6"/>
      <c r="BJ506" s="6"/>
      <c r="BK506" s="6"/>
      <c r="BL506" s="4">
        <v>43273</v>
      </c>
      <c r="BM506" s="6">
        <f>VLOOKUP(BL506,Sheet1!$A$2:$E$1114,2,FALSE)</f>
        <v>2.206133186531626</v>
      </c>
      <c r="BN506" s="6">
        <f t="shared" si="51"/>
        <v>-3.2812902679050127</v>
      </c>
    </row>
    <row r="507" spans="49:66" x14ac:dyDescent="0.3">
      <c r="AW507">
        <f t="shared" si="50"/>
        <v>0</v>
      </c>
      <c r="AX507">
        <v>504</v>
      </c>
      <c r="AY507" s="4">
        <f t="shared" si="48"/>
        <v>43280</v>
      </c>
      <c r="AZ507" s="6">
        <f t="shared" si="49"/>
        <v>-1.7716946003508927</v>
      </c>
      <c r="BA507" s="4">
        <v>43280</v>
      </c>
      <c r="BB507" s="6">
        <v>-2.7132909999999999</v>
      </c>
      <c r="BC507" s="6">
        <v>1.117057</v>
      </c>
      <c r="BD507" s="6">
        <v>1.2120029999999999</v>
      </c>
      <c r="BE507" s="6"/>
      <c r="BF507" s="6"/>
      <c r="BG507" s="6"/>
      <c r="BH507" s="6"/>
      <c r="BI507" s="6"/>
      <c r="BJ507" s="6"/>
      <c r="BK507" s="6"/>
      <c r="BL507" s="4">
        <v>43280</v>
      </c>
      <c r="BM507" s="6">
        <f>VLOOKUP(BL507,Sheet1!$A$2:$E$1114,2,FALSE)</f>
        <v>2.167047243989296</v>
      </c>
      <c r="BN507" s="6">
        <f t="shared" si="51"/>
        <v>-1.7716946003508927</v>
      </c>
    </row>
    <row r="508" spans="49:66" x14ac:dyDescent="0.3">
      <c r="AW508">
        <f t="shared" si="50"/>
        <v>0</v>
      </c>
      <c r="AX508">
        <v>505</v>
      </c>
      <c r="AY508" s="4">
        <f t="shared" si="48"/>
        <v>43287</v>
      </c>
      <c r="AZ508" s="6">
        <f t="shared" si="49"/>
        <v>-3.6714028470027582</v>
      </c>
      <c r="BA508" s="4">
        <v>43287</v>
      </c>
      <c r="BB508" s="6">
        <v>-4.1544420000000004</v>
      </c>
      <c r="BC508" s="6">
        <v>-4.2381060000000002</v>
      </c>
      <c r="BD508" s="6">
        <v>-4.1714219999999997</v>
      </c>
      <c r="BE508" s="6"/>
      <c r="BF508" s="6"/>
      <c r="BG508" s="6"/>
      <c r="BH508" s="6"/>
      <c r="BI508" s="6"/>
      <c r="BJ508" s="6"/>
      <c r="BK508" s="6"/>
      <c r="BL508" s="4">
        <v>43287</v>
      </c>
      <c r="BM508" s="6">
        <f>VLOOKUP(BL508,Sheet1!$A$2:$E$1114,2,FALSE)</f>
        <v>2.0874862097775781</v>
      </c>
      <c r="BN508" s="6">
        <f t="shared" si="51"/>
        <v>-3.6714028470027582</v>
      </c>
    </row>
    <row r="509" spans="49:66" x14ac:dyDescent="0.3">
      <c r="AW509">
        <f t="shared" si="50"/>
        <v>0</v>
      </c>
      <c r="AX509">
        <v>506</v>
      </c>
      <c r="AY509" s="4">
        <f t="shared" si="48"/>
        <v>43294</v>
      </c>
      <c r="AZ509" s="6">
        <f t="shared" si="49"/>
        <v>4.4562573465111832</v>
      </c>
      <c r="BA509" s="4">
        <v>43294</v>
      </c>
      <c r="BB509" s="6">
        <v>3.7908569999999999</v>
      </c>
      <c r="BC509" s="6">
        <v>4.153912</v>
      </c>
      <c r="BD509" s="6">
        <v>3.4812989999999999</v>
      </c>
      <c r="BE509" s="6"/>
      <c r="BF509" s="6"/>
      <c r="BG509" s="6"/>
      <c r="BH509" s="6"/>
      <c r="BI509" s="6"/>
      <c r="BJ509" s="6"/>
      <c r="BK509" s="6"/>
      <c r="BL509" s="4">
        <v>43294</v>
      </c>
      <c r="BM509" s="6">
        <f>VLOOKUP(BL509,Sheet1!$A$2:$E$1114,2,FALSE)</f>
        <v>2.1805099673581991</v>
      </c>
      <c r="BN509" s="6">
        <f t="shared" si="51"/>
        <v>4.4562573465111832</v>
      </c>
    </row>
    <row r="510" spans="49:66" x14ac:dyDescent="0.3">
      <c r="AW510">
        <f t="shared" si="50"/>
        <v>0</v>
      </c>
      <c r="AX510">
        <v>507</v>
      </c>
      <c r="AY510" s="4">
        <f t="shared" si="48"/>
        <v>43298</v>
      </c>
      <c r="AZ510" s="6">
        <f t="shared" si="49"/>
        <v>-0.66974452412325025</v>
      </c>
      <c r="BA510" s="4">
        <v>43298</v>
      </c>
      <c r="BB510" s="6">
        <v>-1.2400869999999999</v>
      </c>
      <c r="BC510" s="6">
        <v>-0.153503</v>
      </c>
      <c r="BD510" s="6">
        <v>0.247923</v>
      </c>
      <c r="BE510" s="6"/>
      <c r="BF510" s="6"/>
      <c r="BG510" s="6"/>
      <c r="BH510" s="6"/>
      <c r="BI510" s="6"/>
      <c r="BJ510" s="6"/>
      <c r="BK510" s="6"/>
      <c r="BL510" s="4">
        <v>43298</v>
      </c>
      <c r="BM510" s="6">
        <f>VLOOKUP(BL510,Sheet1!$A$2:$E$1114,2,FALSE)</f>
        <v>2.165906121253856</v>
      </c>
      <c r="BN510" s="6">
        <f t="shared" si="51"/>
        <v>-0.66974452412325025</v>
      </c>
    </row>
    <row r="511" spans="49:66" x14ac:dyDescent="0.3">
      <c r="AW511">
        <f t="shared" si="50"/>
        <v>1</v>
      </c>
      <c r="AX511">
        <v>508</v>
      </c>
      <c r="AY511" s="4">
        <f t="shared" si="48"/>
        <v>42880</v>
      </c>
      <c r="AZ511" s="6">
        <f t="shared" si="49"/>
        <v>-100</v>
      </c>
      <c r="BA511" s="4">
        <v>42880</v>
      </c>
      <c r="BB511" s="6">
        <v>1.7958000000000001</v>
      </c>
      <c r="BC511" s="6">
        <v>0.88892000000000004</v>
      </c>
      <c r="BD511" s="6">
        <v>0.84337799999999996</v>
      </c>
      <c r="BE511" s="6"/>
      <c r="BF511" s="6"/>
      <c r="BG511" s="6"/>
      <c r="BH511" s="6"/>
      <c r="BI511" s="6"/>
      <c r="BJ511" s="6"/>
      <c r="BK511" s="6"/>
      <c r="BL511" s="6"/>
      <c r="BM511" s="6"/>
      <c r="BN511" s="6">
        <f t="shared" si="51"/>
        <v>-100</v>
      </c>
    </row>
    <row r="512" spans="49:66" x14ac:dyDescent="0.3">
      <c r="AW512">
        <f t="shared" si="50"/>
        <v>0</v>
      </c>
      <c r="AX512">
        <v>509</v>
      </c>
      <c r="AY512" s="4">
        <f t="shared" si="48"/>
        <v>42881</v>
      </c>
      <c r="AZ512" s="6" t="e">
        <f t="shared" si="49"/>
        <v>#DIV/0!</v>
      </c>
      <c r="BA512" s="4">
        <v>42881</v>
      </c>
      <c r="BB512" s="6">
        <v>-0.14985999999999999</v>
      </c>
      <c r="BC512" s="6">
        <v>-0.237007</v>
      </c>
      <c r="BD512" s="6">
        <v>9.7769999999999992E-3</v>
      </c>
      <c r="BE512" s="6"/>
      <c r="BF512" s="6"/>
      <c r="BG512" s="6"/>
      <c r="BH512" s="6"/>
      <c r="BI512" s="6"/>
      <c r="BJ512" s="6"/>
      <c r="BK512" s="6"/>
      <c r="BL512" s="6"/>
      <c r="BM512" s="6"/>
      <c r="BN512" s="6" t="e">
        <f t="shared" si="51"/>
        <v>#DIV/0!</v>
      </c>
    </row>
    <row r="513" spans="49:66" x14ac:dyDescent="0.3">
      <c r="AW513">
        <f t="shared" si="50"/>
        <v>0</v>
      </c>
      <c r="AX513">
        <v>510</v>
      </c>
      <c r="AY513" s="4">
        <f t="shared" si="48"/>
        <v>42886</v>
      </c>
      <c r="AZ513" s="6" t="e">
        <f t="shared" si="49"/>
        <v>#DIV/0!</v>
      </c>
      <c r="BA513" s="4">
        <v>42886</v>
      </c>
      <c r="BB513" s="6">
        <v>0.35771399999999998</v>
      </c>
      <c r="BC513" s="6">
        <v>-0.2198</v>
      </c>
      <c r="BD513" s="6">
        <v>-0.285381</v>
      </c>
      <c r="BE513" s="6"/>
      <c r="BF513" s="6"/>
      <c r="BG513" s="6"/>
      <c r="BH513" s="6"/>
      <c r="BI513" s="6"/>
      <c r="BJ513" s="6"/>
      <c r="BK513" s="6"/>
      <c r="BL513" s="6"/>
      <c r="BM513" s="6"/>
      <c r="BN513" s="6" t="e">
        <f t="shared" si="51"/>
        <v>#DIV/0!</v>
      </c>
    </row>
    <row r="514" spans="49:66" x14ac:dyDescent="0.3">
      <c r="AW514">
        <f t="shared" si="50"/>
        <v>0</v>
      </c>
      <c r="AX514">
        <v>511</v>
      </c>
      <c r="AY514" s="4">
        <f t="shared" si="48"/>
        <v>42887</v>
      </c>
      <c r="AZ514" s="6" t="e">
        <f t="shared" si="49"/>
        <v>#DIV/0!</v>
      </c>
      <c r="BA514" s="4">
        <v>42887</v>
      </c>
      <c r="BB514" s="6">
        <v>0.13896</v>
      </c>
      <c r="BC514" s="6">
        <v>-1.959182</v>
      </c>
      <c r="BD514" s="6">
        <v>-2.7228629999999998</v>
      </c>
      <c r="BE514" s="6"/>
      <c r="BF514" s="6"/>
      <c r="BG514" s="6"/>
      <c r="BH514" s="6"/>
      <c r="BI514" s="6"/>
      <c r="BJ514" s="6"/>
      <c r="BK514" s="6"/>
      <c r="BL514" s="6"/>
      <c r="BM514" s="6"/>
      <c r="BN514" s="6" t="e">
        <f t="shared" si="51"/>
        <v>#DIV/0!</v>
      </c>
    </row>
    <row r="515" spans="49:66" x14ac:dyDescent="0.3">
      <c r="AW515">
        <f t="shared" si="50"/>
        <v>0</v>
      </c>
      <c r="AX515">
        <v>512</v>
      </c>
      <c r="AY515" s="4">
        <f t="shared" si="48"/>
        <v>42888</v>
      </c>
      <c r="AZ515" s="6" t="e">
        <f t="shared" si="49"/>
        <v>#DIV/0!</v>
      </c>
      <c r="BA515" s="4">
        <v>42888</v>
      </c>
      <c r="BB515" s="6">
        <v>-0.32108700000000001</v>
      </c>
      <c r="BC515" s="6">
        <v>1.094886</v>
      </c>
      <c r="BD515" s="6">
        <v>1.1134550000000001</v>
      </c>
      <c r="BE515" s="6"/>
      <c r="BF515" s="6"/>
      <c r="BG515" s="6"/>
      <c r="BH515" s="6"/>
      <c r="BI515" s="6"/>
      <c r="BJ515" s="6"/>
      <c r="BK515" s="6"/>
      <c r="BL515" s="6"/>
      <c r="BM515" s="6"/>
      <c r="BN515" s="6" t="e">
        <f t="shared" si="51"/>
        <v>#DIV/0!</v>
      </c>
    </row>
    <row r="516" spans="49:66" x14ac:dyDescent="0.3">
      <c r="AW516">
        <f t="shared" si="50"/>
        <v>0</v>
      </c>
      <c r="AX516">
        <v>513</v>
      </c>
      <c r="AY516" s="4">
        <f t="shared" si="48"/>
        <v>42891</v>
      </c>
      <c r="AZ516" s="6" t="e">
        <f t="shared" si="49"/>
        <v>#DIV/0!</v>
      </c>
      <c r="BA516" s="4">
        <v>42891</v>
      </c>
      <c r="BB516" s="6">
        <v>-0.50920900000000002</v>
      </c>
      <c r="BC516" s="6">
        <v>0.74984300000000004</v>
      </c>
      <c r="BD516" s="6">
        <v>0.93171599999999999</v>
      </c>
      <c r="BE516" s="6"/>
      <c r="BF516" s="6"/>
      <c r="BG516" s="6"/>
      <c r="BH516" s="6"/>
      <c r="BI516" s="6"/>
      <c r="BJ516" s="6"/>
      <c r="BK516" s="6"/>
      <c r="BL516" s="6"/>
      <c r="BM516" s="6"/>
      <c r="BN516" s="6" t="e">
        <f t="shared" si="51"/>
        <v>#DIV/0!</v>
      </c>
    </row>
    <row r="517" spans="49:66" x14ac:dyDescent="0.3">
      <c r="AW517">
        <f t="shared" si="50"/>
        <v>0</v>
      </c>
      <c r="AX517">
        <v>514</v>
      </c>
      <c r="AY517" s="4">
        <f t="shared" ref="AY517:AY580" si="52">BA517</f>
        <v>42892</v>
      </c>
      <c r="AZ517" s="6" t="e">
        <f t="shared" ref="AZ517:AZ580" si="53">BN517</f>
        <v>#DIV/0!</v>
      </c>
      <c r="BA517" s="4">
        <v>42892</v>
      </c>
      <c r="BB517" s="6">
        <v>0.69557500000000005</v>
      </c>
      <c r="BC517" s="6">
        <v>0.44226100000000002</v>
      </c>
      <c r="BD517" s="6">
        <v>0.51798299999999997</v>
      </c>
      <c r="BE517" s="6"/>
      <c r="BF517" s="6"/>
      <c r="BG517" s="6"/>
      <c r="BH517" s="6"/>
      <c r="BI517" s="6"/>
      <c r="BJ517" s="6"/>
      <c r="BK517" s="6"/>
      <c r="BL517" s="6"/>
      <c r="BM517" s="6"/>
      <c r="BN517" s="6" t="e">
        <f t="shared" si="51"/>
        <v>#DIV/0!</v>
      </c>
    </row>
    <row r="518" spans="49:66" x14ac:dyDescent="0.3">
      <c r="AW518">
        <f t="shared" ref="AW518:AW581" si="54">IF(AY518&lt;=AY517,1,0)</f>
        <v>0</v>
      </c>
      <c r="AX518">
        <v>515</v>
      </c>
      <c r="AY518" s="4">
        <f t="shared" si="52"/>
        <v>42893</v>
      </c>
      <c r="AZ518" s="6" t="e">
        <f t="shared" si="53"/>
        <v>#DIV/0!</v>
      </c>
      <c r="BA518" s="4">
        <v>42893</v>
      </c>
      <c r="BB518" s="6">
        <v>1.173535</v>
      </c>
      <c r="BC518" s="6">
        <v>1.9428510000000001</v>
      </c>
      <c r="BD518" s="6">
        <v>2.083742</v>
      </c>
      <c r="BE518" s="6"/>
      <c r="BF518" s="6"/>
      <c r="BG518" s="6"/>
      <c r="BH518" s="6"/>
      <c r="BI518" s="6"/>
      <c r="BJ518" s="6"/>
      <c r="BK518" s="6"/>
      <c r="BL518" s="6"/>
      <c r="BM518" s="6"/>
      <c r="BN518" s="6" t="e">
        <f t="shared" ref="BN518:BN581" si="55">(BM518/BM517-1)*100</f>
        <v>#DIV/0!</v>
      </c>
    </row>
    <row r="519" spans="49:66" x14ac:dyDescent="0.3">
      <c r="AW519">
        <f t="shared" si="54"/>
        <v>0</v>
      </c>
      <c r="AX519">
        <v>516</v>
      </c>
      <c r="AY519" s="4">
        <f t="shared" si="52"/>
        <v>42894</v>
      </c>
      <c r="AZ519" s="6" t="e">
        <f t="shared" si="53"/>
        <v>#DIV/0!</v>
      </c>
      <c r="BA519" s="4">
        <v>42894</v>
      </c>
      <c r="BB519" s="6">
        <v>0.76705699999999999</v>
      </c>
      <c r="BC519" s="6">
        <v>6.6527000000000003E-2</v>
      </c>
      <c r="BD519" s="6">
        <v>-6.9616999999999998E-2</v>
      </c>
      <c r="BE519" s="6"/>
      <c r="BF519" s="6"/>
      <c r="BG519" s="6"/>
      <c r="BH519" s="6"/>
      <c r="BI519" s="6"/>
      <c r="BJ519" s="6"/>
      <c r="BK519" s="6"/>
      <c r="BL519" s="6"/>
      <c r="BM519" s="6"/>
      <c r="BN519" s="6" t="e">
        <f t="shared" si="55"/>
        <v>#DIV/0!</v>
      </c>
    </row>
    <row r="520" spans="49:66" x14ac:dyDescent="0.3">
      <c r="AW520">
        <f t="shared" si="54"/>
        <v>0</v>
      </c>
      <c r="AX520">
        <v>517</v>
      </c>
      <c r="AY520" s="4">
        <f t="shared" si="52"/>
        <v>42895</v>
      </c>
      <c r="AZ520" s="6" t="e">
        <f t="shared" si="53"/>
        <v>#DIV/0!</v>
      </c>
      <c r="BA520" s="4">
        <v>42895</v>
      </c>
      <c r="BB520" s="6">
        <v>0.426616</v>
      </c>
      <c r="BC520" s="6">
        <v>0.17280000000000001</v>
      </c>
      <c r="BD520" s="6">
        <v>8.2241999999999996E-2</v>
      </c>
      <c r="BE520" s="6"/>
      <c r="BF520" s="6"/>
      <c r="BG520" s="6"/>
      <c r="BH520" s="6"/>
      <c r="BI520" s="6"/>
      <c r="BJ520" s="6"/>
      <c r="BK520" s="6"/>
      <c r="BL520" s="6"/>
      <c r="BM520" s="6"/>
      <c r="BN520" s="6" t="e">
        <f t="shared" si="55"/>
        <v>#DIV/0!</v>
      </c>
    </row>
    <row r="521" spans="49:66" x14ac:dyDescent="0.3">
      <c r="AW521">
        <f t="shared" si="54"/>
        <v>0</v>
      </c>
      <c r="AX521">
        <v>518</v>
      </c>
      <c r="AY521" s="4">
        <f t="shared" si="52"/>
        <v>42898</v>
      </c>
      <c r="AZ521" s="6" t="e">
        <f t="shared" si="53"/>
        <v>#DIV/0!</v>
      </c>
      <c r="BA521" s="4">
        <v>42898</v>
      </c>
      <c r="BB521" s="6">
        <v>-4.9799000000000003E-2</v>
      </c>
      <c r="BC521" s="6">
        <v>-1.112681</v>
      </c>
      <c r="BD521" s="6">
        <v>-1.3854230000000001</v>
      </c>
      <c r="BE521" s="6"/>
      <c r="BF521" s="6"/>
      <c r="BG521" s="6"/>
      <c r="BH521" s="6"/>
      <c r="BI521" s="6"/>
      <c r="BJ521" s="6"/>
      <c r="BK521" s="6"/>
      <c r="BL521" s="6"/>
      <c r="BM521" s="6"/>
      <c r="BN521" s="6" t="e">
        <f t="shared" si="55"/>
        <v>#DIV/0!</v>
      </c>
    </row>
    <row r="522" spans="49:66" x14ac:dyDescent="0.3">
      <c r="AW522">
        <f t="shared" si="54"/>
        <v>0</v>
      </c>
      <c r="AX522">
        <v>519</v>
      </c>
      <c r="AY522" s="4">
        <f t="shared" si="52"/>
        <v>42899</v>
      </c>
      <c r="AZ522" s="6" t="e">
        <f t="shared" si="53"/>
        <v>#DIV/0!</v>
      </c>
      <c r="BA522" s="4">
        <v>42899</v>
      </c>
      <c r="BB522" s="6">
        <v>0.22040100000000001</v>
      </c>
      <c r="BC522" s="6">
        <v>1.3078669999999999</v>
      </c>
      <c r="BD522" s="6">
        <v>1.46637</v>
      </c>
      <c r="BE522" s="6"/>
      <c r="BF522" s="6"/>
      <c r="BG522" s="6"/>
      <c r="BH522" s="6"/>
      <c r="BI522" s="6"/>
      <c r="BJ522" s="6"/>
      <c r="BK522" s="6"/>
      <c r="BL522" s="6"/>
      <c r="BM522" s="6"/>
      <c r="BN522" s="6" t="e">
        <f t="shared" si="55"/>
        <v>#DIV/0!</v>
      </c>
    </row>
    <row r="523" spans="49:66" x14ac:dyDescent="0.3">
      <c r="AW523">
        <f t="shared" si="54"/>
        <v>0</v>
      </c>
      <c r="AX523">
        <v>520</v>
      </c>
      <c r="AY523" s="4">
        <f t="shared" si="52"/>
        <v>42900</v>
      </c>
      <c r="AZ523" s="6" t="e">
        <f t="shared" si="53"/>
        <v>#DIV/0!</v>
      </c>
      <c r="BA523" s="4">
        <v>42900</v>
      </c>
      <c r="BB523" s="6">
        <v>-1.3111440000000001</v>
      </c>
      <c r="BC523" s="6">
        <v>-0.22784399999999999</v>
      </c>
      <c r="BD523" s="6">
        <v>0.13435900000000001</v>
      </c>
      <c r="BE523" s="6"/>
      <c r="BF523" s="6"/>
      <c r="BG523" s="6"/>
      <c r="BH523" s="6"/>
      <c r="BI523" s="6"/>
      <c r="BJ523" s="6"/>
      <c r="BK523" s="6"/>
      <c r="BL523" s="6"/>
      <c r="BM523" s="6"/>
      <c r="BN523" s="6" t="e">
        <f t="shared" si="55"/>
        <v>#DIV/0!</v>
      </c>
    </row>
    <row r="524" spans="49:66" x14ac:dyDescent="0.3">
      <c r="AW524">
        <f t="shared" si="54"/>
        <v>0</v>
      </c>
      <c r="AX524">
        <v>521</v>
      </c>
      <c r="AY524" s="4">
        <f t="shared" si="52"/>
        <v>42901</v>
      </c>
      <c r="AZ524" s="6" t="e">
        <f t="shared" si="53"/>
        <v>#DIV/0!</v>
      </c>
      <c r="BA524" s="4">
        <v>42901</v>
      </c>
      <c r="BB524" s="6">
        <v>-0.184033</v>
      </c>
      <c r="BC524" s="6">
        <v>0.91736099999999998</v>
      </c>
      <c r="BD524" s="6">
        <v>1.2567390000000001</v>
      </c>
      <c r="BE524" s="6"/>
      <c r="BF524" s="6"/>
      <c r="BG524" s="6"/>
      <c r="BH524" s="6"/>
      <c r="BI524" s="6"/>
      <c r="BJ524" s="6"/>
      <c r="BK524" s="6"/>
      <c r="BL524" s="6"/>
      <c r="BM524" s="6"/>
      <c r="BN524" s="6" t="e">
        <f t="shared" si="55"/>
        <v>#DIV/0!</v>
      </c>
    </row>
    <row r="525" spans="49:66" x14ac:dyDescent="0.3">
      <c r="AW525">
        <f t="shared" si="54"/>
        <v>0</v>
      </c>
      <c r="AX525">
        <v>522</v>
      </c>
      <c r="AY525" s="4">
        <f t="shared" si="52"/>
        <v>42902</v>
      </c>
      <c r="AZ525" s="6" t="e">
        <f t="shared" si="53"/>
        <v>#DIV/0!</v>
      </c>
      <c r="BA525" s="4">
        <v>42902</v>
      </c>
      <c r="BB525" s="6">
        <v>-0.28427599999999997</v>
      </c>
      <c r="BC525" s="6">
        <v>-0.13561300000000001</v>
      </c>
      <c r="BD525" s="6">
        <v>-0.16678399999999999</v>
      </c>
      <c r="BE525" s="6"/>
      <c r="BF525" s="6"/>
      <c r="BG525" s="6"/>
      <c r="BH525" s="6"/>
      <c r="BI525" s="6"/>
      <c r="BJ525" s="6"/>
      <c r="BK525" s="6"/>
      <c r="BL525" s="6"/>
      <c r="BM525" s="6"/>
      <c r="BN525" s="6" t="e">
        <f t="shared" si="55"/>
        <v>#DIV/0!</v>
      </c>
    </row>
    <row r="526" spans="49:66" x14ac:dyDescent="0.3">
      <c r="AW526">
        <f t="shared" si="54"/>
        <v>0</v>
      </c>
      <c r="AX526">
        <v>523</v>
      </c>
      <c r="AY526" s="4">
        <f t="shared" si="52"/>
        <v>42905</v>
      </c>
      <c r="AZ526" s="6" t="e">
        <f t="shared" si="53"/>
        <v>#DIV/0!</v>
      </c>
      <c r="BA526" s="4">
        <v>42905</v>
      </c>
      <c r="BB526" s="6">
        <v>0.99194599999999999</v>
      </c>
      <c r="BC526" s="6">
        <v>0.73859799999999998</v>
      </c>
      <c r="BD526" s="6">
        <v>0.62887800000000005</v>
      </c>
      <c r="BE526" s="6"/>
      <c r="BF526" s="6"/>
      <c r="BG526" s="6"/>
      <c r="BH526" s="6"/>
      <c r="BI526" s="6"/>
      <c r="BJ526" s="6"/>
      <c r="BK526" s="6"/>
      <c r="BL526" s="6"/>
      <c r="BM526" s="6"/>
      <c r="BN526" s="6" t="e">
        <f t="shared" si="55"/>
        <v>#DIV/0!</v>
      </c>
    </row>
    <row r="527" spans="49:66" x14ac:dyDescent="0.3">
      <c r="AW527">
        <f t="shared" si="54"/>
        <v>0</v>
      </c>
      <c r="AX527">
        <v>524</v>
      </c>
      <c r="AY527" s="4">
        <f t="shared" si="52"/>
        <v>42906</v>
      </c>
      <c r="AZ527" s="6" t="e">
        <f t="shared" si="53"/>
        <v>#DIV/0!</v>
      </c>
      <c r="BA527" s="4">
        <v>42906</v>
      </c>
      <c r="BB527" s="6">
        <v>-0.20180000000000001</v>
      </c>
      <c r="BC527" s="6">
        <v>0.156719</v>
      </c>
      <c r="BD527" s="6">
        <v>0.18746099999999999</v>
      </c>
      <c r="BE527" s="6"/>
      <c r="BF527" s="6"/>
      <c r="BG527" s="6"/>
      <c r="BH527" s="6"/>
      <c r="BI527" s="6"/>
      <c r="BJ527" s="6"/>
      <c r="BK527" s="6"/>
      <c r="BL527" s="6"/>
      <c r="BM527" s="6"/>
      <c r="BN527" s="6" t="e">
        <f t="shared" si="55"/>
        <v>#DIV/0!</v>
      </c>
    </row>
    <row r="528" spans="49:66" x14ac:dyDescent="0.3">
      <c r="AW528">
        <f t="shared" si="54"/>
        <v>0</v>
      </c>
      <c r="AX528">
        <v>525</v>
      </c>
      <c r="AY528" s="4">
        <f t="shared" si="52"/>
        <v>42907</v>
      </c>
      <c r="AZ528" s="6" t="e">
        <f t="shared" si="53"/>
        <v>#DIV/0!</v>
      </c>
      <c r="BA528" s="4">
        <v>42907</v>
      </c>
      <c r="BB528" s="6">
        <v>1.1690700000000001</v>
      </c>
      <c r="BC528" s="6">
        <v>0.186057</v>
      </c>
      <c r="BD528" s="6">
        <v>5.2170000000000003E-3</v>
      </c>
      <c r="BE528" s="6"/>
      <c r="BF528" s="6"/>
      <c r="BG528" s="6"/>
      <c r="BH528" s="6"/>
      <c r="BI528" s="6"/>
      <c r="BJ528" s="6"/>
      <c r="BK528" s="6"/>
      <c r="BL528" s="6"/>
      <c r="BM528" s="6"/>
      <c r="BN528" s="6" t="e">
        <f t="shared" si="55"/>
        <v>#DIV/0!</v>
      </c>
    </row>
    <row r="529" spans="49:66" x14ac:dyDescent="0.3">
      <c r="AW529">
        <f t="shared" si="54"/>
        <v>0</v>
      </c>
      <c r="AX529">
        <v>526</v>
      </c>
      <c r="AY529" s="4">
        <f t="shared" si="52"/>
        <v>42908</v>
      </c>
      <c r="AZ529" s="6" t="e">
        <f t="shared" si="53"/>
        <v>#DIV/0!</v>
      </c>
      <c r="BA529" s="4">
        <v>42908</v>
      </c>
      <c r="BB529" s="6">
        <v>6.6542000000000004E-2</v>
      </c>
      <c r="BC529" s="6">
        <v>-1.412547</v>
      </c>
      <c r="BD529" s="6">
        <v>-1.7620880000000001</v>
      </c>
      <c r="BE529" s="6"/>
      <c r="BF529" s="6"/>
      <c r="BG529" s="6"/>
      <c r="BH529" s="6"/>
      <c r="BI529" s="6"/>
      <c r="BJ529" s="6"/>
      <c r="BK529" s="6"/>
      <c r="BL529" s="6"/>
      <c r="BM529" s="6"/>
      <c r="BN529" s="6" t="e">
        <f t="shared" si="55"/>
        <v>#DIV/0!</v>
      </c>
    </row>
    <row r="530" spans="49:66" x14ac:dyDescent="0.3">
      <c r="AW530">
        <f t="shared" si="54"/>
        <v>0</v>
      </c>
      <c r="AX530">
        <v>527</v>
      </c>
      <c r="AY530" s="4">
        <f t="shared" si="52"/>
        <v>42909</v>
      </c>
      <c r="AZ530" s="6" t="e">
        <f t="shared" si="53"/>
        <v>#DIV/0!</v>
      </c>
      <c r="BA530" s="4">
        <v>42909</v>
      </c>
      <c r="BB530" s="6">
        <v>0.90633699999999995</v>
      </c>
      <c r="BC530" s="6">
        <v>0.30002499999999999</v>
      </c>
      <c r="BD530" s="6">
        <v>6.3804E-2</v>
      </c>
      <c r="BE530" s="6"/>
      <c r="BF530" s="6"/>
      <c r="BG530" s="6"/>
      <c r="BH530" s="6"/>
      <c r="BI530" s="6"/>
      <c r="BJ530" s="6"/>
      <c r="BK530" s="6"/>
      <c r="BL530" s="6"/>
      <c r="BM530" s="6"/>
      <c r="BN530" s="6" t="e">
        <f t="shared" si="55"/>
        <v>#DIV/0!</v>
      </c>
    </row>
    <row r="531" spans="49:66" x14ac:dyDescent="0.3">
      <c r="AW531">
        <f t="shared" si="54"/>
        <v>0</v>
      </c>
      <c r="AX531">
        <v>528</v>
      </c>
      <c r="AY531" s="4">
        <f t="shared" si="52"/>
        <v>42912</v>
      </c>
      <c r="AZ531" s="6" t="e">
        <f t="shared" si="53"/>
        <v>#DIV/0!</v>
      </c>
      <c r="BA531" s="4">
        <v>42912</v>
      </c>
      <c r="BB531" s="6">
        <v>1.247868</v>
      </c>
      <c r="BC531" s="6">
        <v>1.6858839999999999</v>
      </c>
      <c r="BD531" s="6">
        <v>1.158118</v>
      </c>
      <c r="BE531" s="6"/>
      <c r="BF531" s="6"/>
      <c r="BG531" s="6"/>
      <c r="BH531" s="6"/>
      <c r="BI531" s="6"/>
      <c r="BJ531" s="6"/>
      <c r="BK531" s="6"/>
      <c r="BL531" s="6"/>
      <c r="BM531" s="6"/>
      <c r="BN531" s="6" t="e">
        <f t="shared" si="55"/>
        <v>#DIV/0!</v>
      </c>
    </row>
    <row r="532" spans="49:66" x14ac:dyDescent="0.3">
      <c r="AW532">
        <f t="shared" si="54"/>
        <v>0</v>
      </c>
      <c r="AX532">
        <v>529</v>
      </c>
      <c r="AY532" s="4">
        <f t="shared" si="52"/>
        <v>42913</v>
      </c>
      <c r="AZ532" s="6" t="e">
        <f t="shared" si="53"/>
        <v>#DIV/0!</v>
      </c>
      <c r="BA532" s="4">
        <v>42913</v>
      </c>
      <c r="BB532" s="6">
        <v>0.180565</v>
      </c>
      <c r="BC532" s="6">
        <v>2.4955999999999999E-2</v>
      </c>
      <c r="BD532" s="6">
        <v>0.15997</v>
      </c>
      <c r="BE532" s="6"/>
      <c r="BF532" s="6"/>
      <c r="BG532" s="6"/>
      <c r="BH532" s="6"/>
      <c r="BI532" s="6"/>
      <c r="BJ532" s="6"/>
      <c r="BK532" s="6"/>
      <c r="BL532" s="6"/>
      <c r="BM532" s="6"/>
      <c r="BN532" s="6" t="e">
        <f t="shared" si="55"/>
        <v>#DIV/0!</v>
      </c>
    </row>
    <row r="533" spans="49:66" x14ac:dyDescent="0.3">
      <c r="AW533">
        <f t="shared" si="54"/>
        <v>0</v>
      </c>
      <c r="AX533">
        <v>530</v>
      </c>
      <c r="AY533" s="4">
        <f t="shared" si="52"/>
        <v>42914</v>
      </c>
      <c r="AZ533" s="6" t="e">
        <f t="shared" si="53"/>
        <v>#DIV/0!</v>
      </c>
      <c r="BA533" s="4">
        <v>42914</v>
      </c>
      <c r="BB533" s="6">
        <v>-0.77689299999999994</v>
      </c>
      <c r="BC533" s="6">
        <v>-0.44092700000000001</v>
      </c>
      <c r="BD533" s="6">
        <v>-0.67653799999999997</v>
      </c>
      <c r="BE533" s="6"/>
      <c r="BF533" s="6"/>
      <c r="BG533" s="6"/>
      <c r="BH533" s="6"/>
      <c r="BI533" s="6"/>
      <c r="BJ533" s="6"/>
      <c r="BK533" s="6"/>
      <c r="BL533" s="6"/>
      <c r="BM533" s="6"/>
      <c r="BN533" s="6" t="e">
        <f t="shared" si="55"/>
        <v>#DIV/0!</v>
      </c>
    </row>
    <row r="534" spans="49:66" x14ac:dyDescent="0.3">
      <c r="AW534">
        <f t="shared" si="54"/>
        <v>0</v>
      </c>
      <c r="AX534">
        <v>531</v>
      </c>
      <c r="AY534" s="4">
        <f t="shared" si="52"/>
        <v>42915</v>
      </c>
      <c r="AZ534" s="6" t="e">
        <f t="shared" si="53"/>
        <v>#DIV/0!</v>
      </c>
      <c r="BA534" s="4">
        <v>42915</v>
      </c>
      <c r="BB534" s="6">
        <v>0.62151000000000001</v>
      </c>
      <c r="BC534" s="6">
        <v>0.50576600000000005</v>
      </c>
      <c r="BD534" s="6">
        <v>0.44728000000000001</v>
      </c>
      <c r="BE534" s="6"/>
      <c r="BF534" s="6"/>
      <c r="BG534" s="6"/>
      <c r="BH534" s="6"/>
      <c r="BI534" s="6"/>
      <c r="BJ534" s="6"/>
      <c r="BK534" s="6"/>
      <c r="BL534" s="6"/>
      <c r="BM534" s="6"/>
      <c r="BN534" s="6" t="e">
        <f t="shared" si="55"/>
        <v>#DIV/0!</v>
      </c>
    </row>
    <row r="535" spans="49:66" x14ac:dyDescent="0.3">
      <c r="AW535">
        <f t="shared" si="54"/>
        <v>0</v>
      </c>
      <c r="AX535">
        <v>532</v>
      </c>
      <c r="AY535" s="4">
        <f t="shared" si="52"/>
        <v>42916</v>
      </c>
      <c r="AZ535" s="6" t="e">
        <f t="shared" si="53"/>
        <v>#DIV/0!</v>
      </c>
      <c r="BA535" s="4">
        <v>42916</v>
      </c>
      <c r="BB535" s="6">
        <v>-5.5336000000000003E-2</v>
      </c>
      <c r="BC535" s="6">
        <v>0.34596100000000002</v>
      </c>
      <c r="BD535" s="6">
        <v>0.12191</v>
      </c>
      <c r="BE535" s="6"/>
      <c r="BF535" s="6"/>
      <c r="BG535" s="6"/>
      <c r="BH535" s="6"/>
      <c r="BI535" s="6"/>
      <c r="BJ535" s="6"/>
      <c r="BK535" s="6"/>
      <c r="BL535" s="6"/>
      <c r="BM535" s="6"/>
      <c r="BN535" s="6" t="e">
        <f t="shared" si="55"/>
        <v>#DIV/0!</v>
      </c>
    </row>
    <row r="536" spans="49:66" x14ac:dyDescent="0.3">
      <c r="AW536">
        <f t="shared" si="54"/>
        <v>0</v>
      </c>
      <c r="AX536">
        <v>533</v>
      </c>
      <c r="AY536" s="4">
        <f t="shared" si="52"/>
        <v>42919</v>
      </c>
      <c r="AZ536" s="6" t="e">
        <f t="shared" si="53"/>
        <v>#DIV/0!</v>
      </c>
      <c r="BA536" s="4">
        <v>42919</v>
      </c>
      <c r="BB536" s="6">
        <v>-0.43502299999999999</v>
      </c>
      <c r="BC536" s="6">
        <v>0.63927500000000004</v>
      </c>
      <c r="BD536" s="6">
        <v>0.95561200000000002</v>
      </c>
      <c r="BE536" s="6"/>
      <c r="BF536" s="6"/>
      <c r="BG536" s="6"/>
      <c r="BH536" s="6"/>
      <c r="BI536" s="6"/>
      <c r="BJ536" s="6"/>
      <c r="BK536" s="6"/>
      <c r="BL536" s="6"/>
      <c r="BM536" s="6"/>
      <c r="BN536" s="6" t="e">
        <f t="shared" si="55"/>
        <v>#DIV/0!</v>
      </c>
    </row>
    <row r="537" spans="49:66" x14ac:dyDescent="0.3">
      <c r="AW537">
        <f t="shared" si="54"/>
        <v>0</v>
      </c>
      <c r="AX537">
        <v>534</v>
      </c>
      <c r="AY537" s="4">
        <f t="shared" si="52"/>
        <v>42920</v>
      </c>
      <c r="AZ537" s="6" t="e">
        <f t="shared" si="53"/>
        <v>#DIV/0!</v>
      </c>
      <c r="BA537" s="4">
        <v>42920</v>
      </c>
      <c r="BB537" s="6">
        <v>-0.84534399999999998</v>
      </c>
      <c r="BC537" s="6">
        <v>-0.494425</v>
      </c>
      <c r="BD537" s="6">
        <v>-0.17793</v>
      </c>
      <c r="BE537" s="6"/>
      <c r="BF537" s="6"/>
      <c r="BG537" s="6"/>
      <c r="BH537" s="6"/>
      <c r="BI537" s="6"/>
      <c r="BJ537" s="6"/>
      <c r="BK537" s="6"/>
      <c r="BL537" s="6"/>
      <c r="BM537" s="6"/>
      <c r="BN537" s="6" t="e">
        <f t="shared" si="55"/>
        <v>#DIV/0!</v>
      </c>
    </row>
    <row r="538" spans="49:66" x14ac:dyDescent="0.3">
      <c r="AW538">
        <f t="shared" si="54"/>
        <v>0</v>
      </c>
      <c r="AX538">
        <v>535</v>
      </c>
      <c r="AY538" s="4">
        <f t="shared" si="52"/>
        <v>42921</v>
      </c>
      <c r="AZ538" s="6" t="e">
        <f t="shared" si="53"/>
        <v>#DIV/0!</v>
      </c>
      <c r="BA538" s="4">
        <v>42921</v>
      </c>
      <c r="BB538" s="6">
        <v>1.096563</v>
      </c>
      <c r="BC538" s="6">
        <v>0.76643099999999997</v>
      </c>
      <c r="BD538" s="6">
        <v>0.85585299999999997</v>
      </c>
      <c r="BE538" s="6"/>
      <c r="BF538" s="6"/>
      <c r="BG538" s="6"/>
      <c r="BH538" s="6"/>
      <c r="BI538" s="6"/>
      <c r="BJ538" s="6"/>
      <c r="BK538" s="6"/>
      <c r="BL538" s="6"/>
      <c r="BM538" s="6"/>
      <c r="BN538" s="6" t="e">
        <f t="shared" si="55"/>
        <v>#DIV/0!</v>
      </c>
    </row>
    <row r="539" spans="49:66" x14ac:dyDescent="0.3">
      <c r="AW539">
        <f t="shared" si="54"/>
        <v>0</v>
      </c>
      <c r="AX539">
        <v>536</v>
      </c>
      <c r="AY539" s="4">
        <f t="shared" si="52"/>
        <v>42922</v>
      </c>
      <c r="AZ539" s="6" t="e">
        <f t="shared" si="53"/>
        <v>#DIV/0!</v>
      </c>
      <c r="BA539" s="4">
        <v>42922</v>
      </c>
      <c r="BB539" s="6">
        <v>1.14E-2</v>
      </c>
      <c r="BC539" s="6">
        <v>0.124143</v>
      </c>
      <c r="BD539" s="6">
        <v>0.18052399999999999</v>
      </c>
      <c r="BE539" s="6"/>
      <c r="BF539" s="6"/>
      <c r="BG539" s="6"/>
      <c r="BH539" s="6"/>
      <c r="BI539" s="6"/>
      <c r="BJ539" s="6"/>
      <c r="BK539" s="6"/>
      <c r="BL539" s="6"/>
      <c r="BM539" s="6"/>
      <c r="BN539" s="6" t="e">
        <f t="shared" si="55"/>
        <v>#DIV/0!</v>
      </c>
    </row>
    <row r="540" spans="49:66" x14ac:dyDescent="0.3">
      <c r="AW540">
        <f t="shared" si="54"/>
        <v>0</v>
      </c>
      <c r="AX540">
        <v>537</v>
      </c>
      <c r="AY540" s="4">
        <f t="shared" si="52"/>
        <v>42923</v>
      </c>
      <c r="AZ540" s="6" t="e">
        <f t="shared" si="53"/>
        <v>#DIV/0!</v>
      </c>
      <c r="BA540" s="4">
        <v>42923</v>
      </c>
      <c r="BB540" s="6">
        <v>-0.11386</v>
      </c>
      <c r="BC540" s="6">
        <v>0.39275500000000002</v>
      </c>
      <c r="BD540" s="6">
        <v>0.284078</v>
      </c>
      <c r="BE540" s="6"/>
      <c r="BF540" s="6"/>
      <c r="BG540" s="6"/>
      <c r="BH540" s="6"/>
      <c r="BI540" s="6"/>
      <c r="BJ540" s="6"/>
      <c r="BK540" s="6"/>
      <c r="BL540" s="6"/>
      <c r="BM540" s="6"/>
      <c r="BN540" s="6" t="e">
        <f t="shared" si="55"/>
        <v>#DIV/0!</v>
      </c>
    </row>
    <row r="541" spans="49:66" x14ac:dyDescent="0.3">
      <c r="AW541">
        <f t="shared" si="54"/>
        <v>0</v>
      </c>
      <c r="AX541">
        <v>538</v>
      </c>
      <c r="AY541" s="4">
        <f t="shared" si="52"/>
        <v>42926</v>
      </c>
      <c r="AZ541" s="6" t="e">
        <f t="shared" si="53"/>
        <v>#DIV/0!</v>
      </c>
      <c r="BA541" s="4">
        <v>42926</v>
      </c>
      <c r="BB541" s="6">
        <v>-6.1338999999999998E-2</v>
      </c>
      <c r="BC541" s="6">
        <v>-0.31246299999999999</v>
      </c>
      <c r="BD541" s="6">
        <v>-0.59766699999999995</v>
      </c>
      <c r="BE541" s="6"/>
      <c r="BF541" s="6"/>
      <c r="BG541" s="6"/>
      <c r="BH541" s="6"/>
      <c r="BI541" s="6"/>
      <c r="BJ541" s="6"/>
      <c r="BK541" s="6"/>
      <c r="BL541" s="6"/>
      <c r="BM541" s="6"/>
      <c r="BN541" s="6" t="e">
        <f t="shared" si="55"/>
        <v>#DIV/0!</v>
      </c>
    </row>
    <row r="542" spans="49:66" x14ac:dyDescent="0.3">
      <c r="AW542">
        <f t="shared" si="54"/>
        <v>0</v>
      </c>
      <c r="AX542">
        <v>539</v>
      </c>
      <c r="AY542" s="4">
        <f t="shared" si="52"/>
        <v>42927</v>
      </c>
      <c r="AZ542" s="6" t="e">
        <f t="shared" si="53"/>
        <v>#DIV/0!</v>
      </c>
      <c r="BA542" s="4">
        <v>42927</v>
      </c>
      <c r="BB542" s="6">
        <v>0.46861700000000001</v>
      </c>
      <c r="BC542" s="6">
        <v>-1.2496879999999999</v>
      </c>
      <c r="BD542" s="6">
        <v>-1.2372920000000001</v>
      </c>
      <c r="BE542" s="6"/>
      <c r="BF542" s="6"/>
      <c r="BG542" s="6"/>
      <c r="BH542" s="6"/>
      <c r="BI542" s="6"/>
      <c r="BJ542" s="6"/>
      <c r="BK542" s="6"/>
      <c r="BL542" s="6"/>
      <c r="BM542" s="6"/>
      <c r="BN542" s="6" t="e">
        <f t="shared" si="55"/>
        <v>#DIV/0!</v>
      </c>
    </row>
    <row r="543" spans="49:66" x14ac:dyDescent="0.3">
      <c r="AW543">
        <f t="shared" si="54"/>
        <v>0</v>
      </c>
      <c r="AX543">
        <v>540</v>
      </c>
      <c r="AY543" s="4">
        <f t="shared" si="52"/>
        <v>42928</v>
      </c>
      <c r="AZ543" s="6" t="e">
        <f t="shared" si="53"/>
        <v>#DIV/0!</v>
      </c>
      <c r="BA543" s="4">
        <v>42928</v>
      </c>
      <c r="BB543" s="6">
        <v>-0.32649499999999998</v>
      </c>
      <c r="BC543" s="6">
        <v>6.5230999999999997E-2</v>
      </c>
      <c r="BD543" s="6">
        <v>-0.12994700000000001</v>
      </c>
      <c r="BE543" s="6"/>
      <c r="BF543" s="6"/>
      <c r="BG543" s="6"/>
      <c r="BH543" s="6"/>
      <c r="BI543" s="6"/>
      <c r="BJ543" s="6"/>
      <c r="BK543" s="6"/>
      <c r="BL543" s="6"/>
      <c r="BM543" s="6"/>
      <c r="BN543" s="6" t="e">
        <f t="shared" si="55"/>
        <v>#DIV/0!</v>
      </c>
    </row>
    <row r="544" spans="49:66" x14ac:dyDescent="0.3">
      <c r="AW544">
        <f t="shared" si="54"/>
        <v>0</v>
      </c>
      <c r="AX544">
        <v>541</v>
      </c>
      <c r="AY544" s="4">
        <f t="shared" si="52"/>
        <v>42929</v>
      </c>
      <c r="AZ544" s="6" t="e">
        <f t="shared" si="53"/>
        <v>#DIV/0!</v>
      </c>
      <c r="BA544" s="4">
        <v>42929</v>
      </c>
      <c r="BB544" s="6">
        <v>0.76792199999999999</v>
      </c>
      <c r="BC544" s="6">
        <v>0.27623500000000001</v>
      </c>
      <c r="BD544" s="6">
        <v>-4.4700000000000002E-4</v>
      </c>
      <c r="BE544" s="6"/>
      <c r="BF544" s="6"/>
      <c r="BG544" s="6"/>
      <c r="BH544" s="6"/>
      <c r="BI544" s="6"/>
      <c r="BJ544" s="6"/>
      <c r="BK544" s="6"/>
      <c r="BL544" s="6"/>
      <c r="BM544" s="6"/>
      <c r="BN544" s="6" t="e">
        <f t="shared" si="55"/>
        <v>#DIV/0!</v>
      </c>
    </row>
    <row r="545" spans="49:66" x14ac:dyDescent="0.3">
      <c r="AW545">
        <f t="shared" si="54"/>
        <v>0</v>
      </c>
      <c r="AX545">
        <v>542</v>
      </c>
      <c r="AY545" s="4">
        <f t="shared" si="52"/>
        <v>42930</v>
      </c>
      <c r="AZ545" s="6" t="e">
        <f t="shared" si="53"/>
        <v>#DIV/0!</v>
      </c>
      <c r="BA545" s="4">
        <v>42930</v>
      </c>
      <c r="BB545" s="6">
        <v>0.43867200000000001</v>
      </c>
      <c r="BC545" s="6">
        <v>-0.34462199999999998</v>
      </c>
      <c r="BD545" s="6">
        <v>-0.55015099999999995</v>
      </c>
      <c r="BE545" s="6"/>
      <c r="BF545" s="6"/>
      <c r="BG545" s="6"/>
      <c r="BH545" s="6"/>
      <c r="BI545" s="6"/>
      <c r="BJ545" s="6"/>
      <c r="BK545" s="6"/>
      <c r="BL545" s="6"/>
      <c r="BM545" s="6"/>
      <c r="BN545" s="6" t="e">
        <f t="shared" si="55"/>
        <v>#DIV/0!</v>
      </c>
    </row>
    <row r="546" spans="49:66" x14ac:dyDescent="0.3">
      <c r="AW546">
        <f t="shared" si="54"/>
        <v>0</v>
      </c>
      <c r="AX546">
        <v>543</v>
      </c>
      <c r="AY546" s="4">
        <f t="shared" si="52"/>
        <v>42933</v>
      </c>
      <c r="AZ546" s="6" t="e">
        <f t="shared" si="53"/>
        <v>#DIV/0!</v>
      </c>
      <c r="BA546" s="4">
        <v>42933</v>
      </c>
      <c r="BB546" s="6">
        <v>-1.067661</v>
      </c>
      <c r="BC546" s="6">
        <v>-4.116352</v>
      </c>
      <c r="BD546" s="6">
        <v>-5.1746949999999998</v>
      </c>
      <c r="BE546" s="6"/>
      <c r="BF546" s="6"/>
      <c r="BG546" s="6"/>
      <c r="BH546" s="6"/>
      <c r="BI546" s="6"/>
      <c r="BJ546" s="6"/>
      <c r="BK546" s="6"/>
      <c r="BL546" s="6"/>
      <c r="BM546" s="6"/>
      <c r="BN546" s="6" t="e">
        <f t="shared" si="55"/>
        <v>#DIV/0!</v>
      </c>
    </row>
    <row r="547" spans="49:66" x14ac:dyDescent="0.3">
      <c r="AW547">
        <f t="shared" si="54"/>
        <v>0</v>
      </c>
      <c r="AX547">
        <v>544</v>
      </c>
      <c r="AY547" s="4">
        <f t="shared" si="52"/>
        <v>42934</v>
      </c>
      <c r="AZ547" s="6" t="e">
        <f t="shared" si="53"/>
        <v>#DIV/0!</v>
      </c>
      <c r="BA547" s="4">
        <v>42934</v>
      </c>
      <c r="BB547" s="6">
        <v>9.8898E-2</v>
      </c>
      <c r="BC547" s="6">
        <v>1.054632</v>
      </c>
      <c r="BD547" s="6">
        <v>0.86634699999999998</v>
      </c>
      <c r="BE547" s="6"/>
      <c r="BF547" s="6"/>
      <c r="BG547" s="6"/>
      <c r="BH547" s="6"/>
      <c r="BI547" s="6"/>
      <c r="BJ547" s="6"/>
      <c r="BK547" s="6"/>
      <c r="BL547" s="6"/>
      <c r="BM547" s="6"/>
      <c r="BN547" s="6" t="e">
        <f t="shared" si="55"/>
        <v>#DIV/0!</v>
      </c>
    </row>
    <row r="548" spans="49:66" x14ac:dyDescent="0.3">
      <c r="AW548">
        <f t="shared" si="54"/>
        <v>0</v>
      </c>
      <c r="AX548">
        <v>545</v>
      </c>
      <c r="AY548" s="4">
        <f t="shared" si="52"/>
        <v>42935</v>
      </c>
      <c r="AZ548" s="6" t="e">
        <f t="shared" si="53"/>
        <v>#DIV/0!</v>
      </c>
      <c r="BA548" s="4">
        <v>42935</v>
      </c>
      <c r="BB548" s="6">
        <v>1.7061040000000001</v>
      </c>
      <c r="BC548" s="6">
        <v>2.0362939999999998</v>
      </c>
      <c r="BD548" s="6">
        <v>1.310978</v>
      </c>
      <c r="BE548" s="6"/>
      <c r="BF548" s="6"/>
      <c r="BG548" s="6"/>
      <c r="BH548" s="6"/>
      <c r="BI548" s="6"/>
      <c r="BJ548" s="6"/>
      <c r="BK548" s="6"/>
      <c r="BL548" s="6"/>
      <c r="BM548" s="6"/>
      <c r="BN548" s="6" t="e">
        <f t="shared" si="55"/>
        <v>#DIV/0!</v>
      </c>
    </row>
    <row r="549" spans="49:66" x14ac:dyDescent="0.3">
      <c r="AW549">
        <f t="shared" si="54"/>
        <v>0</v>
      </c>
      <c r="AX549">
        <v>546</v>
      </c>
      <c r="AY549" s="4">
        <f t="shared" si="52"/>
        <v>42936</v>
      </c>
      <c r="AZ549" s="6" t="e">
        <f t="shared" si="53"/>
        <v>#DIV/0!</v>
      </c>
      <c r="BA549" s="4">
        <v>42936</v>
      </c>
      <c r="BB549" s="6">
        <v>0.48629800000000001</v>
      </c>
      <c r="BC549" s="6">
        <v>0.65890300000000002</v>
      </c>
      <c r="BD549" s="6">
        <v>0.58442499999999997</v>
      </c>
      <c r="BE549" s="6"/>
      <c r="BF549" s="6"/>
      <c r="BG549" s="6"/>
      <c r="BH549" s="6"/>
      <c r="BI549" s="6"/>
      <c r="BJ549" s="6"/>
      <c r="BK549" s="6"/>
      <c r="BL549" s="6"/>
      <c r="BM549" s="6"/>
      <c r="BN549" s="6" t="e">
        <f t="shared" si="55"/>
        <v>#DIV/0!</v>
      </c>
    </row>
    <row r="550" spans="49:66" x14ac:dyDescent="0.3">
      <c r="AW550">
        <f t="shared" si="54"/>
        <v>0</v>
      </c>
      <c r="AX550">
        <v>547</v>
      </c>
      <c r="AY550" s="4">
        <f t="shared" si="52"/>
        <v>42937</v>
      </c>
      <c r="AZ550" s="6" t="e">
        <f t="shared" si="53"/>
        <v>#DIV/0!</v>
      </c>
      <c r="BA550" s="4">
        <v>42937</v>
      </c>
      <c r="BB550" s="6">
        <v>-0.514602</v>
      </c>
      <c r="BC550" s="6">
        <v>0.43980200000000003</v>
      </c>
      <c r="BD550" s="6">
        <v>0.10775700000000001</v>
      </c>
      <c r="BE550" s="6"/>
      <c r="BF550" s="6"/>
      <c r="BG550" s="6"/>
      <c r="BH550" s="6"/>
      <c r="BI550" s="6"/>
      <c r="BJ550" s="6"/>
      <c r="BK550" s="6"/>
      <c r="BL550" s="6"/>
      <c r="BM550" s="6"/>
      <c r="BN550" s="6" t="e">
        <f t="shared" si="55"/>
        <v>#DIV/0!</v>
      </c>
    </row>
    <row r="551" spans="49:66" x14ac:dyDescent="0.3">
      <c r="AW551">
        <f t="shared" si="54"/>
        <v>0</v>
      </c>
      <c r="AX551">
        <v>548</v>
      </c>
      <c r="AY551" s="4">
        <f t="shared" si="52"/>
        <v>42940</v>
      </c>
      <c r="AZ551" s="6" t="e">
        <f t="shared" si="53"/>
        <v>#DIV/0!</v>
      </c>
      <c r="BA551" s="4">
        <v>42940</v>
      </c>
      <c r="BB551" s="6">
        <v>0.39883600000000002</v>
      </c>
      <c r="BC551" s="6">
        <v>0.66959100000000005</v>
      </c>
      <c r="BD551" s="6">
        <v>0.550709</v>
      </c>
      <c r="BE551" s="6"/>
      <c r="BF551" s="6"/>
      <c r="BG551" s="6"/>
      <c r="BH551" s="6"/>
      <c r="BI551" s="6"/>
      <c r="BJ551" s="6"/>
      <c r="BK551" s="6"/>
      <c r="BL551" s="6"/>
      <c r="BM551" s="6"/>
      <c r="BN551" s="6" t="e">
        <f t="shared" si="55"/>
        <v>#DIV/0!</v>
      </c>
    </row>
    <row r="552" spans="49:66" x14ac:dyDescent="0.3">
      <c r="AW552">
        <f t="shared" si="54"/>
        <v>0</v>
      </c>
      <c r="AX552">
        <v>549</v>
      </c>
      <c r="AY552" s="4">
        <f t="shared" si="52"/>
        <v>42941</v>
      </c>
      <c r="AZ552" s="6" t="e">
        <f t="shared" si="53"/>
        <v>#DIV/0!</v>
      </c>
      <c r="BA552" s="4">
        <v>42941</v>
      </c>
      <c r="BB552" s="6">
        <v>-0.63870199999999999</v>
      </c>
      <c r="BC552" s="6">
        <v>-0.219386</v>
      </c>
      <c r="BD552" s="6">
        <v>-0.189308</v>
      </c>
      <c r="BE552" s="6"/>
      <c r="BF552" s="6"/>
      <c r="BG552" s="6"/>
      <c r="BH552" s="6"/>
      <c r="BI552" s="6"/>
      <c r="BJ552" s="6"/>
      <c r="BK552" s="6"/>
      <c r="BL552" s="6"/>
      <c r="BM552" s="6"/>
      <c r="BN552" s="6" t="e">
        <f t="shared" si="55"/>
        <v>#DIV/0!</v>
      </c>
    </row>
    <row r="553" spans="49:66" x14ac:dyDescent="0.3">
      <c r="AW553">
        <f t="shared" si="54"/>
        <v>0</v>
      </c>
      <c r="AX553">
        <v>550</v>
      </c>
      <c r="AY553" s="4">
        <f t="shared" si="52"/>
        <v>42942</v>
      </c>
      <c r="AZ553" s="6" t="e">
        <f t="shared" si="53"/>
        <v>#DIV/0!</v>
      </c>
      <c r="BA553" s="4">
        <v>42942</v>
      </c>
      <c r="BB553" s="6">
        <v>-0.38097500000000001</v>
      </c>
      <c r="BC553" s="6">
        <v>-0.112058</v>
      </c>
      <c r="BD553" s="6">
        <v>0.15159700000000001</v>
      </c>
      <c r="BE553" s="6"/>
      <c r="BF553" s="6"/>
      <c r="BG553" s="6"/>
      <c r="BH553" s="6"/>
      <c r="BI553" s="6"/>
      <c r="BJ553" s="6"/>
      <c r="BK553" s="6"/>
      <c r="BL553" s="6"/>
      <c r="BM553" s="6"/>
      <c r="BN553" s="6" t="e">
        <f t="shared" si="55"/>
        <v>#DIV/0!</v>
      </c>
    </row>
    <row r="554" spans="49:66" x14ac:dyDescent="0.3">
      <c r="AW554">
        <f t="shared" si="54"/>
        <v>0</v>
      </c>
      <c r="AX554">
        <v>551</v>
      </c>
      <c r="AY554" s="4">
        <f t="shared" si="52"/>
        <v>42943</v>
      </c>
      <c r="AZ554" s="6" t="e">
        <f t="shared" si="53"/>
        <v>#DIV/0!</v>
      </c>
      <c r="BA554" s="4">
        <v>42943</v>
      </c>
      <c r="BB554" s="6">
        <v>0.18368699999999999</v>
      </c>
      <c r="BC554" s="6">
        <v>0.60712100000000002</v>
      </c>
      <c r="BD554" s="6">
        <v>1.2789980000000001</v>
      </c>
      <c r="BE554" s="6"/>
      <c r="BF554" s="6"/>
      <c r="BG554" s="6"/>
      <c r="BH554" s="6"/>
      <c r="BI554" s="6"/>
      <c r="BJ554" s="6"/>
      <c r="BK554" s="6"/>
      <c r="BL554" s="6"/>
      <c r="BM554" s="6"/>
      <c r="BN554" s="6" t="e">
        <f t="shared" si="55"/>
        <v>#DIV/0!</v>
      </c>
    </row>
    <row r="555" spans="49:66" x14ac:dyDescent="0.3">
      <c r="AW555">
        <f t="shared" si="54"/>
        <v>0</v>
      </c>
      <c r="AX555">
        <v>552</v>
      </c>
      <c r="AY555" s="4">
        <f t="shared" si="52"/>
        <v>42944</v>
      </c>
      <c r="AZ555" s="6" t="e">
        <f t="shared" si="53"/>
        <v>#DIV/0!</v>
      </c>
      <c r="BA555" s="4">
        <v>42944</v>
      </c>
      <c r="BB555" s="6">
        <v>0.261212</v>
      </c>
      <c r="BC555" s="6">
        <v>0.50844900000000004</v>
      </c>
      <c r="BD555" s="6">
        <v>4.1891999999999999E-2</v>
      </c>
      <c r="BE555" s="6"/>
      <c r="BF555" s="6"/>
      <c r="BG555" s="6"/>
      <c r="BH555" s="6"/>
      <c r="BI555" s="6"/>
      <c r="BJ555" s="6"/>
      <c r="BK555" s="6"/>
      <c r="BL555" s="6"/>
      <c r="BM555" s="6"/>
      <c r="BN555" s="6" t="e">
        <f t="shared" si="55"/>
        <v>#DIV/0!</v>
      </c>
    </row>
    <row r="556" spans="49:66" x14ac:dyDescent="0.3">
      <c r="AW556">
        <f t="shared" si="54"/>
        <v>0</v>
      </c>
      <c r="AX556">
        <v>553</v>
      </c>
      <c r="AY556" s="4">
        <f t="shared" si="52"/>
        <v>42947</v>
      </c>
      <c r="AZ556" s="6" t="e">
        <f t="shared" si="53"/>
        <v>#DIV/0!</v>
      </c>
      <c r="BA556" s="4">
        <v>42947</v>
      </c>
      <c r="BB556" s="6">
        <v>0.4294</v>
      </c>
      <c r="BC556" s="6">
        <v>1.3279319999999999</v>
      </c>
      <c r="BD556" s="6">
        <v>0.79539499999999996</v>
      </c>
      <c r="BE556" s="6"/>
      <c r="BF556" s="6"/>
      <c r="BG556" s="6"/>
      <c r="BH556" s="6"/>
      <c r="BI556" s="6"/>
      <c r="BJ556" s="6"/>
      <c r="BK556" s="6"/>
      <c r="BL556" s="6"/>
      <c r="BM556" s="6"/>
      <c r="BN556" s="6" t="e">
        <f t="shared" si="55"/>
        <v>#DIV/0!</v>
      </c>
    </row>
    <row r="557" spans="49:66" x14ac:dyDescent="0.3">
      <c r="AW557">
        <f t="shared" si="54"/>
        <v>0</v>
      </c>
      <c r="AX557">
        <v>554</v>
      </c>
      <c r="AY557" s="4">
        <f t="shared" si="52"/>
        <v>42948</v>
      </c>
      <c r="AZ557" s="6" t="e">
        <f t="shared" si="53"/>
        <v>#DIV/0!</v>
      </c>
      <c r="BA557" s="4">
        <v>42948</v>
      </c>
      <c r="BB557" s="6">
        <v>0.86973500000000004</v>
      </c>
      <c r="BC557" s="6">
        <v>-0.182029</v>
      </c>
      <c r="BD557" s="6">
        <v>0.107136</v>
      </c>
      <c r="BE557" s="6"/>
      <c r="BF557" s="6"/>
      <c r="BG557" s="6"/>
      <c r="BH557" s="6"/>
      <c r="BI557" s="6"/>
      <c r="BJ557" s="6"/>
      <c r="BK557" s="6"/>
      <c r="BL557" s="6"/>
      <c r="BM557" s="6"/>
      <c r="BN557" s="6" t="e">
        <f t="shared" si="55"/>
        <v>#DIV/0!</v>
      </c>
    </row>
    <row r="558" spans="49:66" x14ac:dyDescent="0.3">
      <c r="AW558">
        <f t="shared" si="54"/>
        <v>0</v>
      </c>
      <c r="AX558">
        <v>555</v>
      </c>
      <c r="AY558" s="4">
        <f t="shared" si="52"/>
        <v>42949</v>
      </c>
      <c r="AZ558" s="6" t="e">
        <f t="shared" si="53"/>
        <v>#DIV/0!</v>
      </c>
      <c r="BA558" s="4">
        <v>42949</v>
      </c>
      <c r="BB558" s="6">
        <v>-0.25276700000000002</v>
      </c>
      <c r="BC558" s="6">
        <v>-0.55155200000000004</v>
      </c>
      <c r="BD558" s="6">
        <v>-0.85098799999999997</v>
      </c>
      <c r="BE558" s="6"/>
      <c r="BF558" s="6"/>
      <c r="BG558" s="6"/>
      <c r="BH558" s="6"/>
      <c r="BI558" s="6"/>
      <c r="BJ558" s="6"/>
      <c r="BK558" s="6"/>
      <c r="BL558" s="6"/>
      <c r="BM558" s="6"/>
      <c r="BN558" s="6" t="e">
        <f t="shared" si="55"/>
        <v>#DIV/0!</v>
      </c>
    </row>
    <row r="559" spans="49:66" x14ac:dyDescent="0.3">
      <c r="AW559">
        <f t="shared" si="54"/>
        <v>0</v>
      </c>
      <c r="AX559">
        <v>556</v>
      </c>
      <c r="AY559" s="4">
        <f t="shared" si="52"/>
        <v>42950</v>
      </c>
      <c r="AZ559" s="6" t="e">
        <f t="shared" si="53"/>
        <v>#DIV/0!</v>
      </c>
      <c r="BA559" s="4">
        <v>42950</v>
      </c>
      <c r="BB559" s="6">
        <v>-0.87815500000000002</v>
      </c>
      <c r="BC559" s="6">
        <v>0.16163</v>
      </c>
      <c r="BD559" s="6">
        <v>0.46819499999999997</v>
      </c>
      <c r="BE559" s="6"/>
      <c r="BF559" s="6"/>
      <c r="BG559" s="6"/>
      <c r="BH559" s="6"/>
      <c r="BI559" s="6"/>
      <c r="BJ559" s="6"/>
      <c r="BK559" s="6"/>
      <c r="BL559" s="6"/>
      <c r="BM559" s="6"/>
      <c r="BN559" s="6" t="e">
        <f t="shared" si="55"/>
        <v>#DIV/0!</v>
      </c>
    </row>
    <row r="560" spans="49:66" x14ac:dyDescent="0.3">
      <c r="AW560">
        <f t="shared" si="54"/>
        <v>0</v>
      </c>
      <c r="AX560">
        <v>557</v>
      </c>
      <c r="AY560" s="4">
        <f t="shared" si="52"/>
        <v>42951</v>
      </c>
      <c r="AZ560" s="6" t="e">
        <f t="shared" si="53"/>
        <v>#DIV/0!</v>
      </c>
      <c r="BA560" s="4">
        <v>42951</v>
      </c>
      <c r="BB560" s="6">
        <v>-0.543126</v>
      </c>
      <c r="BC560" s="6">
        <v>-0.58851299999999995</v>
      </c>
      <c r="BD560" s="6">
        <v>-0.47092000000000001</v>
      </c>
      <c r="BE560" s="6"/>
      <c r="BF560" s="6"/>
      <c r="BG560" s="6"/>
      <c r="BH560" s="6"/>
      <c r="BI560" s="6"/>
      <c r="BJ560" s="6"/>
      <c r="BK560" s="6"/>
      <c r="BL560" s="6"/>
      <c r="BM560" s="6"/>
      <c r="BN560" s="6" t="e">
        <f t="shared" si="55"/>
        <v>#DIV/0!</v>
      </c>
    </row>
    <row r="561" spans="49:66" x14ac:dyDescent="0.3">
      <c r="AW561">
        <f t="shared" si="54"/>
        <v>0</v>
      </c>
      <c r="AX561">
        <v>558</v>
      </c>
      <c r="AY561" s="4">
        <f t="shared" si="52"/>
        <v>42954</v>
      </c>
      <c r="AZ561" s="6" t="e">
        <f t="shared" si="53"/>
        <v>#DIV/0!</v>
      </c>
      <c r="BA561" s="4">
        <v>42954</v>
      </c>
      <c r="BB561" s="6">
        <v>0.51826799999999995</v>
      </c>
      <c r="BC561" s="6">
        <v>1.2579009999999999</v>
      </c>
      <c r="BD561" s="6">
        <v>0.75833399999999995</v>
      </c>
      <c r="BE561" s="6"/>
      <c r="BF561" s="6"/>
      <c r="BG561" s="6"/>
      <c r="BH561" s="6"/>
      <c r="BI561" s="6"/>
      <c r="BJ561" s="6"/>
      <c r="BK561" s="6"/>
      <c r="BL561" s="6"/>
      <c r="BM561" s="6"/>
      <c r="BN561" s="6" t="e">
        <f t="shared" si="55"/>
        <v>#DIV/0!</v>
      </c>
    </row>
    <row r="562" spans="49:66" x14ac:dyDescent="0.3">
      <c r="AW562">
        <f t="shared" si="54"/>
        <v>0</v>
      </c>
      <c r="AX562">
        <v>559</v>
      </c>
      <c r="AY562" s="4">
        <f t="shared" si="52"/>
        <v>42955</v>
      </c>
      <c r="AZ562" s="6" t="e">
        <f t="shared" si="53"/>
        <v>#DIV/0!</v>
      </c>
      <c r="BA562" s="4">
        <v>42955</v>
      </c>
      <c r="BB562" s="6">
        <v>0.14538200000000001</v>
      </c>
      <c r="BC562" s="6">
        <v>4.6820000000000004E-3</v>
      </c>
      <c r="BD562" s="6">
        <v>0.34268300000000002</v>
      </c>
      <c r="BE562" s="6"/>
      <c r="BF562" s="6"/>
      <c r="BG562" s="6"/>
      <c r="BH562" s="6"/>
      <c r="BI562" s="6"/>
      <c r="BJ562" s="6"/>
      <c r="BK562" s="6"/>
      <c r="BL562" s="6"/>
      <c r="BM562" s="6"/>
      <c r="BN562" s="6" t="e">
        <f t="shared" si="55"/>
        <v>#DIV/0!</v>
      </c>
    </row>
    <row r="563" spans="49:66" x14ac:dyDescent="0.3">
      <c r="AW563">
        <f t="shared" si="54"/>
        <v>0</v>
      </c>
      <c r="AX563">
        <v>560</v>
      </c>
      <c r="AY563" s="4">
        <f t="shared" si="52"/>
        <v>42956</v>
      </c>
      <c r="AZ563" s="6" t="e">
        <f t="shared" si="53"/>
        <v>#DIV/0!</v>
      </c>
      <c r="BA563" s="4">
        <v>42956</v>
      </c>
      <c r="BB563" s="6">
        <v>-3.1319E-2</v>
      </c>
      <c r="BC563" s="6">
        <v>0.57594599999999996</v>
      </c>
      <c r="BD563" s="6">
        <v>0.33055200000000001</v>
      </c>
      <c r="BE563" s="6"/>
      <c r="BF563" s="6"/>
      <c r="BG563" s="6"/>
      <c r="BH563" s="6"/>
      <c r="BI563" s="6"/>
      <c r="BJ563" s="6"/>
      <c r="BK563" s="6"/>
      <c r="BL563" s="6"/>
      <c r="BM563" s="6"/>
      <c r="BN563" s="6" t="e">
        <f t="shared" si="55"/>
        <v>#DIV/0!</v>
      </c>
    </row>
    <row r="564" spans="49:66" x14ac:dyDescent="0.3">
      <c r="AW564">
        <f t="shared" si="54"/>
        <v>0</v>
      </c>
      <c r="AX564">
        <v>561</v>
      </c>
      <c r="AY564" s="4">
        <f t="shared" si="52"/>
        <v>42957</v>
      </c>
      <c r="AZ564" s="6" t="e">
        <f t="shared" si="53"/>
        <v>#DIV/0!</v>
      </c>
      <c r="BA564" s="4">
        <v>42957</v>
      </c>
      <c r="BB564" s="6">
        <v>-0.40533400000000003</v>
      </c>
      <c r="BC564" s="6">
        <v>-0.80133200000000004</v>
      </c>
      <c r="BD564" s="6">
        <v>-0.72246200000000005</v>
      </c>
      <c r="BE564" s="6"/>
      <c r="BF564" s="6"/>
      <c r="BG564" s="6"/>
      <c r="BH564" s="6"/>
      <c r="BI564" s="6"/>
      <c r="BJ564" s="6"/>
      <c r="BK564" s="6"/>
      <c r="BL564" s="6"/>
      <c r="BM564" s="6"/>
      <c r="BN564" s="6" t="e">
        <f t="shared" si="55"/>
        <v>#DIV/0!</v>
      </c>
    </row>
    <row r="565" spans="49:66" x14ac:dyDescent="0.3">
      <c r="AW565">
        <f t="shared" si="54"/>
        <v>0</v>
      </c>
      <c r="AX565">
        <v>562</v>
      </c>
      <c r="AY565" s="4">
        <f t="shared" si="52"/>
        <v>42958</v>
      </c>
      <c r="AZ565" s="6" t="e">
        <f t="shared" si="53"/>
        <v>#DIV/0!</v>
      </c>
      <c r="BA565" s="4">
        <v>42958</v>
      </c>
      <c r="BB565" s="6">
        <v>-1.8453170000000001</v>
      </c>
      <c r="BC565" s="6">
        <v>-2.03566</v>
      </c>
      <c r="BD565" s="6">
        <v>-1.5163469999999999</v>
      </c>
      <c r="BE565" s="6"/>
      <c r="BF565" s="6"/>
      <c r="BG565" s="6"/>
      <c r="BH565" s="6"/>
      <c r="BI565" s="6"/>
      <c r="BJ565" s="6"/>
      <c r="BK565" s="6"/>
      <c r="BL565" s="6"/>
      <c r="BM565" s="6"/>
      <c r="BN565" s="6" t="e">
        <f t="shared" si="55"/>
        <v>#DIV/0!</v>
      </c>
    </row>
    <row r="566" spans="49:66" x14ac:dyDescent="0.3">
      <c r="AW566">
        <f t="shared" si="54"/>
        <v>0</v>
      </c>
      <c r="AX566">
        <v>563</v>
      </c>
      <c r="AY566" s="4">
        <f t="shared" si="52"/>
        <v>42961</v>
      </c>
      <c r="AZ566" s="6" t="e">
        <f t="shared" si="53"/>
        <v>#DIV/0!</v>
      </c>
      <c r="BA566" s="4">
        <v>42961</v>
      </c>
      <c r="BB566" s="6">
        <v>1.297731</v>
      </c>
      <c r="BC566" s="6">
        <v>2.1335410000000001</v>
      </c>
      <c r="BD566" s="6">
        <v>1.995555</v>
      </c>
      <c r="BE566" s="6"/>
      <c r="BF566" s="6"/>
      <c r="BG566" s="6"/>
      <c r="BH566" s="6"/>
      <c r="BI566" s="6"/>
      <c r="BJ566" s="6"/>
      <c r="BK566" s="6"/>
      <c r="BL566" s="6"/>
      <c r="BM566" s="6"/>
      <c r="BN566" s="6" t="e">
        <f t="shared" si="55"/>
        <v>#DIV/0!</v>
      </c>
    </row>
    <row r="567" spans="49:66" x14ac:dyDescent="0.3">
      <c r="AW567">
        <f t="shared" si="54"/>
        <v>0</v>
      </c>
      <c r="AX567">
        <v>564</v>
      </c>
      <c r="AY567" s="4">
        <f t="shared" si="52"/>
        <v>42962</v>
      </c>
      <c r="AZ567" s="6" t="e">
        <f t="shared" si="53"/>
        <v>#DIV/0!</v>
      </c>
      <c r="BA567" s="4">
        <v>42962</v>
      </c>
      <c r="BB567" s="6">
        <v>0.307834</v>
      </c>
      <c r="BC567" s="6">
        <v>0.35150599999999999</v>
      </c>
      <c r="BD567" s="6">
        <v>0.43677700000000003</v>
      </c>
      <c r="BE567" s="6"/>
      <c r="BF567" s="6"/>
      <c r="BG567" s="6"/>
      <c r="BH567" s="6"/>
      <c r="BI567" s="6"/>
      <c r="BJ567" s="6"/>
      <c r="BK567" s="6"/>
      <c r="BL567" s="6"/>
      <c r="BM567" s="6"/>
      <c r="BN567" s="6" t="e">
        <f t="shared" si="55"/>
        <v>#DIV/0!</v>
      </c>
    </row>
    <row r="568" spans="49:66" x14ac:dyDescent="0.3">
      <c r="AW568">
        <f t="shared" si="54"/>
        <v>0</v>
      </c>
      <c r="AX568">
        <v>565</v>
      </c>
      <c r="AY568" s="4">
        <f t="shared" si="52"/>
        <v>42963</v>
      </c>
      <c r="AZ568" s="6" t="e">
        <f t="shared" si="53"/>
        <v>#DIV/0!</v>
      </c>
      <c r="BA568" s="4">
        <v>42963</v>
      </c>
      <c r="BB568" s="6">
        <v>-0.12509000000000001</v>
      </c>
      <c r="BC568" s="6">
        <v>6.3941999999999999E-2</v>
      </c>
      <c r="BD568" s="6">
        <v>0.49412899999999998</v>
      </c>
      <c r="BE568" s="6"/>
      <c r="BF568" s="6"/>
      <c r="BG568" s="6"/>
      <c r="BH568" s="6"/>
      <c r="BI568" s="6"/>
      <c r="BJ568" s="6"/>
      <c r="BK568" s="6"/>
      <c r="BL568" s="6"/>
      <c r="BM568" s="6"/>
      <c r="BN568" s="6" t="e">
        <f t="shared" si="55"/>
        <v>#DIV/0!</v>
      </c>
    </row>
    <row r="569" spans="49:66" x14ac:dyDescent="0.3">
      <c r="AW569">
        <f t="shared" si="54"/>
        <v>0</v>
      </c>
      <c r="AX569">
        <v>566</v>
      </c>
      <c r="AY569" s="4">
        <f t="shared" si="52"/>
        <v>42964</v>
      </c>
      <c r="AZ569" s="6" t="e">
        <f t="shared" si="53"/>
        <v>#DIV/0!</v>
      </c>
      <c r="BA569" s="4">
        <v>42964</v>
      </c>
      <c r="BB569" s="6">
        <v>0.53645100000000001</v>
      </c>
      <c r="BC569" s="6">
        <v>0.74753800000000004</v>
      </c>
      <c r="BD569" s="6">
        <v>0.92552400000000001</v>
      </c>
      <c r="BE569" s="6"/>
      <c r="BF569" s="6"/>
      <c r="BG569" s="6"/>
      <c r="BH569" s="6"/>
      <c r="BI569" s="6"/>
      <c r="BJ569" s="6"/>
      <c r="BK569" s="6"/>
      <c r="BL569" s="6"/>
      <c r="BM569" s="6"/>
      <c r="BN569" s="6" t="e">
        <f t="shared" si="55"/>
        <v>#DIV/0!</v>
      </c>
    </row>
    <row r="570" spans="49:66" x14ac:dyDescent="0.3">
      <c r="AW570">
        <f t="shared" si="54"/>
        <v>0</v>
      </c>
      <c r="AX570">
        <v>567</v>
      </c>
      <c r="AY570" s="4">
        <f t="shared" si="52"/>
        <v>42965</v>
      </c>
      <c r="AZ570" s="6" t="e">
        <f t="shared" si="53"/>
        <v>#DIV/0!</v>
      </c>
      <c r="BA570" s="4">
        <v>42965</v>
      </c>
      <c r="BB570" s="6">
        <v>9.1306999999999999E-2</v>
      </c>
      <c r="BC570" s="6">
        <v>-0.28712199999999999</v>
      </c>
      <c r="BD570" s="6">
        <v>-0.501135</v>
      </c>
      <c r="BE570" s="6"/>
      <c r="BF570" s="6"/>
      <c r="BG570" s="6"/>
      <c r="BH570" s="6"/>
      <c r="BI570" s="6"/>
      <c r="BJ570" s="6"/>
      <c r="BK570" s="6"/>
      <c r="BL570" s="6"/>
      <c r="BM570" s="6"/>
      <c r="BN570" s="6" t="e">
        <f t="shared" si="55"/>
        <v>#DIV/0!</v>
      </c>
    </row>
    <row r="571" spans="49:66" x14ac:dyDescent="0.3">
      <c r="AW571">
        <f t="shared" si="54"/>
        <v>0</v>
      </c>
      <c r="AX571">
        <v>568</v>
      </c>
      <c r="AY571" s="4">
        <f t="shared" si="52"/>
        <v>42968</v>
      </c>
      <c r="AZ571" s="6" t="e">
        <f t="shared" si="53"/>
        <v>#DIV/0!</v>
      </c>
      <c r="BA571" s="4">
        <v>42968</v>
      </c>
      <c r="BB571" s="6">
        <v>0.43813999999999997</v>
      </c>
      <c r="BC571" s="6">
        <v>0.88258899999999996</v>
      </c>
      <c r="BD571" s="6">
        <v>0.73514999999999997</v>
      </c>
      <c r="BE571" s="6"/>
      <c r="BF571" s="6"/>
      <c r="BG571" s="6"/>
      <c r="BH571" s="6"/>
      <c r="BI571" s="6"/>
      <c r="BJ571" s="6"/>
      <c r="BK571" s="6"/>
      <c r="BL571" s="6"/>
      <c r="BM571" s="6"/>
      <c r="BN571" s="6" t="e">
        <f t="shared" si="55"/>
        <v>#DIV/0!</v>
      </c>
    </row>
    <row r="572" spans="49:66" x14ac:dyDescent="0.3">
      <c r="AW572">
        <f t="shared" si="54"/>
        <v>0</v>
      </c>
      <c r="AX572">
        <v>569</v>
      </c>
      <c r="AY572" s="4">
        <f t="shared" si="52"/>
        <v>42969</v>
      </c>
      <c r="AZ572" s="6" t="e">
        <f t="shared" si="53"/>
        <v>#DIV/0!</v>
      </c>
      <c r="BA572" s="4">
        <v>42969</v>
      </c>
      <c r="BB572" s="6">
        <v>0.30216300000000001</v>
      </c>
      <c r="BC572" s="6">
        <v>-0.43410100000000001</v>
      </c>
      <c r="BD572" s="6">
        <v>-0.61110200000000003</v>
      </c>
      <c r="BE572" s="6"/>
      <c r="BF572" s="6"/>
      <c r="BG572" s="6"/>
      <c r="BH572" s="6"/>
      <c r="BI572" s="6"/>
      <c r="BJ572" s="6"/>
      <c r="BK572" s="6"/>
      <c r="BL572" s="6"/>
      <c r="BM572" s="6"/>
      <c r="BN572" s="6" t="e">
        <f t="shared" si="55"/>
        <v>#DIV/0!</v>
      </c>
    </row>
    <row r="573" spans="49:66" x14ac:dyDescent="0.3">
      <c r="AW573">
        <f t="shared" si="54"/>
        <v>0</v>
      </c>
      <c r="AX573">
        <v>570</v>
      </c>
      <c r="AY573" s="4">
        <f t="shared" si="52"/>
        <v>42970</v>
      </c>
      <c r="AZ573" s="6" t="e">
        <f t="shared" si="53"/>
        <v>#DIV/0!</v>
      </c>
      <c r="BA573" s="4">
        <v>42970</v>
      </c>
      <c r="BB573" s="6">
        <v>0.10101499999999999</v>
      </c>
      <c r="BC573" s="6">
        <v>-0.83437399999999995</v>
      </c>
      <c r="BD573" s="6">
        <v>-0.66777399999999998</v>
      </c>
      <c r="BE573" s="6"/>
      <c r="BF573" s="6"/>
      <c r="BG573" s="6"/>
      <c r="BH573" s="6"/>
      <c r="BI573" s="6"/>
      <c r="BJ573" s="6"/>
      <c r="BK573" s="6"/>
      <c r="BL573" s="6"/>
      <c r="BM573" s="6"/>
      <c r="BN573" s="6" t="e">
        <f t="shared" si="55"/>
        <v>#DIV/0!</v>
      </c>
    </row>
    <row r="574" spans="49:66" x14ac:dyDescent="0.3">
      <c r="AW574">
        <f t="shared" si="54"/>
        <v>0</v>
      </c>
      <c r="AX574">
        <v>571</v>
      </c>
      <c r="AY574" s="4">
        <f t="shared" si="52"/>
        <v>42971</v>
      </c>
      <c r="AZ574" s="6" t="e">
        <f t="shared" si="53"/>
        <v>#DIV/0!</v>
      </c>
      <c r="BA574" s="4">
        <v>42971</v>
      </c>
      <c r="BB574" s="6">
        <v>-0.57087600000000005</v>
      </c>
      <c r="BC574" s="6">
        <v>-0.69893099999999997</v>
      </c>
      <c r="BD574" s="6">
        <v>-0.64241999999999999</v>
      </c>
      <c r="BE574" s="6"/>
      <c r="BF574" s="6"/>
      <c r="BG574" s="6"/>
      <c r="BH574" s="6"/>
      <c r="BI574" s="6"/>
      <c r="BJ574" s="6"/>
      <c r="BK574" s="6"/>
      <c r="BL574" s="6"/>
      <c r="BM574" s="6"/>
      <c r="BN574" s="6" t="e">
        <f t="shared" si="55"/>
        <v>#DIV/0!</v>
      </c>
    </row>
    <row r="575" spans="49:66" x14ac:dyDescent="0.3">
      <c r="AW575">
        <f t="shared" si="54"/>
        <v>0</v>
      </c>
      <c r="AX575">
        <v>572</v>
      </c>
      <c r="AY575" s="4">
        <f t="shared" si="52"/>
        <v>42972</v>
      </c>
      <c r="AZ575" s="6" t="e">
        <f t="shared" si="53"/>
        <v>#DIV/0!</v>
      </c>
      <c r="BA575" s="4">
        <v>42972</v>
      </c>
      <c r="BB575" s="6">
        <v>1.6362620000000001</v>
      </c>
      <c r="BC575" s="6">
        <v>1.082098</v>
      </c>
      <c r="BD575" s="6">
        <v>0.97845400000000005</v>
      </c>
      <c r="BE575" s="6"/>
      <c r="BF575" s="6"/>
      <c r="BG575" s="6"/>
      <c r="BH575" s="6"/>
      <c r="BI575" s="6"/>
      <c r="BJ575" s="6"/>
      <c r="BK575" s="6"/>
      <c r="BL575" s="6"/>
      <c r="BM575" s="6"/>
      <c r="BN575" s="6" t="e">
        <f t="shared" si="55"/>
        <v>#DIV/0!</v>
      </c>
    </row>
    <row r="576" spans="49:66" x14ac:dyDescent="0.3">
      <c r="AW576">
        <f t="shared" si="54"/>
        <v>0</v>
      </c>
      <c r="AX576">
        <v>573</v>
      </c>
      <c r="AY576" s="4">
        <f t="shared" si="52"/>
        <v>42975</v>
      </c>
      <c r="AZ576" s="6" t="e">
        <f t="shared" si="53"/>
        <v>#DIV/0!</v>
      </c>
      <c r="BA576" s="4">
        <v>42975</v>
      </c>
      <c r="BB576" s="6">
        <v>1.237106</v>
      </c>
      <c r="BC576" s="6">
        <v>1.2298629999999999</v>
      </c>
      <c r="BD576" s="6">
        <v>1.1024929999999999</v>
      </c>
      <c r="BE576" s="6"/>
      <c r="BF576" s="6"/>
      <c r="BG576" s="6"/>
      <c r="BH576" s="6"/>
      <c r="BI576" s="6"/>
      <c r="BJ576" s="6"/>
      <c r="BK576" s="6"/>
      <c r="BL576" s="6"/>
      <c r="BM576" s="6"/>
      <c r="BN576" s="6" t="e">
        <f t="shared" si="55"/>
        <v>#DIV/0!</v>
      </c>
    </row>
    <row r="577" spans="49:66" x14ac:dyDescent="0.3">
      <c r="AW577">
        <f t="shared" si="54"/>
        <v>0</v>
      </c>
      <c r="AX577">
        <v>574</v>
      </c>
      <c r="AY577" s="4">
        <f t="shared" si="52"/>
        <v>42976</v>
      </c>
      <c r="AZ577" s="6" t="e">
        <f t="shared" si="53"/>
        <v>#DIV/0!</v>
      </c>
      <c r="BA577" s="4">
        <v>42976</v>
      </c>
      <c r="BB577" s="6">
        <v>-0.21272199999999999</v>
      </c>
      <c r="BC577" s="6">
        <v>-0.25569599999999998</v>
      </c>
      <c r="BD577" s="6">
        <v>-0.25372499999999998</v>
      </c>
      <c r="BE577" s="6"/>
      <c r="BF577" s="6"/>
      <c r="BG577" s="6"/>
      <c r="BH577" s="6"/>
      <c r="BI577" s="6"/>
      <c r="BJ577" s="6"/>
      <c r="BK577" s="6"/>
      <c r="BL577" s="6"/>
      <c r="BM577" s="6"/>
      <c r="BN577" s="6" t="e">
        <f t="shared" si="55"/>
        <v>#DIV/0!</v>
      </c>
    </row>
    <row r="578" spans="49:66" x14ac:dyDescent="0.3">
      <c r="AW578">
        <f t="shared" si="54"/>
        <v>0</v>
      </c>
      <c r="AX578">
        <v>575</v>
      </c>
      <c r="AY578" s="4">
        <f t="shared" si="52"/>
        <v>42977</v>
      </c>
      <c r="AZ578" s="6" t="e">
        <f t="shared" si="53"/>
        <v>#DIV/0!</v>
      </c>
      <c r="BA578" s="4">
        <v>42977</v>
      </c>
      <c r="BB578" s="6">
        <v>-6.1830000000000001E-3</v>
      </c>
      <c r="BC578" s="6">
        <v>0.70701899999999995</v>
      </c>
      <c r="BD578" s="6">
        <v>0.408188</v>
      </c>
      <c r="BE578" s="6"/>
      <c r="BF578" s="6"/>
      <c r="BG578" s="6"/>
      <c r="BH578" s="6"/>
      <c r="BI578" s="6"/>
      <c r="BJ578" s="6"/>
      <c r="BK578" s="6"/>
      <c r="BL578" s="6"/>
      <c r="BM578" s="6"/>
      <c r="BN578" s="6" t="e">
        <f t="shared" si="55"/>
        <v>#DIV/0!</v>
      </c>
    </row>
    <row r="579" spans="49:66" x14ac:dyDescent="0.3">
      <c r="AW579">
        <f t="shared" si="54"/>
        <v>0</v>
      </c>
      <c r="AX579">
        <v>576</v>
      </c>
      <c r="AY579" s="4">
        <f t="shared" si="52"/>
        <v>42978</v>
      </c>
      <c r="AZ579" s="6" t="e">
        <f t="shared" si="53"/>
        <v>#DIV/0!</v>
      </c>
      <c r="BA579" s="4">
        <v>42978</v>
      </c>
      <c r="BB579" s="6">
        <v>-0.31838100000000003</v>
      </c>
      <c r="BC579" s="6">
        <v>0.26284000000000002</v>
      </c>
      <c r="BD579" s="6">
        <v>0.33312700000000001</v>
      </c>
      <c r="BE579" s="6"/>
      <c r="BF579" s="6"/>
      <c r="BG579" s="6"/>
      <c r="BH579" s="6"/>
      <c r="BI579" s="6"/>
      <c r="BJ579" s="6"/>
      <c r="BK579" s="6"/>
      <c r="BL579" s="6"/>
      <c r="BM579" s="6"/>
      <c r="BN579" s="6" t="e">
        <f t="shared" si="55"/>
        <v>#DIV/0!</v>
      </c>
    </row>
    <row r="580" spans="49:66" x14ac:dyDescent="0.3">
      <c r="AW580">
        <f t="shared" si="54"/>
        <v>0</v>
      </c>
      <c r="AX580">
        <v>577</v>
      </c>
      <c r="AY580" s="4">
        <f t="shared" si="52"/>
        <v>42979</v>
      </c>
      <c r="AZ580" s="6" t="e">
        <f t="shared" si="53"/>
        <v>#DIV/0!</v>
      </c>
      <c r="BA580" s="4">
        <v>42979</v>
      </c>
      <c r="BB580" s="6">
        <v>0.22096499999999999</v>
      </c>
      <c r="BC580" s="6">
        <v>0.86669300000000005</v>
      </c>
      <c r="BD580" s="6">
        <v>0.78171000000000002</v>
      </c>
      <c r="BE580" s="6"/>
      <c r="BF580" s="6"/>
      <c r="BG580" s="6"/>
      <c r="BH580" s="6"/>
      <c r="BI580" s="6"/>
      <c r="BJ580" s="6"/>
      <c r="BK580" s="6"/>
      <c r="BL580" s="6"/>
      <c r="BM580" s="6"/>
      <c r="BN580" s="6" t="e">
        <f t="shared" si="55"/>
        <v>#DIV/0!</v>
      </c>
    </row>
    <row r="581" spans="49:66" x14ac:dyDescent="0.3">
      <c r="AW581">
        <f t="shared" si="54"/>
        <v>0</v>
      </c>
      <c r="AX581">
        <v>578</v>
      </c>
      <c r="AY581" s="4">
        <f t="shared" ref="AY581:AY644" si="56">BA581</f>
        <v>42982</v>
      </c>
      <c r="AZ581" s="6" t="e">
        <f t="shared" ref="AZ581:AZ644" si="57">BN581</f>
        <v>#DIV/0!</v>
      </c>
      <c r="BA581" s="4">
        <v>42982</v>
      </c>
      <c r="BB581" s="6">
        <v>0.39362599999999998</v>
      </c>
      <c r="BC581" s="6">
        <v>0.58493499999999998</v>
      </c>
      <c r="BD581" s="6">
        <v>0.75289399999999995</v>
      </c>
      <c r="BE581" s="6"/>
      <c r="BF581" s="6"/>
      <c r="BG581" s="6"/>
      <c r="BH581" s="6"/>
      <c r="BI581" s="6"/>
      <c r="BJ581" s="6"/>
      <c r="BK581" s="6"/>
      <c r="BL581" s="6"/>
      <c r="BM581" s="6"/>
      <c r="BN581" s="6" t="e">
        <f t="shared" si="55"/>
        <v>#DIV/0!</v>
      </c>
    </row>
    <row r="582" spans="49:66" x14ac:dyDescent="0.3">
      <c r="AW582">
        <f t="shared" ref="AW582:AW645" si="58">IF(AY582&lt;=AY581,1,0)</f>
        <v>0</v>
      </c>
      <c r="AX582">
        <v>579</v>
      </c>
      <c r="AY582" s="4">
        <f t="shared" si="56"/>
        <v>42983</v>
      </c>
      <c r="AZ582" s="6" t="e">
        <f t="shared" si="57"/>
        <v>#DIV/0!</v>
      </c>
      <c r="BA582" s="4">
        <v>42983</v>
      </c>
      <c r="BB582" s="6">
        <v>0.29722399999999999</v>
      </c>
      <c r="BC582" s="6">
        <v>0.10935300000000001</v>
      </c>
      <c r="BD582" s="6">
        <v>3.0248000000000001E-2</v>
      </c>
      <c r="BE582" s="6"/>
      <c r="BF582" s="6"/>
      <c r="BG582" s="6"/>
      <c r="BH582" s="6"/>
      <c r="BI582" s="6"/>
      <c r="BJ582" s="6"/>
      <c r="BK582" s="6"/>
      <c r="BL582" s="6"/>
      <c r="BM582" s="6"/>
      <c r="BN582" s="6" t="e">
        <f t="shared" ref="BN582:BN645" si="59">(BM582/BM581-1)*100</f>
        <v>#DIV/0!</v>
      </c>
    </row>
    <row r="583" spans="49:66" x14ac:dyDescent="0.3">
      <c r="AW583">
        <f t="shared" si="58"/>
        <v>0</v>
      </c>
      <c r="AX583">
        <v>580</v>
      </c>
      <c r="AY583" s="4">
        <f t="shared" si="56"/>
        <v>42984</v>
      </c>
      <c r="AZ583" s="6" t="e">
        <f t="shared" si="57"/>
        <v>#DIV/0!</v>
      </c>
      <c r="BA583" s="4">
        <v>42984</v>
      </c>
      <c r="BB583" s="6">
        <v>-0.19695099999999999</v>
      </c>
      <c r="BC583" s="6">
        <v>0.53650699999999996</v>
      </c>
      <c r="BD583" s="6">
        <v>0.74030200000000002</v>
      </c>
      <c r="BE583" s="6"/>
      <c r="BF583" s="6"/>
      <c r="BG583" s="6"/>
      <c r="BH583" s="6"/>
      <c r="BI583" s="6"/>
      <c r="BJ583" s="6"/>
      <c r="BK583" s="6"/>
      <c r="BL583" s="6"/>
      <c r="BM583" s="6"/>
      <c r="BN583" s="6" t="e">
        <f t="shared" si="59"/>
        <v>#DIV/0!</v>
      </c>
    </row>
    <row r="584" spans="49:66" x14ac:dyDescent="0.3">
      <c r="AW584">
        <f t="shared" si="58"/>
        <v>0</v>
      </c>
      <c r="AX584">
        <v>581</v>
      </c>
      <c r="AY584" s="4">
        <f t="shared" si="56"/>
        <v>42985</v>
      </c>
      <c r="AZ584" s="6" t="e">
        <f t="shared" si="57"/>
        <v>#DIV/0!</v>
      </c>
      <c r="BA584" s="4">
        <v>42985</v>
      </c>
      <c r="BB584" s="6">
        <v>-0.50860799999999995</v>
      </c>
      <c r="BC584" s="6">
        <v>-0.734379</v>
      </c>
      <c r="BD584" s="6">
        <v>-0.44393500000000002</v>
      </c>
      <c r="BE584" s="6"/>
      <c r="BF584" s="6"/>
      <c r="BG584" s="6"/>
      <c r="BH584" s="6"/>
      <c r="BI584" s="6"/>
      <c r="BJ584" s="6"/>
      <c r="BK584" s="6"/>
      <c r="BL584" s="6"/>
      <c r="BM584" s="6"/>
      <c r="BN584" s="6" t="e">
        <f t="shared" si="59"/>
        <v>#DIV/0!</v>
      </c>
    </row>
    <row r="585" spans="49:66" x14ac:dyDescent="0.3">
      <c r="AW585">
        <f t="shared" si="58"/>
        <v>0</v>
      </c>
      <c r="AX585">
        <v>582</v>
      </c>
      <c r="AY585" s="4">
        <f t="shared" si="56"/>
        <v>42986</v>
      </c>
      <c r="AZ585" s="6" t="e">
        <f t="shared" si="57"/>
        <v>#DIV/0!</v>
      </c>
      <c r="BA585" s="4">
        <v>42986</v>
      </c>
      <c r="BB585" s="6">
        <v>-0.101356</v>
      </c>
      <c r="BC585" s="6">
        <v>0.237647</v>
      </c>
      <c r="BD585" s="6">
        <v>0.19680300000000001</v>
      </c>
      <c r="BE585" s="6"/>
      <c r="BF585" s="6"/>
      <c r="BG585" s="6"/>
      <c r="BH585" s="6"/>
      <c r="BI585" s="6"/>
      <c r="BJ585" s="6"/>
      <c r="BK585" s="6"/>
      <c r="BL585" s="6"/>
      <c r="BM585" s="6"/>
      <c r="BN585" s="6" t="e">
        <f t="shared" si="59"/>
        <v>#DIV/0!</v>
      </c>
    </row>
    <row r="586" spans="49:66" x14ac:dyDescent="0.3">
      <c r="AW586">
        <f t="shared" si="58"/>
        <v>0</v>
      </c>
      <c r="AX586">
        <v>583</v>
      </c>
      <c r="AY586" s="4">
        <f t="shared" si="56"/>
        <v>42989</v>
      </c>
      <c r="AZ586" s="6" t="e">
        <f t="shared" si="57"/>
        <v>#DIV/0!</v>
      </c>
      <c r="BA586" s="4">
        <v>42989</v>
      </c>
      <c r="BB586" s="6">
        <v>-8.9960000000000005E-3</v>
      </c>
      <c r="BC586" s="6">
        <v>1.1475949999999999</v>
      </c>
      <c r="BD586" s="6">
        <v>1.0447329999999999</v>
      </c>
      <c r="BE586" s="6"/>
      <c r="BF586" s="6"/>
      <c r="BG586" s="6"/>
      <c r="BH586" s="6"/>
      <c r="BI586" s="6"/>
      <c r="BJ586" s="6"/>
      <c r="BK586" s="6"/>
      <c r="BL586" s="6"/>
      <c r="BM586" s="6"/>
      <c r="BN586" s="6" t="e">
        <f t="shared" si="59"/>
        <v>#DIV/0!</v>
      </c>
    </row>
    <row r="587" spans="49:66" x14ac:dyDescent="0.3">
      <c r="AW587">
        <f t="shared" si="58"/>
        <v>0</v>
      </c>
      <c r="AX587">
        <v>584</v>
      </c>
      <c r="AY587" s="4">
        <f t="shared" si="56"/>
        <v>42990</v>
      </c>
      <c r="AZ587" s="6" t="e">
        <f t="shared" si="57"/>
        <v>#DIV/0!</v>
      </c>
      <c r="BA587" s="4">
        <v>42990</v>
      </c>
      <c r="BB587" s="6">
        <v>0.32122200000000001</v>
      </c>
      <c r="BC587" s="6">
        <v>-8.4453E-2</v>
      </c>
      <c r="BD587" s="6">
        <v>-0.26849800000000001</v>
      </c>
      <c r="BE587" s="6"/>
      <c r="BF587" s="6"/>
      <c r="BG587" s="6"/>
      <c r="BH587" s="6"/>
      <c r="BI587" s="6"/>
      <c r="BJ587" s="6"/>
      <c r="BK587" s="6"/>
      <c r="BL587" s="6"/>
      <c r="BM587" s="6"/>
      <c r="BN587" s="6" t="e">
        <f t="shared" si="59"/>
        <v>#DIV/0!</v>
      </c>
    </row>
    <row r="588" spans="49:66" x14ac:dyDescent="0.3">
      <c r="AW588">
        <f t="shared" si="58"/>
        <v>0</v>
      </c>
      <c r="AX588">
        <v>585</v>
      </c>
      <c r="AY588" s="4">
        <f t="shared" si="56"/>
        <v>42991</v>
      </c>
      <c r="AZ588" s="6" t="e">
        <f t="shared" si="57"/>
        <v>#DIV/0!</v>
      </c>
      <c r="BA588" s="4">
        <v>42991</v>
      </c>
      <c r="BB588" s="6">
        <v>0.12173200000000001</v>
      </c>
      <c r="BC588" s="6">
        <v>0.60758500000000004</v>
      </c>
      <c r="BD588" s="6">
        <v>0.37126100000000001</v>
      </c>
      <c r="BE588" s="6"/>
      <c r="BF588" s="6"/>
      <c r="BG588" s="6"/>
      <c r="BH588" s="6"/>
      <c r="BI588" s="6"/>
      <c r="BJ588" s="6"/>
      <c r="BK588" s="6"/>
      <c r="BL588" s="6"/>
      <c r="BM588" s="6"/>
      <c r="BN588" s="6" t="e">
        <f t="shared" si="59"/>
        <v>#DIV/0!</v>
      </c>
    </row>
    <row r="589" spans="49:66" x14ac:dyDescent="0.3">
      <c r="AW589">
        <f t="shared" si="58"/>
        <v>0</v>
      </c>
      <c r="AX589">
        <v>586</v>
      </c>
      <c r="AY589" s="4">
        <f t="shared" si="56"/>
        <v>42992</v>
      </c>
      <c r="AZ589" s="6" t="e">
        <f t="shared" si="57"/>
        <v>#DIV/0!</v>
      </c>
      <c r="BA589" s="4">
        <v>42992</v>
      </c>
      <c r="BB589" s="6">
        <v>-0.32922200000000001</v>
      </c>
      <c r="BC589" s="6">
        <v>-0.18243899999999999</v>
      </c>
      <c r="BD589" s="6">
        <v>-0.15242600000000001</v>
      </c>
      <c r="BE589" s="6"/>
      <c r="BF589" s="6"/>
      <c r="BG589" s="6"/>
      <c r="BH589" s="6"/>
      <c r="BI589" s="6"/>
      <c r="BJ589" s="6"/>
      <c r="BK589" s="6"/>
      <c r="BL589" s="6"/>
      <c r="BM589" s="6"/>
      <c r="BN589" s="6" t="e">
        <f t="shared" si="59"/>
        <v>#DIV/0!</v>
      </c>
    </row>
    <row r="590" spans="49:66" x14ac:dyDescent="0.3">
      <c r="AW590">
        <f t="shared" si="58"/>
        <v>0</v>
      </c>
      <c r="AX590">
        <v>587</v>
      </c>
      <c r="AY590" s="4">
        <f t="shared" si="56"/>
        <v>42993</v>
      </c>
      <c r="AZ590" s="6" t="e">
        <f t="shared" si="57"/>
        <v>#DIV/0!</v>
      </c>
      <c r="BA590" s="4">
        <v>42993</v>
      </c>
      <c r="BB590" s="6">
        <v>3.5015999999999999E-2</v>
      </c>
      <c r="BC590" s="6">
        <v>-0.751494</v>
      </c>
      <c r="BD590" s="6">
        <v>-0.45598899999999998</v>
      </c>
      <c r="BE590" s="6"/>
      <c r="BF590" s="6"/>
      <c r="BG590" s="6"/>
      <c r="BH590" s="6"/>
      <c r="BI590" s="6"/>
      <c r="BJ590" s="6"/>
      <c r="BK590" s="6"/>
      <c r="BL590" s="6"/>
      <c r="BM590" s="6"/>
      <c r="BN590" s="6" t="e">
        <f t="shared" si="59"/>
        <v>#DIV/0!</v>
      </c>
    </row>
    <row r="591" spans="49:66" x14ac:dyDescent="0.3">
      <c r="AW591">
        <f t="shared" si="58"/>
        <v>0</v>
      </c>
      <c r="AX591">
        <v>588</v>
      </c>
      <c r="AY591" s="4">
        <f t="shared" si="56"/>
        <v>42996</v>
      </c>
      <c r="AZ591" s="6" t="e">
        <f t="shared" si="57"/>
        <v>#DIV/0!</v>
      </c>
      <c r="BA591" s="4">
        <v>42996</v>
      </c>
      <c r="BB591" s="6">
        <v>0.30919799999999997</v>
      </c>
      <c r="BC591" s="6">
        <v>0.71595699999999995</v>
      </c>
      <c r="BD591" s="6">
        <v>0.775532</v>
      </c>
      <c r="BE591" s="6"/>
      <c r="BF591" s="6"/>
      <c r="BG591" s="6"/>
      <c r="BH591" s="6"/>
      <c r="BI591" s="6"/>
      <c r="BJ591" s="6"/>
      <c r="BK591" s="6"/>
      <c r="BL591" s="6"/>
      <c r="BM591" s="6"/>
      <c r="BN591" s="6" t="e">
        <f t="shared" si="59"/>
        <v>#DIV/0!</v>
      </c>
    </row>
    <row r="592" spans="49:66" x14ac:dyDescent="0.3">
      <c r="AW592">
        <f t="shared" si="58"/>
        <v>0</v>
      </c>
      <c r="AX592">
        <v>589</v>
      </c>
      <c r="AY592" s="4">
        <f t="shared" si="56"/>
        <v>42997</v>
      </c>
      <c r="AZ592" s="6" t="e">
        <f t="shared" si="57"/>
        <v>#DIV/0!</v>
      </c>
      <c r="BA592" s="4">
        <v>42997</v>
      </c>
      <c r="BB592" s="6">
        <v>-0.28691899999999998</v>
      </c>
      <c r="BC592" s="6">
        <v>-0.50131099999999995</v>
      </c>
      <c r="BD592" s="6">
        <v>-0.45302399999999998</v>
      </c>
      <c r="BE592" s="6"/>
      <c r="BF592" s="6"/>
      <c r="BG592" s="6"/>
      <c r="BH592" s="6"/>
      <c r="BI592" s="6"/>
      <c r="BJ592" s="6"/>
      <c r="BK592" s="6"/>
      <c r="BL592" s="6"/>
      <c r="BM592" s="6"/>
      <c r="BN592" s="6" t="e">
        <f t="shared" si="59"/>
        <v>#DIV/0!</v>
      </c>
    </row>
    <row r="593" spans="49:66" x14ac:dyDescent="0.3">
      <c r="AW593">
        <f t="shared" si="58"/>
        <v>0</v>
      </c>
      <c r="AX593">
        <v>590</v>
      </c>
      <c r="AY593" s="4">
        <f t="shared" si="56"/>
        <v>42998</v>
      </c>
      <c r="AZ593" s="6" t="e">
        <f t="shared" si="57"/>
        <v>#DIV/0!</v>
      </c>
      <c r="BA593" s="4">
        <v>42998</v>
      </c>
      <c r="BB593" s="6">
        <v>0.26928200000000002</v>
      </c>
      <c r="BC593" s="6">
        <v>0.85069499999999998</v>
      </c>
      <c r="BD593" s="6">
        <v>0.88144999999999996</v>
      </c>
      <c r="BE593" s="6"/>
      <c r="BF593" s="6"/>
      <c r="BG593" s="6"/>
      <c r="BH593" s="6"/>
      <c r="BI593" s="6"/>
      <c r="BJ593" s="6"/>
      <c r="BK593" s="6"/>
      <c r="BL593" s="6"/>
      <c r="BM593" s="6"/>
      <c r="BN593" s="6" t="e">
        <f t="shared" si="59"/>
        <v>#DIV/0!</v>
      </c>
    </row>
    <row r="594" spans="49:66" x14ac:dyDescent="0.3">
      <c r="AW594">
        <f t="shared" si="58"/>
        <v>0</v>
      </c>
      <c r="AX594">
        <v>591</v>
      </c>
      <c r="AY594" s="4">
        <f t="shared" si="56"/>
        <v>42999</v>
      </c>
      <c r="AZ594" s="6" t="e">
        <f t="shared" si="57"/>
        <v>#DIV/0!</v>
      </c>
      <c r="BA594" s="4">
        <v>42999</v>
      </c>
      <c r="BB594" s="6">
        <v>-0.12017600000000001</v>
      </c>
      <c r="BC594" s="6">
        <v>-1.2017500000000001</v>
      </c>
      <c r="BD594" s="6">
        <v>-1.1143590000000001</v>
      </c>
      <c r="BE594" s="6"/>
      <c r="BF594" s="6"/>
      <c r="BG594" s="6"/>
      <c r="BH594" s="6"/>
      <c r="BI594" s="6"/>
      <c r="BJ594" s="6"/>
      <c r="BK594" s="6"/>
      <c r="BL594" s="6"/>
      <c r="BM594" s="6"/>
      <c r="BN594" s="6" t="e">
        <f t="shared" si="59"/>
        <v>#DIV/0!</v>
      </c>
    </row>
    <row r="595" spans="49:66" x14ac:dyDescent="0.3">
      <c r="AW595">
        <f t="shared" si="58"/>
        <v>0</v>
      </c>
      <c r="AX595">
        <v>592</v>
      </c>
      <c r="AY595" s="4">
        <f t="shared" si="56"/>
        <v>43000</v>
      </c>
      <c r="AZ595" s="6" t="e">
        <f t="shared" si="57"/>
        <v>#DIV/0!</v>
      </c>
      <c r="BA595" s="4">
        <v>43000</v>
      </c>
      <c r="BB595" s="6">
        <v>-2.2720000000000001E-3</v>
      </c>
      <c r="BC595" s="6">
        <v>-0.60550099999999996</v>
      </c>
      <c r="BD595" s="6">
        <v>-0.46647699999999997</v>
      </c>
      <c r="BE595" s="6"/>
      <c r="BF595" s="6"/>
      <c r="BG595" s="6"/>
      <c r="BH595" s="6"/>
      <c r="BI595" s="6"/>
      <c r="BJ595" s="6"/>
      <c r="BK595" s="6"/>
      <c r="BL595" s="6"/>
      <c r="BM595" s="6"/>
      <c r="BN595" s="6" t="e">
        <f t="shared" si="59"/>
        <v>#DIV/0!</v>
      </c>
    </row>
    <row r="596" spans="49:66" x14ac:dyDescent="0.3">
      <c r="AW596">
        <f t="shared" si="58"/>
        <v>0</v>
      </c>
      <c r="AX596">
        <v>593</v>
      </c>
      <c r="AY596" s="4">
        <f t="shared" si="56"/>
        <v>43003</v>
      </c>
      <c r="AZ596" s="6" t="e">
        <f t="shared" si="57"/>
        <v>#DIV/0!</v>
      </c>
      <c r="BA596" s="4">
        <v>43003</v>
      </c>
      <c r="BB596" s="6">
        <v>-0.51954900000000004</v>
      </c>
      <c r="BC596" s="6">
        <v>-1.2502340000000001</v>
      </c>
      <c r="BD596" s="6">
        <v>-1.5023299999999999</v>
      </c>
      <c r="BE596" s="6"/>
      <c r="BF596" s="6"/>
      <c r="BG596" s="6"/>
      <c r="BH596" s="6"/>
      <c r="BI596" s="6"/>
      <c r="BJ596" s="6"/>
      <c r="BK596" s="6"/>
      <c r="BL596" s="6"/>
      <c r="BM596" s="6"/>
      <c r="BN596" s="6" t="e">
        <f t="shared" si="59"/>
        <v>#DIV/0!</v>
      </c>
    </row>
    <row r="597" spans="49:66" x14ac:dyDescent="0.3">
      <c r="AW597">
        <f t="shared" si="58"/>
        <v>0</v>
      </c>
      <c r="AX597">
        <v>594</v>
      </c>
      <c r="AY597" s="4">
        <f t="shared" si="56"/>
        <v>43004</v>
      </c>
      <c r="AZ597" s="6" t="e">
        <f t="shared" si="57"/>
        <v>#DIV/0!</v>
      </c>
      <c r="BA597" s="4">
        <v>43004</v>
      </c>
      <c r="BB597" s="6">
        <v>7.8320000000000001E-2</v>
      </c>
      <c r="BC597" s="6">
        <v>0.475719</v>
      </c>
      <c r="BD597" s="6">
        <v>0.18677199999999999</v>
      </c>
      <c r="BE597" s="6"/>
      <c r="BF597" s="6"/>
      <c r="BG597" s="6"/>
      <c r="BH597" s="6"/>
      <c r="BI597" s="6"/>
      <c r="BJ597" s="6"/>
      <c r="BK597" s="6"/>
      <c r="BL597" s="6"/>
      <c r="BM597" s="6"/>
      <c r="BN597" s="6" t="e">
        <f t="shared" si="59"/>
        <v>#DIV/0!</v>
      </c>
    </row>
    <row r="598" spans="49:66" x14ac:dyDescent="0.3">
      <c r="AW598">
        <f t="shared" si="58"/>
        <v>0</v>
      </c>
      <c r="AX598">
        <v>595</v>
      </c>
      <c r="AY598" s="4">
        <f t="shared" si="56"/>
        <v>43005</v>
      </c>
      <c r="AZ598" s="6" t="e">
        <f t="shared" si="57"/>
        <v>#DIV/0!</v>
      </c>
      <c r="BA598" s="4">
        <v>43005</v>
      </c>
      <c r="BB598" s="6">
        <v>1.0951000000000001E-2</v>
      </c>
      <c r="BC598" s="6">
        <v>0.95729600000000004</v>
      </c>
      <c r="BD598" s="6">
        <v>0.82614900000000002</v>
      </c>
      <c r="BE598" s="6"/>
      <c r="BF598" s="6"/>
      <c r="BG598" s="6"/>
      <c r="BH598" s="6"/>
      <c r="BI598" s="6"/>
      <c r="BJ598" s="6"/>
      <c r="BK598" s="6"/>
      <c r="BL598" s="6"/>
      <c r="BM598" s="6"/>
      <c r="BN598" s="6" t="e">
        <f t="shared" si="59"/>
        <v>#DIV/0!</v>
      </c>
    </row>
    <row r="599" spans="49:66" x14ac:dyDescent="0.3">
      <c r="AW599">
        <f t="shared" si="58"/>
        <v>0</v>
      </c>
      <c r="AX599">
        <v>596</v>
      </c>
      <c r="AY599" s="4">
        <f t="shared" si="56"/>
        <v>43006</v>
      </c>
      <c r="AZ599" s="6" t="e">
        <f t="shared" si="57"/>
        <v>#DIV/0!</v>
      </c>
      <c r="BA599" s="4">
        <v>43006</v>
      </c>
      <c r="BB599" s="6">
        <v>3.5031E-2</v>
      </c>
      <c r="BC599" s="6">
        <v>-0.23315</v>
      </c>
      <c r="BD599" s="6">
        <v>-0.53594799999999998</v>
      </c>
      <c r="BE599" s="6"/>
      <c r="BF599" s="6"/>
      <c r="BG599" s="6"/>
      <c r="BH599" s="6"/>
      <c r="BI599" s="6"/>
      <c r="BJ599" s="6"/>
      <c r="BK599" s="6"/>
      <c r="BL599" s="6"/>
      <c r="BM599" s="6"/>
      <c r="BN599" s="6" t="e">
        <f t="shared" si="59"/>
        <v>#DIV/0!</v>
      </c>
    </row>
    <row r="600" spans="49:66" x14ac:dyDescent="0.3">
      <c r="AW600">
        <f t="shared" si="58"/>
        <v>0</v>
      </c>
      <c r="AX600">
        <v>597</v>
      </c>
      <c r="AY600" s="4">
        <f t="shared" si="56"/>
        <v>43007</v>
      </c>
      <c r="AZ600" s="6" t="e">
        <f t="shared" si="57"/>
        <v>#DIV/0!</v>
      </c>
      <c r="BA600" s="4">
        <v>43007</v>
      </c>
      <c r="BB600" s="6">
        <v>0.36527300000000001</v>
      </c>
      <c r="BC600" s="6">
        <v>0.54001699999999997</v>
      </c>
      <c r="BD600" s="6">
        <v>0.95529500000000001</v>
      </c>
      <c r="BE600" s="6"/>
      <c r="BF600" s="6"/>
      <c r="BG600" s="6"/>
      <c r="BH600" s="6"/>
      <c r="BI600" s="6"/>
      <c r="BJ600" s="6"/>
      <c r="BK600" s="6"/>
      <c r="BL600" s="6"/>
      <c r="BM600" s="6"/>
      <c r="BN600" s="6" t="e">
        <f t="shared" si="59"/>
        <v>#DIV/0!</v>
      </c>
    </row>
    <row r="601" spans="49:66" x14ac:dyDescent="0.3">
      <c r="AW601">
        <f t="shared" si="58"/>
        <v>0</v>
      </c>
      <c r="AX601">
        <v>598</v>
      </c>
      <c r="AY601" s="4">
        <f t="shared" si="56"/>
        <v>43017</v>
      </c>
      <c r="AZ601" s="6" t="e">
        <f t="shared" si="57"/>
        <v>#DIV/0!</v>
      </c>
      <c r="BA601" s="4">
        <v>43017</v>
      </c>
      <c r="BB601" s="6">
        <v>1.191354</v>
      </c>
      <c r="BC601" s="6">
        <v>1.1375040000000001</v>
      </c>
      <c r="BD601" s="6">
        <v>1.257166</v>
      </c>
      <c r="BE601" s="6"/>
      <c r="BF601" s="6"/>
      <c r="BG601" s="6"/>
      <c r="BH601" s="6"/>
      <c r="BI601" s="6"/>
      <c r="BJ601" s="6"/>
      <c r="BK601" s="6"/>
      <c r="BL601" s="6"/>
      <c r="BM601" s="6"/>
      <c r="BN601" s="6" t="e">
        <f t="shared" si="59"/>
        <v>#DIV/0!</v>
      </c>
    </row>
    <row r="602" spans="49:66" x14ac:dyDescent="0.3">
      <c r="AW602">
        <f t="shared" si="58"/>
        <v>0</v>
      </c>
      <c r="AX602">
        <v>599</v>
      </c>
      <c r="AY602" s="4">
        <f t="shared" si="56"/>
        <v>43018</v>
      </c>
      <c r="AZ602" s="6" t="e">
        <f t="shared" si="57"/>
        <v>#DIV/0!</v>
      </c>
      <c r="BA602" s="4">
        <v>43018</v>
      </c>
      <c r="BB602" s="6">
        <v>0.19721</v>
      </c>
      <c r="BC602" s="6">
        <v>0.40594000000000002</v>
      </c>
      <c r="BD602" s="6">
        <v>0.67091999999999996</v>
      </c>
      <c r="BE602" s="6"/>
      <c r="BF602" s="6"/>
      <c r="BG602" s="6"/>
      <c r="BH602" s="6"/>
      <c r="BI602" s="6"/>
      <c r="BJ602" s="6"/>
      <c r="BK602" s="6"/>
      <c r="BL602" s="6"/>
      <c r="BM602" s="6"/>
      <c r="BN602" s="6" t="e">
        <f t="shared" si="59"/>
        <v>#DIV/0!</v>
      </c>
    </row>
    <row r="603" spans="49:66" x14ac:dyDescent="0.3">
      <c r="AW603">
        <f t="shared" si="58"/>
        <v>0</v>
      </c>
      <c r="AX603">
        <v>600</v>
      </c>
      <c r="AY603" s="4">
        <f t="shared" si="56"/>
        <v>43019</v>
      </c>
      <c r="AZ603" s="6" t="e">
        <f t="shared" si="57"/>
        <v>#DIV/0!</v>
      </c>
      <c r="BA603" s="4">
        <v>43019</v>
      </c>
      <c r="BB603" s="6">
        <v>0.329654</v>
      </c>
      <c r="BC603" s="6">
        <v>-0.58178700000000005</v>
      </c>
      <c r="BD603" s="6">
        <v>-0.41715099999999999</v>
      </c>
      <c r="BE603" s="6"/>
      <c r="BF603" s="6"/>
      <c r="BG603" s="6"/>
      <c r="BH603" s="6"/>
      <c r="BI603" s="6"/>
      <c r="BJ603" s="6"/>
      <c r="BK603" s="6"/>
      <c r="BL603" s="6"/>
      <c r="BM603" s="6"/>
      <c r="BN603" s="6" t="e">
        <f t="shared" si="59"/>
        <v>#DIV/0!</v>
      </c>
    </row>
    <row r="604" spans="49:66" x14ac:dyDescent="0.3">
      <c r="AW604">
        <f t="shared" si="58"/>
        <v>0</v>
      </c>
      <c r="AX604">
        <v>601</v>
      </c>
      <c r="AY604" s="4">
        <f t="shared" si="56"/>
        <v>43020</v>
      </c>
      <c r="AZ604" s="6" t="e">
        <f t="shared" si="57"/>
        <v>#DIV/0!</v>
      </c>
      <c r="BA604" s="4">
        <v>43020</v>
      </c>
      <c r="BB604" s="6">
        <v>0.26307000000000003</v>
      </c>
      <c r="BC604" s="6">
        <v>-0.110612</v>
      </c>
      <c r="BD604" s="6">
        <v>-0.26344099999999998</v>
      </c>
      <c r="BE604" s="6"/>
      <c r="BF604" s="6"/>
      <c r="BG604" s="6"/>
      <c r="BH604" s="6"/>
      <c r="BI604" s="6"/>
      <c r="BJ604" s="6"/>
      <c r="BK604" s="6"/>
      <c r="BL604" s="6"/>
      <c r="BM604" s="6"/>
      <c r="BN604" s="6" t="e">
        <f t="shared" si="59"/>
        <v>#DIV/0!</v>
      </c>
    </row>
    <row r="605" spans="49:66" x14ac:dyDescent="0.3">
      <c r="AW605">
        <f t="shared" si="58"/>
        <v>0</v>
      </c>
      <c r="AX605">
        <v>602</v>
      </c>
      <c r="AY605" s="4">
        <f t="shared" si="56"/>
        <v>43021</v>
      </c>
      <c r="AZ605" s="6" t="e">
        <f t="shared" si="57"/>
        <v>#DIV/0!</v>
      </c>
      <c r="BA605" s="4">
        <v>43021</v>
      </c>
      <c r="BB605" s="6">
        <v>0.205678</v>
      </c>
      <c r="BC605" s="6">
        <v>0.76167499999999999</v>
      </c>
      <c r="BD605" s="6">
        <v>0.40656500000000001</v>
      </c>
      <c r="BE605" s="6"/>
      <c r="BF605" s="6"/>
      <c r="BG605" s="6"/>
      <c r="BH605" s="6"/>
      <c r="BI605" s="6"/>
      <c r="BJ605" s="6"/>
      <c r="BK605" s="6"/>
      <c r="BL605" s="6"/>
      <c r="BM605" s="6"/>
      <c r="BN605" s="6" t="e">
        <f t="shared" si="59"/>
        <v>#DIV/0!</v>
      </c>
    </row>
    <row r="606" spans="49:66" x14ac:dyDescent="0.3">
      <c r="AW606">
        <f t="shared" si="58"/>
        <v>0</v>
      </c>
      <c r="AX606">
        <v>603</v>
      </c>
      <c r="AY606" s="4">
        <f t="shared" si="56"/>
        <v>43024</v>
      </c>
      <c r="AZ606" s="6" t="e">
        <f t="shared" si="57"/>
        <v>#DIV/0!</v>
      </c>
      <c r="BA606" s="4">
        <v>43024</v>
      </c>
      <c r="BB606" s="6">
        <v>-0.192693</v>
      </c>
      <c r="BC606" s="6">
        <v>-1.3504210000000001</v>
      </c>
      <c r="BD606" s="6">
        <v>-1.917025</v>
      </c>
      <c r="BE606" s="6"/>
      <c r="BF606" s="6"/>
      <c r="BG606" s="6"/>
      <c r="BH606" s="6"/>
      <c r="BI606" s="6"/>
      <c r="BJ606" s="6"/>
      <c r="BK606" s="6"/>
      <c r="BL606" s="6"/>
      <c r="BM606" s="6"/>
      <c r="BN606" s="6" t="e">
        <f t="shared" si="59"/>
        <v>#DIV/0!</v>
      </c>
    </row>
    <row r="607" spans="49:66" x14ac:dyDescent="0.3">
      <c r="AW607">
        <f t="shared" si="58"/>
        <v>0</v>
      </c>
      <c r="AX607">
        <v>604</v>
      </c>
      <c r="AY607" s="4">
        <f t="shared" si="56"/>
        <v>43025</v>
      </c>
      <c r="AZ607" s="6" t="e">
        <f t="shared" si="57"/>
        <v>#DIV/0!</v>
      </c>
      <c r="BA607" s="4">
        <v>43025</v>
      </c>
      <c r="BB607" s="6">
        <v>-9.6439999999999998E-3</v>
      </c>
      <c r="BC607" s="6">
        <v>-9.4616000000000006E-2</v>
      </c>
      <c r="BD607" s="6">
        <v>-0.18566199999999999</v>
      </c>
      <c r="BE607" s="6"/>
      <c r="BF607" s="6"/>
      <c r="BG607" s="6"/>
      <c r="BH607" s="6"/>
      <c r="BI607" s="6"/>
      <c r="BJ607" s="6"/>
      <c r="BK607" s="6"/>
      <c r="BL607" s="6"/>
      <c r="BM607" s="6"/>
      <c r="BN607" s="6" t="e">
        <f t="shared" si="59"/>
        <v>#DIV/0!</v>
      </c>
    </row>
    <row r="608" spans="49:66" x14ac:dyDescent="0.3">
      <c r="AW608">
        <f t="shared" si="58"/>
        <v>0</v>
      </c>
      <c r="AX608">
        <v>605</v>
      </c>
      <c r="AY608" s="4">
        <f t="shared" si="56"/>
        <v>43026</v>
      </c>
      <c r="AZ608" s="6" t="e">
        <f t="shared" si="57"/>
        <v>#DIV/0!</v>
      </c>
      <c r="BA608" s="4">
        <v>43026</v>
      </c>
      <c r="BB608" s="6">
        <v>0.79461400000000004</v>
      </c>
      <c r="BC608" s="6">
        <v>-0.74862099999999998</v>
      </c>
      <c r="BD608" s="6">
        <v>-0.95830700000000002</v>
      </c>
      <c r="BE608" s="6"/>
      <c r="BF608" s="6"/>
      <c r="BG608" s="6"/>
      <c r="BH608" s="6"/>
      <c r="BI608" s="6"/>
      <c r="BJ608" s="6"/>
      <c r="BK608" s="6"/>
      <c r="BL608" s="6"/>
      <c r="BM608" s="6"/>
      <c r="BN608" s="6" t="e">
        <f t="shared" si="59"/>
        <v>#DIV/0!</v>
      </c>
    </row>
    <row r="609" spans="49:66" x14ac:dyDescent="0.3">
      <c r="AW609">
        <f t="shared" si="58"/>
        <v>0</v>
      </c>
      <c r="AX609">
        <v>606</v>
      </c>
      <c r="AY609" s="4">
        <f t="shared" si="56"/>
        <v>43027</v>
      </c>
      <c r="AZ609" s="6" t="e">
        <f t="shared" si="57"/>
        <v>#DIV/0!</v>
      </c>
      <c r="BA609" s="4">
        <v>43027</v>
      </c>
      <c r="BB609" s="6">
        <v>-0.32739800000000002</v>
      </c>
      <c r="BC609" s="6">
        <v>-0.945191</v>
      </c>
      <c r="BD609" s="6">
        <v>-0.96006800000000003</v>
      </c>
      <c r="BE609" s="6"/>
      <c r="BF609" s="6"/>
      <c r="BG609" s="6"/>
      <c r="BH609" s="6"/>
      <c r="BI609" s="6"/>
      <c r="BJ609" s="6"/>
      <c r="BK609" s="6"/>
      <c r="BL609" s="6"/>
      <c r="BM609" s="6"/>
      <c r="BN609" s="6" t="e">
        <f t="shared" si="59"/>
        <v>#DIV/0!</v>
      </c>
    </row>
    <row r="610" spans="49:66" x14ac:dyDescent="0.3">
      <c r="AW610">
        <f t="shared" si="58"/>
        <v>0</v>
      </c>
      <c r="AX610">
        <v>607</v>
      </c>
      <c r="AY610" s="4">
        <f t="shared" si="56"/>
        <v>43028</v>
      </c>
      <c r="AZ610" s="6" t="e">
        <f t="shared" si="57"/>
        <v>#DIV/0!</v>
      </c>
      <c r="BA610" s="4">
        <v>43028</v>
      </c>
      <c r="BB610" s="6">
        <v>-0.11186</v>
      </c>
      <c r="BC610" s="6">
        <v>1.077062</v>
      </c>
      <c r="BD610" s="6">
        <v>1.245711</v>
      </c>
      <c r="BE610" s="6"/>
      <c r="BF610" s="6"/>
      <c r="BG610" s="6"/>
      <c r="BH610" s="6"/>
      <c r="BI610" s="6"/>
      <c r="BJ610" s="6"/>
      <c r="BK610" s="6"/>
      <c r="BL610" s="6"/>
      <c r="BM610" s="6"/>
      <c r="BN610" s="6" t="e">
        <f t="shared" si="59"/>
        <v>#DIV/0!</v>
      </c>
    </row>
    <row r="611" spans="49:66" x14ac:dyDescent="0.3">
      <c r="AW611">
        <f t="shared" si="58"/>
        <v>0</v>
      </c>
      <c r="AX611">
        <v>608</v>
      </c>
      <c r="AY611" s="4">
        <f t="shared" si="56"/>
        <v>43031</v>
      </c>
      <c r="AZ611" s="6" t="e">
        <f t="shared" si="57"/>
        <v>#DIV/0!</v>
      </c>
      <c r="BA611" s="4">
        <v>43031</v>
      </c>
      <c r="BB611" s="6">
        <v>0.10049</v>
      </c>
      <c r="BC611" s="6">
        <v>0.62908299999999995</v>
      </c>
      <c r="BD611" s="6">
        <v>0.543238</v>
      </c>
      <c r="BE611" s="6"/>
      <c r="BF611" s="6"/>
      <c r="BG611" s="6"/>
      <c r="BH611" s="6"/>
      <c r="BI611" s="6"/>
      <c r="BJ611" s="6"/>
      <c r="BK611" s="6"/>
      <c r="BL611" s="6"/>
      <c r="BM611" s="6"/>
      <c r="BN611" s="6" t="e">
        <f t="shared" si="59"/>
        <v>#DIV/0!</v>
      </c>
    </row>
    <row r="612" spans="49:66" x14ac:dyDescent="0.3">
      <c r="AW612">
        <f t="shared" si="58"/>
        <v>0</v>
      </c>
      <c r="AX612">
        <v>609</v>
      </c>
      <c r="AY612" s="4">
        <f t="shared" si="56"/>
        <v>43032</v>
      </c>
      <c r="AZ612" s="6" t="e">
        <f t="shared" si="57"/>
        <v>#DIV/0!</v>
      </c>
      <c r="BA612" s="4">
        <v>43032</v>
      </c>
      <c r="BB612" s="6">
        <v>0.72751600000000005</v>
      </c>
      <c r="BC612" s="6">
        <v>-0.14758599999999999</v>
      </c>
      <c r="BD612" s="6">
        <v>-0.52111399999999997</v>
      </c>
      <c r="BE612" s="6"/>
      <c r="BF612" s="6"/>
      <c r="BG612" s="6"/>
      <c r="BH612" s="6"/>
      <c r="BI612" s="6"/>
      <c r="BJ612" s="6"/>
      <c r="BK612" s="6"/>
      <c r="BL612" s="6"/>
      <c r="BM612" s="6"/>
      <c r="BN612" s="6" t="e">
        <f t="shared" si="59"/>
        <v>#DIV/0!</v>
      </c>
    </row>
    <row r="613" spans="49:66" x14ac:dyDescent="0.3">
      <c r="AW613">
        <f t="shared" si="58"/>
        <v>0</v>
      </c>
      <c r="AX613">
        <v>610</v>
      </c>
      <c r="AY613" s="4">
        <f t="shared" si="56"/>
        <v>43033</v>
      </c>
      <c r="AZ613" s="6" t="e">
        <f t="shared" si="57"/>
        <v>#DIV/0!</v>
      </c>
      <c r="BA613" s="4">
        <v>43033</v>
      </c>
      <c r="BB613" s="6">
        <v>0.44334299999999999</v>
      </c>
      <c r="BC613" s="6">
        <v>0.679809</v>
      </c>
      <c r="BD613" s="6">
        <v>0.60397000000000001</v>
      </c>
      <c r="BE613" s="6"/>
      <c r="BF613" s="6"/>
      <c r="BG613" s="6"/>
      <c r="BH613" s="6"/>
      <c r="BI613" s="6"/>
      <c r="BJ613" s="6"/>
      <c r="BK613" s="6"/>
      <c r="BL613" s="6"/>
      <c r="BM613" s="6"/>
      <c r="BN613" s="6" t="e">
        <f t="shared" si="59"/>
        <v>#DIV/0!</v>
      </c>
    </row>
    <row r="614" spans="49:66" x14ac:dyDescent="0.3">
      <c r="AW614">
        <f t="shared" si="58"/>
        <v>0</v>
      </c>
      <c r="AX614">
        <v>611</v>
      </c>
      <c r="AY614" s="4">
        <f t="shared" si="56"/>
        <v>43034</v>
      </c>
      <c r="AZ614" s="6" t="e">
        <f t="shared" si="57"/>
        <v>#DIV/0!</v>
      </c>
      <c r="BA614" s="4">
        <v>43034</v>
      </c>
      <c r="BB614" s="6">
        <v>0.41806399999999999</v>
      </c>
      <c r="BC614" s="6">
        <v>0.36157</v>
      </c>
      <c r="BD614" s="6">
        <v>0.38920500000000002</v>
      </c>
      <c r="BE614" s="6"/>
      <c r="BF614" s="6"/>
      <c r="BG614" s="6"/>
      <c r="BH614" s="6"/>
      <c r="BI614" s="6"/>
      <c r="BJ614" s="6"/>
      <c r="BK614" s="6"/>
      <c r="BL614" s="6"/>
      <c r="BM614" s="6"/>
      <c r="BN614" s="6" t="e">
        <f t="shared" si="59"/>
        <v>#DIV/0!</v>
      </c>
    </row>
    <row r="615" spans="49:66" x14ac:dyDescent="0.3">
      <c r="AW615">
        <f t="shared" si="58"/>
        <v>0</v>
      </c>
      <c r="AX615">
        <v>612</v>
      </c>
      <c r="AY615" s="4">
        <f t="shared" si="56"/>
        <v>43035</v>
      </c>
      <c r="AZ615" s="6" t="e">
        <f t="shared" si="57"/>
        <v>#DIV/0!</v>
      </c>
      <c r="BA615" s="4">
        <v>43035</v>
      </c>
      <c r="BB615" s="6">
        <v>0.71095200000000003</v>
      </c>
      <c r="BC615" s="6">
        <v>-0.61634500000000003</v>
      </c>
      <c r="BD615" s="6">
        <v>-0.75852200000000003</v>
      </c>
      <c r="BE615" s="6"/>
      <c r="BF615" s="6"/>
      <c r="BG615" s="6"/>
      <c r="BH615" s="6"/>
      <c r="BI615" s="6"/>
      <c r="BJ615" s="6"/>
      <c r="BK615" s="6"/>
      <c r="BL615" s="6"/>
      <c r="BM615" s="6"/>
      <c r="BN615" s="6" t="e">
        <f t="shared" si="59"/>
        <v>#DIV/0!</v>
      </c>
    </row>
    <row r="616" spans="49:66" x14ac:dyDescent="0.3">
      <c r="AW616">
        <f t="shared" si="58"/>
        <v>0</v>
      </c>
      <c r="AX616">
        <v>613</v>
      </c>
      <c r="AY616" s="4">
        <f t="shared" si="56"/>
        <v>43038</v>
      </c>
      <c r="AZ616" s="6" t="e">
        <f t="shared" si="57"/>
        <v>#DIV/0!</v>
      </c>
      <c r="BA616" s="4">
        <v>43038</v>
      </c>
      <c r="BB616" s="6">
        <v>-0.30447299999999999</v>
      </c>
      <c r="BC616" s="6">
        <v>-1.795334</v>
      </c>
      <c r="BD616" s="6">
        <v>-2.5230359999999998</v>
      </c>
      <c r="BE616" s="6"/>
      <c r="BF616" s="6"/>
      <c r="BG616" s="6"/>
      <c r="BH616" s="6"/>
      <c r="BI616" s="6"/>
      <c r="BJ616" s="6"/>
      <c r="BK616" s="6"/>
      <c r="BL616" s="6"/>
      <c r="BM616" s="6"/>
      <c r="BN616" s="6" t="e">
        <f t="shared" si="59"/>
        <v>#DIV/0!</v>
      </c>
    </row>
    <row r="617" spans="49:66" x14ac:dyDescent="0.3">
      <c r="AW617">
        <f t="shared" si="58"/>
        <v>0</v>
      </c>
      <c r="AX617">
        <v>614</v>
      </c>
      <c r="AY617" s="4">
        <f t="shared" si="56"/>
        <v>43039</v>
      </c>
      <c r="AZ617" s="6" t="e">
        <f t="shared" si="57"/>
        <v>#DIV/0!</v>
      </c>
      <c r="BA617" s="4">
        <v>43039</v>
      </c>
      <c r="BB617" s="6">
        <v>-7.4914999999999995E-2</v>
      </c>
      <c r="BC617" s="6">
        <v>0.74394300000000002</v>
      </c>
      <c r="BD617" s="6">
        <v>0.75090699999999999</v>
      </c>
      <c r="BE617" s="6"/>
      <c r="BF617" s="6"/>
      <c r="BG617" s="6"/>
      <c r="BH617" s="6"/>
      <c r="BI617" s="6"/>
      <c r="BJ617" s="6"/>
      <c r="BK617" s="6"/>
      <c r="BL617" s="6"/>
      <c r="BM617" s="6"/>
      <c r="BN617" s="6" t="e">
        <f t="shared" si="59"/>
        <v>#DIV/0!</v>
      </c>
    </row>
    <row r="618" spans="49:66" x14ac:dyDescent="0.3">
      <c r="AW618">
        <f t="shared" si="58"/>
        <v>0</v>
      </c>
      <c r="AX618">
        <v>615</v>
      </c>
      <c r="AY618" s="4">
        <f t="shared" si="56"/>
        <v>43040</v>
      </c>
      <c r="AZ618" s="6" t="e">
        <f t="shared" si="57"/>
        <v>#DIV/0!</v>
      </c>
      <c r="BA618" s="4">
        <v>43040</v>
      </c>
      <c r="BB618" s="6">
        <v>-0.25197199999999997</v>
      </c>
      <c r="BC618" s="6">
        <v>-0.110529</v>
      </c>
      <c r="BD618" s="6">
        <v>5.1125999999999998E-2</v>
      </c>
      <c r="BE618" s="6"/>
      <c r="BF618" s="6"/>
      <c r="BG618" s="6"/>
      <c r="BH618" s="6"/>
      <c r="BI618" s="6"/>
      <c r="BJ618" s="6"/>
      <c r="BK618" s="6"/>
      <c r="BL618" s="6"/>
      <c r="BM618" s="6"/>
      <c r="BN618" s="6" t="e">
        <f t="shared" si="59"/>
        <v>#DIV/0!</v>
      </c>
    </row>
    <row r="619" spans="49:66" x14ac:dyDescent="0.3">
      <c r="AW619">
        <f t="shared" si="58"/>
        <v>0</v>
      </c>
      <c r="AX619">
        <v>616</v>
      </c>
      <c r="AY619" s="4">
        <f t="shared" si="56"/>
        <v>43041</v>
      </c>
      <c r="AZ619" s="6" t="e">
        <f t="shared" si="57"/>
        <v>#DIV/0!</v>
      </c>
      <c r="BA619" s="4">
        <v>43041</v>
      </c>
      <c r="BB619" s="6">
        <v>1.2815999999999999E-2</v>
      </c>
      <c r="BC619" s="6">
        <v>-1.038138</v>
      </c>
      <c r="BD619" s="6">
        <v>-1.219058</v>
      </c>
      <c r="BE619" s="6"/>
      <c r="BF619" s="6"/>
      <c r="BG619" s="6"/>
      <c r="BH619" s="6"/>
      <c r="BI619" s="6"/>
      <c r="BJ619" s="6"/>
      <c r="BK619" s="6"/>
      <c r="BL619" s="6"/>
      <c r="BM619" s="6"/>
      <c r="BN619" s="6" t="e">
        <f t="shared" si="59"/>
        <v>#DIV/0!</v>
      </c>
    </row>
    <row r="620" spans="49:66" x14ac:dyDescent="0.3">
      <c r="AW620">
        <f t="shared" si="58"/>
        <v>0</v>
      </c>
      <c r="AX620">
        <v>617</v>
      </c>
      <c r="AY620" s="4">
        <f t="shared" si="56"/>
        <v>43042</v>
      </c>
      <c r="AZ620" s="6" t="e">
        <f t="shared" si="57"/>
        <v>#DIV/0!</v>
      </c>
      <c r="BA620" s="4">
        <v>43042</v>
      </c>
      <c r="BB620" s="6">
        <v>-0.11099000000000001</v>
      </c>
      <c r="BC620" s="6">
        <v>-0.89354800000000001</v>
      </c>
      <c r="BD620" s="6">
        <v>-0.86675500000000005</v>
      </c>
      <c r="BE620" s="6"/>
      <c r="BF620" s="6"/>
      <c r="BG620" s="6"/>
      <c r="BH620" s="6"/>
      <c r="BI620" s="6"/>
      <c r="BJ620" s="6"/>
      <c r="BK620" s="6"/>
      <c r="BL620" s="6"/>
      <c r="BM620" s="6"/>
      <c r="BN620" s="6" t="e">
        <f t="shared" si="59"/>
        <v>#DIV/0!</v>
      </c>
    </row>
    <row r="621" spans="49:66" x14ac:dyDescent="0.3">
      <c r="AW621">
        <f t="shared" si="58"/>
        <v>0</v>
      </c>
      <c r="AX621">
        <v>618</v>
      </c>
      <c r="AY621" s="4">
        <f t="shared" si="56"/>
        <v>43045</v>
      </c>
      <c r="AZ621" s="6" t="e">
        <f t="shared" si="57"/>
        <v>#DIV/0!</v>
      </c>
      <c r="BA621" s="4">
        <v>43045</v>
      </c>
      <c r="BB621" s="6">
        <v>0.70608099999999996</v>
      </c>
      <c r="BC621" s="6">
        <v>1.308794</v>
      </c>
      <c r="BD621" s="6">
        <v>0.99468100000000004</v>
      </c>
      <c r="BE621" s="6"/>
      <c r="BF621" s="6"/>
      <c r="BG621" s="6"/>
      <c r="BH621" s="6"/>
      <c r="BI621" s="6"/>
      <c r="BJ621" s="6"/>
      <c r="BK621" s="6"/>
      <c r="BL621" s="6"/>
      <c r="BM621" s="6"/>
      <c r="BN621" s="6" t="e">
        <f t="shared" si="59"/>
        <v>#DIV/0!</v>
      </c>
    </row>
    <row r="622" spans="49:66" x14ac:dyDescent="0.3">
      <c r="AW622">
        <f t="shared" si="58"/>
        <v>0</v>
      </c>
      <c r="AX622">
        <v>619</v>
      </c>
      <c r="AY622" s="4">
        <f t="shared" si="56"/>
        <v>43046</v>
      </c>
      <c r="AZ622" s="6" t="e">
        <f t="shared" si="57"/>
        <v>#DIV/0!</v>
      </c>
      <c r="BA622" s="4">
        <v>43046</v>
      </c>
      <c r="BB622" s="6">
        <v>0.82959000000000005</v>
      </c>
      <c r="BC622" s="6">
        <v>0.62724500000000005</v>
      </c>
      <c r="BD622" s="6">
        <v>0.59346699999999997</v>
      </c>
      <c r="BE622" s="6"/>
      <c r="BF622" s="6"/>
      <c r="BG622" s="6"/>
      <c r="BH622" s="6"/>
      <c r="BI622" s="6"/>
      <c r="BJ622" s="6"/>
      <c r="BK622" s="6"/>
      <c r="BL622" s="6"/>
      <c r="BM622" s="6"/>
      <c r="BN622" s="6" t="e">
        <f t="shared" si="59"/>
        <v>#DIV/0!</v>
      </c>
    </row>
    <row r="623" spans="49:66" x14ac:dyDescent="0.3">
      <c r="AW623">
        <f t="shared" si="58"/>
        <v>0</v>
      </c>
      <c r="AX623">
        <v>620</v>
      </c>
      <c r="AY623" s="4">
        <f t="shared" si="56"/>
        <v>43047</v>
      </c>
      <c r="AZ623" s="6" t="e">
        <f t="shared" si="57"/>
        <v>#DIV/0!</v>
      </c>
      <c r="BA623" s="4">
        <v>43047</v>
      </c>
      <c r="BB623" s="6">
        <v>-0.15393200000000001</v>
      </c>
      <c r="BC623" s="6">
        <v>0.148863</v>
      </c>
      <c r="BD623" s="6">
        <v>0.28115099999999998</v>
      </c>
      <c r="BE623" s="6"/>
      <c r="BF623" s="6"/>
      <c r="BG623" s="6"/>
      <c r="BH623" s="6"/>
      <c r="BI623" s="6"/>
      <c r="BJ623" s="6"/>
      <c r="BK623" s="6"/>
      <c r="BL623" s="6"/>
      <c r="BM623" s="6"/>
      <c r="BN623" s="6" t="e">
        <f t="shared" si="59"/>
        <v>#DIV/0!</v>
      </c>
    </row>
    <row r="624" spans="49:66" x14ac:dyDescent="0.3">
      <c r="AW624">
        <f t="shared" si="58"/>
        <v>0</v>
      </c>
      <c r="AX624">
        <v>621</v>
      </c>
      <c r="AY624" s="4">
        <f t="shared" si="56"/>
        <v>43048</v>
      </c>
      <c r="AZ624" s="6" t="e">
        <f t="shared" si="57"/>
        <v>#DIV/0!</v>
      </c>
      <c r="BA624" s="4">
        <v>43048</v>
      </c>
      <c r="BB624" s="6">
        <v>0.689083</v>
      </c>
      <c r="BC624" s="6">
        <v>0.75684799999999997</v>
      </c>
      <c r="BD624" s="6">
        <v>0.51385999999999998</v>
      </c>
      <c r="BE624" s="6"/>
      <c r="BF624" s="6"/>
      <c r="BG624" s="6"/>
      <c r="BH624" s="6"/>
      <c r="BI624" s="6"/>
      <c r="BJ624" s="6"/>
      <c r="BK624" s="6"/>
      <c r="BL624" s="6"/>
      <c r="BM624" s="6"/>
      <c r="BN624" s="6" t="e">
        <f t="shared" si="59"/>
        <v>#DIV/0!</v>
      </c>
    </row>
    <row r="625" spans="49:66" x14ac:dyDescent="0.3">
      <c r="AW625">
        <f t="shared" si="58"/>
        <v>0</v>
      </c>
      <c r="AX625">
        <v>622</v>
      </c>
      <c r="AY625" s="4">
        <f t="shared" si="56"/>
        <v>43049</v>
      </c>
      <c r="AZ625" s="6" t="e">
        <f t="shared" si="57"/>
        <v>#DIV/0!</v>
      </c>
      <c r="BA625" s="4">
        <v>43049</v>
      </c>
      <c r="BB625" s="6">
        <v>0.88351999999999997</v>
      </c>
      <c r="BC625" s="6">
        <v>0.45171899999999998</v>
      </c>
      <c r="BD625" s="6">
        <v>0.17374400000000001</v>
      </c>
      <c r="BE625" s="6"/>
      <c r="BF625" s="6"/>
      <c r="BG625" s="6"/>
      <c r="BH625" s="6"/>
      <c r="BI625" s="6"/>
      <c r="BJ625" s="6"/>
      <c r="BK625" s="6"/>
      <c r="BL625" s="6"/>
      <c r="BM625" s="6"/>
      <c r="BN625" s="6" t="e">
        <f t="shared" si="59"/>
        <v>#DIV/0!</v>
      </c>
    </row>
    <row r="626" spans="49:66" x14ac:dyDescent="0.3">
      <c r="AW626">
        <f t="shared" si="58"/>
        <v>0</v>
      </c>
      <c r="AX626">
        <v>623</v>
      </c>
      <c r="AY626" s="4">
        <f t="shared" si="56"/>
        <v>43052</v>
      </c>
      <c r="AZ626" s="6" t="e">
        <f t="shared" si="57"/>
        <v>#DIV/0!</v>
      </c>
      <c r="BA626" s="4">
        <v>43052</v>
      </c>
      <c r="BB626" s="6">
        <v>0.39305600000000002</v>
      </c>
      <c r="BC626" s="6">
        <v>0.45155899999999999</v>
      </c>
      <c r="BD626" s="6">
        <v>0.15207200000000001</v>
      </c>
      <c r="BE626" s="6"/>
      <c r="BF626" s="6"/>
      <c r="BG626" s="6"/>
      <c r="BH626" s="6"/>
      <c r="BI626" s="6"/>
      <c r="BJ626" s="6"/>
      <c r="BK626" s="6"/>
      <c r="BL626" s="6"/>
      <c r="BM626" s="6"/>
      <c r="BN626" s="6" t="e">
        <f t="shared" si="59"/>
        <v>#DIV/0!</v>
      </c>
    </row>
    <row r="627" spans="49:66" x14ac:dyDescent="0.3">
      <c r="AW627">
        <f t="shared" si="58"/>
        <v>0</v>
      </c>
      <c r="AX627">
        <v>624</v>
      </c>
      <c r="AY627" s="4">
        <f t="shared" si="56"/>
        <v>43053</v>
      </c>
      <c r="AZ627" s="6" t="e">
        <f t="shared" si="57"/>
        <v>#DIV/0!</v>
      </c>
      <c r="BA627" s="4">
        <v>43053</v>
      </c>
      <c r="BB627" s="6">
        <v>-0.69577999999999995</v>
      </c>
      <c r="BC627" s="6">
        <v>-0.84979800000000005</v>
      </c>
      <c r="BD627" s="6">
        <v>-0.704816</v>
      </c>
      <c r="BE627" s="6"/>
      <c r="BF627" s="6"/>
      <c r="BG627" s="6"/>
      <c r="BH627" s="6"/>
      <c r="BI627" s="6"/>
      <c r="BJ627" s="6"/>
      <c r="BK627" s="6"/>
      <c r="BL627" s="6"/>
      <c r="BM627" s="6"/>
      <c r="BN627" s="6" t="e">
        <f t="shared" si="59"/>
        <v>#DIV/0!</v>
      </c>
    </row>
    <row r="628" spans="49:66" x14ac:dyDescent="0.3">
      <c r="AW628">
        <f t="shared" si="58"/>
        <v>0</v>
      </c>
      <c r="AX628">
        <v>625</v>
      </c>
      <c r="AY628" s="4">
        <f t="shared" si="56"/>
        <v>43054</v>
      </c>
      <c r="AZ628" s="6" t="e">
        <f t="shared" si="57"/>
        <v>#DIV/0!</v>
      </c>
      <c r="BA628" s="4">
        <v>43054</v>
      </c>
      <c r="BB628" s="6">
        <v>-0.626475</v>
      </c>
      <c r="BC628" s="6">
        <v>-1.1619489999999999</v>
      </c>
      <c r="BD628" s="6">
        <v>-0.93179199999999995</v>
      </c>
      <c r="BE628" s="6"/>
      <c r="BF628" s="6"/>
      <c r="BG628" s="6"/>
      <c r="BH628" s="6"/>
      <c r="BI628" s="6"/>
      <c r="BJ628" s="6"/>
      <c r="BK628" s="6"/>
      <c r="BL628" s="6"/>
      <c r="BM628" s="6"/>
      <c r="BN628" s="6" t="e">
        <f t="shared" si="59"/>
        <v>#DIV/0!</v>
      </c>
    </row>
    <row r="629" spans="49:66" x14ac:dyDescent="0.3">
      <c r="AW629">
        <f t="shared" si="58"/>
        <v>0</v>
      </c>
      <c r="AX629">
        <v>626</v>
      </c>
      <c r="AY629" s="4">
        <f t="shared" si="56"/>
        <v>43055</v>
      </c>
      <c r="AZ629" s="6" t="e">
        <f t="shared" si="57"/>
        <v>#DIV/0!</v>
      </c>
      <c r="BA629" s="4">
        <v>43055</v>
      </c>
      <c r="BB629" s="6">
        <v>0.76939500000000005</v>
      </c>
      <c r="BC629" s="6">
        <v>0.31589600000000001</v>
      </c>
      <c r="BD629" s="6">
        <v>-0.27568199999999998</v>
      </c>
      <c r="BE629" s="6"/>
      <c r="BF629" s="6"/>
      <c r="BG629" s="6"/>
      <c r="BH629" s="6"/>
      <c r="BI629" s="6"/>
      <c r="BJ629" s="6"/>
      <c r="BK629" s="6"/>
      <c r="BL629" s="6"/>
      <c r="BM629" s="6"/>
      <c r="BN629" s="6" t="e">
        <f t="shared" si="59"/>
        <v>#DIV/0!</v>
      </c>
    </row>
    <row r="630" spans="49:66" x14ac:dyDescent="0.3">
      <c r="AW630">
        <f t="shared" si="58"/>
        <v>0</v>
      </c>
      <c r="AX630">
        <v>627</v>
      </c>
      <c r="AY630" s="4">
        <f t="shared" si="56"/>
        <v>43056</v>
      </c>
      <c r="AZ630" s="6" t="e">
        <f t="shared" si="57"/>
        <v>#DIV/0!</v>
      </c>
      <c r="BA630" s="4">
        <v>43056</v>
      </c>
      <c r="BB630" s="6">
        <v>0.38583600000000001</v>
      </c>
      <c r="BC630" s="6">
        <v>-2.9941710000000001</v>
      </c>
      <c r="BD630" s="6">
        <v>-3.4892210000000001</v>
      </c>
      <c r="BE630" s="6"/>
      <c r="BF630" s="6"/>
      <c r="BG630" s="6"/>
      <c r="BH630" s="6"/>
      <c r="BI630" s="6"/>
      <c r="BJ630" s="6"/>
      <c r="BK630" s="6"/>
      <c r="BL630" s="6"/>
      <c r="BM630" s="6"/>
      <c r="BN630" s="6" t="e">
        <f t="shared" si="59"/>
        <v>#DIV/0!</v>
      </c>
    </row>
    <row r="631" spans="49:66" x14ac:dyDescent="0.3">
      <c r="AW631">
        <f t="shared" si="58"/>
        <v>0</v>
      </c>
      <c r="AX631">
        <v>628</v>
      </c>
      <c r="AY631" s="4">
        <f t="shared" si="56"/>
        <v>43059</v>
      </c>
      <c r="AZ631" s="6" t="e">
        <f t="shared" si="57"/>
        <v>#DIV/0!</v>
      </c>
      <c r="BA631" s="4">
        <v>43059</v>
      </c>
      <c r="BB631" s="6">
        <v>0.55771499999999996</v>
      </c>
      <c r="BC631" s="6">
        <v>1.1196060000000001</v>
      </c>
      <c r="BD631" s="6">
        <v>0.27225300000000002</v>
      </c>
      <c r="BE631" s="6"/>
      <c r="BF631" s="6"/>
      <c r="BG631" s="6"/>
      <c r="BH631" s="6"/>
      <c r="BI631" s="6"/>
      <c r="BJ631" s="6"/>
      <c r="BK631" s="6"/>
      <c r="BL631" s="6"/>
      <c r="BM631" s="6"/>
      <c r="BN631" s="6" t="e">
        <f t="shared" si="59"/>
        <v>#DIV/0!</v>
      </c>
    </row>
    <row r="632" spans="49:66" x14ac:dyDescent="0.3">
      <c r="AW632">
        <f t="shared" si="58"/>
        <v>0</v>
      </c>
      <c r="AX632">
        <v>629</v>
      </c>
      <c r="AY632" s="4">
        <f t="shared" si="56"/>
        <v>43060</v>
      </c>
      <c r="AZ632" s="6" t="e">
        <f t="shared" si="57"/>
        <v>#DIV/0!</v>
      </c>
      <c r="BA632" s="4">
        <v>43060</v>
      </c>
      <c r="BB632" s="6">
        <v>1.7826029999999999</v>
      </c>
      <c r="BC632" s="6">
        <v>0.360348</v>
      </c>
      <c r="BD632" s="6">
        <v>-4.3182999999999999E-2</v>
      </c>
      <c r="BE632" s="6"/>
      <c r="BF632" s="6"/>
      <c r="BG632" s="6"/>
      <c r="BH632" s="6"/>
      <c r="BI632" s="6"/>
      <c r="BJ632" s="6"/>
      <c r="BK632" s="6"/>
      <c r="BL632" s="6"/>
      <c r="BM632" s="6"/>
      <c r="BN632" s="6" t="e">
        <f t="shared" si="59"/>
        <v>#DIV/0!</v>
      </c>
    </row>
    <row r="633" spans="49:66" x14ac:dyDescent="0.3">
      <c r="AW633">
        <f t="shared" si="58"/>
        <v>0</v>
      </c>
      <c r="AX633">
        <v>630</v>
      </c>
      <c r="AY633" s="4">
        <f t="shared" si="56"/>
        <v>43061</v>
      </c>
      <c r="AZ633" s="6" t="e">
        <f t="shared" si="57"/>
        <v>#DIV/0!</v>
      </c>
      <c r="BA633" s="4">
        <v>43061</v>
      </c>
      <c r="BB633" s="6">
        <v>0.23389799999999999</v>
      </c>
      <c r="BC633" s="6">
        <v>-0.26191399999999998</v>
      </c>
      <c r="BD633" s="6">
        <v>0.110905</v>
      </c>
      <c r="BE633" s="6"/>
      <c r="BF633" s="6"/>
      <c r="BG633" s="6"/>
      <c r="BH633" s="6"/>
      <c r="BI633" s="6"/>
      <c r="BJ633" s="6"/>
      <c r="BK633" s="6"/>
      <c r="BL633" s="6"/>
      <c r="BM633" s="6"/>
      <c r="BN633" s="6" t="e">
        <f t="shared" si="59"/>
        <v>#DIV/0!</v>
      </c>
    </row>
    <row r="634" spans="49:66" x14ac:dyDescent="0.3">
      <c r="AW634">
        <f t="shared" si="58"/>
        <v>0</v>
      </c>
      <c r="AX634">
        <v>631</v>
      </c>
      <c r="AY634" s="4">
        <f t="shared" si="56"/>
        <v>43062</v>
      </c>
      <c r="AZ634" s="6" t="e">
        <f t="shared" si="57"/>
        <v>#DIV/0!</v>
      </c>
      <c r="BA634" s="4">
        <v>43062</v>
      </c>
      <c r="BB634" s="6">
        <v>-2.9608050000000001</v>
      </c>
      <c r="BC634" s="6">
        <v>-2.5612509999999999</v>
      </c>
      <c r="BD634" s="6">
        <v>-2.3068019999999998</v>
      </c>
      <c r="BE634" s="6"/>
      <c r="BF634" s="6"/>
      <c r="BG634" s="6"/>
      <c r="BH634" s="6"/>
      <c r="BI634" s="6"/>
      <c r="BJ634" s="6"/>
      <c r="BK634" s="6"/>
      <c r="BL634" s="6"/>
      <c r="BM634" s="6"/>
      <c r="BN634" s="6" t="e">
        <f t="shared" si="59"/>
        <v>#DIV/0!</v>
      </c>
    </row>
    <row r="635" spans="49:66" x14ac:dyDescent="0.3">
      <c r="AW635">
        <f t="shared" si="58"/>
        <v>0</v>
      </c>
      <c r="AX635">
        <v>632</v>
      </c>
      <c r="AY635" s="4">
        <f t="shared" si="56"/>
        <v>43063</v>
      </c>
      <c r="AZ635" s="6" t="e">
        <f t="shared" si="57"/>
        <v>#DIV/0!</v>
      </c>
      <c r="BA635" s="4">
        <v>43063</v>
      </c>
      <c r="BB635" s="6">
        <v>4.4042999999999999E-2</v>
      </c>
      <c r="BC635" s="6">
        <v>5.6054E-2</v>
      </c>
      <c r="BD635" s="6">
        <v>0.147254</v>
      </c>
      <c r="BE635" s="6"/>
      <c r="BF635" s="6"/>
      <c r="BG635" s="6"/>
      <c r="BH635" s="6"/>
      <c r="BI635" s="6"/>
      <c r="BJ635" s="6"/>
      <c r="BK635" s="6"/>
      <c r="BL635" s="6"/>
      <c r="BM635" s="6"/>
      <c r="BN635" s="6" t="e">
        <f t="shared" si="59"/>
        <v>#DIV/0!</v>
      </c>
    </row>
    <row r="636" spans="49:66" x14ac:dyDescent="0.3">
      <c r="AW636">
        <f t="shared" si="58"/>
        <v>0</v>
      </c>
      <c r="AX636">
        <v>633</v>
      </c>
      <c r="AY636" s="4">
        <f t="shared" si="56"/>
        <v>43066</v>
      </c>
      <c r="AZ636" s="6" t="e">
        <f t="shared" si="57"/>
        <v>#DIV/0!</v>
      </c>
      <c r="BA636" s="4">
        <v>43066</v>
      </c>
      <c r="BB636" s="6">
        <v>-1.3219590000000001</v>
      </c>
      <c r="BC636" s="6">
        <v>-1.329661</v>
      </c>
      <c r="BD636" s="6">
        <v>-1.032451</v>
      </c>
      <c r="BE636" s="6"/>
      <c r="BF636" s="6"/>
      <c r="BG636" s="6"/>
      <c r="BH636" s="6"/>
      <c r="BI636" s="6"/>
      <c r="BJ636" s="6"/>
      <c r="BK636" s="6"/>
      <c r="BL636" s="6"/>
      <c r="BM636" s="6"/>
      <c r="BN636" s="6" t="e">
        <f t="shared" si="59"/>
        <v>#DIV/0!</v>
      </c>
    </row>
    <row r="637" spans="49:66" x14ac:dyDescent="0.3">
      <c r="AW637">
        <f t="shared" si="58"/>
        <v>0</v>
      </c>
      <c r="AX637">
        <v>634</v>
      </c>
      <c r="AY637" s="4">
        <f t="shared" si="56"/>
        <v>43067</v>
      </c>
      <c r="AZ637" s="6" t="e">
        <f t="shared" si="57"/>
        <v>#DIV/0!</v>
      </c>
      <c r="BA637" s="4">
        <v>43067</v>
      </c>
      <c r="BB637" s="6">
        <v>0.14508799999999999</v>
      </c>
      <c r="BC637" s="6">
        <v>1.691163</v>
      </c>
      <c r="BD637" s="6">
        <v>1.5720719999999999</v>
      </c>
      <c r="BE637" s="6"/>
      <c r="BF637" s="6"/>
      <c r="BG637" s="6"/>
      <c r="BH637" s="6"/>
      <c r="BI637" s="6"/>
      <c r="BJ637" s="6"/>
      <c r="BK637" s="6"/>
      <c r="BL637" s="6"/>
      <c r="BM637" s="6"/>
      <c r="BN637" s="6" t="e">
        <f t="shared" si="59"/>
        <v>#DIV/0!</v>
      </c>
    </row>
    <row r="638" spans="49:66" x14ac:dyDescent="0.3">
      <c r="AW638">
        <f t="shared" si="58"/>
        <v>0</v>
      </c>
      <c r="AX638">
        <v>635</v>
      </c>
      <c r="AY638" s="4">
        <f t="shared" si="56"/>
        <v>43068</v>
      </c>
      <c r="AZ638" s="6" t="e">
        <f t="shared" si="57"/>
        <v>#DIV/0!</v>
      </c>
      <c r="BA638" s="4">
        <v>43068</v>
      </c>
      <c r="BB638" s="6">
        <v>-5.1053000000000001E-2</v>
      </c>
      <c r="BC638" s="6">
        <v>0.302512</v>
      </c>
      <c r="BD638" s="6">
        <v>0.225717</v>
      </c>
      <c r="BE638" s="6"/>
      <c r="BF638" s="6"/>
      <c r="BG638" s="6"/>
      <c r="BH638" s="6"/>
      <c r="BI638" s="6"/>
      <c r="BJ638" s="6"/>
      <c r="BK638" s="6"/>
      <c r="BL638" s="6"/>
      <c r="BM638" s="6"/>
      <c r="BN638" s="6" t="e">
        <f t="shared" si="59"/>
        <v>#DIV/0!</v>
      </c>
    </row>
    <row r="639" spans="49:66" x14ac:dyDescent="0.3">
      <c r="AW639">
        <f t="shared" si="58"/>
        <v>0</v>
      </c>
      <c r="AX639">
        <v>636</v>
      </c>
      <c r="AY639" s="4">
        <f t="shared" si="56"/>
        <v>43069</v>
      </c>
      <c r="AZ639" s="6" t="e">
        <f t="shared" si="57"/>
        <v>#DIV/0!</v>
      </c>
      <c r="BA639" s="4">
        <v>43069</v>
      </c>
      <c r="BB639" s="6">
        <v>-1.175543</v>
      </c>
      <c r="BC639" s="6">
        <v>-0.869645</v>
      </c>
      <c r="BD639" s="6">
        <v>-0.54979199999999995</v>
      </c>
      <c r="BE639" s="6"/>
      <c r="BF639" s="6"/>
      <c r="BG639" s="6"/>
      <c r="BH639" s="6"/>
      <c r="BI639" s="6"/>
      <c r="BJ639" s="6"/>
      <c r="BK639" s="6"/>
      <c r="BL639" s="6"/>
      <c r="BM639" s="6"/>
      <c r="BN639" s="6" t="e">
        <f t="shared" si="59"/>
        <v>#DIV/0!</v>
      </c>
    </row>
    <row r="640" spans="49:66" x14ac:dyDescent="0.3">
      <c r="AW640">
        <f t="shared" si="58"/>
        <v>0</v>
      </c>
      <c r="AX640">
        <v>637</v>
      </c>
      <c r="AY640" s="4">
        <f t="shared" si="56"/>
        <v>43070</v>
      </c>
      <c r="AZ640" s="6" t="e">
        <f t="shared" si="57"/>
        <v>#DIV/0!</v>
      </c>
      <c r="BA640" s="4">
        <v>43070</v>
      </c>
      <c r="BB640" s="6">
        <v>-0.198767</v>
      </c>
      <c r="BC640" s="6">
        <v>0.84596300000000002</v>
      </c>
      <c r="BD640" s="6">
        <v>0.86953800000000003</v>
      </c>
      <c r="BE640" s="6"/>
      <c r="BF640" s="6"/>
      <c r="BG640" s="6"/>
      <c r="BH640" s="6"/>
      <c r="BI640" s="6"/>
      <c r="BJ640" s="6"/>
      <c r="BK640" s="6"/>
      <c r="BL640" s="6"/>
      <c r="BM640" s="6"/>
      <c r="BN640" s="6" t="e">
        <f t="shared" si="59"/>
        <v>#DIV/0!</v>
      </c>
    </row>
    <row r="641" spans="49:66" x14ac:dyDescent="0.3">
      <c r="AW641">
        <f t="shared" si="58"/>
        <v>0</v>
      </c>
      <c r="AX641">
        <v>638</v>
      </c>
      <c r="AY641" s="4">
        <f t="shared" si="56"/>
        <v>43073</v>
      </c>
      <c r="AZ641" s="6" t="e">
        <f t="shared" si="57"/>
        <v>#DIV/0!</v>
      </c>
      <c r="BA641" s="4">
        <v>43073</v>
      </c>
      <c r="BB641" s="6">
        <v>0.51825600000000005</v>
      </c>
      <c r="BC641" s="6">
        <v>-0.58239799999999997</v>
      </c>
      <c r="BD641" s="6">
        <v>-1.0536179999999999</v>
      </c>
      <c r="BE641" s="6"/>
      <c r="BF641" s="6"/>
      <c r="BG641" s="6"/>
      <c r="BH641" s="6"/>
      <c r="BI641" s="6"/>
      <c r="BJ641" s="6"/>
      <c r="BK641" s="6"/>
      <c r="BL641" s="6"/>
      <c r="BM641" s="6"/>
      <c r="BN641" s="6" t="e">
        <f t="shared" si="59"/>
        <v>#DIV/0!</v>
      </c>
    </row>
    <row r="642" spans="49:66" x14ac:dyDescent="0.3">
      <c r="AW642">
        <f t="shared" si="58"/>
        <v>0</v>
      </c>
      <c r="AX642">
        <v>639</v>
      </c>
      <c r="AY642" s="4">
        <f t="shared" si="56"/>
        <v>43074</v>
      </c>
      <c r="AZ642" s="6" t="e">
        <f t="shared" si="57"/>
        <v>#DIV/0!</v>
      </c>
      <c r="BA642" s="4">
        <v>43074</v>
      </c>
      <c r="BB642" s="6">
        <v>0.53033200000000003</v>
      </c>
      <c r="BC642" s="6">
        <v>-2.336265</v>
      </c>
      <c r="BD642" s="6">
        <v>-2.705867</v>
      </c>
      <c r="BE642" s="6"/>
      <c r="BF642" s="6"/>
      <c r="BG642" s="6"/>
      <c r="BH642" s="6"/>
      <c r="BI642" s="6"/>
      <c r="BJ642" s="6"/>
      <c r="BK642" s="6"/>
      <c r="BL642" s="6"/>
      <c r="BM642" s="6"/>
      <c r="BN642" s="6" t="e">
        <f t="shared" si="59"/>
        <v>#DIV/0!</v>
      </c>
    </row>
    <row r="643" spans="49:66" x14ac:dyDescent="0.3">
      <c r="AW643">
        <f t="shared" si="58"/>
        <v>0</v>
      </c>
      <c r="AX643">
        <v>640</v>
      </c>
      <c r="AY643" s="4">
        <f t="shared" si="56"/>
        <v>43075</v>
      </c>
      <c r="AZ643" s="6" t="e">
        <f t="shared" si="57"/>
        <v>#DIV/0!</v>
      </c>
      <c r="BA643" s="4">
        <v>43075</v>
      </c>
      <c r="BB643" s="6">
        <v>-0.60267999999999999</v>
      </c>
      <c r="BC643" s="6">
        <v>0.65044299999999999</v>
      </c>
      <c r="BD643" s="6">
        <v>1.010683</v>
      </c>
      <c r="BE643" s="6"/>
      <c r="BF643" s="6"/>
      <c r="BG643" s="6"/>
      <c r="BH643" s="6"/>
      <c r="BI643" s="6"/>
      <c r="BJ643" s="6"/>
      <c r="BK643" s="6"/>
      <c r="BL643" s="6"/>
      <c r="BM643" s="6"/>
      <c r="BN643" s="6" t="e">
        <f t="shared" si="59"/>
        <v>#DIV/0!</v>
      </c>
    </row>
    <row r="644" spans="49:66" x14ac:dyDescent="0.3">
      <c r="AW644">
        <f t="shared" si="58"/>
        <v>0</v>
      </c>
      <c r="AX644">
        <v>641</v>
      </c>
      <c r="AY644" s="4">
        <f t="shared" si="56"/>
        <v>43076</v>
      </c>
      <c r="AZ644" s="6" t="e">
        <f t="shared" si="57"/>
        <v>#DIV/0!</v>
      </c>
      <c r="BA644" s="4">
        <v>43076</v>
      </c>
      <c r="BB644" s="6">
        <v>-1.1146959999999999</v>
      </c>
      <c r="BC644" s="6">
        <v>-0.60479700000000003</v>
      </c>
      <c r="BD644" s="6">
        <v>-5.7819000000000002E-2</v>
      </c>
      <c r="BE644" s="6"/>
      <c r="BF644" s="6"/>
      <c r="BG644" s="6"/>
      <c r="BH644" s="6"/>
      <c r="BI644" s="6"/>
      <c r="BJ644" s="6"/>
      <c r="BK644" s="6"/>
      <c r="BL644" s="6"/>
      <c r="BM644" s="6"/>
      <c r="BN644" s="6" t="e">
        <f t="shared" si="59"/>
        <v>#DIV/0!</v>
      </c>
    </row>
    <row r="645" spans="49:66" x14ac:dyDescent="0.3">
      <c r="AW645">
        <f t="shared" si="58"/>
        <v>0</v>
      </c>
      <c r="AX645">
        <v>642</v>
      </c>
      <c r="AY645" s="4">
        <f t="shared" ref="AY645:AY708" si="60">BA645</f>
        <v>43077</v>
      </c>
      <c r="AZ645" s="6" t="e">
        <f t="shared" ref="AZ645:AZ708" si="61">BN645</f>
        <v>#DIV/0!</v>
      </c>
      <c r="BA645" s="4">
        <v>43077</v>
      </c>
      <c r="BB645" s="6">
        <v>0.81394699999999998</v>
      </c>
      <c r="BC645" s="6">
        <v>1.102981</v>
      </c>
      <c r="BD645" s="6">
        <v>0.93106999999999995</v>
      </c>
      <c r="BE645" s="6"/>
      <c r="BF645" s="6"/>
      <c r="BG645" s="6"/>
      <c r="BH645" s="6"/>
      <c r="BI645" s="6"/>
      <c r="BJ645" s="6"/>
      <c r="BK645" s="6"/>
      <c r="BL645" s="6"/>
      <c r="BM645" s="6"/>
      <c r="BN645" s="6" t="e">
        <f t="shared" si="59"/>
        <v>#DIV/0!</v>
      </c>
    </row>
    <row r="646" spans="49:66" x14ac:dyDescent="0.3">
      <c r="AW646">
        <f t="shared" ref="AW646:AW709" si="62">IF(AY646&lt;=AY645,1,0)</f>
        <v>0</v>
      </c>
      <c r="AX646">
        <v>643</v>
      </c>
      <c r="AY646" s="4">
        <f t="shared" si="60"/>
        <v>43080</v>
      </c>
      <c r="AZ646" s="6" t="e">
        <f t="shared" si="61"/>
        <v>#DIV/0!</v>
      </c>
      <c r="BA646" s="4">
        <v>43080</v>
      </c>
      <c r="BB646" s="6">
        <v>1.6516169999999999</v>
      </c>
      <c r="BC646" s="6">
        <v>1.3383910000000001</v>
      </c>
      <c r="BD646" s="6">
        <v>1.1645209999999999</v>
      </c>
      <c r="BE646" s="6"/>
      <c r="BF646" s="6"/>
      <c r="BG646" s="6"/>
      <c r="BH646" s="6"/>
      <c r="BI646" s="6"/>
      <c r="BJ646" s="6"/>
      <c r="BK646" s="6"/>
      <c r="BL646" s="6"/>
      <c r="BM646" s="6"/>
      <c r="BN646" s="6" t="e">
        <f t="shared" ref="BN646:BN709" si="63">(BM646/BM645-1)*100</f>
        <v>#DIV/0!</v>
      </c>
    </row>
    <row r="647" spans="49:66" x14ac:dyDescent="0.3">
      <c r="AW647">
        <f t="shared" si="62"/>
        <v>0</v>
      </c>
      <c r="AX647">
        <v>644</v>
      </c>
      <c r="AY647" s="4">
        <f t="shared" si="60"/>
        <v>43081</v>
      </c>
      <c r="AZ647" s="6" t="e">
        <f t="shared" si="61"/>
        <v>#DIV/0!</v>
      </c>
      <c r="BA647" s="4">
        <v>43081</v>
      </c>
      <c r="BB647" s="6">
        <v>-1.3142499999999999</v>
      </c>
      <c r="BC647" s="6">
        <v>-0.842391</v>
      </c>
      <c r="BD647" s="6">
        <v>-0.90540399999999999</v>
      </c>
      <c r="BE647" s="6"/>
      <c r="BF647" s="6"/>
      <c r="BG647" s="6"/>
      <c r="BH647" s="6"/>
      <c r="BI647" s="6"/>
      <c r="BJ647" s="6"/>
      <c r="BK647" s="6"/>
      <c r="BL647" s="6"/>
      <c r="BM647" s="6"/>
      <c r="BN647" s="6" t="e">
        <f t="shared" si="63"/>
        <v>#DIV/0!</v>
      </c>
    </row>
    <row r="648" spans="49:66" x14ac:dyDescent="0.3">
      <c r="AW648">
        <f t="shared" si="62"/>
        <v>0</v>
      </c>
      <c r="AX648">
        <v>645</v>
      </c>
      <c r="AY648" s="4">
        <f t="shared" si="60"/>
        <v>43082</v>
      </c>
      <c r="AZ648" s="6" t="e">
        <f t="shared" si="61"/>
        <v>#DIV/0!</v>
      </c>
      <c r="BA648" s="4">
        <v>43082</v>
      </c>
      <c r="BB648" s="6">
        <v>0.84851200000000004</v>
      </c>
      <c r="BC648" s="6">
        <v>0.70957800000000004</v>
      </c>
      <c r="BD648" s="6">
        <v>0.62184899999999999</v>
      </c>
      <c r="BE648" s="6"/>
      <c r="BF648" s="6"/>
      <c r="BG648" s="6"/>
      <c r="BH648" s="6"/>
      <c r="BI648" s="6"/>
      <c r="BJ648" s="6"/>
      <c r="BK648" s="6"/>
      <c r="BL648" s="6"/>
      <c r="BM648" s="6"/>
      <c r="BN648" s="6" t="e">
        <f t="shared" si="63"/>
        <v>#DIV/0!</v>
      </c>
    </row>
    <row r="649" spans="49:66" x14ac:dyDescent="0.3">
      <c r="AW649">
        <f t="shared" si="62"/>
        <v>0</v>
      </c>
      <c r="AX649">
        <v>646</v>
      </c>
      <c r="AY649" s="4">
        <f t="shared" si="60"/>
        <v>43083</v>
      </c>
      <c r="AZ649" s="6" t="e">
        <f t="shared" si="61"/>
        <v>#DIV/0!</v>
      </c>
      <c r="BA649" s="4">
        <v>43083</v>
      </c>
      <c r="BB649" s="6">
        <v>-0.59112500000000001</v>
      </c>
      <c r="BC649" s="6">
        <v>0.105771</v>
      </c>
      <c r="BD649" s="6">
        <v>9.4272999999999996E-2</v>
      </c>
      <c r="BE649" s="6"/>
      <c r="BF649" s="6"/>
      <c r="BG649" s="6"/>
      <c r="BH649" s="6"/>
      <c r="BI649" s="6"/>
      <c r="BJ649" s="6"/>
      <c r="BK649" s="6"/>
      <c r="BL649" s="6"/>
      <c r="BM649" s="6"/>
      <c r="BN649" s="6" t="e">
        <f t="shared" si="63"/>
        <v>#DIV/0!</v>
      </c>
    </row>
    <row r="650" spans="49:66" x14ac:dyDescent="0.3">
      <c r="AW650">
        <f t="shared" si="62"/>
        <v>0</v>
      </c>
      <c r="AX650">
        <v>647</v>
      </c>
      <c r="AY650" s="4">
        <f t="shared" si="60"/>
        <v>43084</v>
      </c>
      <c r="AZ650" s="6" t="e">
        <f t="shared" si="61"/>
        <v>#DIV/0!</v>
      </c>
      <c r="BA650" s="4">
        <v>43084</v>
      </c>
      <c r="BB650" s="6">
        <v>-1.12504</v>
      </c>
      <c r="BC650" s="6">
        <v>-0.768926</v>
      </c>
      <c r="BD650" s="6">
        <v>-0.33165299999999998</v>
      </c>
      <c r="BE650" s="6"/>
      <c r="BF650" s="6"/>
      <c r="BG650" s="6"/>
      <c r="BH650" s="6"/>
      <c r="BI650" s="6"/>
      <c r="BJ650" s="6"/>
      <c r="BK650" s="6"/>
      <c r="BL650" s="6"/>
      <c r="BM650" s="6"/>
      <c r="BN650" s="6" t="e">
        <f t="shared" si="63"/>
        <v>#DIV/0!</v>
      </c>
    </row>
    <row r="651" spans="49:66" x14ac:dyDescent="0.3">
      <c r="AW651">
        <f t="shared" si="62"/>
        <v>0</v>
      </c>
      <c r="AX651">
        <v>648</v>
      </c>
      <c r="AY651" s="4">
        <f t="shared" si="60"/>
        <v>43087</v>
      </c>
      <c r="AZ651" s="6" t="e">
        <f t="shared" si="61"/>
        <v>#DIV/0!</v>
      </c>
      <c r="BA651" s="4">
        <v>43087</v>
      </c>
      <c r="BB651" s="6">
        <v>0.11142299999999999</v>
      </c>
      <c r="BC651" s="6">
        <v>-0.57365699999999997</v>
      </c>
      <c r="BD651" s="6">
        <v>-0.65820800000000002</v>
      </c>
      <c r="BE651" s="6"/>
      <c r="BF651" s="6"/>
      <c r="BG651" s="6"/>
      <c r="BH651" s="6"/>
      <c r="BI651" s="6"/>
      <c r="BJ651" s="6"/>
      <c r="BK651" s="6"/>
      <c r="BL651" s="6"/>
      <c r="BM651" s="6"/>
      <c r="BN651" s="6" t="e">
        <f t="shared" si="63"/>
        <v>#DIV/0!</v>
      </c>
    </row>
    <row r="652" spans="49:66" x14ac:dyDescent="0.3">
      <c r="AW652">
        <f t="shared" si="62"/>
        <v>0</v>
      </c>
      <c r="AX652">
        <v>649</v>
      </c>
      <c r="AY652" s="4">
        <f t="shared" si="60"/>
        <v>43088</v>
      </c>
      <c r="AZ652" s="6" t="e">
        <f t="shared" si="61"/>
        <v>#DIV/0!</v>
      </c>
      <c r="BA652" s="4">
        <v>43088</v>
      </c>
      <c r="BB652" s="6">
        <v>1.2555670000000001</v>
      </c>
      <c r="BC652" s="6">
        <v>0.826658</v>
      </c>
      <c r="BD652" s="6">
        <v>0.56510300000000002</v>
      </c>
      <c r="BE652" s="6"/>
      <c r="BF652" s="6"/>
      <c r="BG652" s="6"/>
      <c r="BH652" s="6"/>
      <c r="BI652" s="6"/>
      <c r="BJ652" s="6"/>
      <c r="BK652" s="6"/>
      <c r="BL652" s="6"/>
      <c r="BM652" s="6"/>
      <c r="BN652" s="6" t="e">
        <f t="shared" si="63"/>
        <v>#DIV/0!</v>
      </c>
    </row>
    <row r="653" spans="49:66" x14ac:dyDescent="0.3">
      <c r="AW653">
        <f t="shared" si="62"/>
        <v>0</v>
      </c>
      <c r="AX653">
        <v>650</v>
      </c>
      <c r="AY653" s="4">
        <f t="shared" si="60"/>
        <v>43089</v>
      </c>
      <c r="AZ653" s="6" t="e">
        <f t="shared" si="61"/>
        <v>#DIV/0!</v>
      </c>
      <c r="BA653" s="4">
        <v>43089</v>
      </c>
      <c r="BB653" s="6">
        <v>-0.119931</v>
      </c>
      <c r="BC653" s="6">
        <v>-0.82989599999999997</v>
      </c>
      <c r="BD653" s="6">
        <v>-1.0448710000000001</v>
      </c>
      <c r="BE653" s="6"/>
      <c r="BF653" s="6"/>
      <c r="BG653" s="6"/>
      <c r="BH653" s="6"/>
      <c r="BI653" s="6"/>
      <c r="BJ653" s="6"/>
      <c r="BK653" s="6"/>
      <c r="BL653" s="6"/>
      <c r="BM653" s="6"/>
      <c r="BN653" s="6" t="e">
        <f t="shared" si="63"/>
        <v>#DIV/0!</v>
      </c>
    </row>
    <row r="654" spans="49:66" x14ac:dyDescent="0.3">
      <c r="AW654">
        <f t="shared" si="62"/>
        <v>0</v>
      </c>
      <c r="AX654">
        <v>651</v>
      </c>
      <c r="AY654" s="4">
        <f t="shared" si="60"/>
        <v>43090</v>
      </c>
      <c r="AZ654" s="6" t="e">
        <f t="shared" si="61"/>
        <v>#DIV/0!</v>
      </c>
      <c r="BA654" s="4">
        <v>43090</v>
      </c>
      <c r="BB654" s="6">
        <v>0.926902</v>
      </c>
      <c r="BC654" s="6">
        <v>0.63128899999999999</v>
      </c>
      <c r="BD654" s="6">
        <v>0.13972999999999999</v>
      </c>
      <c r="BE654" s="6"/>
      <c r="BF654" s="6"/>
      <c r="BG654" s="6"/>
      <c r="BH654" s="6"/>
      <c r="BI654" s="6"/>
      <c r="BJ654" s="6"/>
      <c r="BK654" s="6"/>
      <c r="BL654" s="6"/>
      <c r="BM654" s="6"/>
      <c r="BN654" s="6" t="e">
        <f t="shared" si="63"/>
        <v>#DIV/0!</v>
      </c>
    </row>
    <row r="655" spans="49:66" x14ac:dyDescent="0.3">
      <c r="AW655">
        <f t="shared" si="62"/>
        <v>0</v>
      </c>
      <c r="AX655">
        <v>652</v>
      </c>
      <c r="AY655" s="4">
        <f t="shared" si="60"/>
        <v>43091</v>
      </c>
      <c r="AZ655" s="6" t="e">
        <f t="shared" si="61"/>
        <v>#DIV/0!</v>
      </c>
      <c r="BA655" s="4">
        <v>43091</v>
      </c>
      <c r="BB655" s="6">
        <v>-0.32572699999999999</v>
      </c>
      <c r="BC655" s="6">
        <v>7.0305000000000006E-2</v>
      </c>
      <c r="BD655" s="6">
        <v>-0.197717</v>
      </c>
      <c r="BE655" s="6"/>
      <c r="BF655" s="6"/>
      <c r="BG655" s="6"/>
      <c r="BH655" s="6"/>
      <c r="BI655" s="6"/>
      <c r="BJ655" s="6"/>
      <c r="BK655" s="6"/>
      <c r="BL655" s="6"/>
      <c r="BM655" s="6"/>
      <c r="BN655" s="6" t="e">
        <f t="shared" si="63"/>
        <v>#DIV/0!</v>
      </c>
    </row>
    <row r="656" spans="49:66" x14ac:dyDescent="0.3">
      <c r="AW656">
        <f t="shared" si="62"/>
        <v>0</v>
      </c>
      <c r="AX656">
        <v>653</v>
      </c>
      <c r="AY656" s="4">
        <f t="shared" si="60"/>
        <v>43094</v>
      </c>
      <c r="AZ656" s="6" t="e">
        <f t="shared" si="61"/>
        <v>#DIV/0!</v>
      </c>
      <c r="BA656" s="4">
        <v>43094</v>
      </c>
      <c r="BB656" s="6">
        <v>-0.32206099999999999</v>
      </c>
      <c r="BC656" s="6">
        <v>-0.91774900000000004</v>
      </c>
      <c r="BD656" s="6">
        <v>-1.376733</v>
      </c>
      <c r="BE656" s="6"/>
      <c r="BF656" s="6"/>
      <c r="BG656" s="6"/>
      <c r="BH656" s="6"/>
      <c r="BI656" s="6"/>
      <c r="BJ656" s="6"/>
      <c r="BK656" s="6"/>
      <c r="BL656" s="6"/>
      <c r="BM656" s="6"/>
      <c r="BN656" s="6" t="e">
        <f t="shared" si="63"/>
        <v>#DIV/0!</v>
      </c>
    </row>
    <row r="657" spans="49:66" x14ac:dyDescent="0.3">
      <c r="AW657">
        <f t="shared" si="62"/>
        <v>0</v>
      </c>
      <c r="AX657">
        <v>654</v>
      </c>
      <c r="AY657" s="4">
        <f t="shared" si="60"/>
        <v>43095</v>
      </c>
      <c r="AZ657" s="6" t="e">
        <f t="shared" si="61"/>
        <v>#DIV/0!</v>
      </c>
      <c r="BA657" s="4">
        <v>43095</v>
      </c>
      <c r="BB657" s="6">
        <v>0.29895300000000002</v>
      </c>
      <c r="BC657" s="6">
        <v>0.55866300000000002</v>
      </c>
      <c r="BD657" s="6">
        <v>0.43562499999999998</v>
      </c>
      <c r="BE657" s="6"/>
      <c r="BF657" s="6"/>
      <c r="BG657" s="6"/>
      <c r="BH657" s="6"/>
      <c r="BI657" s="6"/>
      <c r="BJ657" s="6"/>
      <c r="BK657" s="6"/>
      <c r="BL657" s="6"/>
      <c r="BM657" s="6"/>
      <c r="BN657" s="6" t="e">
        <f t="shared" si="63"/>
        <v>#DIV/0!</v>
      </c>
    </row>
    <row r="658" spans="49:66" x14ac:dyDescent="0.3">
      <c r="AW658">
        <f t="shared" si="62"/>
        <v>0</v>
      </c>
      <c r="AX658">
        <v>655</v>
      </c>
      <c r="AY658" s="4">
        <f t="shared" si="60"/>
        <v>43096</v>
      </c>
      <c r="AZ658" s="6" t="e">
        <f t="shared" si="61"/>
        <v>#DIV/0!</v>
      </c>
      <c r="BA658" s="4">
        <v>43096</v>
      </c>
      <c r="BB658" s="6">
        <v>-1.539731</v>
      </c>
      <c r="BC658" s="6">
        <v>-0.755521</v>
      </c>
      <c r="BD658" s="6">
        <v>-0.40464</v>
      </c>
      <c r="BE658" s="6"/>
      <c r="BF658" s="6"/>
      <c r="BG658" s="6"/>
      <c r="BH658" s="6"/>
      <c r="BI658" s="6"/>
      <c r="BJ658" s="6"/>
      <c r="BK658" s="6"/>
      <c r="BL658" s="6"/>
      <c r="BM658" s="6"/>
      <c r="BN658" s="6" t="e">
        <f t="shared" si="63"/>
        <v>#DIV/0!</v>
      </c>
    </row>
    <row r="659" spans="49:66" x14ac:dyDescent="0.3">
      <c r="AW659">
        <f t="shared" si="62"/>
        <v>0</v>
      </c>
      <c r="AX659">
        <v>656</v>
      </c>
      <c r="AY659" s="4">
        <f t="shared" si="60"/>
        <v>43097</v>
      </c>
      <c r="AZ659" s="6" t="e">
        <f t="shared" si="61"/>
        <v>#DIV/0!</v>
      </c>
      <c r="BA659" s="4">
        <v>43097</v>
      </c>
      <c r="BB659" s="6">
        <v>0.69377200000000006</v>
      </c>
      <c r="BC659" s="6">
        <v>0.50407599999999997</v>
      </c>
      <c r="BD659" s="6">
        <v>0.20084399999999999</v>
      </c>
      <c r="BE659" s="6"/>
      <c r="BF659" s="6"/>
      <c r="BG659" s="6"/>
      <c r="BH659" s="6"/>
      <c r="BI659" s="6"/>
      <c r="BJ659" s="6"/>
      <c r="BK659" s="6"/>
      <c r="BL659" s="6"/>
      <c r="BM659" s="6"/>
      <c r="BN659" s="6" t="e">
        <f t="shared" si="63"/>
        <v>#DIV/0!</v>
      </c>
    </row>
    <row r="660" spans="49:66" x14ac:dyDescent="0.3">
      <c r="AW660">
        <f t="shared" si="62"/>
        <v>0</v>
      </c>
      <c r="AX660">
        <v>657</v>
      </c>
      <c r="AY660" s="4">
        <f t="shared" si="60"/>
        <v>43098</v>
      </c>
      <c r="AZ660" s="6" t="e">
        <f t="shared" si="61"/>
        <v>#DIV/0!</v>
      </c>
      <c r="BA660" s="4">
        <v>43098</v>
      </c>
      <c r="BB660" s="6">
        <v>0.29753200000000002</v>
      </c>
      <c r="BC660" s="6">
        <v>0.75029800000000002</v>
      </c>
      <c r="BD660" s="6">
        <v>0.87498699999999996</v>
      </c>
      <c r="BE660" s="6"/>
      <c r="BF660" s="6"/>
      <c r="BG660" s="6"/>
      <c r="BH660" s="6"/>
      <c r="BI660" s="6"/>
      <c r="BJ660" s="6"/>
      <c r="BK660" s="6"/>
      <c r="BL660" s="6"/>
      <c r="BM660" s="6"/>
      <c r="BN660" s="6" t="e">
        <f t="shared" si="63"/>
        <v>#DIV/0!</v>
      </c>
    </row>
    <row r="661" spans="49:66" x14ac:dyDescent="0.3">
      <c r="AW661">
        <f t="shared" si="62"/>
        <v>0</v>
      </c>
      <c r="AX661">
        <v>658</v>
      </c>
      <c r="AY661" s="4">
        <f t="shared" si="60"/>
        <v>43102</v>
      </c>
      <c r="AZ661" s="6" t="e">
        <f t="shared" si="61"/>
        <v>#DIV/0!</v>
      </c>
      <c r="BA661" s="4">
        <v>43102</v>
      </c>
      <c r="BB661" s="6">
        <v>1.402836</v>
      </c>
      <c r="BC661" s="6">
        <v>1.3023279999999999</v>
      </c>
      <c r="BD661" s="6">
        <v>1.065124</v>
      </c>
      <c r="BE661" s="6"/>
      <c r="BF661" s="6"/>
      <c r="BG661" s="6"/>
      <c r="BH661" s="6"/>
      <c r="BI661" s="6"/>
      <c r="BJ661" s="6"/>
      <c r="BK661" s="6"/>
      <c r="BL661" s="6"/>
      <c r="BM661" s="6"/>
      <c r="BN661" s="6" t="e">
        <f t="shared" si="63"/>
        <v>#DIV/0!</v>
      </c>
    </row>
    <row r="662" spans="49:66" x14ac:dyDescent="0.3">
      <c r="AW662">
        <f t="shared" si="62"/>
        <v>0</v>
      </c>
      <c r="AX662">
        <v>659</v>
      </c>
      <c r="AY662" s="4">
        <f t="shared" si="60"/>
        <v>43103</v>
      </c>
      <c r="AZ662" s="6" t="e">
        <f t="shared" si="61"/>
        <v>#DIV/0!</v>
      </c>
      <c r="BA662" s="4">
        <v>43103</v>
      </c>
      <c r="BB662" s="6">
        <v>0.58695699999999995</v>
      </c>
      <c r="BC662" s="6">
        <v>0.88478199999999996</v>
      </c>
      <c r="BD662" s="6">
        <v>0.95572800000000002</v>
      </c>
      <c r="BE662" s="6"/>
      <c r="BF662" s="6"/>
      <c r="BG662" s="6"/>
      <c r="BH662" s="6"/>
      <c r="BI662" s="6"/>
      <c r="BJ662" s="6"/>
      <c r="BK662" s="6"/>
      <c r="BL662" s="6"/>
      <c r="BM662" s="6"/>
      <c r="BN662" s="6" t="e">
        <f t="shared" si="63"/>
        <v>#DIV/0!</v>
      </c>
    </row>
    <row r="663" spans="49:66" x14ac:dyDescent="0.3">
      <c r="AW663">
        <f t="shared" si="62"/>
        <v>0</v>
      </c>
      <c r="AX663">
        <v>660</v>
      </c>
      <c r="AY663" s="4">
        <f t="shared" si="60"/>
        <v>43104</v>
      </c>
      <c r="AZ663" s="6" t="e">
        <f t="shared" si="61"/>
        <v>#DIV/0!</v>
      </c>
      <c r="BA663" s="4">
        <v>43104</v>
      </c>
      <c r="BB663" s="6">
        <v>0.42368600000000001</v>
      </c>
      <c r="BC663" s="6">
        <v>0.458368</v>
      </c>
      <c r="BD663" s="6">
        <v>0.20935000000000001</v>
      </c>
      <c r="BE663" s="6"/>
      <c r="BF663" s="6"/>
      <c r="BG663" s="6"/>
      <c r="BH663" s="6"/>
      <c r="BI663" s="6"/>
      <c r="BJ663" s="6"/>
      <c r="BK663" s="6"/>
      <c r="BL663" s="6"/>
      <c r="BM663" s="6"/>
      <c r="BN663" s="6" t="e">
        <f t="shared" si="63"/>
        <v>#DIV/0!</v>
      </c>
    </row>
    <row r="664" spans="49:66" x14ac:dyDescent="0.3">
      <c r="AW664">
        <f t="shared" si="62"/>
        <v>0</v>
      </c>
      <c r="AX664">
        <v>661</v>
      </c>
      <c r="AY664" s="4">
        <f t="shared" si="60"/>
        <v>43105</v>
      </c>
      <c r="AZ664" s="6" t="e">
        <f t="shared" si="61"/>
        <v>#DIV/0!</v>
      </c>
      <c r="BA664" s="4">
        <v>43105</v>
      </c>
      <c r="BB664" s="6">
        <v>0.24071300000000001</v>
      </c>
      <c r="BC664" s="6">
        <v>-4.3829999999999997E-3</v>
      </c>
      <c r="BD664" s="6">
        <v>2.7916E-2</v>
      </c>
      <c r="BE664" s="6"/>
      <c r="BF664" s="6"/>
      <c r="BG664" s="6"/>
      <c r="BH664" s="6"/>
      <c r="BI664" s="6"/>
      <c r="BJ664" s="6"/>
      <c r="BK664" s="6"/>
      <c r="BL664" s="6"/>
      <c r="BM664" s="6"/>
      <c r="BN664" s="6" t="e">
        <f t="shared" si="63"/>
        <v>#DIV/0!</v>
      </c>
    </row>
    <row r="665" spans="49:66" x14ac:dyDescent="0.3">
      <c r="AW665">
        <f t="shared" si="62"/>
        <v>0</v>
      </c>
      <c r="AX665">
        <v>662</v>
      </c>
      <c r="AY665" s="4">
        <f t="shared" si="60"/>
        <v>43108</v>
      </c>
      <c r="AZ665" s="6" t="e">
        <f t="shared" si="61"/>
        <v>#DIV/0!</v>
      </c>
      <c r="BA665" s="4">
        <v>43108</v>
      </c>
      <c r="BB665" s="6">
        <v>0.51728200000000002</v>
      </c>
      <c r="BC665" s="6">
        <v>0.45078600000000002</v>
      </c>
      <c r="BD665" s="6">
        <v>0.15916</v>
      </c>
      <c r="BE665" s="6"/>
      <c r="BF665" s="6"/>
      <c r="BG665" s="6"/>
      <c r="BH665" s="6"/>
      <c r="BI665" s="6"/>
      <c r="BJ665" s="6"/>
      <c r="BK665" s="6"/>
      <c r="BL665" s="6"/>
      <c r="BM665" s="6"/>
      <c r="BN665" s="6" t="e">
        <f t="shared" si="63"/>
        <v>#DIV/0!</v>
      </c>
    </row>
    <row r="666" spans="49:66" x14ac:dyDescent="0.3">
      <c r="AW666">
        <f t="shared" si="62"/>
        <v>0</v>
      </c>
      <c r="AX666">
        <v>663</v>
      </c>
      <c r="AY666" s="4">
        <f t="shared" si="60"/>
        <v>43109</v>
      </c>
      <c r="AZ666" s="6" t="e">
        <f t="shared" si="61"/>
        <v>#DIV/0!</v>
      </c>
      <c r="BA666" s="4">
        <v>43109</v>
      </c>
      <c r="BB666" s="6">
        <v>0.70041100000000001</v>
      </c>
      <c r="BC666" s="6">
        <v>-6.757E-3</v>
      </c>
      <c r="BD666" s="6">
        <v>-0.160664</v>
      </c>
      <c r="BE666" s="6"/>
      <c r="BF666" s="6"/>
      <c r="BG666" s="6"/>
      <c r="BH666" s="6"/>
      <c r="BI666" s="6"/>
      <c r="BJ666" s="6"/>
      <c r="BK666" s="6"/>
      <c r="BL666" s="6"/>
      <c r="BM666" s="6"/>
      <c r="BN666" s="6" t="e">
        <f t="shared" si="63"/>
        <v>#DIV/0!</v>
      </c>
    </row>
    <row r="667" spans="49:66" x14ac:dyDescent="0.3">
      <c r="AW667">
        <f t="shared" si="62"/>
        <v>0</v>
      </c>
      <c r="AX667">
        <v>664</v>
      </c>
      <c r="AY667" s="4">
        <f t="shared" si="60"/>
        <v>43110</v>
      </c>
      <c r="AZ667" s="6" t="e">
        <f t="shared" si="61"/>
        <v>#DIV/0!</v>
      </c>
      <c r="BA667" s="4">
        <v>43110</v>
      </c>
      <c r="BB667" s="6">
        <v>0.441971</v>
      </c>
      <c r="BC667" s="6">
        <v>-0.61756500000000003</v>
      </c>
      <c r="BD667" s="6">
        <v>-0.52893900000000005</v>
      </c>
      <c r="BE667" s="6"/>
      <c r="BF667" s="6"/>
      <c r="BG667" s="6"/>
      <c r="BH667" s="6"/>
      <c r="BI667" s="6"/>
      <c r="BJ667" s="6"/>
      <c r="BK667" s="6"/>
      <c r="BL667" s="6"/>
      <c r="BM667" s="6"/>
      <c r="BN667" s="6" t="e">
        <f t="shared" si="63"/>
        <v>#DIV/0!</v>
      </c>
    </row>
    <row r="668" spans="49:66" x14ac:dyDescent="0.3">
      <c r="AW668">
        <f t="shared" si="62"/>
        <v>0</v>
      </c>
      <c r="AX668">
        <v>665</v>
      </c>
      <c r="AY668" s="4">
        <f t="shared" si="60"/>
        <v>43111</v>
      </c>
      <c r="AZ668" s="6" t="e">
        <f t="shared" si="61"/>
        <v>#DIV/0!</v>
      </c>
      <c r="BA668" s="4">
        <v>43111</v>
      </c>
      <c r="BB668" s="6">
        <v>-5.2922999999999998E-2</v>
      </c>
      <c r="BC668" s="6">
        <v>0.31222</v>
      </c>
      <c r="BD668" s="6">
        <v>0.512934</v>
      </c>
      <c r="BE668" s="6"/>
      <c r="BF668" s="6"/>
      <c r="BG668" s="6"/>
      <c r="BH668" s="6"/>
      <c r="BI668" s="6"/>
      <c r="BJ668" s="6"/>
      <c r="BK668" s="6"/>
      <c r="BL668" s="6"/>
      <c r="BM668" s="6"/>
      <c r="BN668" s="6" t="e">
        <f t="shared" si="63"/>
        <v>#DIV/0!</v>
      </c>
    </row>
    <row r="669" spans="49:66" x14ac:dyDescent="0.3">
      <c r="AW669">
        <f t="shared" si="62"/>
        <v>0</v>
      </c>
      <c r="AX669">
        <v>666</v>
      </c>
      <c r="AY669" s="4">
        <f t="shared" si="60"/>
        <v>43112</v>
      </c>
      <c r="AZ669" s="6" t="e">
        <f t="shared" si="61"/>
        <v>#DIV/0!</v>
      </c>
      <c r="BA669" s="4">
        <v>43112</v>
      </c>
      <c r="BB669" s="6">
        <v>0.46164100000000002</v>
      </c>
      <c r="BC669" s="6">
        <v>-0.41342400000000001</v>
      </c>
      <c r="BD669" s="6">
        <v>-0.66296299999999997</v>
      </c>
      <c r="BE669" s="6"/>
      <c r="BF669" s="6"/>
      <c r="BG669" s="6"/>
      <c r="BH669" s="6"/>
      <c r="BI669" s="6"/>
      <c r="BJ669" s="6"/>
      <c r="BK669" s="6"/>
      <c r="BL669" s="6"/>
      <c r="BM669" s="6"/>
      <c r="BN669" s="6" t="e">
        <f t="shared" si="63"/>
        <v>#DIV/0!</v>
      </c>
    </row>
    <row r="670" spans="49:66" x14ac:dyDescent="0.3">
      <c r="AW670">
        <f t="shared" si="62"/>
        <v>0</v>
      </c>
      <c r="AX670">
        <v>667</v>
      </c>
      <c r="AY670" s="4">
        <f t="shared" si="60"/>
        <v>43115</v>
      </c>
      <c r="AZ670" s="6" t="e">
        <f t="shared" si="61"/>
        <v>#DIV/0!</v>
      </c>
      <c r="BA670" s="4">
        <v>43115</v>
      </c>
      <c r="BB670" s="6">
        <v>5.64E-3</v>
      </c>
      <c r="BC670" s="6">
        <v>-2.2814390000000002</v>
      </c>
      <c r="BD670" s="6">
        <v>-2.7851530000000002</v>
      </c>
      <c r="BE670" s="6"/>
      <c r="BF670" s="6"/>
      <c r="BG670" s="6"/>
      <c r="BH670" s="6"/>
      <c r="BI670" s="6"/>
      <c r="BJ670" s="6"/>
      <c r="BK670" s="6"/>
      <c r="BL670" s="6"/>
      <c r="BM670" s="6"/>
      <c r="BN670" s="6" t="e">
        <f t="shared" si="63"/>
        <v>#DIV/0!</v>
      </c>
    </row>
    <row r="671" spans="49:66" x14ac:dyDescent="0.3">
      <c r="AW671">
        <f t="shared" si="62"/>
        <v>0</v>
      </c>
      <c r="AX671">
        <v>668</v>
      </c>
      <c r="AY671" s="4">
        <f t="shared" si="60"/>
        <v>43116</v>
      </c>
      <c r="AZ671" s="6" t="e">
        <f t="shared" si="61"/>
        <v>#DIV/0!</v>
      </c>
      <c r="BA671" s="4">
        <v>43116</v>
      </c>
      <c r="BB671" s="6">
        <v>0.78655200000000003</v>
      </c>
      <c r="BC671" s="6">
        <v>0.76369600000000004</v>
      </c>
      <c r="BD671" s="6">
        <v>0.45271600000000001</v>
      </c>
      <c r="BE671" s="6"/>
      <c r="BF671" s="6"/>
      <c r="BG671" s="6"/>
      <c r="BH671" s="6"/>
      <c r="BI671" s="6"/>
      <c r="BJ671" s="6"/>
      <c r="BK671" s="6"/>
      <c r="BL671" s="6"/>
      <c r="BM671" s="6"/>
      <c r="BN671" s="6" t="e">
        <f t="shared" si="63"/>
        <v>#DIV/0!</v>
      </c>
    </row>
    <row r="672" spans="49:66" x14ac:dyDescent="0.3">
      <c r="AW672">
        <f t="shared" si="62"/>
        <v>0</v>
      </c>
      <c r="AX672">
        <v>669</v>
      </c>
      <c r="AY672" s="4">
        <f t="shared" si="60"/>
        <v>43117</v>
      </c>
      <c r="AZ672" s="6" t="e">
        <f t="shared" si="61"/>
        <v>#DIV/0!</v>
      </c>
      <c r="BA672" s="4">
        <v>43117</v>
      </c>
      <c r="BB672" s="6">
        <v>-0.2432</v>
      </c>
      <c r="BC672" s="6">
        <v>-0.53439300000000001</v>
      </c>
      <c r="BD672" s="6">
        <v>-0.25592599999999999</v>
      </c>
      <c r="BE672" s="6"/>
      <c r="BF672" s="6"/>
      <c r="BG672" s="6"/>
      <c r="BH672" s="6"/>
      <c r="BI672" s="6"/>
      <c r="BJ672" s="6"/>
      <c r="BK672" s="6"/>
      <c r="BL672" s="6"/>
      <c r="BM672" s="6"/>
      <c r="BN672" s="6" t="e">
        <f t="shared" si="63"/>
        <v>#DIV/0!</v>
      </c>
    </row>
    <row r="673" spans="49:66" x14ac:dyDescent="0.3">
      <c r="AW673">
        <f t="shared" si="62"/>
        <v>0</v>
      </c>
      <c r="AX673">
        <v>670</v>
      </c>
      <c r="AY673" s="4">
        <f t="shared" si="60"/>
        <v>43118</v>
      </c>
      <c r="AZ673" s="6" t="e">
        <f t="shared" si="61"/>
        <v>#DIV/0!</v>
      </c>
      <c r="BA673" s="4">
        <v>43118</v>
      </c>
      <c r="BB673" s="6">
        <v>0.54848799999999998</v>
      </c>
      <c r="BC673" s="6">
        <v>0.308591</v>
      </c>
      <c r="BD673" s="6">
        <v>0.17815400000000001</v>
      </c>
      <c r="BE673" s="6"/>
      <c r="BF673" s="6"/>
      <c r="BG673" s="6"/>
      <c r="BH673" s="6"/>
      <c r="BI673" s="6"/>
      <c r="BJ673" s="6"/>
      <c r="BK673" s="6"/>
      <c r="BL673" s="6"/>
      <c r="BM673" s="6"/>
      <c r="BN673" s="6" t="e">
        <f t="shared" si="63"/>
        <v>#DIV/0!</v>
      </c>
    </row>
    <row r="674" spans="49:66" x14ac:dyDescent="0.3">
      <c r="AW674">
        <f t="shared" si="62"/>
        <v>0</v>
      </c>
      <c r="AX674">
        <v>671</v>
      </c>
      <c r="AY674" s="4">
        <f t="shared" si="60"/>
        <v>43119</v>
      </c>
      <c r="AZ674" s="6" t="e">
        <f t="shared" si="61"/>
        <v>#DIV/0!</v>
      </c>
      <c r="BA674" s="4">
        <v>43119</v>
      </c>
      <c r="BB674" s="6">
        <v>0.32724999999999999</v>
      </c>
      <c r="BC674" s="6">
        <v>-0.229381</v>
      </c>
      <c r="BD674" s="6">
        <v>-0.24327399999999999</v>
      </c>
      <c r="BE674" s="6"/>
      <c r="BF674" s="6"/>
      <c r="BG674" s="6"/>
      <c r="BH674" s="6"/>
      <c r="BI674" s="6"/>
      <c r="BJ674" s="6"/>
      <c r="BK674" s="6"/>
      <c r="BL674" s="6"/>
      <c r="BM674" s="6"/>
      <c r="BN674" s="6" t="e">
        <f t="shared" si="63"/>
        <v>#DIV/0!</v>
      </c>
    </row>
    <row r="675" spans="49:66" x14ac:dyDescent="0.3">
      <c r="AW675">
        <f t="shared" si="62"/>
        <v>0</v>
      </c>
      <c r="AX675">
        <v>672</v>
      </c>
      <c r="AY675" s="4">
        <f t="shared" si="60"/>
        <v>43122</v>
      </c>
      <c r="AZ675" s="6" t="e">
        <f t="shared" si="61"/>
        <v>#DIV/0!</v>
      </c>
      <c r="BA675" s="4">
        <v>43122</v>
      </c>
      <c r="BB675" s="6">
        <v>1.194812</v>
      </c>
      <c r="BC675" s="6">
        <v>1.1998359999999999</v>
      </c>
      <c r="BD675" s="6">
        <v>1.098767</v>
      </c>
      <c r="BE675" s="6"/>
      <c r="BF675" s="6"/>
      <c r="BG675" s="6"/>
      <c r="BH675" s="6"/>
      <c r="BI675" s="6"/>
      <c r="BJ675" s="6"/>
      <c r="BK675" s="6"/>
      <c r="BL675" s="6"/>
      <c r="BM675" s="6"/>
      <c r="BN675" s="6" t="e">
        <f t="shared" si="63"/>
        <v>#DIV/0!</v>
      </c>
    </row>
    <row r="676" spans="49:66" x14ac:dyDescent="0.3">
      <c r="AW676">
        <f t="shared" si="62"/>
        <v>0</v>
      </c>
      <c r="AX676">
        <v>673</v>
      </c>
      <c r="AY676" s="4">
        <f t="shared" si="60"/>
        <v>43123</v>
      </c>
      <c r="AZ676" s="6" t="e">
        <f t="shared" si="61"/>
        <v>#DIV/0!</v>
      </c>
      <c r="BA676" s="4">
        <v>43123</v>
      </c>
      <c r="BB676" s="6">
        <v>1.061097</v>
      </c>
      <c r="BC676" s="6">
        <v>0.115941</v>
      </c>
      <c r="BD676" s="6">
        <v>7.7374999999999999E-2</v>
      </c>
      <c r="BE676" s="6"/>
      <c r="BF676" s="6"/>
      <c r="BG676" s="6"/>
      <c r="BH676" s="6"/>
      <c r="BI676" s="6"/>
      <c r="BJ676" s="6"/>
      <c r="BK676" s="6"/>
      <c r="BL676" s="6"/>
      <c r="BM676" s="6"/>
      <c r="BN676" s="6" t="e">
        <f t="shared" si="63"/>
        <v>#DIV/0!</v>
      </c>
    </row>
    <row r="677" spans="49:66" x14ac:dyDescent="0.3">
      <c r="AW677">
        <f t="shared" si="62"/>
        <v>0</v>
      </c>
      <c r="AX677">
        <v>674</v>
      </c>
      <c r="AY677" s="4">
        <f t="shared" si="60"/>
        <v>43124</v>
      </c>
      <c r="AZ677" s="6" t="e">
        <f t="shared" si="61"/>
        <v>#DIV/0!</v>
      </c>
      <c r="BA677" s="4">
        <v>43124</v>
      </c>
      <c r="BB677" s="6">
        <v>0.165938</v>
      </c>
      <c r="BC677" s="6">
        <v>0.61844399999999999</v>
      </c>
      <c r="BD677" s="6">
        <v>0.74688399999999999</v>
      </c>
      <c r="BE677" s="6"/>
      <c r="BF677" s="6"/>
      <c r="BG677" s="6"/>
      <c r="BH677" s="6"/>
      <c r="BI677" s="6"/>
      <c r="BJ677" s="6"/>
      <c r="BK677" s="6"/>
      <c r="BL677" s="6"/>
      <c r="BM677" s="6"/>
      <c r="BN677" s="6" t="e">
        <f t="shared" si="63"/>
        <v>#DIV/0!</v>
      </c>
    </row>
    <row r="678" spans="49:66" x14ac:dyDescent="0.3">
      <c r="AW678">
        <f t="shared" si="62"/>
        <v>0</v>
      </c>
      <c r="AX678">
        <v>675</v>
      </c>
      <c r="AY678" s="4">
        <f t="shared" si="60"/>
        <v>43125</v>
      </c>
      <c r="AZ678" s="6" t="e">
        <f t="shared" si="61"/>
        <v>#DIV/0!</v>
      </c>
      <c r="BA678" s="4">
        <v>43125</v>
      </c>
      <c r="BB678" s="6">
        <v>-0.56506900000000004</v>
      </c>
      <c r="BC678" s="6">
        <v>-0.18115200000000001</v>
      </c>
      <c r="BD678" s="6">
        <v>-0.138158</v>
      </c>
      <c r="BE678" s="6"/>
      <c r="BF678" s="6"/>
      <c r="BG678" s="6"/>
      <c r="BH678" s="6"/>
      <c r="BI678" s="6"/>
      <c r="BJ678" s="6"/>
      <c r="BK678" s="6"/>
      <c r="BL678" s="6"/>
      <c r="BM678" s="6"/>
      <c r="BN678" s="6" t="e">
        <f t="shared" si="63"/>
        <v>#DIV/0!</v>
      </c>
    </row>
    <row r="679" spans="49:66" x14ac:dyDescent="0.3">
      <c r="AW679">
        <f t="shared" si="62"/>
        <v>0</v>
      </c>
      <c r="AX679">
        <v>676</v>
      </c>
      <c r="AY679" s="4">
        <f t="shared" si="60"/>
        <v>43126</v>
      </c>
      <c r="AZ679" s="6" t="e">
        <f t="shared" si="61"/>
        <v>#DIV/0!</v>
      </c>
      <c r="BA679" s="4">
        <v>43126</v>
      </c>
      <c r="BB679" s="6">
        <v>0.37158999999999998</v>
      </c>
      <c r="BC679" s="6">
        <v>1.4331E-2</v>
      </c>
      <c r="BD679" s="6">
        <v>-9.3757999999999994E-2</v>
      </c>
      <c r="BE679" s="6"/>
      <c r="BF679" s="6"/>
      <c r="BG679" s="6"/>
      <c r="BH679" s="6"/>
      <c r="BI679" s="6"/>
      <c r="BJ679" s="6"/>
      <c r="BK679" s="6"/>
      <c r="BL679" s="6"/>
      <c r="BM679" s="6"/>
      <c r="BN679" s="6" t="e">
        <f t="shared" si="63"/>
        <v>#DIV/0!</v>
      </c>
    </row>
    <row r="680" spans="49:66" x14ac:dyDescent="0.3">
      <c r="AW680">
        <f t="shared" si="62"/>
        <v>0</v>
      </c>
      <c r="AX680">
        <v>677</v>
      </c>
      <c r="AY680" s="4">
        <f t="shared" si="60"/>
        <v>43129</v>
      </c>
      <c r="AZ680" s="6" t="e">
        <f t="shared" si="61"/>
        <v>#DIV/0!</v>
      </c>
      <c r="BA680" s="4">
        <v>43129</v>
      </c>
      <c r="BB680" s="6">
        <v>-1.8095429999999999</v>
      </c>
      <c r="BC680" s="6">
        <v>-1.1552610000000001</v>
      </c>
      <c r="BD680" s="6">
        <v>-1.183872</v>
      </c>
      <c r="BE680" s="6"/>
      <c r="BF680" s="6"/>
      <c r="BG680" s="6"/>
      <c r="BH680" s="6"/>
      <c r="BI680" s="6"/>
      <c r="BJ680" s="6"/>
      <c r="BK680" s="6"/>
      <c r="BL680" s="6"/>
      <c r="BM680" s="6"/>
      <c r="BN680" s="6" t="e">
        <f t="shared" si="63"/>
        <v>#DIV/0!</v>
      </c>
    </row>
    <row r="681" spans="49:66" x14ac:dyDescent="0.3">
      <c r="AW681">
        <f t="shared" si="62"/>
        <v>0</v>
      </c>
      <c r="AX681">
        <v>678</v>
      </c>
      <c r="AY681" s="4">
        <f t="shared" si="60"/>
        <v>43130</v>
      </c>
      <c r="AZ681" s="6" t="e">
        <f t="shared" si="61"/>
        <v>#DIV/0!</v>
      </c>
      <c r="BA681" s="4">
        <v>43130</v>
      </c>
      <c r="BB681" s="6">
        <v>-1.067313</v>
      </c>
      <c r="BC681" s="6">
        <v>5.6394E-2</v>
      </c>
      <c r="BD681" s="6">
        <v>-0.24720900000000001</v>
      </c>
      <c r="BE681" s="6"/>
      <c r="BF681" s="6"/>
      <c r="BG681" s="6"/>
      <c r="BH681" s="6"/>
      <c r="BI681" s="6"/>
      <c r="BJ681" s="6"/>
      <c r="BK681" s="6"/>
      <c r="BL681" s="6"/>
      <c r="BM681" s="6"/>
      <c r="BN681" s="6" t="e">
        <f t="shared" si="63"/>
        <v>#DIV/0!</v>
      </c>
    </row>
    <row r="682" spans="49:66" x14ac:dyDescent="0.3">
      <c r="AW682">
        <f t="shared" si="62"/>
        <v>0</v>
      </c>
      <c r="AX682">
        <v>679</v>
      </c>
      <c r="AY682" s="4">
        <f t="shared" si="60"/>
        <v>43131</v>
      </c>
      <c r="AZ682" s="6" t="e">
        <f t="shared" si="61"/>
        <v>#DIV/0!</v>
      </c>
      <c r="BA682" s="4">
        <v>43131</v>
      </c>
      <c r="BB682" s="6">
        <v>0.46513199999999999</v>
      </c>
      <c r="BC682" s="6">
        <v>-1.9656579999999999</v>
      </c>
      <c r="BD682" s="6">
        <v>-2.3612850000000001</v>
      </c>
      <c r="BE682" s="6"/>
      <c r="BF682" s="6"/>
      <c r="BG682" s="6"/>
      <c r="BH682" s="6"/>
      <c r="BI682" s="6"/>
      <c r="BJ682" s="6"/>
      <c r="BK682" s="6"/>
      <c r="BL682" s="6"/>
      <c r="BM682" s="6"/>
      <c r="BN682" s="6" t="e">
        <f t="shared" si="63"/>
        <v>#DIV/0!</v>
      </c>
    </row>
    <row r="683" spans="49:66" x14ac:dyDescent="0.3">
      <c r="AW683">
        <f t="shared" si="62"/>
        <v>0</v>
      </c>
      <c r="AX683">
        <v>680</v>
      </c>
      <c r="AY683" s="4">
        <f t="shared" si="60"/>
        <v>43132</v>
      </c>
      <c r="AZ683" s="6" t="e">
        <f t="shared" si="61"/>
        <v>#DIV/0!</v>
      </c>
      <c r="BA683" s="4">
        <v>43132</v>
      </c>
      <c r="BB683" s="6">
        <v>-0.70162599999999997</v>
      </c>
      <c r="BC683" s="6">
        <v>-3.3056589999999999</v>
      </c>
      <c r="BD683" s="6">
        <v>-4.1901989999999998</v>
      </c>
      <c r="BE683" s="6"/>
      <c r="BF683" s="6"/>
      <c r="BG683" s="6"/>
      <c r="BH683" s="6"/>
      <c r="BI683" s="6"/>
      <c r="BJ683" s="6"/>
      <c r="BK683" s="6"/>
      <c r="BL683" s="6"/>
      <c r="BM683" s="6"/>
      <c r="BN683" s="6" t="e">
        <f t="shared" si="63"/>
        <v>#DIV/0!</v>
      </c>
    </row>
    <row r="684" spans="49:66" x14ac:dyDescent="0.3">
      <c r="AW684">
        <f t="shared" si="62"/>
        <v>0</v>
      </c>
      <c r="AX684">
        <v>681</v>
      </c>
      <c r="AY684" s="4">
        <f t="shared" si="60"/>
        <v>43133</v>
      </c>
      <c r="AZ684" s="6" t="e">
        <f t="shared" si="61"/>
        <v>#DIV/0!</v>
      </c>
      <c r="BA684" s="4">
        <v>43133</v>
      </c>
      <c r="BB684" s="6">
        <v>0.59668900000000002</v>
      </c>
      <c r="BC684" s="6">
        <v>0.33596399999999998</v>
      </c>
      <c r="BD684" s="6">
        <v>-0.28564699999999998</v>
      </c>
      <c r="BE684" s="6"/>
      <c r="BF684" s="6"/>
      <c r="BG684" s="6"/>
      <c r="BH684" s="6"/>
      <c r="BI684" s="6"/>
      <c r="BJ684" s="6"/>
      <c r="BK684" s="6"/>
      <c r="BL684" s="6"/>
      <c r="BM684" s="6"/>
      <c r="BN684" s="6" t="e">
        <f t="shared" si="63"/>
        <v>#DIV/0!</v>
      </c>
    </row>
    <row r="685" spans="49:66" x14ac:dyDescent="0.3">
      <c r="AW685">
        <f t="shared" si="62"/>
        <v>0</v>
      </c>
      <c r="AX685">
        <v>682</v>
      </c>
      <c r="AY685" s="4">
        <f t="shared" si="60"/>
        <v>43136</v>
      </c>
      <c r="AZ685" s="6" t="e">
        <f t="shared" si="61"/>
        <v>#DIV/0!</v>
      </c>
      <c r="BA685" s="4">
        <v>43136</v>
      </c>
      <c r="BB685" s="6">
        <v>6.8219000000000002E-2</v>
      </c>
      <c r="BC685" s="6">
        <v>-0.11034099999999999</v>
      </c>
      <c r="BD685" s="6">
        <v>-0.40158500000000003</v>
      </c>
      <c r="BE685" s="6"/>
      <c r="BF685" s="6"/>
      <c r="BG685" s="6"/>
      <c r="BH685" s="6"/>
      <c r="BI685" s="6"/>
      <c r="BJ685" s="6"/>
      <c r="BK685" s="6"/>
      <c r="BL685" s="6"/>
      <c r="BM685" s="6"/>
      <c r="BN685" s="6" t="e">
        <f t="shared" si="63"/>
        <v>#DIV/0!</v>
      </c>
    </row>
    <row r="686" spans="49:66" x14ac:dyDescent="0.3">
      <c r="AW686">
        <f t="shared" si="62"/>
        <v>0</v>
      </c>
      <c r="AX686">
        <v>683</v>
      </c>
      <c r="AY686" s="4">
        <f t="shared" si="60"/>
        <v>43137</v>
      </c>
      <c r="AZ686" s="6" t="e">
        <f t="shared" si="61"/>
        <v>#DIV/0!</v>
      </c>
      <c r="BA686" s="4">
        <v>43137</v>
      </c>
      <c r="BB686" s="6">
        <v>-2.9306619999999999</v>
      </c>
      <c r="BC686" s="6">
        <v>-4.9007759999999996</v>
      </c>
      <c r="BD686" s="6">
        <v>-4.9389339999999997</v>
      </c>
      <c r="BE686" s="6"/>
      <c r="BF686" s="6"/>
      <c r="BG686" s="6"/>
      <c r="BH686" s="6"/>
      <c r="BI686" s="6"/>
      <c r="BJ686" s="6"/>
      <c r="BK686" s="6"/>
      <c r="BL686" s="6"/>
      <c r="BM686" s="6"/>
      <c r="BN686" s="6" t="e">
        <f t="shared" si="63"/>
        <v>#DIV/0!</v>
      </c>
    </row>
    <row r="687" spans="49:66" x14ac:dyDescent="0.3">
      <c r="AW687">
        <f t="shared" si="62"/>
        <v>0</v>
      </c>
      <c r="AX687">
        <v>684</v>
      </c>
      <c r="AY687" s="4">
        <f t="shared" si="60"/>
        <v>43138</v>
      </c>
      <c r="AZ687" s="6" t="e">
        <f t="shared" si="61"/>
        <v>#DIV/0!</v>
      </c>
      <c r="BA687" s="4">
        <v>43138</v>
      </c>
      <c r="BB687" s="6">
        <v>-2.371442</v>
      </c>
      <c r="BC687" s="6">
        <v>0.12390900000000001</v>
      </c>
      <c r="BD687" s="6">
        <v>0.25378699999999998</v>
      </c>
      <c r="BE687" s="6"/>
      <c r="BF687" s="6"/>
      <c r="BG687" s="6"/>
      <c r="BH687" s="6"/>
      <c r="BI687" s="6"/>
      <c r="BJ687" s="6"/>
      <c r="BK687" s="6"/>
      <c r="BL687" s="6"/>
      <c r="BM687" s="6"/>
      <c r="BN687" s="6" t="e">
        <f t="shared" si="63"/>
        <v>#DIV/0!</v>
      </c>
    </row>
    <row r="688" spans="49:66" x14ac:dyDescent="0.3">
      <c r="AW688">
        <f t="shared" si="62"/>
        <v>0</v>
      </c>
      <c r="AX688">
        <v>685</v>
      </c>
      <c r="AY688" s="4">
        <f t="shared" si="60"/>
        <v>43139</v>
      </c>
      <c r="AZ688" s="6" t="e">
        <f t="shared" si="61"/>
        <v>#DIV/0!</v>
      </c>
      <c r="BA688" s="4">
        <v>43139</v>
      </c>
      <c r="BB688" s="6">
        <v>-0.94926600000000005</v>
      </c>
      <c r="BC688" s="6">
        <v>0.96557999999999999</v>
      </c>
      <c r="BD688" s="6">
        <v>1.298476</v>
      </c>
      <c r="BE688" s="6"/>
      <c r="BF688" s="6"/>
      <c r="BG688" s="6"/>
      <c r="BH688" s="6"/>
      <c r="BI688" s="6"/>
      <c r="BJ688" s="6"/>
      <c r="BK688" s="6"/>
      <c r="BL688" s="6"/>
      <c r="BM688" s="6"/>
      <c r="BN688" s="6" t="e">
        <f t="shared" si="63"/>
        <v>#DIV/0!</v>
      </c>
    </row>
    <row r="689" spans="49:66" x14ac:dyDescent="0.3">
      <c r="AW689">
        <f t="shared" si="62"/>
        <v>0</v>
      </c>
      <c r="AX689">
        <v>686</v>
      </c>
      <c r="AY689" s="4">
        <f t="shared" si="60"/>
        <v>43140</v>
      </c>
      <c r="AZ689" s="6" t="e">
        <f t="shared" si="61"/>
        <v>#DIV/0!</v>
      </c>
      <c r="BA689" s="4">
        <v>43140</v>
      </c>
      <c r="BB689" s="6">
        <v>-4.2719959999999997</v>
      </c>
      <c r="BC689" s="6">
        <v>-3.6691760000000002</v>
      </c>
      <c r="BD689" s="6">
        <v>-2.9688029999999999</v>
      </c>
      <c r="BE689" s="6"/>
      <c r="BF689" s="6"/>
      <c r="BG689" s="6"/>
      <c r="BH689" s="6"/>
      <c r="BI689" s="6"/>
      <c r="BJ689" s="6"/>
      <c r="BK689" s="6"/>
      <c r="BL689" s="6"/>
      <c r="BM689" s="6"/>
      <c r="BN689" s="6" t="e">
        <f t="shared" si="63"/>
        <v>#DIV/0!</v>
      </c>
    </row>
    <row r="690" spans="49:66" x14ac:dyDescent="0.3">
      <c r="AW690">
        <f t="shared" si="62"/>
        <v>0</v>
      </c>
      <c r="AX690">
        <v>687</v>
      </c>
      <c r="AY690" s="4">
        <f t="shared" si="60"/>
        <v>43143</v>
      </c>
      <c r="AZ690" s="6" t="e">
        <f t="shared" si="61"/>
        <v>#DIV/0!</v>
      </c>
      <c r="BA690" s="4">
        <v>43143</v>
      </c>
      <c r="BB690" s="6">
        <v>1.2875909999999999</v>
      </c>
      <c r="BC690" s="6">
        <v>2.595917</v>
      </c>
      <c r="BD690" s="6">
        <v>2.490183</v>
      </c>
      <c r="BE690" s="6"/>
      <c r="BF690" s="6"/>
      <c r="BG690" s="6"/>
      <c r="BH690" s="6"/>
      <c r="BI690" s="6"/>
      <c r="BJ690" s="6"/>
      <c r="BK690" s="6"/>
      <c r="BL690" s="6"/>
      <c r="BM690" s="6"/>
      <c r="BN690" s="6" t="e">
        <f t="shared" si="63"/>
        <v>#DIV/0!</v>
      </c>
    </row>
    <row r="691" spans="49:66" x14ac:dyDescent="0.3">
      <c r="AW691">
        <f t="shared" si="62"/>
        <v>0</v>
      </c>
      <c r="AX691">
        <v>688</v>
      </c>
      <c r="AY691" s="4">
        <f t="shared" si="60"/>
        <v>43144</v>
      </c>
      <c r="AZ691" s="6" t="e">
        <f t="shared" si="61"/>
        <v>#DIV/0!</v>
      </c>
      <c r="BA691" s="4">
        <v>43144</v>
      </c>
      <c r="BB691" s="6">
        <v>1.1703490000000001</v>
      </c>
      <c r="BC691" s="6">
        <v>0.66418600000000005</v>
      </c>
      <c r="BD691" s="6">
        <v>0.20565600000000001</v>
      </c>
      <c r="BE691" s="6"/>
      <c r="BF691" s="6"/>
      <c r="BG691" s="6"/>
      <c r="BH691" s="6"/>
      <c r="BI691" s="6"/>
      <c r="BJ691" s="6"/>
      <c r="BK691" s="6"/>
      <c r="BL691" s="6"/>
      <c r="BM691" s="6"/>
      <c r="BN691" s="6" t="e">
        <f t="shared" si="63"/>
        <v>#DIV/0!</v>
      </c>
    </row>
    <row r="692" spans="49:66" x14ac:dyDescent="0.3">
      <c r="AW692">
        <f t="shared" si="62"/>
        <v>0</v>
      </c>
      <c r="AX692">
        <v>689</v>
      </c>
      <c r="AY692" s="4">
        <f t="shared" si="60"/>
        <v>43145</v>
      </c>
      <c r="AZ692" s="6" t="e">
        <f t="shared" si="61"/>
        <v>#DIV/0!</v>
      </c>
      <c r="BA692" s="4">
        <v>43145</v>
      </c>
      <c r="BB692" s="6">
        <v>0.79603500000000005</v>
      </c>
      <c r="BC692" s="6">
        <v>0.31173200000000001</v>
      </c>
      <c r="BD692" s="6">
        <v>0.227663</v>
      </c>
      <c r="BE692" s="6"/>
      <c r="BF692" s="6"/>
      <c r="BG692" s="6"/>
      <c r="BH692" s="6"/>
      <c r="BI692" s="6"/>
      <c r="BJ692" s="6"/>
      <c r="BK692" s="6"/>
      <c r="BL692" s="6"/>
      <c r="BM692" s="6"/>
      <c r="BN692" s="6" t="e">
        <f t="shared" si="63"/>
        <v>#DIV/0!</v>
      </c>
    </row>
    <row r="693" spans="49:66" x14ac:dyDescent="0.3">
      <c r="AW693">
        <f t="shared" si="62"/>
        <v>0</v>
      </c>
      <c r="AX693">
        <v>690</v>
      </c>
      <c r="AY693" s="4">
        <f t="shared" si="60"/>
        <v>43153</v>
      </c>
      <c r="AZ693" s="6" t="e">
        <f t="shared" si="61"/>
        <v>#DIV/0!</v>
      </c>
      <c r="BA693" s="4">
        <v>43153</v>
      </c>
      <c r="BB693" s="6">
        <v>2.1621540000000001</v>
      </c>
      <c r="BC693" s="6">
        <v>2.1007169999999999</v>
      </c>
      <c r="BD693" s="6">
        <v>1.8684959999999999</v>
      </c>
      <c r="BE693" s="6"/>
      <c r="BF693" s="6"/>
      <c r="BG693" s="6"/>
      <c r="BH693" s="6"/>
      <c r="BI693" s="6"/>
      <c r="BJ693" s="6"/>
      <c r="BK693" s="6"/>
      <c r="BL693" s="6"/>
      <c r="BM693" s="6"/>
      <c r="BN693" s="6" t="e">
        <f t="shared" si="63"/>
        <v>#DIV/0!</v>
      </c>
    </row>
    <row r="694" spans="49:66" x14ac:dyDescent="0.3">
      <c r="AW694">
        <f t="shared" si="62"/>
        <v>0</v>
      </c>
      <c r="AX694">
        <v>691</v>
      </c>
      <c r="AY694" s="4">
        <f t="shared" si="60"/>
        <v>43154</v>
      </c>
      <c r="AZ694" s="6" t="e">
        <f t="shared" si="61"/>
        <v>#DIV/0!</v>
      </c>
      <c r="BA694" s="4">
        <v>43154</v>
      </c>
      <c r="BB694" s="6">
        <v>0.45292100000000002</v>
      </c>
      <c r="BC694" s="6">
        <v>0.37355899999999997</v>
      </c>
      <c r="BD694" s="6">
        <v>0.29673300000000002</v>
      </c>
      <c r="BE694" s="6"/>
      <c r="BF694" s="6"/>
      <c r="BG694" s="6"/>
      <c r="BH694" s="6"/>
      <c r="BI694" s="6"/>
      <c r="BJ694" s="6"/>
      <c r="BK694" s="6"/>
      <c r="BL694" s="6"/>
      <c r="BM694" s="6"/>
      <c r="BN694" s="6" t="e">
        <f t="shared" si="63"/>
        <v>#DIV/0!</v>
      </c>
    </row>
    <row r="695" spans="49:66" x14ac:dyDescent="0.3">
      <c r="AW695">
        <f t="shared" si="62"/>
        <v>0</v>
      </c>
      <c r="AX695">
        <v>692</v>
      </c>
      <c r="AY695" s="4">
        <f t="shared" si="60"/>
        <v>43157</v>
      </c>
      <c r="AZ695" s="6" t="e">
        <f t="shared" si="61"/>
        <v>#DIV/0!</v>
      </c>
      <c r="BA695" s="4">
        <v>43157</v>
      </c>
      <c r="BB695" s="6">
        <v>1.1625810000000001</v>
      </c>
      <c r="BC695" s="6">
        <v>2.2382200000000001</v>
      </c>
      <c r="BD695" s="6">
        <v>2.218245</v>
      </c>
      <c r="BE695" s="6"/>
      <c r="BF695" s="6"/>
      <c r="BG695" s="6"/>
      <c r="BH695" s="6"/>
      <c r="BI695" s="6"/>
      <c r="BJ695" s="6"/>
      <c r="BK695" s="6"/>
      <c r="BL695" s="6"/>
      <c r="BM695" s="6"/>
      <c r="BN695" s="6" t="e">
        <f t="shared" si="63"/>
        <v>#DIV/0!</v>
      </c>
    </row>
    <row r="696" spans="49:66" x14ac:dyDescent="0.3">
      <c r="AW696">
        <f t="shared" si="62"/>
        <v>0</v>
      </c>
      <c r="AX696">
        <v>693</v>
      </c>
      <c r="AY696" s="4">
        <f t="shared" si="60"/>
        <v>43158</v>
      </c>
      <c r="AZ696" s="6" t="e">
        <f t="shared" si="61"/>
        <v>#DIV/0!</v>
      </c>
      <c r="BA696" s="4">
        <v>43158</v>
      </c>
      <c r="BB696" s="6">
        <v>-1.4432240000000001</v>
      </c>
      <c r="BC696" s="6">
        <v>-0.317135</v>
      </c>
      <c r="BD696" s="6">
        <v>0.34196799999999999</v>
      </c>
      <c r="BE696" s="6"/>
      <c r="BF696" s="6"/>
      <c r="BG696" s="6"/>
      <c r="BH696" s="6"/>
      <c r="BI696" s="6"/>
      <c r="BJ696" s="6"/>
      <c r="BK696" s="6"/>
      <c r="BL696" s="6"/>
      <c r="BM696" s="6"/>
      <c r="BN696" s="6" t="e">
        <f t="shared" si="63"/>
        <v>#DIV/0!</v>
      </c>
    </row>
    <row r="697" spans="49:66" x14ac:dyDescent="0.3">
      <c r="AW697">
        <f t="shared" si="62"/>
        <v>0</v>
      </c>
      <c r="AX697">
        <v>694</v>
      </c>
      <c r="AY697" s="4">
        <f t="shared" si="60"/>
        <v>43159</v>
      </c>
      <c r="AZ697" s="6" t="e">
        <f t="shared" si="61"/>
        <v>#DIV/0!</v>
      </c>
      <c r="BA697" s="4">
        <v>43159</v>
      </c>
      <c r="BB697" s="6">
        <v>-0.87063999999999997</v>
      </c>
      <c r="BC697" s="6">
        <v>0.218278</v>
      </c>
      <c r="BD697" s="6">
        <v>0.52726700000000004</v>
      </c>
      <c r="BE697" s="6"/>
      <c r="BF697" s="6"/>
      <c r="BG697" s="6"/>
      <c r="BH697" s="6"/>
      <c r="BI697" s="6"/>
      <c r="BJ697" s="6"/>
      <c r="BK697" s="6"/>
      <c r="BL697" s="6"/>
      <c r="BM697" s="6"/>
      <c r="BN697" s="6" t="e">
        <f t="shared" si="63"/>
        <v>#DIV/0!</v>
      </c>
    </row>
    <row r="698" spans="49:66" x14ac:dyDescent="0.3">
      <c r="AW698">
        <f t="shared" si="62"/>
        <v>0</v>
      </c>
      <c r="AX698">
        <v>695</v>
      </c>
      <c r="AY698" s="4">
        <f t="shared" si="60"/>
        <v>43160</v>
      </c>
      <c r="AZ698" s="6" t="e">
        <f t="shared" si="61"/>
        <v>#DIV/0!</v>
      </c>
      <c r="BA698" s="4">
        <v>43160</v>
      </c>
      <c r="BB698" s="6">
        <v>0.632382</v>
      </c>
      <c r="BC698" s="6">
        <v>1.1047689999999999</v>
      </c>
      <c r="BD698" s="6">
        <v>1.4438359999999999</v>
      </c>
      <c r="BE698" s="6"/>
      <c r="BF698" s="6"/>
      <c r="BG698" s="6"/>
      <c r="BH698" s="6"/>
      <c r="BI698" s="6"/>
      <c r="BJ698" s="6"/>
      <c r="BK698" s="6"/>
      <c r="BL698" s="6"/>
      <c r="BM698" s="6"/>
      <c r="BN698" s="6" t="e">
        <f t="shared" si="63"/>
        <v>#DIV/0!</v>
      </c>
    </row>
    <row r="699" spans="49:66" x14ac:dyDescent="0.3">
      <c r="AW699">
        <f t="shared" si="62"/>
        <v>0</v>
      </c>
      <c r="AX699">
        <v>696</v>
      </c>
      <c r="AY699" s="4">
        <f t="shared" si="60"/>
        <v>43161</v>
      </c>
      <c r="AZ699" s="6" t="e">
        <f t="shared" si="61"/>
        <v>#DIV/0!</v>
      </c>
      <c r="BA699" s="4">
        <v>43161</v>
      </c>
      <c r="BB699" s="6">
        <v>-0.80574500000000004</v>
      </c>
      <c r="BC699" s="6">
        <v>-0.556454</v>
      </c>
      <c r="BD699" s="6">
        <v>-0.39358100000000001</v>
      </c>
      <c r="BE699" s="6"/>
      <c r="BF699" s="6"/>
      <c r="BG699" s="6"/>
      <c r="BH699" s="6"/>
      <c r="BI699" s="6"/>
      <c r="BJ699" s="6"/>
      <c r="BK699" s="6"/>
      <c r="BL699" s="6"/>
      <c r="BM699" s="6"/>
      <c r="BN699" s="6" t="e">
        <f t="shared" si="63"/>
        <v>#DIV/0!</v>
      </c>
    </row>
    <row r="700" spans="49:66" x14ac:dyDescent="0.3">
      <c r="AW700">
        <f t="shared" si="62"/>
        <v>0</v>
      </c>
      <c r="AX700">
        <v>697</v>
      </c>
      <c r="AY700" s="4">
        <f t="shared" si="60"/>
        <v>43164</v>
      </c>
      <c r="AZ700" s="6" t="e">
        <f t="shared" si="61"/>
        <v>#DIV/0!</v>
      </c>
      <c r="BA700" s="4">
        <v>43164</v>
      </c>
      <c r="BB700" s="6">
        <v>4.0731999999999997E-2</v>
      </c>
      <c r="BC700" s="6">
        <v>0.12817799999999999</v>
      </c>
      <c r="BD700" s="6">
        <v>0.63183999999999996</v>
      </c>
      <c r="BE700" s="6"/>
      <c r="BF700" s="6"/>
      <c r="BG700" s="6"/>
      <c r="BH700" s="6"/>
      <c r="BI700" s="6"/>
      <c r="BJ700" s="6"/>
      <c r="BK700" s="6"/>
      <c r="BL700" s="6"/>
      <c r="BM700" s="6"/>
      <c r="BN700" s="6" t="e">
        <f t="shared" si="63"/>
        <v>#DIV/0!</v>
      </c>
    </row>
    <row r="701" spans="49:66" x14ac:dyDescent="0.3">
      <c r="AW701">
        <f t="shared" si="62"/>
        <v>0</v>
      </c>
      <c r="AX701">
        <v>698</v>
      </c>
      <c r="AY701" s="4">
        <f t="shared" si="60"/>
        <v>43165</v>
      </c>
      <c r="AZ701" s="6" t="e">
        <f t="shared" si="61"/>
        <v>#DIV/0!</v>
      </c>
      <c r="BA701" s="4">
        <v>43165</v>
      </c>
      <c r="BB701" s="6">
        <v>1.2062349999999999</v>
      </c>
      <c r="BC701" s="6">
        <v>1.343621</v>
      </c>
      <c r="BD701" s="6">
        <v>0.92267699999999997</v>
      </c>
      <c r="BE701" s="6"/>
      <c r="BF701" s="6"/>
      <c r="BG701" s="6"/>
      <c r="BH701" s="6"/>
      <c r="BI701" s="6"/>
      <c r="BJ701" s="6"/>
      <c r="BK701" s="6"/>
      <c r="BL701" s="6"/>
      <c r="BM701" s="6"/>
      <c r="BN701" s="6" t="e">
        <f t="shared" si="63"/>
        <v>#DIV/0!</v>
      </c>
    </row>
    <row r="702" spans="49:66" x14ac:dyDescent="0.3">
      <c r="AW702">
        <f t="shared" si="62"/>
        <v>0</v>
      </c>
      <c r="AX702">
        <v>699</v>
      </c>
      <c r="AY702" s="4">
        <f t="shared" si="60"/>
        <v>43166</v>
      </c>
      <c r="AZ702" s="6" t="e">
        <f t="shared" si="61"/>
        <v>#DIV/0!</v>
      </c>
      <c r="BA702" s="4">
        <v>43166</v>
      </c>
      <c r="BB702" s="6">
        <v>-0.735537</v>
      </c>
      <c r="BC702" s="6">
        <v>-0.96149499999999999</v>
      </c>
      <c r="BD702" s="6">
        <v>-0.70242300000000002</v>
      </c>
      <c r="BE702" s="6"/>
      <c r="BF702" s="6"/>
      <c r="BG702" s="6"/>
      <c r="BH702" s="6"/>
      <c r="BI702" s="6"/>
      <c r="BJ702" s="6"/>
      <c r="BK702" s="6"/>
      <c r="BL702" s="6"/>
      <c r="BM702" s="6"/>
      <c r="BN702" s="6" t="e">
        <f t="shared" si="63"/>
        <v>#DIV/0!</v>
      </c>
    </row>
    <row r="703" spans="49:66" x14ac:dyDescent="0.3">
      <c r="AW703">
        <f t="shared" si="62"/>
        <v>0</v>
      </c>
      <c r="AX703">
        <v>700</v>
      </c>
      <c r="AY703" s="4">
        <f t="shared" si="60"/>
        <v>43167</v>
      </c>
      <c r="AZ703" s="6" t="e">
        <f t="shared" si="61"/>
        <v>#DIV/0!</v>
      </c>
      <c r="BA703" s="4">
        <v>43167</v>
      </c>
      <c r="BB703" s="6">
        <v>1.014367</v>
      </c>
      <c r="BC703" s="6">
        <v>0.73978299999999997</v>
      </c>
      <c r="BD703" s="6">
        <v>0.54776499999999995</v>
      </c>
      <c r="BE703" s="6"/>
      <c r="BF703" s="6"/>
      <c r="BG703" s="6"/>
      <c r="BH703" s="6"/>
      <c r="BI703" s="6"/>
      <c r="BJ703" s="6"/>
      <c r="BK703" s="6"/>
      <c r="BL703" s="6"/>
      <c r="BM703" s="6"/>
      <c r="BN703" s="6" t="e">
        <f t="shared" si="63"/>
        <v>#DIV/0!</v>
      </c>
    </row>
    <row r="704" spans="49:66" x14ac:dyDescent="0.3">
      <c r="AW704">
        <f t="shared" si="62"/>
        <v>0</v>
      </c>
      <c r="AX704">
        <v>701</v>
      </c>
      <c r="AY704" s="4">
        <f t="shared" si="60"/>
        <v>43168</v>
      </c>
      <c r="AZ704" s="6" t="e">
        <f t="shared" si="61"/>
        <v>#DIV/0!</v>
      </c>
      <c r="BA704" s="4">
        <v>43168</v>
      </c>
      <c r="BB704" s="6">
        <v>0.76675199999999999</v>
      </c>
      <c r="BC704" s="6">
        <v>1.2307110000000001</v>
      </c>
      <c r="BD704" s="6">
        <v>1.664547</v>
      </c>
      <c r="BE704" s="6"/>
      <c r="BF704" s="6"/>
      <c r="BG704" s="6"/>
      <c r="BH704" s="6"/>
      <c r="BI704" s="6"/>
      <c r="BJ704" s="6"/>
      <c r="BK704" s="6"/>
      <c r="BL704" s="6"/>
      <c r="BM704" s="6"/>
      <c r="BN704" s="6" t="e">
        <f t="shared" si="63"/>
        <v>#DIV/0!</v>
      </c>
    </row>
    <row r="705" spans="49:66" x14ac:dyDescent="0.3">
      <c r="AW705">
        <f t="shared" si="62"/>
        <v>0</v>
      </c>
      <c r="AX705">
        <v>702</v>
      </c>
      <c r="AY705" s="4">
        <f t="shared" si="60"/>
        <v>43171</v>
      </c>
      <c r="AZ705" s="6" t="e">
        <f t="shared" si="61"/>
        <v>#DIV/0!</v>
      </c>
      <c r="BA705" s="4">
        <v>43171</v>
      </c>
      <c r="BB705" s="6">
        <v>0.45757199999999998</v>
      </c>
      <c r="BC705" s="6">
        <v>1.4306840000000001</v>
      </c>
      <c r="BD705" s="6">
        <v>1.613745</v>
      </c>
      <c r="BE705" s="6"/>
      <c r="BF705" s="6"/>
      <c r="BG705" s="6"/>
      <c r="BH705" s="6"/>
      <c r="BI705" s="6"/>
      <c r="BJ705" s="6"/>
      <c r="BK705" s="6"/>
      <c r="BL705" s="6"/>
      <c r="BM705" s="6"/>
      <c r="BN705" s="6" t="e">
        <f t="shared" si="63"/>
        <v>#DIV/0!</v>
      </c>
    </row>
    <row r="706" spans="49:66" x14ac:dyDescent="0.3">
      <c r="AW706">
        <f t="shared" si="62"/>
        <v>0</v>
      </c>
      <c r="AX706">
        <v>703</v>
      </c>
      <c r="AY706" s="4">
        <f t="shared" si="60"/>
        <v>43172</v>
      </c>
      <c r="AZ706" s="6" t="e">
        <f t="shared" si="61"/>
        <v>#DIV/0!</v>
      </c>
      <c r="BA706" s="4">
        <v>43172</v>
      </c>
      <c r="BB706" s="6">
        <v>-0.88216700000000003</v>
      </c>
      <c r="BC706" s="6">
        <v>-0.66126700000000005</v>
      </c>
      <c r="BD706" s="6">
        <v>-0.51521700000000004</v>
      </c>
      <c r="BE706" s="6"/>
      <c r="BF706" s="6"/>
      <c r="BG706" s="6"/>
      <c r="BH706" s="6"/>
      <c r="BI706" s="6"/>
      <c r="BJ706" s="6"/>
      <c r="BK706" s="6"/>
      <c r="BL706" s="6"/>
      <c r="BM706" s="6"/>
      <c r="BN706" s="6" t="e">
        <f t="shared" si="63"/>
        <v>#DIV/0!</v>
      </c>
    </row>
    <row r="707" spans="49:66" x14ac:dyDescent="0.3">
      <c r="AW707">
        <f t="shared" si="62"/>
        <v>0</v>
      </c>
      <c r="AX707">
        <v>704</v>
      </c>
      <c r="AY707" s="4">
        <f t="shared" si="60"/>
        <v>43173</v>
      </c>
      <c r="AZ707" s="6" t="e">
        <f t="shared" si="61"/>
        <v>#DIV/0!</v>
      </c>
      <c r="BA707" s="4">
        <v>43173</v>
      </c>
      <c r="BB707" s="6">
        <v>-0.43772899999999998</v>
      </c>
      <c r="BC707" s="6">
        <v>-1.036572</v>
      </c>
      <c r="BD707" s="6">
        <v>-1.1116029999999999</v>
      </c>
      <c r="BE707" s="6"/>
      <c r="BF707" s="6"/>
      <c r="BG707" s="6"/>
      <c r="BH707" s="6"/>
      <c r="BI707" s="6"/>
      <c r="BJ707" s="6"/>
      <c r="BK707" s="6"/>
      <c r="BL707" s="6"/>
      <c r="BM707" s="6"/>
      <c r="BN707" s="6" t="e">
        <f t="shared" si="63"/>
        <v>#DIV/0!</v>
      </c>
    </row>
    <row r="708" spans="49:66" x14ac:dyDescent="0.3">
      <c r="AW708">
        <f t="shared" si="62"/>
        <v>0</v>
      </c>
      <c r="AX708">
        <v>705</v>
      </c>
      <c r="AY708" s="4">
        <f t="shared" si="60"/>
        <v>43174</v>
      </c>
      <c r="AZ708" s="6" t="e">
        <f t="shared" si="61"/>
        <v>#DIV/0!</v>
      </c>
      <c r="BA708" s="4">
        <v>43174</v>
      </c>
      <c r="BB708" s="6">
        <v>0.56017799999999995</v>
      </c>
      <c r="BC708" s="6">
        <v>-0.14874299999999999</v>
      </c>
      <c r="BD708" s="6">
        <v>-0.157778</v>
      </c>
      <c r="BE708" s="6"/>
      <c r="BF708" s="6"/>
      <c r="BG708" s="6"/>
      <c r="BH708" s="6"/>
      <c r="BI708" s="6"/>
      <c r="BJ708" s="6"/>
      <c r="BK708" s="6"/>
      <c r="BL708" s="6"/>
      <c r="BM708" s="6"/>
      <c r="BN708" s="6" t="e">
        <f t="shared" si="63"/>
        <v>#DIV/0!</v>
      </c>
    </row>
    <row r="709" spans="49:66" x14ac:dyDescent="0.3">
      <c r="AW709">
        <f t="shared" si="62"/>
        <v>0</v>
      </c>
      <c r="AX709">
        <v>706</v>
      </c>
      <c r="AY709" s="4">
        <f t="shared" ref="AY709:AY772" si="64">BA709</f>
        <v>43175</v>
      </c>
      <c r="AZ709" s="6" t="e">
        <f t="shared" ref="AZ709:AZ772" si="65">BN709</f>
        <v>#DIV/0!</v>
      </c>
      <c r="BA709" s="4">
        <v>43175</v>
      </c>
      <c r="BB709" s="6">
        <v>-0.97017900000000001</v>
      </c>
      <c r="BC709" s="6">
        <v>-0.54699699999999996</v>
      </c>
      <c r="BD709" s="6">
        <v>-0.26561800000000002</v>
      </c>
      <c r="BE709" s="6"/>
      <c r="BF709" s="6"/>
      <c r="BG709" s="6"/>
      <c r="BH709" s="6"/>
      <c r="BI709" s="6"/>
      <c r="BJ709" s="6"/>
      <c r="BK709" s="6"/>
      <c r="BL709" s="6"/>
      <c r="BM709" s="6"/>
      <c r="BN709" s="6" t="e">
        <f t="shared" si="63"/>
        <v>#DIV/0!</v>
      </c>
    </row>
    <row r="710" spans="49:66" x14ac:dyDescent="0.3">
      <c r="AW710">
        <f t="shared" ref="AW710:AW773" si="66">IF(AY710&lt;=AY709,1,0)</f>
        <v>0</v>
      </c>
      <c r="AX710">
        <v>707</v>
      </c>
      <c r="AY710" s="4">
        <f t="shared" si="64"/>
        <v>43178</v>
      </c>
      <c r="AZ710" s="6" t="e">
        <f t="shared" si="65"/>
        <v>#DIV/0!</v>
      </c>
      <c r="BA710" s="4">
        <v>43178</v>
      </c>
      <c r="BB710" s="6">
        <v>0.43943399999999999</v>
      </c>
      <c r="BC710" s="6">
        <v>0.12248199999999999</v>
      </c>
      <c r="BD710" s="6">
        <v>0.214166</v>
      </c>
      <c r="BE710" s="6"/>
      <c r="BF710" s="6"/>
      <c r="BG710" s="6"/>
      <c r="BH710" s="6"/>
      <c r="BI710" s="6"/>
      <c r="BJ710" s="6"/>
      <c r="BK710" s="6"/>
      <c r="BL710" s="6"/>
      <c r="BM710" s="6"/>
      <c r="BN710" s="6" t="e">
        <f t="shared" ref="BN710:BN773" si="67">(BM710/BM709-1)*100</f>
        <v>#DIV/0!</v>
      </c>
    </row>
    <row r="711" spans="49:66" x14ac:dyDescent="0.3">
      <c r="AW711">
        <f t="shared" si="66"/>
        <v>0</v>
      </c>
      <c r="AX711">
        <v>708</v>
      </c>
      <c r="AY711" s="4">
        <f t="shared" si="64"/>
        <v>43179</v>
      </c>
      <c r="AZ711" s="6" t="e">
        <f t="shared" si="65"/>
        <v>#DIV/0!</v>
      </c>
      <c r="BA711" s="4">
        <v>43179</v>
      </c>
      <c r="BB711" s="6">
        <v>8.4830000000000003E-2</v>
      </c>
      <c r="BC711" s="6">
        <v>0.322799</v>
      </c>
      <c r="BD711" s="6">
        <v>2.5706E-2</v>
      </c>
      <c r="BE711" s="6"/>
      <c r="BF711" s="6"/>
      <c r="BG711" s="6"/>
      <c r="BH711" s="6"/>
      <c r="BI711" s="6"/>
      <c r="BJ711" s="6"/>
      <c r="BK711" s="6"/>
      <c r="BL711" s="6"/>
      <c r="BM711" s="6"/>
      <c r="BN711" s="6" t="e">
        <f t="shared" si="67"/>
        <v>#DIV/0!</v>
      </c>
    </row>
    <row r="712" spans="49:66" x14ac:dyDescent="0.3">
      <c r="AW712">
        <f t="shared" si="66"/>
        <v>0</v>
      </c>
      <c r="AX712">
        <v>709</v>
      </c>
      <c r="AY712" s="4">
        <f t="shared" si="64"/>
        <v>43180</v>
      </c>
      <c r="AZ712" s="6" t="e">
        <f t="shared" si="65"/>
        <v>#DIV/0!</v>
      </c>
      <c r="BA712" s="4">
        <v>43180</v>
      </c>
      <c r="BB712" s="6">
        <v>-0.408414</v>
      </c>
      <c r="BC712" s="6">
        <v>-0.72070599999999996</v>
      </c>
      <c r="BD712" s="6">
        <v>-0.75047799999999998</v>
      </c>
      <c r="BE712" s="6"/>
      <c r="BF712" s="6"/>
      <c r="BG712" s="6"/>
      <c r="BH712" s="6"/>
      <c r="BI712" s="6"/>
      <c r="BJ712" s="6"/>
      <c r="BK712" s="6"/>
      <c r="BL712" s="6"/>
      <c r="BM712" s="6"/>
      <c r="BN712" s="6" t="e">
        <f t="shared" si="67"/>
        <v>#DIV/0!</v>
      </c>
    </row>
    <row r="713" spans="49:66" x14ac:dyDescent="0.3">
      <c r="AW713">
        <f t="shared" si="66"/>
        <v>0</v>
      </c>
      <c r="AX713">
        <v>710</v>
      </c>
      <c r="AY713" s="4">
        <f t="shared" si="64"/>
        <v>43181</v>
      </c>
      <c r="AZ713" s="6" t="e">
        <f t="shared" si="65"/>
        <v>#DIV/0!</v>
      </c>
      <c r="BA713" s="4">
        <v>43181</v>
      </c>
      <c r="BB713" s="6">
        <v>-1.0022329999999999</v>
      </c>
      <c r="BC713" s="6">
        <v>-0.45644800000000002</v>
      </c>
      <c r="BD713" s="6">
        <v>-9.4011999999999998E-2</v>
      </c>
      <c r="BE713" s="6"/>
      <c r="BF713" s="6"/>
      <c r="BG713" s="6"/>
      <c r="BH713" s="6"/>
      <c r="BI713" s="6"/>
      <c r="BJ713" s="6"/>
      <c r="BK713" s="6"/>
      <c r="BL713" s="6"/>
      <c r="BM713" s="6"/>
      <c r="BN713" s="6" t="e">
        <f t="shared" si="67"/>
        <v>#DIV/0!</v>
      </c>
    </row>
    <row r="714" spans="49:66" x14ac:dyDescent="0.3">
      <c r="AW714">
        <f t="shared" si="66"/>
        <v>0</v>
      </c>
      <c r="AX714">
        <v>711</v>
      </c>
      <c r="AY714" s="4">
        <f t="shared" si="64"/>
        <v>43182</v>
      </c>
      <c r="AZ714" s="6" t="e">
        <f t="shared" si="65"/>
        <v>#DIV/0!</v>
      </c>
      <c r="BA714" s="4">
        <v>43182</v>
      </c>
      <c r="BB714" s="6">
        <v>-2.870733</v>
      </c>
      <c r="BC714" s="6">
        <v>-5.1477389999999996</v>
      </c>
      <c r="BD714" s="6">
        <v>-5.3483150000000004</v>
      </c>
      <c r="BE714" s="6"/>
      <c r="BF714" s="6"/>
      <c r="BG714" s="6"/>
      <c r="BH714" s="6"/>
      <c r="BI714" s="6"/>
      <c r="BJ714" s="6"/>
      <c r="BK714" s="6"/>
      <c r="BL714" s="6"/>
      <c r="BM714" s="6"/>
      <c r="BN714" s="6" t="e">
        <f t="shared" si="67"/>
        <v>#DIV/0!</v>
      </c>
    </row>
    <row r="715" spans="49:66" x14ac:dyDescent="0.3">
      <c r="AW715">
        <f t="shared" si="66"/>
        <v>0</v>
      </c>
      <c r="AX715">
        <v>712</v>
      </c>
      <c r="AY715" s="4">
        <f t="shared" si="64"/>
        <v>43185</v>
      </c>
      <c r="AZ715" s="6" t="e">
        <f t="shared" si="65"/>
        <v>#DIV/0!</v>
      </c>
      <c r="BA715" s="4">
        <v>43185</v>
      </c>
      <c r="BB715" s="6">
        <v>-0.64130399999999999</v>
      </c>
      <c r="BC715" s="6">
        <v>2.001096</v>
      </c>
      <c r="BD715" s="6">
        <v>1.754799</v>
      </c>
      <c r="BE715" s="6"/>
      <c r="BF715" s="6"/>
      <c r="BG715" s="6"/>
      <c r="BH715" s="6"/>
      <c r="BI715" s="6"/>
      <c r="BJ715" s="6"/>
      <c r="BK715" s="6"/>
      <c r="BL715" s="6"/>
      <c r="BM715" s="6"/>
      <c r="BN715" s="6" t="e">
        <f t="shared" si="67"/>
        <v>#DIV/0!</v>
      </c>
    </row>
    <row r="716" spans="49:66" x14ac:dyDescent="0.3">
      <c r="AW716">
        <f t="shared" si="66"/>
        <v>0</v>
      </c>
      <c r="AX716">
        <v>713</v>
      </c>
      <c r="AY716" s="4">
        <f t="shared" si="64"/>
        <v>43186</v>
      </c>
      <c r="AZ716" s="6" t="e">
        <f t="shared" si="65"/>
        <v>#DIV/0!</v>
      </c>
      <c r="BA716" s="4">
        <v>43186</v>
      </c>
      <c r="BB716" s="6">
        <v>0.86022699999999996</v>
      </c>
      <c r="BC716" s="6">
        <v>2.233053</v>
      </c>
      <c r="BD716" s="6">
        <v>2.5416180000000002</v>
      </c>
      <c r="BE716" s="6"/>
      <c r="BF716" s="6"/>
      <c r="BG716" s="6"/>
      <c r="BH716" s="6"/>
      <c r="BI716" s="6"/>
      <c r="BJ716" s="6"/>
      <c r="BK716" s="6"/>
      <c r="BL716" s="6"/>
      <c r="BM716" s="6"/>
      <c r="BN716" s="6" t="e">
        <f t="shared" si="67"/>
        <v>#DIV/0!</v>
      </c>
    </row>
    <row r="717" spans="49:66" x14ac:dyDescent="0.3">
      <c r="AW717">
        <f t="shared" si="66"/>
        <v>0</v>
      </c>
      <c r="AX717">
        <v>714</v>
      </c>
      <c r="AY717" s="4">
        <f t="shared" si="64"/>
        <v>43187</v>
      </c>
      <c r="AZ717" s="6" t="e">
        <f t="shared" si="65"/>
        <v>#DIV/0!</v>
      </c>
      <c r="BA717" s="4">
        <v>43187</v>
      </c>
      <c r="BB717" s="6">
        <v>-1.8029269999999999</v>
      </c>
      <c r="BC717" s="6">
        <v>-1.0179929999999999</v>
      </c>
      <c r="BD717" s="6">
        <v>-0.673126</v>
      </c>
      <c r="BE717" s="6"/>
      <c r="BF717" s="6"/>
      <c r="BG717" s="6"/>
      <c r="BH717" s="6"/>
      <c r="BI717" s="6"/>
      <c r="BJ717" s="6"/>
      <c r="BK717" s="6"/>
      <c r="BL717" s="6"/>
      <c r="BM717" s="6"/>
      <c r="BN717" s="6" t="e">
        <f t="shared" si="67"/>
        <v>#DIV/0!</v>
      </c>
    </row>
    <row r="718" spans="49:66" x14ac:dyDescent="0.3">
      <c r="AW718">
        <f t="shared" si="66"/>
        <v>0</v>
      </c>
      <c r="AX718">
        <v>715</v>
      </c>
      <c r="AY718" s="4">
        <f t="shared" si="64"/>
        <v>43188</v>
      </c>
      <c r="AZ718" s="6" t="e">
        <f t="shared" si="65"/>
        <v>#DIV/0!</v>
      </c>
      <c r="BA718" s="4">
        <v>43188</v>
      </c>
      <c r="BB718" s="6">
        <v>1.3358859999999999</v>
      </c>
      <c r="BC718" s="6">
        <v>1.0298389999999999</v>
      </c>
      <c r="BD718" s="6">
        <v>0.72940199999999999</v>
      </c>
      <c r="BE718" s="6"/>
      <c r="BF718" s="6"/>
      <c r="BG718" s="6"/>
      <c r="BH718" s="6"/>
      <c r="BI718" s="6"/>
      <c r="BJ718" s="6"/>
      <c r="BK718" s="6"/>
      <c r="BL718" s="6"/>
      <c r="BM718" s="6"/>
      <c r="BN718" s="6" t="e">
        <f t="shared" si="67"/>
        <v>#DIV/0!</v>
      </c>
    </row>
    <row r="719" spans="49:66" x14ac:dyDescent="0.3">
      <c r="AW719">
        <f t="shared" si="66"/>
        <v>0</v>
      </c>
      <c r="AX719">
        <v>716</v>
      </c>
      <c r="AY719" s="4">
        <f t="shared" si="64"/>
        <v>43189</v>
      </c>
      <c r="AZ719" s="6" t="e">
        <f t="shared" si="65"/>
        <v>#DIV/0!</v>
      </c>
      <c r="BA719" s="4">
        <v>43189</v>
      </c>
      <c r="BB719" s="6">
        <v>0.11422300000000001</v>
      </c>
      <c r="BC719" s="6">
        <v>1.3236600000000001</v>
      </c>
      <c r="BD719" s="6">
        <v>1.711376</v>
      </c>
      <c r="BE719" s="6"/>
      <c r="BF719" s="6"/>
      <c r="BG719" s="6"/>
      <c r="BH719" s="6"/>
      <c r="BI719" s="6"/>
      <c r="BJ719" s="6"/>
      <c r="BK719" s="6"/>
      <c r="BL719" s="6"/>
      <c r="BM719" s="6"/>
      <c r="BN719" s="6" t="e">
        <f t="shared" si="67"/>
        <v>#DIV/0!</v>
      </c>
    </row>
    <row r="720" spans="49:66" x14ac:dyDescent="0.3">
      <c r="AW720">
        <f t="shared" si="66"/>
        <v>0</v>
      </c>
      <c r="AX720">
        <v>717</v>
      </c>
      <c r="AY720" s="4">
        <f t="shared" si="64"/>
        <v>43192</v>
      </c>
      <c r="AZ720" s="6" t="e">
        <f t="shared" si="65"/>
        <v>#DIV/0!</v>
      </c>
      <c r="BA720" s="4">
        <v>43192</v>
      </c>
      <c r="BB720" s="6">
        <v>-0.29700700000000002</v>
      </c>
      <c r="BC720" s="6">
        <v>0.118173</v>
      </c>
      <c r="BD720" s="6">
        <v>0.54725699999999999</v>
      </c>
      <c r="BE720" s="6"/>
      <c r="BF720" s="6"/>
      <c r="BG720" s="6"/>
      <c r="BH720" s="6"/>
      <c r="BI720" s="6"/>
      <c r="BJ720" s="6"/>
      <c r="BK720" s="6"/>
      <c r="BL720" s="6"/>
      <c r="BM720" s="6"/>
      <c r="BN720" s="6" t="e">
        <f t="shared" si="67"/>
        <v>#DIV/0!</v>
      </c>
    </row>
    <row r="721" spans="49:66" x14ac:dyDescent="0.3">
      <c r="AW721">
        <f t="shared" si="66"/>
        <v>0</v>
      </c>
      <c r="AX721">
        <v>718</v>
      </c>
      <c r="AY721" s="4">
        <f t="shared" si="64"/>
        <v>43193</v>
      </c>
      <c r="AZ721" s="6" t="e">
        <f t="shared" si="65"/>
        <v>#DIV/0!</v>
      </c>
      <c r="BA721" s="4">
        <v>43193</v>
      </c>
      <c r="BB721" s="6">
        <v>-0.62875800000000004</v>
      </c>
      <c r="BC721" s="6">
        <v>-1.0169170000000001</v>
      </c>
      <c r="BD721" s="6">
        <v>-0.97012600000000004</v>
      </c>
      <c r="BE721" s="6"/>
      <c r="BF721" s="6"/>
      <c r="BG721" s="6"/>
      <c r="BH721" s="6"/>
      <c r="BI721" s="6"/>
      <c r="BJ721" s="6"/>
      <c r="BK721" s="6"/>
      <c r="BL721" s="6"/>
      <c r="BM721" s="6"/>
      <c r="BN721" s="6" t="e">
        <f t="shared" si="67"/>
        <v>#DIV/0!</v>
      </c>
    </row>
    <row r="722" spans="49:66" x14ac:dyDescent="0.3">
      <c r="AW722">
        <f t="shared" si="66"/>
        <v>0</v>
      </c>
      <c r="AX722">
        <v>719</v>
      </c>
      <c r="AY722" s="4">
        <f t="shared" si="64"/>
        <v>43194</v>
      </c>
      <c r="AZ722" s="6" t="e">
        <f t="shared" si="65"/>
        <v>#DIV/0!</v>
      </c>
      <c r="BA722" s="4">
        <v>43194</v>
      </c>
      <c r="BB722" s="6">
        <v>-0.19720799999999999</v>
      </c>
      <c r="BC722" s="6">
        <v>-0.69347599999999998</v>
      </c>
      <c r="BD722" s="6">
        <v>-0.89571699999999999</v>
      </c>
      <c r="BE722" s="6"/>
      <c r="BF722" s="6"/>
      <c r="BG722" s="6"/>
      <c r="BH722" s="6"/>
      <c r="BI722" s="6"/>
      <c r="BJ722" s="6"/>
      <c r="BK722" s="6"/>
      <c r="BL722" s="6"/>
      <c r="BM722" s="6"/>
      <c r="BN722" s="6" t="e">
        <f t="shared" si="67"/>
        <v>#DIV/0!</v>
      </c>
    </row>
    <row r="723" spans="49:66" x14ac:dyDescent="0.3">
      <c r="AW723">
        <f t="shared" si="66"/>
        <v>0</v>
      </c>
      <c r="AX723">
        <v>720</v>
      </c>
      <c r="AY723" s="4">
        <f t="shared" si="64"/>
        <v>43199</v>
      </c>
      <c r="AZ723" s="6" t="e">
        <f t="shared" si="65"/>
        <v>#DIV/0!</v>
      </c>
      <c r="BA723" s="4">
        <v>43199</v>
      </c>
      <c r="BB723" s="6">
        <v>-5.0152000000000002E-2</v>
      </c>
      <c r="BC723" s="6">
        <v>0.132327</v>
      </c>
      <c r="BD723" s="6">
        <v>0.14499200000000001</v>
      </c>
      <c r="BE723" s="6"/>
      <c r="BF723" s="6"/>
      <c r="BG723" s="6"/>
      <c r="BH723" s="6"/>
      <c r="BI723" s="6"/>
      <c r="BJ723" s="6"/>
      <c r="BK723" s="6"/>
      <c r="BL723" s="6"/>
      <c r="BM723" s="6"/>
      <c r="BN723" s="6" t="e">
        <f t="shared" si="67"/>
        <v>#DIV/0!</v>
      </c>
    </row>
    <row r="724" spans="49:66" x14ac:dyDescent="0.3">
      <c r="AW724">
        <f t="shared" si="66"/>
        <v>0</v>
      </c>
      <c r="AX724">
        <v>721</v>
      </c>
      <c r="AY724" s="4">
        <f t="shared" si="64"/>
        <v>43200</v>
      </c>
      <c r="AZ724" s="6" t="e">
        <f t="shared" si="65"/>
        <v>#DIV/0!</v>
      </c>
      <c r="BA724" s="4">
        <v>43200</v>
      </c>
      <c r="BB724" s="6">
        <v>1.9269419999999999</v>
      </c>
      <c r="BC724" s="6">
        <v>0.63218099999999999</v>
      </c>
      <c r="BD724" s="6">
        <v>3.1619000000000001E-2</v>
      </c>
      <c r="BE724" s="6"/>
      <c r="BF724" s="6"/>
      <c r="BG724" s="6"/>
      <c r="BH724" s="6"/>
      <c r="BI724" s="6"/>
      <c r="BJ724" s="6"/>
      <c r="BK724" s="6"/>
      <c r="BL724" s="6"/>
      <c r="BM724" s="6"/>
      <c r="BN724" s="6" t="e">
        <f t="shared" si="67"/>
        <v>#DIV/0!</v>
      </c>
    </row>
    <row r="725" spans="49:66" x14ac:dyDescent="0.3">
      <c r="AW725">
        <f t="shared" si="66"/>
        <v>0</v>
      </c>
      <c r="AX725">
        <v>722</v>
      </c>
      <c r="AY725" s="4">
        <f t="shared" si="64"/>
        <v>43201</v>
      </c>
      <c r="AZ725" s="6" t="e">
        <f t="shared" si="65"/>
        <v>#DIV/0!</v>
      </c>
      <c r="BA725" s="4">
        <v>43201</v>
      </c>
      <c r="BB725" s="6">
        <v>0.284441</v>
      </c>
      <c r="BC725" s="6">
        <v>0.37716499999999997</v>
      </c>
      <c r="BD725" s="6">
        <v>0.58085699999999996</v>
      </c>
      <c r="BE725" s="6"/>
      <c r="BF725" s="6"/>
      <c r="BG725" s="6"/>
      <c r="BH725" s="6"/>
      <c r="BI725" s="6"/>
      <c r="BJ725" s="6"/>
      <c r="BK725" s="6"/>
      <c r="BL725" s="6"/>
      <c r="BM725" s="6"/>
      <c r="BN725" s="6" t="e">
        <f t="shared" si="67"/>
        <v>#DIV/0!</v>
      </c>
    </row>
    <row r="726" spans="49:66" x14ac:dyDescent="0.3">
      <c r="AW726">
        <f t="shared" si="66"/>
        <v>0</v>
      </c>
      <c r="AX726">
        <v>723</v>
      </c>
      <c r="AY726" s="4">
        <f t="shared" si="64"/>
        <v>43202</v>
      </c>
      <c r="AZ726" s="6" t="e">
        <f t="shared" si="65"/>
        <v>#DIV/0!</v>
      </c>
      <c r="BA726" s="4">
        <v>43202</v>
      </c>
      <c r="BB726" s="6">
        <v>-1.0082409999999999</v>
      </c>
      <c r="BC726" s="6">
        <v>-0.5796</v>
      </c>
      <c r="BD726" s="6">
        <v>-0.475858</v>
      </c>
      <c r="BE726" s="6"/>
      <c r="BF726" s="6"/>
      <c r="BG726" s="6"/>
      <c r="BH726" s="6"/>
      <c r="BI726" s="6"/>
      <c r="BJ726" s="6"/>
      <c r="BK726" s="6"/>
      <c r="BL726" s="6"/>
      <c r="BM726" s="6"/>
      <c r="BN726" s="6" t="e">
        <f t="shared" si="67"/>
        <v>#DIV/0!</v>
      </c>
    </row>
    <row r="727" spans="49:66" x14ac:dyDescent="0.3">
      <c r="AW727">
        <f t="shared" si="66"/>
        <v>0</v>
      </c>
      <c r="AX727">
        <v>724</v>
      </c>
      <c r="AY727" s="4">
        <f t="shared" si="64"/>
        <v>43203</v>
      </c>
      <c r="AZ727" s="6" t="e">
        <f t="shared" si="65"/>
        <v>#DIV/0!</v>
      </c>
      <c r="BA727" s="4">
        <v>43203</v>
      </c>
      <c r="BB727" s="6">
        <v>-0.70514699999999997</v>
      </c>
      <c r="BC727" s="6">
        <v>-0.39905099999999999</v>
      </c>
      <c r="BD727" s="6">
        <v>-8.8914000000000007E-2</v>
      </c>
      <c r="BE727" s="6"/>
      <c r="BF727" s="6"/>
      <c r="BG727" s="6"/>
      <c r="BH727" s="6"/>
      <c r="BI727" s="6"/>
      <c r="BJ727" s="6"/>
      <c r="BK727" s="6"/>
      <c r="BL727" s="6"/>
      <c r="BM727" s="6"/>
      <c r="BN727" s="6" t="e">
        <f t="shared" si="67"/>
        <v>#DIV/0!</v>
      </c>
    </row>
    <row r="728" spans="49:66" x14ac:dyDescent="0.3">
      <c r="AW728">
        <f t="shared" si="66"/>
        <v>0</v>
      </c>
      <c r="AX728">
        <v>725</v>
      </c>
      <c r="AY728" s="4">
        <f t="shared" si="64"/>
        <v>43206</v>
      </c>
      <c r="AZ728" s="6" t="e">
        <f t="shared" si="65"/>
        <v>#DIV/0!</v>
      </c>
      <c r="BA728" s="4">
        <v>43206</v>
      </c>
      <c r="BB728" s="6">
        <v>-1.60886</v>
      </c>
      <c r="BC728" s="6">
        <v>-0.24524499999999999</v>
      </c>
      <c r="BD728" s="6">
        <v>-5.5518999999999999E-2</v>
      </c>
      <c r="BE728" s="6"/>
      <c r="BF728" s="6"/>
      <c r="BG728" s="6"/>
      <c r="BH728" s="6"/>
      <c r="BI728" s="6"/>
      <c r="BJ728" s="6"/>
      <c r="BK728" s="6"/>
      <c r="BL728" s="6"/>
      <c r="BM728" s="6"/>
      <c r="BN728" s="6" t="e">
        <f t="shared" si="67"/>
        <v>#DIV/0!</v>
      </c>
    </row>
    <row r="729" spans="49:66" x14ac:dyDescent="0.3">
      <c r="AW729">
        <f t="shared" si="66"/>
        <v>0</v>
      </c>
      <c r="AX729">
        <v>726</v>
      </c>
      <c r="AY729" s="4">
        <f t="shared" si="64"/>
        <v>43207</v>
      </c>
      <c r="AZ729" s="6" t="e">
        <f t="shared" si="65"/>
        <v>#DIV/0!</v>
      </c>
      <c r="BA729" s="4">
        <v>43207</v>
      </c>
      <c r="BB729" s="6">
        <v>-1.581097</v>
      </c>
      <c r="BC729" s="6">
        <v>-2.0216240000000001</v>
      </c>
      <c r="BD729" s="6">
        <v>-2.2810480000000002</v>
      </c>
      <c r="BE729" s="6"/>
      <c r="BF729" s="6"/>
      <c r="BG729" s="6"/>
      <c r="BH729" s="6"/>
      <c r="BI729" s="6"/>
      <c r="BJ729" s="6"/>
      <c r="BK729" s="6"/>
      <c r="BL729" s="6"/>
      <c r="BM729" s="6"/>
      <c r="BN729" s="6" t="e">
        <f t="shared" si="67"/>
        <v>#DIV/0!</v>
      </c>
    </row>
    <row r="730" spans="49:66" x14ac:dyDescent="0.3">
      <c r="AW730">
        <f t="shared" si="66"/>
        <v>0</v>
      </c>
      <c r="AX730">
        <v>727</v>
      </c>
      <c r="AY730" s="4">
        <f t="shared" si="64"/>
        <v>43208</v>
      </c>
      <c r="AZ730" s="6" t="e">
        <f t="shared" si="65"/>
        <v>#DIV/0!</v>
      </c>
      <c r="BA730" s="4">
        <v>43208</v>
      </c>
      <c r="BB730" s="6">
        <v>0.47059200000000001</v>
      </c>
      <c r="BC730" s="6">
        <v>1.354652</v>
      </c>
      <c r="BD730" s="6">
        <v>1.4714989999999999</v>
      </c>
      <c r="BE730" s="6"/>
      <c r="BF730" s="6"/>
      <c r="BG730" s="6"/>
      <c r="BH730" s="6"/>
      <c r="BI730" s="6"/>
      <c r="BJ730" s="6"/>
      <c r="BK730" s="6"/>
      <c r="BL730" s="6"/>
      <c r="BM730" s="6"/>
      <c r="BN730" s="6" t="e">
        <f t="shared" si="67"/>
        <v>#DIV/0!</v>
      </c>
    </row>
    <row r="731" spans="49:66" x14ac:dyDescent="0.3">
      <c r="AW731">
        <f t="shared" si="66"/>
        <v>0</v>
      </c>
      <c r="AX731">
        <v>728</v>
      </c>
      <c r="AY731" s="4">
        <f t="shared" si="64"/>
        <v>43209</v>
      </c>
      <c r="AZ731" s="6" t="e">
        <f t="shared" si="65"/>
        <v>#DIV/0!</v>
      </c>
      <c r="BA731" s="4">
        <v>43209</v>
      </c>
      <c r="BB731" s="6">
        <v>1.209708</v>
      </c>
      <c r="BC731" s="6">
        <v>0.57071899999999998</v>
      </c>
      <c r="BD731" s="6">
        <v>0.23717199999999999</v>
      </c>
      <c r="BE731" s="6"/>
      <c r="BF731" s="6"/>
      <c r="BG731" s="6"/>
      <c r="BH731" s="6"/>
      <c r="BI731" s="6"/>
      <c r="BJ731" s="6"/>
      <c r="BK731" s="6"/>
      <c r="BL731" s="6"/>
      <c r="BM731" s="6"/>
      <c r="BN731" s="6" t="e">
        <f t="shared" si="67"/>
        <v>#DIV/0!</v>
      </c>
    </row>
    <row r="732" spans="49:66" x14ac:dyDescent="0.3">
      <c r="AW732">
        <f t="shared" si="66"/>
        <v>0</v>
      </c>
      <c r="AX732">
        <v>729</v>
      </c>
      <c r="AY732" s="4">
        <f t="shared" si="64"/>
        <v>43210</v>
      </c>
      <c r="AZ732" s="6" t="e">
        <f t="shared" si="65"/>
        <v>#DIV/0!</v>
      </c>
      <c r="BA732" s="4">
        <v>43210</v>
      </c>
      <c r="BB732" s="6">
        <v>-1.337639</v>
      </c>
      <c r="BC732" s="6">
        <v>-2.0633309999999998</v>
      </c>
      <c r="BD732" s="6">
        <v>-2.1135959999999998</v>
      </c>
      <c r="BE732" s="6"/>
      <c r="BF732" s="6"/>
      <c r="BG732" s="6"/>
      <c r="BH732" s="6"/>
      <c r="BI732" s="6"/>
      <c r="BJ732" s="6"/>
      <c r="BK732" s="6"/>
      <c r="BL732" s="6"/>
      <c r="BM732" s="6"/>
      <c r="BN732" s="6" t="e">
        <f t="shared" si="67"/>
        <v>#DIV/0!</v>
      </c>
    </row>
    <row r="733" spans="49:66" x14ac:dyDescent="0.3">
      <c r="AW733">
        <f t="shared" si="66"/>
        <v>0</v>
      </c>
      <c r="AX733">
        <v>730</v>
      </c>
      <c r="AY733" s="4">
        <f t="shared" si="64"/>
        <v>43213</v>
      </c>
      <c r="AZ733" s="6" t="e">
        <f t="shared" si="65"/>
        <v>#DIV/0!</v>
      </c>
      <c r="BA733" s="4">
        <v>43213</v>
      </c>
      <c r="BB733" s="6">
        <v>0.145483</v>
      </c>
      <c r="BC733" s="6">
        <v>-0.96781099999999998</v>
      </c>
      <c r="BD733" s="6">
        <v>-1.0625009999999999</v>
      </c>
      <c r="BE733" s="6"/>
      <c r="BF733" s="6"/>
      <c r="BG733" s="6"/>
      <c r="BH733" s="6"/>
      <c r="BI733" s="6"/>
      <c r="BJ733" s="6"/>
      <c r="BK733" s="6"/>
      <c r="BL733" s="6"/>
      <c r="BM733" s="6"/>
      <c r="BN733" s="6" t="e">
        <f t="shared" si="67"/>
        <v>#DIV/0!</v>
      </c>
    </row>
    <row r="734" spans="49:66" x14ac:dyDescent="0.3">
      <c r="AW734">
        <f t="shared" si="66"/>
        <v>0</v>
      </c>
      <c r="AX734">
        <v>731</v>
      </c>
      <c r="AY734" s="4">
        <f t="shared" si="64"/>
        <v>43214</v>
      </c>
      <c r="AZ734" s="6" t="e">
        <f t="shared" si="65"/>
        <v>#DIV/0!</v>
      </c>
      <c r="BA734" s="4">
        <v>43214</v>
      </c>
      <c r="BB734" s="6">
        <v>2.0487579999999999</v>
      </c>
      <c r="BC734" s="6">
        <v>2.2883589999999998</v>
      </c>
      <c r="BD734" s="6">
        <v>2.1660080000000002</v>
      </c>
      <c r="BE734" s="6"/>
      <c r="BF734" s="6"/>
      <c r="BG734" s="6"/>
      <c r="BH734" s="6"/>
      <c r="BI734" s="6"/>
      <c r="BJ734" s="6"/>
      <c r="BK734" s="6"/>
      <c r="BL734" s="6"/>
      <c r="BM734" s="6"/>
      <c r="BN734" s="6" t="e">
        <f t="shared" si="67"/>
        <v>#DIV/0!</v>
      </c>
    </row>
    <row r="735" spans="49:66" x14ac:dyDescent="0.3">
      <c r="AW735">
        <f t="shared" si="66"/>
        <v>0</v>
      </c>
      <c r="AX735">
        <v>732</v>
      </c>
      <c r="AY735" s="4">
        <f t="shared" si="64"/>
        <v>43215</v>
      </c>
      <c r="AZ735" s="6" t="e">
        <f t="shared" si="65"/>
        <v>#DIV/0!</v>
      </c>
      <c r="BA735" s="4">
        <v>43215</v>
      </c>
      <c r="BB735" s="6">
        <v>-0.38473099999999999</v>
      </c>
      <c r="BC735" s="6">
        <v>3.7421999999999997E-2</v>
      </c>
      <c r="BD735" s="6">
        <v>0.38499</v>
      </c>
      <c r="BE735" s="6"/>
      <c r="BF735" s="6"/>
      <c r="BG735" s="6"/>
      <c r="BH735" s="6"/>
      <c r="BI735" s="6"/>
      <c r="BJ735" s="6"/>
      <c r="BK735" s="6"/>
      <c r="BL735" s="6"/>
      <c r="BM735" s="6"/>
      <c r="BN735" s="6" t="e">
        <f t="shared" si="67"/>
        <v>#DIV/0!</v>
      </c>
    </row>
    <row r="736" spans="49:66" x14ac:dyDescent="0.3">
      <c r="AW736">
        <f t="shared" si="66"/>
        <v>0</v>
      </c>
      <c r="AX736">
        <v>733</v>
      </c>
      <c r="AY736" s="4">
        <f t="shared" si="64"/>
        <v>43216</v>
      </c>
      <c r="AZ736" s="6" t="e">
        <f t="shared" si="65"/>
        <v>#DIV/0!</v>
      </c>
      <c r="BA736" s="4">
        <v>43216</v>
      </c>
      <c r="BB736" s="6">
        <v>-1.912069</v>
      </c>
      <c r="BC736" s="6">
        <v>-1.870071</v>
      </c>
      <c r="BD736" s="6">
        <v>-1.831785</v>
      </c>
      <c r="BE736" s="6"/>
      <c r="BF736" s="6"/>
      <c r="BG736" s="6"/>
      <c r="BH736" s="6"/>
      <c r="BI736" s="6"/>
      <c r="BJ736" s="6"/>
      <c r="BK736" s="6"/>
      <c r="BL736" s="6"/>
      <c r="BM736" s="6"/>
      <c r="BN736" s="6" t="e">
        <f t="shared" si="67"/>
        <v>#DIV/0!</v>
      </c>
    </row>
    <row r="737" spans="49:66" x14ac:dyDescent="0.3">
      <c r="AW737">
        <f t="shared" si="66"/>
        <v>0</v>
      </c>
      <c r="AX737">
        <v>734</v>
      </c>
      <c r="AY737" s="4">
        <f t="shared" si="64"/>
        <v>43217</v>
      </c>
      <c r="AZ737" s="6" t="e">
        <f t="shared" si="65"/>
        <v>#DIV/0!</v>
      </c>
      <c r="BA737" s="4">
        <v>43217</v>
      </c>
      <c r="BB737" s="6">
        <v>3.6810000000000002E-2</v>
      </c>
      <c r="BC737" s="6">
        <v>0.22241900000000001</v>
      </c>
      <c r="BD737" s="6">
        <v>0.10014199999999999</v>
      </c>
      <c r="BE737" s="6"/>
      <c r="BF737" s="6"/>
      <c r="BG737" s="6"/>
      <c r="BH737" s="6"/>
      <c r="BI737" s="6"/>
      <c r="BJ737" s="6"/>
      <c r="BK737" s="6"/>
      <c r="BL737" s="6"/>
      <c r="BM737" s="6"/>
      <c r="BN737" s="6" t="e">
        <f t="shared" si="67"/>
        <v>#DIV/0!</v>
      </c>
    </row>
    <row r="738" spans="49:66" x14ac:dyDescent="0.3">
      <c r="AW738">
        <f t="shared" si="66"/>
        <v>0</v>
      </c>
      <c r="AX738">
        <v>735</v>
      </c>
      <c r="AY738" s="4">
        <f t="shared" si="64"/>
        <v>43222</v>
      </c>
      <c r="AZ738" s="6" t="e">
        <f t="shared" si="65"/>
        <v>#DIV/0!</v>
      </c>
      <c r="BA738" s="4">
        <v>43222</v>
      </c>
      <c r="BB738" s="6">
        <v>0.18019199999999999</v>
      </c>
      <c r="BC738" s="6">
        <v>-9.6575999999999995E-2</v>
      </c>
      <c r="BD738" s="6">
        <v>-0.46400999999999998</v>
      </c>
      <c r="BE738" s="6"/>
      <c r="BF738" s="6"/>
      <c r="BG738" s="6"/>
      <c r="BH738" s="6"/>
      <c r="BI738" s="6"/>
      <c r="BJ738" s="6"/>
      <c r="BK738" s="6"/>
      <c r="BL738" s="6"/>
      <c r="BM738" s="6"/>
      <c r="BN738" s="6" t="e">
        <f t="shared" si="67"/>
        <v>#DIV/0!</v>
      </c>
    </row>
    <row r="739" spans="49:66" x14ac:dyDescent="0.3">
      <c r="AW739">
        <f t="shared" si="66"/>
        <v>0</v>
      </c>
      <c r="AX739">
        <v>736</v>
      </c>
      <c r="AY739" s="4">
        <f t="shared" si="64"/>
        <v>43223</v>
      </c>
      <c r="AZ739" s="6" t="e">
        <f t="shared" si="65"/>
        <v>#DIV/0!</v>
      </c>
      <c r="BA739" s="4">
        <v>43223</v>
      </c>
      <c r="BB739" s="6">
        <v>0.77993500000000004</v>
      </c>
      <c r="BC739" s="6">
        <v>0.94414100000000001</v>
      </c>
      <c r="BD739" s="6">
        <v>0.90120999999999996</v>
      </c>
      <c r="BE739" s="6"/>
      <c r="BF739" s="6"/>
      <c r="BG739" s="6"/>
      <c r="BH739" s="6"/>
      <c r="BI739" s="6"/>
      <c r="BJ739" s="6"/>
      <c r="BK739" s="6"/>
      <c r="BL739" s="6"/>
      <c r="BM739" s="6"/>
      <c r="BN739" s="6" t="e">
        <f t="shared" si="67"/>
        <v>#DIV/0!</v>
      </c>
    </row>
    <row r="740" spans="49:66" x14ac:dyDescent="0.3">
      <c r="AW740">
        <f t="shared" si="66"/>
        <v>0</v>
      </c>
      <c r="AX740">
        <v>737</v>
      </c>
      <c r="AY740" s="4">
        <f t="shared" si="64"/>
        <v>43224</v>
      </c>
      <c r="AZ740" s="6" t="e">
        <f t="shared" si="65"/>
        <v>#DIV/0!</v>
      </c>
      <c r="BA740" s="4">
        <v>43224</v>
      </c>
      <c r="BB740" s="6">
        <v>-0.485157</v>
      </c>
      <c r="BC740" s="6">
        <v>-2.2186999999999998E-2</v>
      </c>
      <c r="BD740" s="6">
        <v>-0.21360899999999999</v>
      </c>
      <c r="BE740" s="6"/>
      <c r="BF740" s="6"/>
      <c r="BG740" s="6"/>
      <c r="BH740" s="6"/>
      <c r="BI740" s="6"/>
      <c r="BJ740" s="6"/>
      <c r="BK740" s="6"/>
      <c r="BL740" s="6"/>
      <c r="BM740" s="6"/>
      <c r="BN740" s="6" t="e">
        <f t="shared" si="67"/>
        <v>#DIV/0!</v>
      </c>
    </row>
    <row r="741" spans="49:66" x14ac:dyDescent="0.3">
      <c r="AW741">
        <f t="shared" si="66"/>
        <v>0</v>
      </c>
      <c r="AX741">
        <v>738</v>
      </c>
      <c r="AY741" s="4">
        <f t="shared" si="64"/>
        <v>43227</v>
      </c>
      <c r="AZ741" s="6" t="e">
        <f t="shared" si="65"/>
        <v>#DIV/0!</v>
      </c>
      <c r="BA741" s="4">
        <v>43227</v>
      </c>
      <c r="BB741" s="6">
        <v>1.5787009999999999</v>
      </c>
      <c r="BC741" s="6">
        <v>1.8588769999999999</v>
      </c>
      <c r="BD741" s="6">
        <v>1.765209</v>
      </c>
      <c r="BE741" s="6"/>
      <c r="BF741" s="6"/>
      <c r="BG741" s="6"/>
      <c r="BH741" s="6"/>
      <c r="BI741" s="6"/>
      <c r="BJ741" s="6"/>
      <c r="BK741" s="6"/>
      <c r="BL741" s="6"/>
      <c r="BM741" s="6"/>
      <c r="BN741" s="6" t="e">
        <f t="shared" si="67"/>
        <v>#DIV/0!</v>
      </c>
    </row>
    <row r="742" spans="49:66" x14ac:dyDescent="0.3">
      <c r="AW742">
        <f t="shared" si="66"/>
        <v>0</v>
      </c>
      <c r="AX742">
        <v>739</v>
      </c>
      <c r="AY742" s="4">
        <f t="shared" si="64"/>
        <v>43228</v>
      </c>
      <c r="AZ742" s="6" t="e">
        <f t="shared" si="65"/>
        <v>#DIV/0!</v>
      </c>
      <c r="BA742" s="4">
        <v>43228</v>
      </c>
      <c r="BB742" s="6">
        <v>1.1603239999999999</v>
      </c>
      <c r="BC742" s="6">
        <v>0.37668800000000002</v>
      </c>
      <c r="BD742" s="6">
        <v>0.47484399999999999</v>
      </c>
      <c r="BE742" s="6"/>
      <c r="BF742" s="6"/>
      <c r="BG742" s="6"/>
      <c r="BH742" s="6"/>
      <c r="BI742" s="6"/>
      <c r="BJ742" s="6"/>
      <c r="BK742" s="6"/>
      <c r="BL742" s="6"/>
      <c r="BM742" s="6"/>
      <c r="BN742" s="6" t="e">
        <f t="shared" si="67"/>
        <v>#DIV/0!</v>
      </c>
    </row>
    <row r="743" spans="49:66" x14ac:dyDescent="0.3">
      <c r="AW743">
        <f t="shared" si="66"/>
        <v>0</v>
      </c>
      <c r="AX743">
        <v>740</v>
      </c>
      <c r="AY743" s="4">
        <f t="shared" si="64"/>
        <v>43229</v>
      </c>
      <c r="AZ743" s="6" t="e">
        <f t="shared" si="65"/>
        <v>#DIV/0!</v>
      </c>
      <c r="BA743" s="4">
        <v>43229</v>
      </c>
      <c r="BB743" s="6">
        <v>-0.18206</v>
      </c>
      <c r="BC743" s="6">
        <v>-0.20823900000000001</v>
      </c>
      <c r="BD743" s="6">
        <v>-4.8446000000000003E-2</v>
      </c>
      <c r="BE743" s="6"/>
      <c r="BF743" s="6"/>
      <c r="BG743" s="6"/>
      <c r="BH743" s="6"/>
      <c r="BI743" s="6"/>
      <c r="BJ743" s="6"/>
      <c r="BK743" s="6"/>
      <c r="BL743" s="6"/>
      <c r="BM743" s="6"/>
      <c r="BN743" s="6" t="e">
        <f t="shared" si="67"/>
        <v>#DIV/0!</v>
      </c>
    </row>
    <row r="744" spans="49:66" x14ac:dyDescent="0.3">
      <c r="AW744">
        <f t="shared" si="66"/>
        <v>0</v>
      </c>
      <c r="AX744">
        <v>741</v>
      </c>
      <c r="AY744" s="4">
        <f t="shared" si="64"/>
        <v>43230</v>
      </c>
      <c r="AZ744" s="6" t="e">
        <f t="shared" si="65"/>
        <v>#DIV/0!</v>
      </c>
      <c r="BA744" s="4">
        <v>43230</v>
      </c>
      <c r="BB744" s="6">
        <v>0.55380799999999997</v>
      </c>
      <c r="BC744" s="6">
        <v>0.18806200000000001</v>
      </c>
      <c r="BD744" s="6">
        <v>0.42399999999999999</v>
      </c>
      <c r="BE744" s="6"/>
      <c r="BF744" s="6"/>
      <c r="BG744" s="6"/>
      <c r="BH744" s="6"/>
      <c r="BI744" s="6"/>
      <c r="BJ744" s="6"/>
      <c r="BK744" s="6"/>
      <c r="BL744" s="6"/>
      <c r="BM744" s="6"/>
      <c r="BN744" s="6" t="e">
        <f t="shared" si="67"/>
        <v>#DIV/0!</v>
      </c>
    </row>
    <row r="745" spans="49:66" x14ac:dyDescent="0.3">
      <c r="AW745">
        <f t="shared" si="66"/>
        <v>0</v>
      </c>
      <c r="AX745">
        <v>742</v>
      </c>
      <c r="AY745" s="4">
        <f t="shared" si="64"/>
        <v>43231</v>
      </c>
      <c r="AZ745" s="6" t="e">
        <f t="shared" si="65"/>
        <v>#DIV/0!</v>
      </c>
      <c r="BA745" s="4">
        <v>43231</v>
      </c>
      <c r="BB745" s="6">
        <v>-0.51934000000000002</v>
      </c>
      <c r="BC745" s="6">
        <v>-0.81497600000000003</v>
      </c>
      <c r="BD745" s="6">
        <v>-0.991232</v>
      </c>
      <c r="BE745" s="6"/>
      <c r="BF745" s="6"/>
      <c r="BG745" s="6"/>
      <c r="BH745" s="6"/>
      <c r="BI745" s="6"/>
      <c r="BJ745" s="6"/>
      <c r="BK745" s="6"/>
      <c r="BL745" s="6"/>
      <c r="BM745" s="6"/>
      <c r="BN745" s="6" t="e">
        <f t="shared" si="67"/>
        <v>#DIV/0!</v>
      </c>
    </row>
    <row r="746" spans="49:66" x14ac:dyDescent="0.3">
      <c r="AW746">
        <f t="shared" si="66"/>
        <v>0</v>
      </c>
      <c r="AX746">
        <v>743</v>
      </c>
      <c r="AY746" s="4">
        <f t="shared" si="64"/>
        <v>43234</v>
      </c>
      <c r="AZ746" s="6" t="e">
        <f t="shared" si="65"/>
        <v>#DIV/0!</v>
      </c>
      <c r="BA746" s="4">
        <v>43234</v>
      </c>
      <c r="BB746" s="6">
        <v>0.941299</v>
      </c>
      <c r="BC746" s="6">
        <v>-0.39704499999999998</v>
      </c>
      <c r="BD746" s="6">
        <v>-0.67858799999999997</v>
      </c>
      <c r="BE746" s="6"/>
      <c r="BF746" s="6"/>
      <c r="BG746" s="6"/>
      <c r="BH746" s="6"/>
      <c r="BI746" s="6"/>
      <c r="BJ746" s="6"/>
      <c r="BK746" s="6"/>
      <c r="BL746" s="6"/>
      <c r="BM746" s="6"/>
      <c r="BN746" s="6" t="e">
        <f t="shared" si="67"/>
        <v>#DIV/0!</v>
      </c>
    </row>
    <row r="747" spans="49:66" x14ac:dyDescent="0.3">
      <c r="AW747">
        <f t="shared" si="66"/>
        <v>0</v>
      </c>
      <c r="AX747">
        <v>744</v>
      </c>
      <c r="AY747" s="4">
        <f t="shared" si="64"/>
        <v>43235</v>
      </c>
      <c r="AZ747" s="6" t="e">
        <f t="shared" si="65"/>
        <v>#DIV/0!</v>
      </c>
      <c r="BA747" s="4">
        <v>43235</v>
      </c>
      <c r="BB747" s="6">
        <v>0.37869199999999997</v>
      </c>
      <c r="BC747" s="6">
        <v>0.88839699999999999</v>
      </c>
      <c r="BD747" s="6">
        <v>1.0528120000000001</v>
      </c>
      <c r="BE747" s="6"/>
      <c r="BF747" s="6"/>
      <c r="BG747" s="6"/>
      <c r="BH747" s="6"/>
      <c r="BI747" s="6"/>
      <c r="BJ747" s="6"/>
      <c r="BK747" s="6"/>
      <c r="BL747" s="6"/>
      <c r="BM747" s="6"/>
      <c r="BN747" s="6" t="e">
        <f t="shared" si="67"/>
        <v>#DIV/0!</v>
      </c>
    </row>
    <row r="748" spans="49:66" x14ac:dyDescent="0.3">
      <c r="AW748">
        <f t="shared" si="66"/>
        <v>0</v>
      </c>
      <c r="AX748">
        <v>745</v>
      </c>
      <c r="AY748" s="4">
        <f t="shared" si="64"/>
        <v>43236</v>
      </c>
      <c r="AZ748" s="6" t="e">
        <f t="shared" si="65"/>
        <v>#DIV/0!</v>
      </c>
      <c r="BA748" s="4">
        <v>43236</v>
      </c>
      <c r="BB748" s="6">
        <v>-0.79644599999999999</v>
      </c>
      <c r="BC748" s="6">
        <v>-0.27406199999999997</v>
      </c>
      <c r="BD748" s="6">
        <v>-0.57779100000000005</v>
      </c>
      <c r="BE748" s="6"/>
      <c r="BF748" s="6"/>
      <c r="BG748" s="6"/>
      <c r="BH748" s="6"/>
      <c r="BI748" s="6"/>
      <c r="BJ748" s="6"/>
      <c r="BK748" s="6"/>
      <c r="BL748" s="6"/>
      <c r="BM748" s="6"/>
      <c r="BN748" s="6" t="e">
        <f t="shared" si="67"/>
        <v>#DIV/0!</v>
      </c>
    </row>
    <row r="749" spans="49:66" x14ac:dyDescent="0.3">
      <c r="AW749">
        <f t="shared" si="66"/>
        <v>0</v>
      </c>
      <c r="AX749">
        <v>746</v>
      </c>
      <c r="AY749" s="4">
        <f t="shared" si="64"/>
        <v>43237</v>
      </c>
      <c r="AZ749" s="6" t="e">
        <f t="shared" si="65"/>
        <v>#DIV/0!</v>
      </c>
      <c r="BA749" s="4">
        <v>43237</v>
      </c>
      <c r="BB749" s="6">
        <v>-0.73965199999999998</v>
      </c>
      <c r="BC749" s="6">
        <v>-0.50450899999999999</v>
      </c>
      <c r="BD749" s="6">
        <v>-0.47392600000000001</v>
      </c>
      <c r="BE749" s="6"/>
      <c r="BF749" s="6"/>
      <c r="BG749" s="6"/>
      <c r="BH749" s="6"/>
      <c r="BI749" s="6"/>
      <c r="BJ749" s="6"/>
      <c r="BK749" s="6"/>
      <c r="BL749" s="6"/>
      <c r="BM749" s="6"/>
      <c r="BN749" s="6" t="e">
        <f t="shared" si="67"/>
        <v>#DIV/0!</v>
      </c>
    </row>
    <row r="750" spans="49:66" x14ac:dyDescent="0.3">
      <c r="AW750">
        <f t="shared" si="66"/>
        <v>0</v>
      </c>
      <c r="AX750">
        <v>747</v>
      </c>
      <c r="AY750" s="4">
        <f t="shared" si="64"/>
        <v>43238</v>
      </c>
      <c r="AZ750" s="6" t="e">
        <f t="shared" si="65"/>
        <v>#DIV/0!</v>
      </c>
      <c r="BA750" s="4">
        <v>43238</v>
      </c>
      <c r="BB750" s="6">
        <v>1.0096400000000001</v>
      </c>
      <c r="BC750" s="6">
        <v>0.35775000000000001</v>
      </c>
      <c r="BD750" s="6">
        <v>0.44786199999999998</v>
      </c>
      <c r="BE750" s="6"/>
      <c r="BF750" s="6"/>
      <c r="BG750" s="6"/>
      <c r="BH750" s="6"/>
      <c r="BI750" s="6"/>
      <c r="BJ750" s="6"/>
      <c r="BK750" s="6"/>
      <c r="BL750" s="6"/>
      <c r="BM750" s="6"/>
      <c r="BN750" s="6" t="e">
        <f t="shared" si="67"/>
        <v>#DIV/0!</v>
      </c>
    </row>
    <row r="751" spans="49:66" x14ac:dyDescent="0.3">
      <c r="AW751">
        <f t="shared" si="66"/>
        <v>0</v>
      </c>
      <c r="AX751">
        <v>748</v>
      </c>
      <c r="AY751" s="4">
        <f t="shared" si="64"/>
        <v>43241</v>
      </c>
      <c r="AZ751" s="6" t="e">
        <f t="shared" si="65"/>
        <v>#DIV/0!</v>
      </c>
      <c r="BA751" s="4">
        <v>43241</v>
      </c>
      <c r="BB751" s="6">
        <v>0.46574700000000002</v>
      </c>
      <c r="BC751" s="6">
        <v>1.285196</v>
      </c>
      <c r="BD751" s="6">
        <v>1.153483</v>
      </c>
      <c r="BE751" s="6"/>
      <c r="BF751" s="6"/>
      <c r="BG751" s="6"/>
      <c r="BH751" s="6"/>
      <c r="BI751" s="6"/>
      <c r="BJ751" s="6"/>
      <c r="BK751" s="6"/>
      <c r="BL751" s="6"/>
      <c r="BM751" s="6"/>
      <c r="BN751" s="6" t="e">
        <f t="shared" si="67"/>
        <v>#DIV/0!</v>
      </c>
    </row>
    <row r="752" spans="49:66" x14ac:dyDescent="0.3">
      <c r="AW752">
        <f t="shared" si="66"/>
        <v>0</v>
      </c>
      <c r="AX752">
        <v>749</v>
      </c>
      <c r="AY752" s="4">
        <f t="shared" si="64"/>
        <v>43242</v>
      </c>
      <c r="AZ752" s="6" t="e">
        <f t="shared" si="65"/>
        <v>#DIV/0!</v>
      </c>
      <c r="BA752" s="4">
        <v>43242</v>
      </c>
      <c r="BB752" s="6">
        <v>-0.38339899999999999</v>
      </c>
      <c r="BC752" s="6">
        <v>0.341026</v>
      </c>
      <c r="BD752" s="6">
        <v>0.40695300000000001</v>
      </c>
      <c r="BE752" s="6"/>
      <c r="BF752" s="6"/>
      <c r="BG752" s="6"/>
      <c r="BH752" s="6"/>
      <c r="BI752" s="6"/>
      <c r="BJ752" s="6"/>
      <c r="BK752" s="6"/>
      <c r="BL752" s="6"/>
      <c r="BM752" s="6"/>
      <c r="BN752" s="6" t="e">
        <f t="shared" si="67"/>
        <v>#DIV/0!</v>
      </c>
    </row>
    <row r="753" spans="49:66" x14ac:dyDescent="0.3">
      <c r="AW753">
        <f t="shared" si="66"/>
        <v>0</v>
      </c>
      <c r="AX753">
        <v>750</v>
      </c>
      <c r="AY753" s="4">
        <f t="shared" si="64"/>
        <v>43243</v>
      </c>
      <c r="AZ753" s="6" t="e">
        <f t="shared" si="65"/>
        <v>#DIV/0!</v>
      </c>
      <c r="BA753" s="4">
        <v>43243</v>
      </c>
      <c r="BB753" s="6">
        <v>-1.3216300000000001</v>
      </c>
      <c r="BC753" s="6">
        <v>-1.297569</v>
      </c>
      <c r="BD753" s="6">
        <v>-1.0723039999999999</v>
      </c>
      <c r="BE753" s="6"/>
      <c r="BF753" s="6"/>
      <c r="BG753" s="6"/>
      <c r="BH753" s="6"/>
      <c r="BI753" s="6"/>
      <c r="BJ753" s="6"/>
      <c r="BK753" s="6"/>
      <c r="BL753" s="6"/>
      <c r="BM753" s="6"/>
      <c r="BN753" s="6" t="e">
        <f t="shared" si="67"/>
        <v>#DIV/0!</v>
      </c>
    </row>
    <row r="754" spans="49:66" x14ac:dyDescent="0.3">
      <c r="AW754">
        <f t="shared" si="66"/>
        <v>0</v>
      </c>
      <c r="AX754">
        <v>751</v>
      </c>
      <c r="AY754" s="4">
        <f t="shared" si="64"/>
        <v>43244</v>
      </c>
      <c r="AZ754" s="6" t="e">
        <f t="shared" si="65"/>
        <v>#DIV/0!</v>
      </c>
      <c r="BA754" s="4">
        <v>43244</v>
      </c>
      <c r="BB754" s="6">
        <v>-0.70994699999999999</v>
      </c>
      <c r="BC754" s="6">
        <v>-0.35295700000000002</v>
      </c>
      <c r="BD754" s="6">
        <v>-0.35762100000000002</v>
      </c>
      <c r="BE754" s="6"/>
      <c r="BF754" s="6"/>
      <c r="BG754" s="6"/>
      <c r="BH754" s="6"/>
      <c r="BI754" s="6"/>
      <c r="BJ754" s="6"/>
      <c r="BK754" s="6"/>
      <c r="BL754" s="6"/>
      <c r="BM754" s="6"/>
      <c r="BN754" s="6" t="e">
        <f t="shared" si="67"/>
        <v>#DIV/0!</v>
      </c>
    </row>
    <row r="755" spans="49:66" x14ac:dyDescent="0.3">
      <c r="AW755">
        <f t="shared" si="66"/>
        <v>0</v>
      </c>
      <c r="AX755">
        <v>752</v>
      </c>
      <c r="AY755" s="4">
        <f t="shared" si="64"/>
        <v>43245</v>
      </c>
      <c r="AZ755" s="6" t="e">
        <f t="shared" si="65"/>
        <v>#DIV/0!</v>
      </c>
      <c r="BA755" s="4">
        <v>43245</v>
      </c>
      <c r="BB755" s="6">
        <v>-0.28007300000000002</v>
      </c>
      <c r="BC755" s="6">
        <v>-1.2485869999999999</v>
      </c>
      <c r="BD755" s="6">
        <v>-1.3133090000000001</v>
      </c>
      <c r="BE755" s="6"/>
      <c r="BF755" s="6"/>
      <c r="BG755" s="6"/>
      <c r="BH755" s="6"/>
      <c r="BI755" s="6"/>
      <c r="BJ755" s="6"/>
      <c r="BK755" s="6"/>
      <c r="BL755" s="6"/>
      <c r="BM755" s="6"/>
      <c r="BN755" s="6" t="e">
        <f t="shared" si="67"/>
        <v>#DIV/0!</v>
      </c>
    </row>
    <row r="756" spans="49:66" x14ac:dyDescent="0.3">
      <c r="AW756">
        <f t="shared" si="66"/>
        <v>0</v>
      </c>
      <c r="AX756">
        <v>753</v>
      </c>
      <c r="AY756" s="4">
        <f t="shared" si="64"/>
        <v>43248</v>
      </c>
      <c r="AZ756" s="6" t="e">
        <f t="shared" si="65"/>
        <v>#DIV/0!</v>
      </c>
      <c r="BA756" s="4">
        <v>43248</v>
      </c>
      <c r="BB756" s="6">
        <v>0.43919599999999998</v>
      </c>
      <c r="BC756" s="6">
        <v>-0.44839499999999999</v>
      </c>
      <c r="BD756" s="6">
        <v>-0.78032999999999997</v>
      </c>
      <c r="BE756" s="6"/>
      <c r="BF756" s="6"/>
      <c r="BG756" s="6"/>
      <c r="BH756" s="6"/>
      <c r="BI756" s="6"/>
      <c r="BJ756" s="6"/>
      <c r="BK756" s="6"/>
      <c r="BL756" s="6"/>
      <c r="BM756" s="6"/>
      <c r="BN756" s="6" t="e">
        <f t="shared" si="67"/>
        <v>#DIV/0!</v>
      </c>
    </row>
    <row r="757" spans="49:66" x14ac:dyDescent="0.3">
      <c r="AW757">
        <f t="shared" si="66"/>
        <v>0</v>
      </c>
      <c r="AX757">
        <v>754</v>
      </c>
      <c r="AY757" s="4">
        <f t="shared" si="64"/>
        <v>43249</v>
      </c>
      <c r="AZ757" s="6" t="e">
        <f t="shared" si="65"/>
        <v>#DIV/0!</v>
      </c>
      <c r="BA757" s="4">
        <v>43249</v>
      </c>
      <c r="BB757" s="6">
        <v>-0.76307400000000003</v>
      </c>
      <c r="BC757" s="6">
        <v>-0.94745599999999996</v>
      </c>
      <c r="BD757" s="6">
        <v>-0.82633199999999996</v>
      </c>
      <c r="BE757" s="6"/>
      <c r="BF757" s="6"/>
      <c r="BG757" s="6"/>
      <c r="BH757" s="6"/>
      <c r="BI757" s="6"/>
      <c r="BJ757" s="6"/>
      <c r="BK757" s="6"/>
      <c r="BL757" s="6"/>
      <c r="BM757" s="6"/>
      <c r="BN757" s="6" t="e">
        <f t="shared" si="67"/>
        <v>#DIV/0!</v>
      </c>
    </row>
    <row r="758" spans="49:66" x14ac:dyDescent="0.3">
      <c r="AW758">
        <f t="shared" si="66"/>
        <v>0</v>
      </c>
      <c r="AX758">
        <v>755</v>
      </c>
      <c r="AY758" s="4">
        <f t="shared" si="64"/>
        <v>43250</v>
      </c>
      <c r="AZ758" s="6" t="e">
        <f t="shared" si="65"/>
        <v>#DIV/0!</v>
      </c>
      <c r="BA758" s="4">
        <v>43250</v>
      </c>
      <c r="BB758" s="6">
        <v>-2.1197870000000001</v>
      </c>
      <c r="BC758" s="6">
        <v>-2.6194660000000001</v>
      </c>
      <c r="BD758" s="6">
        <v>-3.174833</v>
      </c>
      <c r="BE758" s="6"/>
      <c r="BF758" s="6"/>
      <c r="BG758" s="6"/>
      <c r="BH758" s="6"/>
      <c r="BI758" s="6"/>
      <c r="BJ758" s="6"/>
      <c r="BK758" s="6"/>
      <c r="BL758" s="6"/>
      <c r="BM758" s="6"/>
      <c r="BN758" s="6" t="e">
        <f t="shared" si="67"/>
        <v>#DIV/0!</v>
      </c>
    </row>
    <row r="759" spans="49:66" x14ac:dyDescent="0.3">
      <c r="AW759">
        <f t="shared" si="66"/>
        <v>0</v>
      </c>
      <c r="AX759">
        <v>756</v>
      </c>
      <c r="AY759" s="4">
        <f t="shared" si="64"/>
        <v>43251</v>
      </c>
      <c r="AZ759" s="6" t="e">
        <f t="shared" si="65"/>
        <v>#DIV/0!</v>
      </c>
      <c r="BA759" s="4">
        <v>43251</v>
      </c>
      <c r="BB759" s="6">
        <v>2.121826</v>
      </c>
      <c r="BC759" s="6">
        <v>1.265031</v>
      </c>
      <c r="BD759" s="6">
        <v>1.3278380000000001</v>
      </c>
      <c r="BE759" s="6"/>
      <c r="BF759" s="6"/>
      <c r="BG759" s="6"/>
      <c r="BH759" s="6"/>
      <c r="BI759" s="6"/>
      <c r="BJ759" s="6"/>
      <c r="BK759" s="6"/>
      <c r="BL759" s="6"/>
      <c r="BM759" s="6"/>
      <c r="BN759" s="6" t="e">
        <f t="shared" si="67"/>
        <v>#DIV/0!</v>
      </c>
    </row>
    <row r="760" spans="49:66" x14ac:dyDescent="0.3">
      <c r="AW760">
        <f t="shared" si="66"/>
        <v>0</v>
      </c>
      <c r="AX760">
        <v>757</v>
      </c>
      <c r="AY760" s="4">
        <f t="shared" si="64"/>
        <v>43252</v>
      </c>
      <c r="AZ760" s="6" t="e">
        <f t="shared" si="65"/>
        <v>#DIV/0!</v>
      </c>
      <c r="BA760" s="4">
        <v>43252</v>
      </c>
      <c r="BB760" s="6">
        <v>-0.83597200000000005</v>
      </c>
      <c r="BC760" s="6">
        <v>-1.2053069999999999</v>
      </c>
      <c r="BD760" s="6">
        <v>-1.1312489999999999</v>
      </c>
      <c r="BE760" s="6"/>
      <c r="BF760" s="6"/>
      <c r="BG760" s="6"/>
      <c r="BH760" s="6"/>
      <c r="BI760" s="6"/>
      <c r="BJ760" s="6"/>
      <c r="BK760" s="6"/>
      <c r="BL760" s="6"/>
      <c r="BM760" s="6"/>
      <c r="BN760" s="6" t="e">
        <f t="shared" si="67"/>
        <v>#DIV/0!</v>
      </c>
    </row>
    <row r="761" spans="49:66" x14ac:dyDescent="0.3">
      <c r="AW761">
        <f t="shared" si="66"/>
        <v>0</v>
      </c>
      <c r="AX761">
        <v>758</v>
      </c>
      <c r="AY761" s="4">
        <f t="shared" si="64"/>
        <v>43255</v>
      </c>
      <c r="AZ761" s="6" t="e">
        <f t="shared" si="65"/>
        <v>#DIV/0!</v>
      </c>
      <c r="BA761" s="4">
        <v>43255</v>
      </c>
      <c r="BB761" s="6">
        <v>0.98098700000000005</v>
      </c>
      <c r="BC761" s="6">
        <v>-3.4597000000000003E-2</v>
      </c>
      <c r="BD761" s="6">
        <v>-0.45042500000000002</v>
      </c>
      <c r="BE761" s="6"/>
      <c r="BF761" s="6"/>
      <c r="BG761" s="6"/>
      <c r="BH761" s="6"/>
      <c r="BI761" s="6"/>
      <c r="BJ761" s="6"/>
      <c r="BK761" s="6"/>
      <c r="BL761" s="6"/>
      <c r="BM761" s="6"/>
      <c r="BN761" s="6" t="e">
        <f t="shared" si="67"/>
        <v>#DIV/0!</v>
      </c>
    </row>
    <row r="762" spans="49:66" x14ac:dyDescent="0.3">
      <c r="AW762">
        <f t="shared" si="66"/>
        <v>0</v>
      </c>
      <c r="AX762">
        <v>759</v>
      </c>
      <c r="AY762" s="4">
        <f t="shared" si="64"/>
        <v>43256</v>
      </c>
      <c r="AZ762" s="6" t="e">
        <f t="shared" si="65"/>
        <v>#DIV/0!</v>
      </c>
      <c r="BA762" s="4">
        <v>43256</v>
      </c>
      <c r="BB762" s="6">
        <v>0.99113700000000005</v>
      </c>
      <c r="BC762" s="6">
        <v>1.687959</v>
      </c>
      <c r="BD762" s="6">
        <v>1.621893</v>
      </c>
      <c r="BE762" s="6"/>
      <c r="BF762" s="6"/>
      <c r="BG762" s="6"/>
      <c r="BH762" s="6"/>
      <c r="BI762" s="6"/>
      <c r="BJ762" s="6"/>
      <c r="BK762" s="6"/>
      <c r="BL762" s="6"/>
      <c r="BM762" s="6"/>
      <c r="BN762" s="6" t="e">
        <f t="shared" si="67"/>
        <v>#DIV/0!</v>
      </c>
    </row>
    <row r="763" spans="49:66" x14ac:dyDescent="0.3">
      <c r="AW763">
        <f t="shared" si="66"/>
        <v>0</v>
      </c>
      <c r="AX763">
        <v>760</v>
      </c>
      <c r="AY763" s="4">
        <f t="shared" si="64"/>
        <v>43257</v>
      </c>
      <c r="AZ763" s="6" t="e">
        <f t="shared" si="65"/>
        <v>#DIV/0!</v>
      </c>
      <c r="BA763" s="4">
        <v>43257</v>
      </c>
      <c r="BB763" s="6">
        <v>-0.20714299999999999</v>
      </c>
      <c r="BC763" s="6">
        <v>-8.3409999999999998E-2</v>
      </c>
      <c r="BD763" s="6">
        <v>6.4195000000000002E-2</v>
      </c>
      <c r="BE763" s="6"/>
      <c r="BF763" s="6"/>
      <c r="BG763" s="6"/>
      <c r="BH763" s="6"/>
      <c r="BI763" s="6"/>
      <c r="BJ763" s="6"/>
      <c r="BK763" s="6"/>
      <c r="BL763" s="6"/>
      <c r="BM763" s="6"/>
      <c r="BN763" s="6" t="e">
        <f t="shared" si="67"/>
        <v>#DIV/0!</v>
      </c>
    </row>
    <row r="764" spans="49:66" x14ac:dyDescent="0.3">
      <c r="AW764">
        <f t="shared" si="66"/>
        <v>0</v>
      </c>
      <c r="AX764">
        <v>761</v>
      </c>
      <c r="AY764" s="4">
        <f t="shared" si="64"/>
        <v>43258</v>
      </c>
      <c r="AZ764" s="6" t="e">
        <f t="shared" si="65"/>
        <v>#DIV/0!</v>
      </c>
      <c r="BA764" s="4">
        <v>43258</v>
      </c>
      <c r="BB764" s="6">
        <v>-0.16517399999999999</v>
      </c>
      <c r="BC764" s="6">
        <v>-0.62761100000000003</v>
      </c>
      <c r="BD764" s="6">
        <v>-0.72130700000000003</v>
      </c>
      <c r="BE764" s="6"/>
      <c r="BF764" s="6"/>
      <c r="BG764" s="6"/>
      <c r="BH764" s="6"/>
      <c r="BI764" s="6"/>
      <c r="BJ764" s="6"/>
      <c r="BK764" s="6"/>
      <c r="BL764" s="6"/>
      <c r="BM764" s="6"/>
      <c r="BN764" s="6" t="e">
        <f t="shared" si="67"/>
        <v>#DIV/0!</v>
      </c>
    </row>
    <row r="765" spans="49:66" x14ac:dyDescent="0.3">
      <c r="AW765">
        <f t="shared" si="66"/>
        <v>0</v>
      </c>
      <c r="AX765">
        <v>762</v>
      </c>
      <c r="AY765" s="4">
        <f t="shared" si="64"/>
        <v>43259</v>
      </c>
      <c r="AZ765" s="6" t="e">
        <f t="shared" si="65"/>
        <v>#DIV/0!</v>
      </c>
      <c r="BA765" s="4">
        <v>43259</v>
      </c>
      <c r="BB765" s="6">
        <v>-1.341601</v>
      </c>
      <c r="BC765" s="6">
        <v>-1.19753</v>
      </c>
      <c r="BD765" s="6">
        <v>-1.098476</v>
      </c>
      <c r="BE765" s="6"/>
      <c r="BF765" s="6"/>
      <c r="BG765" s="6"/>
      <c r="BH765" s="6"/>
      <c r="BI765" s="6"/>
      <c r="BJ765" s="6"/>
      <c r="BK765" s="6"/>
      <c r="BL765" s="6"/>
      <c r="BM765" s="6"/>
      <c r="BN765" s="6" t="e">
        <f t="shared" si="67"/>
        <v>#DIV/0!</v>
      </c>
    </row>
    <row r="766" spans="49:66" x14ac:dyDescent="0.3">
      <c r="AW766">
        <f t="shared" si="66"/>
        <v>0</v>
      </c>
      <c r="AX766">
        <v>763</v>
      </c>
      <c r="AY766" s="4">
        <f t="shared" si="64"/>
        <v>43262</v>
      </c>
      <c r="AZ766" s="6" t="e">
        <f t="shared" si="65"/>
        <v>#DIV/0!</v>
      </c>
      <c r="BA766" s="4">
        <v>43262</v>
      </c>
      <c r="BB766" s="6">
        <v>9.6810000000000004E-3</v>
      </c>
      <c r="BC766" s="6">
        <v>-0.651694</v>
      </c>
      <c r="BD766" s="6">
        <v>-0.87041199999999996</v>
      </c>
      <c r="BE766" s="6"/>
      <c r="BF766" s="6"/>
      <c r="BG766" s="6"/>
      <c r="BH766" s="6"/>
      <c r="BI766" s="6"/>
      <c r="BJ766" s="6"/>
      <c r="BK766" s="6"/>
      <c r="BL766" s="6"/>
      <c r="BM766" s="6"/>
      <c r="BN766" s="6" t="e">
        <f t="shared" si="67"/>
        <v>#DIV/0!</v>
      </c>
    </row>
    <row r="767" spans="49:66" x14ac:dyDescent="0.3">
      <c r="AW767">
        <f t="shared" si="66"/>
        <v>0</v>
      </c>
      <c r="AX767">
        <v>764</v>
      </c>
      <c r="AY767" s="4">
        <f t="shared" si="64"/>
        <v>43263</v>
      </c>
      <c r="AZ767" s="6" t="e">
        <f t="shared" si="65"/>
        <v>#DIV/0!</v>
      </c>
      <c r="BA767" s="4">
        <v>43263</v>
      </c>
      <c r="BB767" s="6">
        <v>1.216186</v>
      </c>
      <c r="BC767" s="6">
        <v>1.0828420000000001</v>
      </c>
      <c r="BD767" s="6">
        <v>0.76749999999999996</v>
      </c>
      <c r="BE767" s="6"/>
      <c r="BF767" s="6"/>
      <c r="BG767" s="6"/>
      <c r="BH767" s="6"/>
      <c r="BI767" s="6"/>
      <c r="BJ767" s="6"/>
      <c r="BK767" s="6"/>
      <c r="BL767" s="6"/>
      <c r="BM767" s="6"/>
      <c r="BN767" s="6" t="e">
        <f t="shared" si="67"/>
        <v>#DIV/0!</v>
      </c>
    </row>
    <row r="768" spans="49:66" x14ac:dyDescent="0.3">
      <c r="AW768">
        <f t="shared" si="66"/>
        <v>0</v>
      </c>
      <c r="AX768">
        <v>765</v>
      </c>
      <c r="AY768" s="4">
        <f t="shared" si="64"/>
        <v>43264</v>
      </c>
      <c r="AZ768" s="6" t="e">
        <f t="shared" si="65"/>
        <v>#DIV/0!</v>
      </c>
      <c r="BA768" s="4">
        <v>43264</v>
      </c>
      <c r="BB768" s="6">
        <v>-0.98313499999999998</v>
      </c>
      <c r="BC768" s="6">
        <v>-1.51631</v>
      </c>
      <c r="BD768" s="6">
        <v>-1.7229749999999999</v>
      </c>
      <c r="BE768" s="6"/>
      <c r="BF768" s="6"/>
      <c r="BG768" s="6"/>
      <c r="BH768" s="6"/>
      <c r="BI768" s="6"/>
      <c r="BJ768" s="6"/>
      <c r="BK768" s="6"/>
      <c r="BL768" s="6"/>
      <c r="BM768" s="6"/>
      <c r="BN768" s="6" t="e">
        <f t="shared" si="67"/>
        <v>#DIV/0!</v>
      </c>
    </row>
    <row r="769" spans="49:66" x14ac:dyDescent="0.3">
      <c r="AW769">
        <f t="shared" si="66"/>
        <v>0</v>
      </c>
      <c r="AX769">
        <v>766</v>
      </c>
      <c r="AY769" s="4">
        <f t="shared" si="64"/>
        <v>43265</v>
      </c>
      <c r="AZ769" s="6" t="e">
        <f t="shared" si="65"/>
        <v>#DIV/0!</v>
      </c>
      <c r="BA769" s="4">
        <v>43265</v>
      </c>
      <c r="BB769" s="6">
        <v>-0.39525500000000002</v>
      </c>
      <c r="BC769" s="6">
        <v>-0.35822799999999999</v>
      </c>
      <c r="BD769" s="6">
        <v>-0.52879200000000004</v>
      </c>
      <c r="BE769" s="6"/>
      <c r="BF769" s="6"/>
      <c r="BG769" s="6"/>
      <c r="BH769" s="6"/>
      <c r="BI769" s="6"/>
      <c r="BJ769" s="6"/>
      <c r="BK769" s="6"/>
      <c r="BL769" s="6"/>
      <c r="BM769" s="6"/>
      <c r="BN769" s="6" t="e">
        <f t="shared" si="67"/>
        <v>#DIV/0!</v>
      </c>
    </row>
    <row r="770" spans="49:66" x14ac:dyDescent="0.3">
      <c r="AW770">
        <f t="shared" si="66"/>
        <v>0</v>
      </c>
      <c r="AX770">
        <v>767</v>
      </c>
      <c r="AY770" s="4">
        <f t="shared" si="64"/>
        <v>43266</v>
      </c>
      <c r="AZ770" s="6" t="e">
        <f t="shared" si="65"/>
        <v>#DIV/0!</v>
      </c>
      <c r="BA770" s="4">
        <v>43266</v>
      </c>
      <c r="BB770" s="6">
        <v>-0.52822100000000005</v>
      </c>
      <c r="BC770" s="6">
        <v>-1.8433520000000001</v>
      </c>
      <c r="BD770" s="6">
        <v>-2.1790989999999999</v>
      </c>
      <c r="BE770" s="6"/>
      <c r="BF770" s="6"/>
      <c r="BG770" s="6"/>
      <c r="BH770" s="6"/>
      <c r="BI770" s="6"/>
      <c r="BJ770" s="6"/>
      <c r="BK770" s="6"/>
      <c r="BL770" s="6"/>
      <c r="BM770" s="6"/>
      <c r="BN770" s="6" t="e">
        <f t="shared" si="67"/>
        <v>#DIV/0!</v>
      </c>
    </row>
    <row r="771" spans="49:66" x14ac:dyDescent="0.3">
      <c r="AW771">
        <f t="shared" si="66"/>
        <v>0</v>
      </c>
      <c r="AX771">
        <v>768</v>
      </c>
      <c r="AY771" s="4">
        <f t="shared" si="64"/>
        <v>43270</v>
      </c>
      <c r="AZ771" s="6" t="e">
        <f t="shared" si="65"/>
        <v>#DIV/0!</v>
      </c>
      <c r="BA771" s="4">
        <v>43270</v>
      </c>
      <c r="BB771" s="6">
        <v>-3.5252309999999998</v>
      </c>
      <c r="BC771" s="6">
        <v>-6.2406740000000003</v>
      </c>
      <c r="BD771" s="6">
        <v>-6.841075</v>
      </c>
      <c r="BE771" s="6"/>
      <c r="BF771" s="6"/>
      <c r="BG771" s="6"/>
      <c r="BH771" s="6"/>
      <c r="BI771" s="6"/>
      <c r="BJ771" s="6"/>
      <c r="BK771" s="6"/>
      <c r="BL771" s="6"/>
      <c r="BM771" s="6"/>
      <c r="BN771" s="6" t="e">
        <f t="shared" si="67"/>
        <v>#DIV/0!</v>
      </c>
    </row>
    <row r="772" spans="49:66" x14ac:dyDescent="0.3">
      <c r="AW772">
        <f t="shared" si="66"/>
        <v>0</v>
      </c>
      <c r="AX772">
        <v>769</v>
      </c>
      <c r="AY772" s="4">
        <f t="shared" si="64"/>
        <v>43271</v>
      </c>
      <c r="AZ772" s="6" t="e">
        <f t="shared" si="65"/>
        <v>#DIV/0!</v>
      </c>
      <c r="BA772" s="4">
        <v>43271</v>
      </c>
      <c r="BB772" s="6">
        <v>0.39565099999999997</v>
      </c>
      <c r="BC772" s="6">
        <v>1.1024350000000001</v>
      </c>
      <c r="BD772" s="6">
        <v>1.1904220000000001</v>
      </c>
      <c r="BE772" s="6"/>
      <c r="BF772" s="6"/>
      <c r="BG772" s="6"/>
      <c r="BH772" s="6"/>
      <c r="BI772" s="6"/>
      <c r="BJ772" s="6"/>
      <c r="BK772" s="6"/>
      <c r="BL772" s="6"/>
      <c r="BM772" s="6"/>
      <c r="BN772" s="6" t="e">
        <f t="shared" si="67"/>
        <v>#DIV/0!</v>
      </c>
    </row>
    <row r="773" spans="49:66" x14ac:dyDescent="0.3">
      <c r="AW773">
        <f t="shared" si="66"/>
        <v>0</v>
      </c>
      <c r="AX773">
        <v>770</v>
      </c>
      <c r="AY773" s="4">
        <f t="shared" ref="AY773:AY836" si="68">BA773</f>
        <v>43272</v>
      </c>
      <c r="AZ773" s="6" t="e">
        <f t="shared" ref="AZ773:AZ836" si="69">BN773</f>
        <v>#DIV/0!</v>
      </c>
      <c r="BA773" s="4">
        <v>43272</v>
      </c>
      <c r="BB773" s="6">
        <v>-1.1684570000000001</v>
      </c>
      <c r="BC773" s="6">
        <v>-2.0995200000000001</v>
      </c>
      <c r="BD773" s="6">
        <v>-2.3506290000000001</v>
      </c>
      <c r="BE773" s="6"/>
      <c r="BF773" s="6"/>
      <c r="BG773" s="6"/>
      <c r="BH773" s="6"/>
      <c r="BI773" s="6"/>
      <c r="BJ773" s="6"/>
      <c r="BK773" s="6"/>
      <c r="BL773" s="6"/>
      <c r="BM773" s="6"/>
      <c r="BN773" s="6" t="e">
        <f t="shared" si="67"/>
        <v>#DIV/0!</v>
      </c>
    </row>
    <row r="774" spans="49:66" x14ac:dyDescent="0.3">
      <c r="AW774">
        <f t="shared" ref="AW774:AW837" si="70">IF(AY774&lt;=AY773,1,0)</f>
        <v>0</v>
      </c>
      <c r="AX774">
        <v>771</v>
      </c>
      <c r="AY774" s="4">
        <f t="shared" si="68"/>
        <v>43273</v>
      </c>
      <c r="AZ774" s="6" t="e">
        <f t="shared" si="69"/>
        <v>#DIV/0!</v>
      </c>
      <c r="BA774" s="4">
        <v>43273</v>
      </c>
      <c r="BB774" s="6">
        <v>0.44363399999999997</v>
      </c>
      <c r="BC774" s="6">
        <v>1.3925540000000001</v>
      </c>
      <c r="BD774" s="6">
        <v>1.54783</v>
      </c>
      <c r="BE774" s="6"/>
      <c r="BF774" s="6"/>
      <c r="BG774" s="6"/>
      <c r="BH774" s="6"/>
      <c r="BI774" s="6"/>
      <c r="BJ774" s="6"/>
      <c r="BK774" s="6"/>
      <c r="BL774" s="6"/>
      <c r="BM774" s="6"/>
      <c r="BN774" s="6" t="e">
        <f t="shared" ref="BN774:BN837" si="71">(BM774/BM773-1)*100</f>
        <v>#DIV/0!</v>
      </c>
    </row>
    <row r="775" spans="49:66" x14ac:dyDescent="0.3">
      <c r="AW775">
        <f t="shared" si="70"/>
        <v>0</v>
      </c>
      <c r="AX775">
        <v>772</v>
      </c>
      <c r="AY775" s="4">
        <f t="shared" si="68"/>
        <v>43276</v>
      </c>
      <c r="AZ775" s="6" t="e">
        <f t="shared" si="69"/>
        <v>#DIV/0!</v>
      </c>
      <c r="BA775" s="4">
        <v>43276</v>
      </c>
      <c r="BB775" s="6">
        <v>-1.3418730000000001</v>
      </c>
      <c r="BC775" s="6">
        <v>-0.68001299999999998</v>
      </c>
      <c r="BD775" s="6">
        <v>-0.52227299999999999</v>
      </c>
      <c r="BE775" s="6"/>
      <c r="BF775" s="6"/>
      <c r="BG775" s="6"/>
      <c r="BH775" s="6"/>
      <c r="BI775" s="6"/>
      <c r="BJ775" s="6"/>
      <c r="BK775" s="6"/>
      <c r="BL775" s="6"/>
      <c r="BM775" s="6"/>
      <c r="BN775" s="6" t="e">
        <f t="shared" si="71"/>
        <v>#DIV/0!</v>
      </c>
    </row>
    <row r="776" spans="49:66" x14ac:dyDescent="0.3">
      <c r="AW776">
        <f t="shared" si="70"/>
        <v>0</v>
      </c>
      <c r="AX776">
        <v>773</v>
      </c>
      <c r="AY776" s="4">
        <f t="shared" si="68"/>
        <v>43277</v>
      </c>
      <c r="AZ776" s="6" t="e">
        <f t="shared" si="69"/>
        <v>#DIV/0!</v>
      </c>
      <c r="BA776" s="4">
        <v>43277</v>
      </c>
      <c r="BB776" s="6">
        <v>-0.82479100000000005</v>
      </c>
      <c r="BC776" s="6">
        <v>0.68779299999999999</v>
      </c>
      <c r="BD776" s="6">
        <v>0.83956900000000001</v>
      </c>
      <c r="BE776" s="6"/>
      <c r="BF776" s="6"/>
      <c r="BG776" s="6"/>
      <c r="BH776" s="6"/>
      <c r="BI776" s="6"/>
      <c r="BJ776" s="6"/>
      <c r="BK776" s="6"/>
      <c r="BL776" s="6"/>
      <c r="BM776" s="6"/>
      <c r="BN776" s="6" t="e">
        <f t="shared" si="71"/>
        <v>#DIV/0!</v>
      </c>
    </row>
    <row r="777" spans="49:66" x14ac:dyDescent="0.3">
      <c r="AW777">
        <f t="shared" si="70"/>
        <v>0</v>
      </c>
      <c r="AX777">
        <v>774</v>
      </c>
      <c r="AY777" s="4">
        <f t="shared" si="68"/>
        <v>43278</v>
      </c>
      <c r="AZ777" s="6" t="e">
        <f t="shared" si="69"/>
        <v>#DIV/0!</v>
      </c>
      <c r="BA777" s="4">
        <v>43278</v>
      </c>
      <c r="BB777" s="6">
        <v>-2.034745</v>
      </c>
      <c r="BC777" s="6">
        <v>-0.98415900000000001</v>
      </c>
      <c r="BD777" s="6">
        <v>-0.89586600000000005</v>
      </c>
      <c r="BE777" s="6"/>
      <c r="BF777" s="6"/>
      <c r="BG777" s="6"/>
      <c r="BH777" s="6"/>
      <c r="BI777" s="6"/>
      <c r="BJ777" s="6"/>
      <c r="BK777" s="6"/>
      <c r="BL777" s="6"/>
      <c r="BM777" s="6"/>
      <c r="BN777" s="6" t="e">
        <f t="shared" si="71"/>
        <v>#DIV/0!</v>
      </c>
    </row>
    <row r="778" spans="49:66" x14ac:dyDescent="0.3">
      <c r="AW778">
        <f t="shared" si="70"/>
        <v>0</v>
      </c>
      <c r="AX778">
        <v>775</v>
      </c>
      <c r="AY778" s="4">
        <f t="shared" si="68"/>
        <v>43279</v>
      </c>
      <c r="AZ778" s="6" t="e">
        <f t="shared" si="69"/>
        <v>#DIV/0!</v>
      </c>
      <c r="BA778" s="4">
        <v>43279</v>
      </c>
      <c r="BB778" s="6">
        <v>-1.0330699999999999</v>
      </c>
      <c r="BC778" s="6">
        <v>-1.0644530000000001</v>
      </c>
      <c r="BD778" s="6">
        <v>-1.1811050000000001</v>
      </c>
      <c r="BE778" s="6"/>
      <c r="BF778" s="6"/>
      <c r="BG778" s="6"/>
      <c r="BH778" s="6"/>
      <c r="BI778" s="6"/>
      <c r="BJ778" s="6"/>
      <c r="BK778" s="6"/>
      <c r="BL778" s="6"/>
      <c r="BM778" s="6"/>
      <c r="BN778" s="6" t="e">
        <f t="shared" si="71"/>
        <v>#DIV/0!</v>
      </c>
    </row>
    <row r="779" spans="49:66" x14ac:dyDescent="0.3">
      <c r="AW779">
        <f t="shared" si="70"/>
        <v>0</v>
      </c>
      <c r="AX779">
        <v>776</v>
      </c>
      <c r="AY779" s="4">
        <f t="shared" si="68"/>
        <v>43280</v>
      </c>
      <c r="AZ779" s="6" t="e">
        <f t="shared" si="69"/>
        <v>#DIV/0!</v>
      </c>
      <c r="BA779" s="4">
        <v>43280</v>
      </c>
      <c r="BB779" s="6">
        <v>2.5546470000000001</v>
      </c>
      <c r="BC779" s="6">
        <v>3.2176360000000002</v>
      </c>
      <c r="BD779" s="6">
        <v>3.0251890000000001</v>
      </c>
      <c r="BE779" s="6"/>
      <c r="BF779" s="6"/>
      <c r="BG779" s="6"/>
      <c r="BH779" s="6"/>
      <c r="BI779" s="6"/>
      <c r="BJ779" s="6"/>
      <c r="BK779" s="6"/>
      <c r="BL779" s="6"/>
      <c r="BM779" s="6"/>
      <c r="BN779" s="6" t="e">
        <f t="shared" si="71"/>
        <v>#DIV/0!</v>
      </c>
    </row>
    <row r="780" spans="49:66" x14ac:dyDescent="0.3">
      <c r="AW780">
        <f t="shared" si="70"/>
        <v>0</v>
      </c>
      <c r="AX780">
        <v>777</v>
      </c>
      <c r="AY780" s="4">
        <f t="shared" si="68"/>
        <v>43283</v>
      </c>
      <c r="AZ780" s="6" t="e">
        <f t="shared" si="69"/>
        <v>#DIV/0!</v>
      </c>
      <c r="BA780" s="4">
        <v>43283</v>
      </c>
      <c r="BB780" s="6">
        <v>-2.93424</v>
      </c>
      <c r="BC780" s="6">
        <v>-1.5137080000000001</v>
      </c>
      <c r="BD780" s="6">
        <v>-1.256003</v>
      </c>
      <c r="BE780" s="6"/>
      <c r="BF780" s="6"/>
      <c r="BG780" s="6"/>
      <c r="BH780" s="6"/>
      <c r="BI780" s="6"/>
      <c r="BJ780" s="6"/>
      <c r="BK780" s="6"/>
      <c r="BL780" s="6"/>
      <c r="BM780" s="6"/>
      <c r="BN780" s="6" t="e">
        <f t="shared" si="71"/>
        <v>#DIV/0!</v>
      </c>
    </row>
    <row r="781" spans="49:66" x14ac:dyDescent="0.3">
      <c r="AW781">
        <f t="shared" si="70"/>
        <v>0</v>
      </c>
      <c r="AX781">
        <v>778</v>
      </c>
      <c r="AY781" s="4">
        <f t="shared" si="68"/>
        <v>43284</v>
      </c>
      <c r="AZ781" s="6" t="e">
        <f t="shared" si="69"/>
        <v>#DIV/0!</v>
      </c>
      <c r="BA781" s="4">
        <v>43284</v>
      </c>
      <c r="BB781" s="6">
        <v>3.8623999999999999E-2</v>
      </c>
      <c r="BC781" s="6">
        <v>1.1354580000000001</v>
      </c>
      <c r="BD781" s="6">
        <v>1.1465719999999999</v>
      </c>
      <c r="BE781" s="6"/>
      <c r="BF781" s="6"/>
      <c r="BG781" s="6"/>
      <c r="BH781" s="6"/>
      <c r="BI781" s="6"/>
      <c r="BJ781" s="6"/>
      <c r="BK781" s="6"/>
      <c r="BL781" s="6"/>
      <c r="BM781" s="6"/>
      <c r="BN781" s="6" t="e">
        <f t="shared" si="71"/>
        <v>#DIV/0!</v>
      </c>
    </row>
    <row r="782" spans="49:66" x14ac:dyDescent="0.3">
      <c r="AW782">
        <f t="shared" si="70"/>
        <v>0</v>
      </c>
      <c r="AX782">
        <v>779</v>
      </c>
      <c r="AY782" s="4">
        <f t="shared" si="68"/>
        <v>43285</v>
      </c>
      <c r="AZ782" s="6" t="e">
        <f t="shared" si="69"/>
        <v>#DIV/0!</v>
      </c>
      <c r="BA782" s="4">
        <v>43285</v>
      </c>
      <c r="BB782" s="6">
        <v>-1.335555</v>
      </c>
      <c r="BC782" s="6">
        <v>-1.4582599999999999</v>
      </c>
      <c r="BD782" s="6">
        <v>-1.8017240000000001</v>
      </c>
      <c r="BE782" s="6"/>
      <c r="BF782" s="6"/>
      <c r="BG782" s="6"/>
      <c r="BH782" s="6"/>
      <c r="BI782" s="6"/>
      <c r="BJ782" s="6"/>
      <c r="BK782" s="6"/>
      <c r="BL782" s="6"/>
      <c r="BM782" s="6"/>
      <c r="BN782" s="6" t="e">
        <f t="shared" si="71"/>
        <v>#DIV/0!</v>
      </c>
    </row>
    <row r="783" spans="49:66" x14ac:dyDescent="0.3">
      <c r="AW783">
        <f t="shared" si="70"/>
        <v>0</v>
      </c>
      <c r="AX783">
        <v>780</v>
      </c>
      <c r="AY783" s="4">
        <f t="shared" si="68"/>
        <v>43286</v>
      </c>
      <c r="AZ783" s="6" t="e">
        <f t="shared" si="69"/>
        <v>#DIV/0!</v>
      </c>
      <c r="BA783" s="4">
        <v>43286</v>
      </c>
      <c r="BB783" s="6">
        <v>-0.63350200000000001</v>
      </c>
      <c r="BC783" s="6">
        <v>-2.7059479999999998</v>
      </c>
      <c r="BD783" s="6">
        <v>-2.69068</v>
      </c>
      <c r="BE783" s="6"/>
      <c r="BF783" s="6"/>
      <c r="BG783" s="6"/>
      <c r="BH783" s="6"/>
      <c r="BI783" s="6"/>
      <c r="BJ783" s="6"/>
      <c r="BK783" s="6"/>
      <c r="BL783" s="6"/>
      <c r="BM783" s="6"/>
      <c r="BN783" s="6" t="e">
        <f t="shared" si="71"/>
        <v>#DIV/0!</v>
      </c>
    </row>
    <row r="784" spans="49:66" x14ac:dyDescent="0.3">
      <c r="AW784">
        <f t="shared" si="70"/>
        <v>0</v>
      </c>
      <c r="AX784">
        <v>781</v>
      </c>
      <c r="AY784" s="4">
        <f t="shared" si="68"/>
        <v>43287</v>
      </c>
      <c r="AZ784" s="6" t="e">
        <f t="shared" si="69"/>
        <v>#DIV/0!</v>
      </c>
      <c r="BA784" s="4">
        <v>43287</v>
      </c>
      <c r="BB784" s="6">
        <v>0.67869000000000002</v>
      </c>
      <c r="BC784" s="6">
        <v>0.27830300000000002</v>
      </c>
      <c r="BD784" s="6">
        <v>0.40951599999999999</v>
      </c>
      <c r="BE784" s="6"/>
      <c r="BF784" s="6"/>
      <c r="BG784" s="6"/>
      <c r="BH784" s="6"/>
      <c r="BI784" s="6"/>
      <c r="BJ784" s="6"/>
      <c r="BK784" s="6"/>
      <c r="BL784" s="6"/>
      <c r="BM784" s="6"/>
      <c r="BN784" s="6" t="e">
        <f t="shared" si="71"/>
        <v>#DIV/0!</v>
      </c>
    </row>
    <row r="785" spans="49:66" x14ac:dyDescent="0.3">
      <c r="AW785">
        <f t="shared" si="70"/>
        <v>0</v>
      </c>
      <c r="AX785">
        <v>782</v>
      </c>
      <c r="AY785" s="4">
        <f t="shared" si="68"/>
        <v>43290</v>
      </c>
      <c r="AZ785" s="6" t="e">
        <f t="shared" si="69"/>
        <v>#DIV/0!</v>
      </c>
      <c r="BA785" s="4">
        <v>43290</v>
      </c>
      <c r="BB785" s="6">
        <v>2.7951730000000001</v>
      </c>
      <c r="BC785" s="6">
        <v>2.2199119999999999</v>
      </c>
      <c r="BD785" s="6">
        <v>2.101909</v>
      </c>
      <c r="BE785" s="6"/>
      <c r="BF785" s="6"/>
      <c r="BG785" s="6"/>
      <c r="BH785" s="6"/>
      <c r="BI785" s="6"/>
      <c r="BJ785" s="6"/>
      <c r="BK785" s="6"/>
      <c r="BL785" s="6"/>
      <c r="BM785" s="6"/>
      <c r="BN785" s="6" t="e">
        <f t="shared" si="71"/>
        <v>#DIV/0!</v>
      </c>
    </row>
    <row r="786" spans="49:66" x14ac:dyDescent="0.3">
      <c r="AW786">
        <f t="shared" si="70"/>
        <v>0</v>
      </c>
      <c r="AX786">
        <v>783</v>
      </c>
      <c r="AY786" s="4">
        <f t="shared" si="68"/>
        <v>43291</v>
      </c>
      <c r="AZ786" s="6" t="e">
        <f t="shared" si="69"/>
        <v>#DIV/0!</v>
      </c>
      <c r="BA786" s="4">
        <v>43291</v>
      </c>
      <c r="BB786" s="6">
        <v>0.24085999999999999</v>
      </c>
      <c r="BC786" s="6">
        <v>0.56743200000000005</v>
      </c>
      <c r="BD786" s="6">
        <v>0.678871</v>
      </c>
      <c r="BE786" s="6"/>
      <c r="BF786" s="6"/>
      <c r="BG786" s="6"/>
      <c r="BH786" s="6"/>
      <c r="BI786" s="6"/>
      <c r="BJ786" s="6"/>
      <c r="BK786" s="6"/>
      <c r="BL786" s="6"/>
      <c r="BM786" s="6"/>
      <c r="BN786" s="6" t="e">
        <f t="shared" si="71"/>
        <v>#DIV/0!</v>
      </c>
    </row>
    <row r="787" spans="49:66" x14ac:dyDescent="0.3">
      <c r="AW787">
        <f t="shared" si="70"/>
        <v>0</v>
      </c>
      <c r="AX787">
        <v>784</v>
      </c>
      <c r="AY787" s="4">
        <f t="shared" si="68"/>
        <v>43292</v>
      </c>
      <c r="AZ787" s="6" t="e">
        <f t="shared" si="69"/>
        <v>#DIV/0!</v>
      </c>
      <c r="BA787" s="4">
        <v>43292</v>
      </c>
      <c r="BB787" s="6">
        <v>-1.7299359999999999</v>
      </c>
      <c r="BC787" s="6">
        <v>-1.954161</v>
      </c>
      <c r="BD787" s="6">
        <v>-2.3256999999999999</v>
      </c>
      <c r="BE787" s="6"/>
      <c r="BF787" s="6"/>
      <c r="BG787" s="6"/>
      <c r="BH787" s="6"/>
      <c r="BI787" s="6"/>
      <c r="BJ787" s="6"/>
      <c r="BK787" s="6"/>
      <c r="BL787" s="6"/>
      <c r="BM787" s="6"/>
      <c r="BN787" s="6" t="e">
        <f t="shared" si="71"/>
        <v>#DIV/0!</v>
      </c>
    </row>
    <row r="788" spans="49:66" x14ac:dyDescent="0.3">
      <c r="AW788">
        <f t="shared" si="70"/>
        <v>1</v>
      </c>
      <c r="AX788">
        <v>785</v>
      </c>
      <c r="AY788" s="4">
        <f t="shared" si="68"/>
        <v>41332</v>
      </c>
      <c r="AZ788" s="6" t="e">
        <f t="shared" si="69"/>
        <v>#DIV/0!</v>
      </c>
      <c r="BA788" s="4">
        <v>41332</v>
      </c>
      <c r="BB788" s="6">
        <v>1.0547610000000001</v>
      </c>
      <c r="BC788" s="6">
        <v>7.6190999999999995E-2</v>
      </c>
      <c r="BD788" s="6">
        <v>4.2870999999999999E-2</v>
      </c>
      <c r="BE788" s="6"/>
      <c r="BF788" s="6"/>
      <c r="BG788" s="6"/>
      <c r="BH788" s="6"/>
      <c r="BI788" s="6"/>
      <c r="BJ788" s="6"/>
      <c r="BK788" s="6"/>
      <c r="BL788" s="6"/>
      <c r="BM788" s="6"/>
      <c r="BN788" s="6" t="e">
        <f t="shared" si="71"/>
        <v>#DIV/0!</v>
      </c>
    </row>
    <row r="789" spans="49:66" x14ac:dyDescent="0.3">
      <c r="AW789">
        <f t="shared" si="70"/>
        <v>0</v>
      </c>
      <c r="AX789">
        <v>786</v>
      </c>
      <c r="AY789" s="4">
        <f t="shared" si="68"/>
        <v>41333</v>
      </c>
      <c r="AZ789" s="6" t="e">
        <f t="shared" si="69"/>
        <v>#DIV/0!</v>
      </c>
      <c r="BA789" s="4">
        <v>41333</v>
      </c>
      <c r="BB789" s="6">
        <v>3.0312060000000001</v>
      </c>
      <c r="BC789" s="6">
        <v>2.0448279999999999</v>
      </c>
      <c r="BD789" s="6">
        <v>1.8771230000000001</v>
      </c>
      <c r="BE789" s="6"/>
      <c r="BF789" s="6"/>
      <c r="BG789" s="6"/>
      <c r="BH789" s="6"/>
      <c r="BI789" s="6"/>
      <c r="BJ789" s="6"/>
      <c r="BK789" s="6"/>
      <c r="BL789" s="6"/>
      <c r="BM789" s="6"/>
      <c r="BN789" s="6" t="e">
        <f t="shared" si="71"/>
        <v>#DIV/0!</v>
      </c>
    </row>
    <row r="790" spans="49:66" x14ac:dyDescent="0.3">
      <c r="AW790">
        <f t="shared" si="70"/>
        <v>0</v>
      </c>
      <c r="AX790">
        <v>787</v>
      </c>
      <c r="AY790" s="4">
        <f t="shared" si="68"/>
        <v>41334</v>
      </c>
      <c r="AZ790" s="6" t="e">
        <f t="shared" si="69"/>
        <v>#DIV/0!</v>
      </c>
      <c r="BA790" s="4">
        <v>41334</v>
      </c>
      <c r="BB790" s="6">
        <v>-0.167993</v>
      </c>
      <c r="BC790" s="6">
        <v>1.1147670000000001</v>
      </c>
      <c r="BD790" s="6">
        <v>1.596527</v>
      </c>
      <c r="BE790" s="6"/>
      <c r="BF790" s="6"/>
      <c r="BG790" s="6"/>
      <c r="BH790" s="6"/>
      <c r="BI790" s="6"/>
      <c r="BJ790" s="6"/>
      <c r="BK790" s="6"/>
      <c r="BL790" s="6"/>
      <c r="BM790" s="6"/>
      <c r="BN790" s="6" t="e">
        <f t="shared" si="71"/>
        <v>#DIV/0!</v>
      </c>
    </row>
    <row r="791" spans="49:66" x14ac:dyDescent="0.3">
      <c r="AW791">
        <f t="shared" si="70"/>
        <v>0</v>
      </c>
      <c r="AX791">
        <v>788</v>
      </c>
      <c r="AY791" s="4">
        <f t="shared" si="68"/>
        <v>41337</v>
      </c>
      <c r="AZ791" s="6" t="e">
        <f t="shared" si="69"/>
        <v>#DIV/0!</v>
      </c>
      <c r="BA791" s="4">
        <v>41337</v>
      </c>
      <c r="BB791" s="6">
        <v>-4.6132850000000003</v>
      </c>
      <c r="BC791" s="6">
        <v>-3.5550989999999998</v>
      </c>
      <c r="BD791" s="6">
        <v>-2.9929030000000001</v>
      </c>
      <c r="BE791" s="6"/>
      <c r="BF791" s="6"/>
      <c r="BG791" s="6"/>
      <c r="BH791" s="6"/>
      <c r="BI791" s="6"/>
      <c r="BJ791" s="6"/>
      <c r="BK791" s="6"/>
      <c r="BL791" s="6"/>
      <c r="BM791" s="6"/>
      <c r="BN791" s="6" t="e">
        <f t="shared" si="71"/>
        <v>#DIV/0!</v>
      </c>
    </row>
    <row r="792" spans="49:66" x14ac:dyDescent="0.3">
      <c r="AW792">
        <f t="shared" si="70"/>
        <v>0</v>
      </c>
      <c r="AX792">
        <v>789</v>
      </c>
      <c r="AY792" s="4">
        <f t="shared" si="68"/>
        <v>41338</v>
      </c>
      <c r="AZ792" s="6" t="e">
        <f t="shared" si="69"/>
        <v>#DIV/0!</v>
      </c>
      <c r="BA792" s="4">
        <v>41338</v>
      </c>
      <c r="BB792" s="6">
        <v>3.0283039999999999</v>
      </c>
      <c r="BC792" s="6">
        <v>2.2509619999999999</v>
      </c>
      <c r="BD792" s="6">
        <v>2.3393519999999999</v>
      </c>
      <c r="BE792" s="6"/>
      <c r="BF792" s="6"/>
      <c r="BG792" s="6"/>
      <c r="BH792" s="6"/>
      <c r="BI792" s="6"/>
      <c r="BJ792" s="6"/>
      <c r="BK792" s="6"/>
      <c r="BL792" s="6"/>
      <c r="BM792" s="6"/>
      <c r="BN792" s="6" t="e">
        <f t="shared" si="71"/>
        <v>#DIV/0!</v>
      </c>
    </row>
    <row r="793" spans="49:66" x14ac:dyDescent="0.3">
      <c r="AW793">
        <f t="shared" si="70"/>
        <v>0</v>
      </c>
      <c r="AX793">
        <v>790</v>
      </c>
      <c r="AY793" s="4">
        <f t="shared" si="68"/>
        <v>41339</v>
      </c>
      <c r="AZ793" s="6" t="e">
        <f t="shared" si="69"/>
        <v>#DIV/0!</v>
      </c>
      <c r="BA793" s="4">
        <v>41339</v>
      </c>
      <c r="BB793" s="6">
        <v>1.044492</v>
      </c>
      <c r="BC793" s="6">
        <v>1.5567880000000001</v>
      </c>
      <c r="BD793" s="6">
        <v>1.721489</v>
      </c>
      <c r="BE793" s="6"/>
      <c r="BF793" s="6"/>
      <c r="BG793" s="6"/>
      <c r="BH793" s="6"/>
      <c r="BI793" s="6"/>
      <c r="BJ793" s="6"/>
      <c r="BK793" s="6"/>
      <c r="BL793" s="6"/>
      <c r="BM793" s="6"/>
      <c r="BN793" s="6" t="e">
        <f t="shared" si="71"/>
        <v>#DIV/0!</v>
      </c>
    </row>
    <row r="794" spans="49:66" x14ac:dyDescent="0.3">
      <c r="AW794">
        <f t="shared" si="70"/>
        <v>0</v>
      </c>
      <c r="AX794">
        <v>791</v>
      </c>
      <c r="AY794" s="4">
        <f t="shared" si="68"/>
        <v>41340</v>
      </c>
      <c r="AZ794" s="6" t="e">
        <f t="shared" si="69"/>
        <v>#DIV/0!</v>
      </c>
      <c r="BA794" s="4">
        <v>41340</v>
      </c>
      <c r="BB794" s="6">
        <v>-1.15927</v>
      </c>
      <c r="BC794" s="6">
        <v>-1.2122280000000001</v>
      </c>
      <c r="BD794" s="6">
        <v>-1.2065109999999999</v>
      </c>
      <c r="BE794" s="6"/>
      <c r="BF794" s="6"/>
      <c r="BG794" s="6"/>
      <c r="BH794" s="6"/>
      <c r="BI794" s="6"/>
      <c r="BJ794" s="6"/>
      <c r="BK794" s="6"/>
      <c r="BL794" s="6"/>
      <c r="BM794" s="6"/>
      <c r="BN794" s="6" t="e">
        <f t="shared" si="71"/>
        <v>#DIV/0!</v>
      </c>
    </row>
    <row r="795" spans="49:66" x14ac:dyDescent="0.3">
      <c r="AW795">
        <f t="shared" si="70"/>
        <v>0</v>
      </c>
      <c r="AX795">
        <v>792</v>
      </c>
      <c r="AY795" s="4">
        <f t="shared" si="68"/>
        <v>41341</v>
      </c>
      <c r="AZ795" s="6" t="e">
        <f t="shared" si="69"/>
        <v>#DIV/0!</v>
      </c>
      <c r="BA795" s="4">
        <v>41341</v>
      </c>
      <c r="BB795" s="6">
        <v>-0.47917900000000002</v>
      </c>
      <c r="BC795" s="6">
        <v>-1.0876429999999999</v>
      </c>
      <c r="BD795" s="6">
        <v>-0.993896</v>
      </c>
      <c r="BE795" s="6"/>
      <c r="BF795" s="6"/>
      <c r="BG795" s="6"/>
      <c r="BH795" s="6"/>
      <c r="BI795" s="6"/>
      <c r="BJ795" s="6"/>
      <c r="BK795" s="6"/>
      <c r="BL795" s="6"/>
      <c r="BM795" s="6"/>
      <c r="BN795" s="6" t="e">
        <f t="shared" si="71"/>
        <v>#DIV/0!</v>
      </c>
    </row>
    <row r="796" spans="49:66" x14ac:dyDescent="0.3">
      <c r="AW796">
        <f t="shared" si="70"/>
        <v>0</v>
      </c>
      <c r="AX796">
        <v>793</v>
      </c>
      <c r="AY796" s="4">
        <f t="shared" si="68"/>
        <v>41344</v>
      </c>
      <c r="AZ796" s="6" t="e">
        <f t="shared" si="69"/>
        <v>#DIV/0!</v>
      </c>
      <c r="BA796" s="4">
        <v>41344</v>
      </c>
      <c r="BB796" s="6">
        <v>-0.55832000000000004</v>
      </c>
      <c r="BC796" s="6">
        <v>2.0306000000000001E-2</v>
      </c>
      <c r="BD796" s="6">
        <v>7.6856999999999995E-2</v>
      </c>
      <c r="BE796" s="6"/>
      <c r="BF796" s="6"/>
      <c r="BG796" s="6"/>
      <c r="BH796" s="6"/>
      <c r="BI796" s="6"/>
      <c r="BJ796" s="6"/>
      <c r="BK796" s="6"/>
      <c r="BL796" s="6"/>
      <c r="BM796" s="6"/>
      <c r="BN796" s="6" t="e">
        <f t="shared" si="71"/>
        <v>#DIV/0!</v>
      </c>
    </row>
    <row r="797" spans="49:66" x14ac:dyDescent="0.3">
      <c r="AW797">
        <f t="shared" si="70"/>
        <v>0</v>
      </c>
      <c r="AX797">
        <v>794</v>
      </c>
      <c r="AY797" s="4">
        <f t="shared" si="68"/>
        <v>41345</v>
      </c>
      <c r="AZ797" s="6" t="e">
        <f t="shared" si="69"/>
        <v>#DIV/0!</v>
      </c>
      <c r="BA797" s="4">
        <v>41345</v>
      </c>
      <c r="BB797" s="6">
        <v>-1.417891</v>
      </c>
      <c r="BC797" s="6">
        <v>-2.518268</v>
      </c>
      <c r="BD797" s="6">
        <v>-2.763646</v>
      </c>
      <c r="BE797" s="6"/>
      <c r="BF797" s="6"/>
      <c r="BG797" s="6"/>
      <c r="BH797" s="6"/>
      <c r="BI797" s="6"/>
      <c r="BJ797" s="6"/>
      <c r="BK797" s="6"/>
      <c r="BL797" s="6"/>
      <c r="BM797" s="6"/>
      <c r="BN797" s="6" t="e">
        <f t="shared" si="71"/>
        <v>#DIV/0!</v>
      </c>
    </row>
    <row r="798" spans="49:66" x14ac:dyDescent="0.3">
      <c r="AW798">
        <f t="shared" si="70"/>
        <v>0</v>
      </c>
      <c r="AX798">
        <v>795</v>
      </c>
      <c r="AY798" s="4">
        <f t="shared" si="68"/>
        <v>41346</v>
      </c>
      <c r="AZ798" s="6" t="e">
        <f t="shared" si="69"/>
        <v>#DIV/0!</v>
      </c>
      <c r="BA798" s="4">
        <v>41346</v>
      </c>
      <c r="BB798" s="6">
        <v>-1.1006739999999999</v>
      </c>
      <c r="BC798" s="6">
        <v>-0.91420299999999999</v>
      </c>
      <c r="BD798" s="6">
        <v>-0.79845299999999997</v>
      </c>
      <c r="BE798" s="6"/>
      <c r="BF798" s="6"/>
      <c r="BG798" s="6"/>
      <c r="BH798" s="6"/>
      <c r="BI798" s="6"/>
      <c r="BJ798" s="6"/>
      <c r="BK798" s="6"/>
      <c r="BL798" s="6"/>
      <c r="BM798" s="6"/>
      <c r="BN798" s="6" t="e">
        <f t="shared" si="71"/>
        <v>#DIV/0!</v>
      </c>
    </row>
    <row r="799" spans="49:66" x14ac:dyDescent="0.3">
      <c r="AW799">
        <f t="shared" si="70"/>
        <v>0</v>
      </c>
      <c r="AX799">
        <v>796</v>
      </c>
      <c r="AY799" s="4">
        <f t="shared" si="68"/>
        <v>41347</v>
      </c>
      <c r="AZ799" s="6" t="e">
        <f t="shared" si="69"/>
        <v>#DIV/0!</v>
      </c>
      <c r="BA799" s="4">
        <v>41347</v>
      </c>
      <c r="BB799" s="6">
        <v>0.26852799999999999</v>
      </c>
      <c r="BC799" s="6">
        <v>0.44947599999999999</v>
      </c>
      <c r="BD799" s="6">
        <v>0.35893900000000001</v>
      </c>
      <c r="BE799" s="6"/>
      <c r="BF799" s="6"/>
      <c r="BG799" s="6"/>
      <c r="BH799" s="6"/>
      <c r="BI799" s="6"/>
      <c r="BJ799" s="6"/>
      <c r="BK799" s="6"/>
      <c r="BL799" s="6"/>
      <c r="BM799" s="6"/>
      <c r="BN799" s="6" t="e">
        <f t="shared" si="71"/>
        <v>#DIV/0!</v>
      </c>
    </row>
    <row r="800" spans="49:66" x14ac:dyDescent="0.3">
      <c r="AW800">
        <f t="shared" si="70"/>
        <v>0</v>
      </c>
      <c r="AX800">
        <v>797</v>
      </c>
      <c r="AY800" s="4">
        <f t="shared" si="68"/>
        <v>41348</v>
      </c>
      <c r="AZ800" s="6" t="e">
        <f t="shared" si="69"/>
        <v>#DIV/0!</v>
      </c>
      <c r="BA800" s="4">
        <v>41348</v>
      </c>
      <c r="BB800" s="6">
        <v>0.220971</v>
      </c>
      <c r="BC800" s="6">
        <v>0.183558</v>
      </c>
      <c r="BD800" s="6">
        <v>0.14607600000000001</v>
      </c>
      <c r="BE800" s="6"/>
      <c r="BF800" s="6"/>
      <c r="BG800" s="6"/>
      <c r="BH800" s="6"/>
      <c r="BI800" s="6"/>
      <c r="BJ800" s="6"/>
      <c r="BK800" s="6"/>
      <c r="BL800" s="6"/>
      <c r="BM800" s="6"/>
      <c r="BN800" s="6" t="e">
        <f t="shared" si="71"/>
        <v>#DIV/0!</v>
      </c>
    </row>
    <row r="801" spans="49:66" x14ac:dyDescent="0.3">
      <c r="AW801">
        <f t="shared" si="70"/>
        <v>0</v>
      </c>
      <c r="AX801">
        <v>798</v>
      </c>
      <c r="AY801" s="4">
        <f t="shared" si="68"/>
        <v>41351</v>
      </c>
      <c r="AZ801" s="6" t="e">
        <f t="shared" si="69"/>
        <v>#DIV/0!</v>
      </c>
      <c r="BA801" s="4">
        <v>41351</v>
      </c>
      <c r="BB801" s="6">
        <v>-1.471727</v>
      </c>
      <c r="BC801" s="6">
        <v>-1.270276</v>
      </c>
      <c r="BD801" s="6">
        <v>-1.1665509999999999</v>
      </c>
      <c r="BE801" s="6"/>
      <c r="BF801" s="6"/>
      <c r="BG801" s="6"/>
      <c r="BH801" s="6"/>
      <c r="BI801" s="6"/>
      <c r="BJ801" s="6"/>
      <c r="BK801" s="6"/>
      <c r="BL801" s="6"/>
      <c r="BM801" s="6"/>
      <c r="BN801" s="6" t="e">
        <f t="shared" si="71"/>
        <v>#DIV/0!</v>
      </c>
    </row>
    <row r="802" spans="49:66" x14ac:dyDescent="0.3">
      <c r="AW802">
        <f t="shared" si="70"/>
        <v>0</v>
      </c>
      <c r="AX802">
        <v>799</v>
      </c>
      <c r="AY802" s="4">
        <f t="shared" si="68"/>
        <v>41352</v>
      </c>
      <c r="AZ802" s="6" t="e">
        <f t="shared" si="69"/>
        <v>#DIV/0!</v>
      </c>
      <c r="BA802" s="4">
        <v>41352</v>
      </c>
      <c r="BB802" s="6">
        <v>0.90325900000000003</v>
      </c>
      <c r="BC802" s="6">
        <v>0.31956899999999999</v>
      </c>
      <c r="BD802" s="6">
        <v>0.105697</v>
      </c>
      <c r="BE802" s="6"/>
      <c r="BF802" s="6"/>
      <c r="BG802" s="6"/>
      <c r="BH802" s="6"/>
      <c r="BI802" s="6"/>
      <c r="BJ802" s="6"/>
      <c r="BK802" s="6"/>
      <c r="BL802" s="6"/>
      <c r="BM802" s="6"/>
      <c r="BN802" s="6" t="e">
        <f t="shared" si="71"/>
        <v>#DIV/0!</v>
      </c>
    </row>
    <row r="803" spans="49:66" x14ac:dyDescent="0.3">
      <c r="AW803">
        <f t="shared" si="70"/>
        <v>0</v>
      </c>
      <c r="AX803">
        <v>800</v>
      </c>
      <c r="AY803" s="4">
        <f t="shared" si="68"/>
        <v>41353</v>
      </c>
      <c r="AZ803" s="6" t="e">
        <f t="shared" si="69"/>
        <v>#DIV/0!</v>
      </c>
      <c r="BA803" s="4">
        <v>41353</v>
      </c>
      <c r="BB803" s="6">
        <v>3.3692570000000002</v>
      </c>
      <c r="BC803" s="6">
        <v>2.6090200000000001</v>
      </c>
      <c r="BD803" s="6">
        <v>2.5457860000000001</v>
      </c>
      <c r="BE803" s="6"/>
      <c r="BF803" s="6"/>
      <c r="BG803" s="6"/>
      <c r="BH803" s="6"/>
      <c r="BI803" s="6"/>
      <c r="BJ803" s="6"/>
      <c r="BK803" s="6"/>
      <c r="BL803" s="6"/>
      <c r="BM803" s="6"/>
      <c r="BN803" s="6" t="e">
        <f t="shared" si="71"/>
        <v>#DIV/0!</v>
      </c>
    </row>
    <row r="804" spans="49:66" x14ac:dyDescent="0.3">
      <c r="AW804">
        <f t="shared" si="70"/>
        <v>0</v>
      </c>
      <c r="AX804">
        <v>801</v>
      </c>
      <c r="AY804" s="4">
        <f t="shared" si="68"/>
        <v>41354</v>
      </c>
      <c r="AZ804" s="6" t="e">
        <f t="shared" si="69"/>
        <v>#DIV/0!</v>
      </c>
      <c r="BA804" s="4">
        <v>41354</v>
      </c>
      <c r="BB804" s="6">
        <v>0.18443200000000001</v>
      </c>
      <c r="BC804" s="6">
        <v>1.0558510000000001</v>
      </c>
      <c r="BD804" s="6">
        <v>1.2956129999999999</v>
      </c>
      <c r="BE804" s="6"/>
      <c r="BF804" s="6"/>
      <c r="BG804" s="6"/>
      <c r="BH804" s="6"/>
      <c r="BI804" s="6"/>
      <c r="BJ804" s="6"/>
      <c r="BK804" s="6"/>
      <c r="BL804" s="6"/>
      <c r="BM804" s="6"/>
      <c r="BN804" s="6" t="e">
        <f t="shared" si="71"/>
        <v>#DIV/0!</v>
      </c>
    </row>
    <row r="805" spans="49:66" x14ac:dyDescent="0.3">
      <c r="AW805">
        <f t="shared" si="70"/>
        <v>0</v>
      </c>
      <c r="AX805">
        <v>802</v>
      </c>
      <c r="AY805" s="4">
        <f t="shared" si="68"/>
        <v>41355</v>
      </c>
      <c r="AZ805" s="6" t="e">
        <f t="shared" si="69"/>
        <v>#DIV/0!</v>
      </c>
      <c r="BA805" s="4">
        <v>41355</v>
      </c>
      <c r="BB805" s="6">
        <v>0.12695999999999999</v>
      </c>
      <c r="BC805" s="6">
        <v>0.41794999999999999</v>
      </c>
      <c r="BD805" s="6">
        <v>0.23579800000000001</v>
      </c>
      <c r="BE805" s="6"/>
      <c r="BF805" s="6"/>
      <c r="BG805" s="6"/>
      <c r="BH805" s="6"/>
      <c r="BI805" s="6"/>
      <c r="BJ805" s="6"/>
      <c r="BK805" s="6"/>
      <c r="BL805" s="6"/>
      <c r="BM805" s="6"/>
      <c r="BN805" s="6" t="e">
        <f t="shared" si="71"/>
        <v>#DIV/0!</v>
      </c>
    </row>
    <row r="806" spans="49:66" x14ac:dyDescent="0.3">
      <c r="AW806">
        <f t="shared" si="70"/>
        <v>0</v>
      </c>
      <c r="AX806">
        <v>803</v>
      </c>
      <c r="AY806" s="4">
        <f t="shared" si="68"/>
        <v>41358</v>
      </c>
      <c r="AZ806" s="6" t="e">
        <f t="shared" si="69"/>
        <v>#DIV/0!</v>
      </c>
      <c r="BA806" s="4">
        <v>41358</v>
      </c>
      <c r="BB806" s="6">
        <v>-0.199022</v>
      </c>
      <c r="BC806" s="6">
        <v>-0.318359</v>
      </c>
      <c r="BD806" s="6">
        <v>0.188054</v>
      </c>
      <c r="BE806" s="6"/>
      <c r="BF806" s="6"/>
      <c r="BG806" s="6"/>
      <c r="BH806" s="6"/>
      <c r="BI806" s="6"/>
      <c r="BJ806" s="6"/>
      <c r="BK806" s="6"/>
      <c r="BL806" s="6"/>
      <c r="BM806" s="6"/>
      <c r="BN806" s="6" t="e">
        <f t="shared" si="71"/>
        <v>#DIV/0!</v>
      </c>
    </row>
    <row r="807" spans="49:66" x14ac:dyDescent="0.3">
      <c r="AW807">
        <f t="shared" si="70"/>
        <v>0</v>
      </c>
      <c r="AX807">
        <v>804</v>
      </c>
      <c r="AY807" s="4">
        <f t="shared" si="68"/>
        <v>41359</v>
      </c>
      <c r="AZ807" s="6" t="e">
        <f t="shared" si="69"/>
        <v>#DIV/0!</v>
      </c>
      <c r="BA807" s="4">
        <v>41359</v>
      </c>
      <c r="BB807" s="6">
        <v>-1.4560120000000001</v>
      </c>
      <c r="BC807" s="6">
        <v>-0.69247099999999995</v>
      </c>
      <c r="BD807" s="6">
        <v>-0.52416499999999999</v>
      </c>
      <c r="BE807" s="6"/>
      <c r="BF807" s="6"/>
      <c r="BG807" s="6"/>
      <c r="BH807" s="6"/>
      <c r="BI807" s="6"/>
      <c r="BJ807" s="6"/>
      <c r="BK807" s="6"/>
      <c r="BL807" s="6"/>
      <c r="BM807" s="6"/>
      <c r="BN807" s="6" t="e">
        <f t="shared" si="71"/>
        <v>#DIV/0!</v>
      </c>
    </row>
    <row r="808" spans="49:66" x14ac:dyDescent="0.3">
      <c r="AW808">
        <f t="shared" si="70"/>
        <v>0</v>
      </c>
      <c r="AX808">
        <v>805</v>
      </c>
      <c r="AY808" s="4">
        <f t="shared" si="68"/>
        <v>41360</v>
      </c>
      <c r="AZ808" s="6" t="e">
        <f t="shared" si="69"/>
        <v>#DIV/0!</v>
      </c>
      <c r="BA808" s="4">
        <v>41360</v>
      </c>
      <c r="BB808" s="6">
        <v>0.329314</v>
      </c>
      <c r="BC808" s="6">
        <v>0.23830299999999999</v>
      </c>
      <c r="BD808" s="6">
        <v>0.30305199999999999</v>
      </c>
      <c r="BE808" s="6"/>
      <c r="BF808" s="6"/>
      <c r="BG808" s="6"/>
      <c r="BH808" s="6"/>
      <c r="BI808" s="6"/>
      <c r="BJ808" s="6"/>
      <c r="BK808" s="6"/>
      <c r="BL808" s="6"/>
      <c r="BM808" s="6"/>
      <c r="BN808" s="6" t="e">
        <f t="shared" si="71"/>
        <v>#DIV/0!</v>
      </c>
    </row>
    <row r="809" spans="49:66" x14ac:dyDescent="0.3">
      <c r="AW809">
        <f t="shared" si="70"/>
        <v>0</v>
      </c>
      <c r="AX809">
        <v>806</v>
      </c>
      <c r="AY809" s="4">
        <f t="shared" si="68"/>
        <v>41361</v>
      </c>
      <c r="AZ809" s="6" t="e">
        <f t="shared" si="69"/>
        <v>#DIV/0!</v>
      </c>
      <c r="BA809" s="4">
        <v>41361</v>
      </c>
      <c r="BB809" s="6">
        <v>-3.2601909999999998</v>
      </c>
      <c r="BC809" s="6">
        <v>-2.9074469999999999</v>
      </c>
      <c r="BD809" s="6">
        <v>-3.0193789999999998</v>
      </c>
      <c r="BE809" s="6"/>
      <c r="BF809" s="6"/>
      <c r="BG809" s="6"/>
      <c r="BH809" s="6"/>
      <c r="BI809" s="6"/>
      <c r="BJ809" s="6"/>
      <c r="BK809" s="6"/>
      <c r="BL809" s="6"/>
      <c r="BM809" s="6"/>
      <c r="BN809" s="6" t="e">
        <f t="shared" si="71"/>
        <v>#DIV/0!</v>
      </c>
    </row>
    <row r="810" spans="49:66" x14ac:dyDescent="0.3">
      <c r="AW810">
        <f t="shared" si="70"/>
        <v>0</v>
      </c>
      <c r="AX810">
        <v>807</v>
      </c>
      <c r="AY810" s="4">
        <f t="shared" si="68"/>
        <v>41362</v>
      </c>
      <c r="AZ810" s="6" t="e">
        <f t="shared" si="69"/>
        <v>#DIV/0!</v>
      </c>
      <c r="BA810" s="4">
        <v>41362</v>
      </c>
      <c r="BB810" s="6">
        <v>-0.16880700000000001</v>
      </c>
      <c r="BC810" s="6">
        <v>-4.9057999999999997E-2</v>
      </c>
      <c r="BD810" s="6">
        <v>5.3393000000000003E-2</v>
      </c>
      <c r="BE810" s="6"/>
      <c r="BF810" s="6"/>
      <c r="BG810" s="6"/>
      <c r="BH810" s="6"/>
      <c r="BI810" s="6"/>
      <c r="BJ810" s="6"/>
      <c r="BK810" s="6"/>
      <c r="BL810" s="6"/>
      <c r="BM810" s="6"/>
      <c r="BN810" s="6" t="e">
        <f t="shared" si="71"/>
        <v>#DIV/0!</v>
      </c>
    </row>
    <row r="811" spans="49:66" x14ac:dyDescent="0.3">
      <c r="AW811">
        <f t="shared" si="70"/>
        <v>0</v>
      </c>
      <c r="AX811">
        <v>808</v>
      </c>
      <c r="AY811" s="4">
        <f t="shared" si="68"/>
        <v>41365</v>
      </c>
      <c r="AZ811" s="6" t="e">
        <f t="shared" si="69"/>
        <v>#DIV/0!</v>
      </c>
      <c r="BA811" s="4">
        <v>41365</v>
      </c>
      <c r="BB811" s="6">
        <v>-7.5989000000000001E-2</v>
      </c>
      <c r="BC811" s="6">
        <v>0.68677200000000005</v>
      </c>
      <c r="BD811" s="6">
        <v>0.83904000000000001</v>
      </c>
      <c r="BE811" s="6"/>
      <c r="BF811" s="6"/>
      <c r="BG811" s="6"/>
      <c r="BH811" s="6"/>
      <c r="BI811" s="6"/>
      <c r="BJ811" s="6"/>
      <c r="BK811" s="6"/>
      <c r="BL811" s="6"/>
      <c r="BM811" s="6"/>
      <c r="BN811" s="6" t="e">
        <f t="shared" si="71"/>
        <v>#DIV/0!</v>
      </c>
    </row>
    <row r="812" spans="49:66" x14ac:dyDescent="0.3">
      <c r="AW812">
        <f t="shared" si="70"/>
        <v>0</v>
      </c>
      <c r="AX812">
        <v>809</v>
      </c>
      <c r="AY812" s="4">
        <f t="shared" si="68"/>
        <v>41366</v>
      </c>
      <c r="AZ812" s="6" t="e">
        <f t="shared" si="69"/>
        <v>#DIV/0!</v>
      </c>
      <c r="BA812" s="4">
        <v>41366</v>
      </c>
      <c r="BB812" s="6">
        <v>-0.27258300000000002</v>
      </c>
      <c r="BC812" s="6">
        <v>-1.223293</v>
      </c>
      <c r="BD812" s="6">
        <v>-1.6888270000000001</v>
      </c>
      <c r="BE812" s="6"/>
      <c r="BF812" s="6"/>
      <c r="BG812" s="6"/>
      <c r="BH812" s="6"/>
      <c r="BI812" s="6"/>
      <c r="BJ812" s="6"/>
      <c r="BK812" s="6"/>
      <c r="BL812" s="6"/>
      <c r="BM812" s="6"/>
      <c r="BN812" s="6" t="e">
        <f t="shared" si="71"/>
        <v>#DIV/0!</v>
      </c>
    </row>
    <row r="813" spans="49:66" x14ac:dyDescent="0.3">
      <c r="AW813">
        <f t="shared" si="70"/>
        <v>0</v>
      </c>
      <c r="AX813">
        <v>810</v>
      </c>
      <c r="AY813" s="4">
        <f t="shared" si="68"/>
        <v>41367</v>
      </c>
      <c r="AZ813" s="6" t="e">
        <f t="shared" si="69"/>
        <v>#DIV/0!</v>
      </c>
      <c r="BA813" s="4">
        <v>41367</v>
      </c>
      <c r="BB813" s="6">
        <v>-0.114383</v>
      </c>
      <c r="BC813" s="6">
        <v>-0.91200199999999998</v>
      </c>
      <c r="BD813" s="6">
        <v>-1.0205569999999999</v>
      </c>
      <c r="BE813" s="6"/>
      <c r="BF813" s="6"/>
      <c r="BG813" s="6"/>
      <c r="BH813" s="6"/>
      <c r="BI813" s="6"/>
      <c r="BJ813" s="6"/>
      <c r="BK813" s="6"/>
      <c r="BL813" s="6"/>
      <c r="BM813" s="6"/>
      <c r="BN813" s="6" t="e">
        <f t="shared" si="71"/>
        <v>#DIV/0!</v>
      </c>
    </row>
    <row r="814" spans="49:66" x14ac:dyDescent="0.3">
      <c r="AW814">
        <f t="shared" si="70"/>
        <v>0</v>
      </c>
      <c r="AX814">
        <v>811</v>
      </c>
      <c r="AY814" s="4">
        <f t="shared" si="68"/>
        <v>41372</v>
      </c>
      <c r="AZ814" s="6" t="e">
        <f t="shared" si="69"/>
        <v>#DIV/0!</v>
      </c>
      <c r="BA814" s="4">
        <v>41372</v>
      </c>
      <c r="BB814" s="6">
        <v>-0.452901</v>
      </c>
      <c r="BC814" s="6">
        <v>0.40909800000000002</v>
      </c>
      <c r="BD814" s="6">
        <v>0.72528099999999995</v>
      </c>
      <c r="BE814" s="6"/>
      <c r="BF814" s="6"/>
      <c r="BG814" s="6"/>
      <c r="BH814" s="6"/>
      <c r="BI814" s="6"/>
      <c r="BJ814" s="6"/>
      <c r="BK814" s="6"/>
      <c r="BL814" s="6"/>
      <c r="BM814" s="6"/>
      <c r="BN814" s="6" t="e">
        <f t="shared" si="71"/>
        <v>#DIV/0!</v>
      </c>
    </row>
    <row r="815" spans="49:66" x14ac:dyDescent="0.3">
      <c r="AW815">
        <f t="shared" si="70"/>
        <v>0</v>
      </c>
      <c r="AX815">
        <v>812</v>
      </c>
      <c r="AY815" s="4">
        <f t="shared" si="68"/>
        <v>41373</v>
      </c>
      <c r="AZ815" s="6" t="e">
        <f t="shared" si="69"/>
        <v>#DIV/0!</v>
      </c>
      <c r="BA815" s="4">
        <v>41373</v>
      </c>
      <c r="BB815" s="6">
        <v>0.69291800000000003</v>
      </c>
      <c r="BC815" s="6">
        <v>0.97448599999999996</v>
      </c>
      <c r="BD815" s="6">
        <v>0.937419</v>
      </c>
      <c r="BE815" s="6"/>
      <c r="BF815" s="6"/>
      <c r="BG815" s="6"/>
      <c r="BH815" s="6"/>
      <c r="BI815" s="6"/>
      <c r="BJ815" s="6"/>
      <c r="BK815" s="6"/>
      <c r="BL815" s="6"/>
      <c r="BM815" s="6"/>
      <c r="BN815" s="6" t="e">
        <f t="shared" si="71"/>
        <v>#DIV/0!</v>
      </c>
    </row>
    <row r="816" spans="49:66" x14ac:dyDescent="0.3">
      <c r="AW816">
        <f t="shared" si="70"/>
        <v>0</v>
      </c>
      <c r="AX816" s="15">
        <v>813</v>
      </c>
      <c r="AY816" s="4">
        <f t="shared" si="68"/>
        <v>41374</v>
      </c>
      <c r="AZ816" s="6" t="e">
        <f t="shared" si="69"/>
        <v>#DIV/0!</v>
      </c>
      <c r="BA816" s="4">
        <v>41374</v>
      </c>
      <c r="BB816" s="6">
        <v>-0.16553999999999999</v>
      </c>
      <c r="BC816" s="6">
        <v>-0.20624999999999999</v>
      </c>
      <c r="BD816" s="6">
        <v>-0.47731800000000002</v>
      </c>
      <c r="BE816" s="6"/>
      <c r="BF816" s="6"/>
      <c r="BG816" s="6"/>
      <c r="BH816" s="6"/>
      <c r="BI816" s="6"/>
      <c r="BJ816" s="6"/>
      <c r="BK816" s="6"/>
      <c r="BL816" s="6"/>
      <c r="BM816" s="6"/>
      <c r="BN816" s="6" t="e">
        <f t="shared" si="71"/>
        <v>#DIV/0!</v>
      </c>
    </row>
    <row r="817" spans="49:66" x14ac:dyDescent="0.3">
      <c r="AW817">
        <f t="shared" si="70"/>
        <v>0</v>
      </c>
      <c r="AX817">
        <v>814</v>
      </c>
      <c r="AY817" s="4">
        <f t="shared" si="68"/>
        <v>41375</v>
      </c>
      <c r="AZ817" s="6" t="e">
        <f t="shared" si="69"/>
        <v>#DIV/0!</v>
      </c>
      <c r="BA817" s="4">
        <v>41375</v>
      </c>
      <c r="BB817" s="6">
        <v>-0.29907699999999998</v>
      </c>
      <c r="BC817" s="6">
        <v>-0.40875499999999998</v>
      </c>
      <c r="BD817" s="6">
        <v>-0.30911100000000002</v>
      </c>
      <c r="BE817" s="6"/>
      <c r="BF817" s="6"/>
      <c r="BG817" s="6"/>
      <c r="BH817" s="6"/>
      <c r="BI817" s="6"/>
      <c r="BJ817" s="6"/>
      <c r="BK817" s="6"/>
      <c r="BL817" s="6"/>
      <c r="BM817" s="6"/>
      <c r="BN817" s="6" t="e">
        <f t="shared" si="71"/>
        <v>#DIV/0!</v>
      </c>
    </row>
    <row r="818" spans="49:66" x14ac:dyDescent="0.3">
      <c r="AW818">
        <f t="shared" si="70"/>
        <v>0</v>
      </c>
      <c r="AX818">
        <v>815</v>
      </c>
      <c r="AY818" s="4">
        <f t="shared" si="68"/>
        <v>41376</v>
      </c>
      <c r="AZ818" s="6" t="e">
        <f t="shared" si="69"/>
        <v>#DIV/0!</v>
      </c>
      <c r="BA818" s="4">
        <v>41376</v>
      </c>
      <c r="BB818" s="6">
        <v>-0.63619000000000003</v>
      </c>
      <c r="BC818" s="6">
        <v>-0.83839300000000005</v>
      </c>
      <c r="BD818" s="6">
        <v>-0.83343</v>
      </c>
      <c r="BE818" s="6"/>
      <c r="BF818" s="6"/>
      <c r="BG818" s="6"/>
      <c r="BH818" s="6"/>
      <c r="BI818" s="6"/>
      <c r="BJ818" s="6"/>
      <c r="BK818" s="6"/>
      <c r="BL818" s="6"/>
      <c r="BM818" s="6"/>
      <c r="BN818" s="6" t="e">
        <f t="shared" si="71"/>
        <v>#DIV/0!</v>
      </c>
    </row>
    <row r="819" spans="49:66" x14ac:dyDescent="0.3">
      <c r="AW819">
        <f t="shared" si="70"/>
        <v>0</v>
      </c>
      <c r="AX819">
        <v>816</v>
      </c>
      <c r="AY819" s="4">
        <f t="shared" si="68"/>
        <v>41379</v>
      </c>
      <c r="AZ819" s="6" t="e">
        <f t="shared" si="69"/>
        <v>#DIV/0!</v>
      </c>
      <c r="BA819" s="4">
        <v>41379</v>
      </c>
      <c r="BB819" s="6">
        <v>-1.0273289999999999</v>
      </c>
      <c r="BC819" s="6">
        <v>-1.4042060000000001</v>
      </c>
      <c r="BD819" s="6">
        <v>-1.352495</v>
      </c>
      <c r="BE819" s="6"/>
      <c r="BF819" s="6"/>
      <c r="BG819" s="6"/>
      <c r="BH819" s="6"/>
      <c r="BI819" s="6"/>
      <c r="BJ819" s="6"/>
      <c r="BK819" s="6"/>
      <c r="BL819" s="6"/>
      <c r="BM819" s="6"/>
      <c r="BN819" s="6" t="e">
        <f t="shared" si="71"/>
        <v>#DIV/0!</v>
      </c>
    </row>
    <row r="820" spans="49:66" x14ac:dyDescent="0.3">
      <c r="AW820">
        <f t="shared" si="70"/>
        <v>0</v>
      </c>
      <c r="AX820">
        <v>817</v>
      </c>
      <c r="AY820" s="4">
        <f t="shared" si="68"/>
        <v>41380</v>
      </c>
      <c r="AZ820" s="6" t="e">
        <f t="shared" si="69"/>
        <v>#DIV/0!</v>
      </c>
      <c r="BA820" s="4">
        <v>41380</v>
      </c>
      <c r="BB820" s="6">
        <v>0.93457900000000005</v>
      </c>
      <c r="BC820" s="6">
        <v>1.0825100000000001</v>
      </c>
      <c r="BD820" s="6">
        <v>0.982298</v>
      </c>
      <c r="BE820" s="6"/>
      <c r="BF820" s="6"/>
      <c r="BG820" s="6"/>
      <c r="BH820" s="6"/>
      <c r="BI820" s="6"/>
      <c r="BJ820" s="6"/>
      <c r="BK820" s="6"/>
      <c r="BL820" s="6"/>
      <c r="BM820" s="6"/>
      <c r="BN820" s="6" t="e">
        <f t="shared" si="71"/>
        <v>#DIV/0!</v>
      </c>
    </row>
    <row r="821" spans="49:66" x14ac:dyDescent="0.3">
      <c r="AW821">
        <f t="shared" si="70"/>
        <v>0</v>
      </c>
      <c r="AX821">
        <v>818</v>
      </c>
      <c r="AY821" s="4">
        <f t="shared" si="68"/>
        <v>41381</v>
      </c>
      <c r="AZ821" s="6" t="e">
        <f t="shared" si="69"/>
        <v>#DIV/0!</v>
      </c>
      <c r="BA821" s="4">
        <v>41381</v>
      </c>
      <c r="BB821" s="6">
        <v>-4.5495000000000001E-2</v>
      </c>
      <c r="BC821" s="6">
        <v>0.86710900000000002</v>
      </c>
      <c r="BD821" s="6">
        <v>1.103882</v>
      </c>
      <c r="BE821" s="6"/>
      <c r="BF821" s="6"/>
      <c r="BG821" s="6"/>
      <c r="BH821" s="6"/>
      <c r="BI821" s="6"/>
      <c r="BJ821" s="6"/>
      <c r="BK821" s="6"/>
      <c r="BL821" s="6"/>
      <c r="BM821" s="6"/>
      <c r="BN821" s="6" t="e">
        <f t="shared" si="71"/>
        <v>#DIV/0!</v>
      </c>
    </row>
    <row r="822" spans="49:66" x14ac:dyDescent="0.3">
      <c r="AW822">
        <f t="shared" si="70"/>
        <v>0</v>
      </c>
      <c r="AX822">
        <v>819</v>
      </c>
      <c r="AY822" s="4">
        <f t="shared" si="68"/>
        <v>41382</v>
      </c>
      <c r="AZ822" s="6" t="e">
        <f t="shared" si="69"/>
        <v>#DIV/0!</v>
      </c>
      <c r="BA822" s="4">
        <v>41382</v>
      </c>
      <c r="BB822" s="6">
        <v>0.25942900000000002</v>
      </c>
      <c r="BC822" s="6">
        <v>0.31051299999999998</v>
      </c>
      <c r="BD822" s="6">
        <v>0.32996300000000001</v>
      </c>
      <c r="BE822" s="6"/>
      <c r="BF822" s="6"/>
      <c r="BG822" s="6"/>
      <c r="BH822" s="6"/>
      <c r="BI822" s="6"/>
      <c r="BJ822" s="6"/>
      <c r="BK822" s="6"/>
      <c r="BL822" s="6"/>
      <c r="BM822" s="6"/>
      <c r="BN822" s="6" t="e">
        <f t="shared" si="71"/>
        <v>#DIV/0!</v>
      </c>
    </row>
    <row r="823" spans="49:66" x14ac:dyDescent="0.3">
      <c r="AW823">
        <f t="shared" si="70"/>
        <v>0</v>
      </c>
      <c r="AX823">
        <v>820</v>
      </c>
      <c r="AY823" s="4">
        <f t="shared" si="68"/>
        <v>41383</v>
      </c>
      <c r="AZ823" s="6" t="e">
        <f t="shared" si="69"/>
        <v>#DIV/0!</v>
      </c>
      <c r="BA823" s="4">
        <v>41383</v>
      </c>
      <c r="BB823" s="6">
        <v>2.798384</v>
      </c>
      <c r="BC823" s="6">
        <v>2.1101299999999998</v>
      </c>
      <c r="BD823" s="6">
        <v>1.9273940000000001</v>
      </c>
      <c r="BE823" s="6"/>
      <c r="BF823" s="6"/>
      <c r="BG823" s="6"/>
      <c r="BH823" s="6"/>
      <c r="BI823" s="6"/>
      <c r="BJ823" s="6"/>
      <c r="BK823" s="6"/>
      <c r="BL823" s="6"/>
      <c r="BM823" s="6"/>
      <c r="BN823" s="6" t="e">
        <f t="shared" si="71"/>
        <v>#DIV/0!</v>
      </c>
    </row>
    <row r="824" spans="49:66" x14ac:dyDescent="0.3">
      <c r="AW824">
        <f t="shared" si="70"/>
        <v>0</v>
      </c>
      <c r="AX824">
        <v>821</v>
      </c>
      <c r="AY824" s="4">
        <f t="shared" si="68"/>
        <v>41386</v>
      </c>
      <c r="AZ824" s="6" t="e">
        <f t="shared" si="69"/>
        <v>#DIV/0!</v>
      </c>
      <c r="BA824" s="4">
        <v>41386</v>
      </c>
      <c r="BB824" s="6">
        <v>-0.124594</v>
      </c>
      <c r="BC824" s="6">
        <v>0.468694</v>
      </c>
      <c r="BD824" s="6">
        <v>1.075814</v>
      </c>
      <c r="BE824" s="6"/>
      <c r="BF824" s="6"/>
      <c r="BG824" s="6"/>
      <c r="BH824" s="6"/>
      <c r="BI824" s="6"/>
      <c r="BJ824" s="6"/>
      <c r="BK824" s="6"/>
      <c r="BL824" s="6"/>
      <c r="BM824" s="6"/>
      <c r="BN824" s="6" t="e">
        <f t="shared" si="71"/>
        <v>#DIV/0!</v>
      </c>
    </row>
    <row r="825" spans="49:66" x14ac:dyDescent="0.3">
      <c r="AW825">
        <f t="shared" si="70"/>
        <v>0</v>
      </c>
      <c r="AX825">
        <v>822</v>
      </c>
      <c r="AY825" s="4">
        <f t="shared" si="68"/>
        <v>41387</v>
      </c>
      <c r="AZ825" s="6" t="e">
        <f t="shared" si="69"/>
        <v>#DIV/0!</v>
      </c>
      <c r="BA825" s="4">
        <v>41387</v>
      </c>
      <c r="BB825" s="6">
        <v>-3.2085970000000001</v>
      </c>
      <c r="BC825" s="6">
        <v>-2.7102840000000001</v>
      </c>
      <c r="BD825" s="6">
        <v>-2.8394629999999998</v>
      </c>
      <c r="BE825" s="6"/>
      <c r="BF825" s="6"/>
      <c r="BG825" s="6"/>
      <c r="BH825" s="6"/>
      <c r="BI825" s="6"/>
      <c r="BJ825" s="6"/>
      <c r="BK825" s="6"/>
      <c r="BL825" s="6"/>
      <c r="BM825" s="6"/>
      <c r="BN825" s="6" t="e">
        <f t="shared" si="71"/>
        <v>#DIV/0!</v>
      </c>
    </row>
    <row r="826" spans="49:66" x14ac:dyDescent="0.3">
      <c r="AW826">
        <f t="shared" si="70"/>
        <v>0</v>
      </c>
      <c r="AX826">
        <v>823</v>
      </c>
      <c r="AY826" s="4">
        <f t="shared" si="68"/>
        <v>41388</v>
      </c>
      <c r="AZ826" s="6" t="e">
        <f t="shared" si="69"/>
        <v>#DIV/0!</v>
      </c>
      <c r="BA826" s="4">
        <v>41388</v>
      </c>
      <c r="BB826" s="6">
        <v>1.882366</v>
      </c>
      <c r="BC826" s="6">
        <v>1.993854</v>
      </c>
      <c r="BD826" s="6">
        <v>2.317215</v>
      </c>
      <c r="BE826" s="6"/>
      <c r="BF826" s="6"/>
      <c r="BG826" s="6"/>
      <c r="BH826" s="6"/>
      <c r="BI826" s="6"/>
      <c r="BJ826" s="6"/>
      <c r="BK826" s="6"/>
      <c r="BL826" s="6"/>
      <c r="BM826" s="6"/>
      <c r="BN826" s="6" t="e">
        <f t="shared" si="71"/>
        <v>#DIV/0!</v>
      </c>
    </row>
    <row r="827" spans="49:66" x14ac:dyDescent="0.3">
      <c r="AW827">
        <f t="shared" si="70"/>
        <v>0</v>
      </c>
      <c r="AX827">
        <v>824</v>
      </c>
      <c r="AY827" s="4">
        <f t="shared" si="68"/>
        <v>41389</v>
      </c>
      <c r="AZ827" s="6" t="e">
        <f t="shared" si="69"/>
        <v>#DIV/0!</v>
      </c>
      <c r="BA827" s="4">
        <v>41389</v>
      </c>
      <c r="BB827" s="6">
        <v>-1.110123</v>
      </c>
      <c r="BC827" s="6">
        <v>-1.5257849999999999</v>
      </c>
      <c r="BD827" s="6">
        <v>-1.8684959999999999</v>
      </c>
      <c r="BE827" s="6"/>
      <c r="BF827" s="6"/>
      <c r="BG827" s="6"/>
      <c r="BH827" s="6"/>
      <c r="BI827" s="6"/>
      <c r="BJ827" s="6"/>
      <c r="BK827" s="6"/>
      <c r="BL827" s="6"/>
      <c r="BM827" s="6"/>
      <c r="BN827" s="6" t="e">
        <f t="shared" si="71"/>
        <v>#DIV/0!</v>
      </c>
    </row>
    <row r="828" spans="49:66" x14ac:dyDescent="0.3">
      <c r="AW828">
        <f t="shared" si="70"/>
        <v>0</v>
      </c>
      <c r="AX828">
        <v>825</v>
      </c>
      <c r="AY828" s="4">
        <f t="shared" si="68"/>
        <v>41390</v>
      </c>
      <c r="AZ828" s="6" t="e">
        <f t="shared" si="69"/>
        <v>#DIV/0!</v>
      </c>
      <c r="BA828" s="4">
        <v>41390</v>
      </c>
      <c r="BB828" s="6">
        <v>-0.83347000000000004</v>
      </c>
      <c r="BC828" s="6">
        <v>-1.85449</v>
      </c>
      <c r="BD828" s="6">
        <v>-1.9724429999999999</v>
      </c>
      <c r="BE828" s="6"/>
      <c r="BF828" s="6"/>
      <c r="BG828" s="6"/>
      <c r="BH828" s="6"/>
      <c r="BI828" s="6"/>
      <c r="BJ828" s="6"/>
      <c r="BK828" s="6"/>
      <c r="BL828" s="6"/>
      <c r="BM828" s="6"/>
      <c r="BN828" s="6" t="e">
        <f t="shared" si="71"/>
        <v>#DIV/0!</v>
      </c>
    </row>
    <row r="829" spans="49:66" x14ac:dyDescent="0.3">
      <c r="AW829">
        <f t="shared" si="70"/>
        <v>0</v>
      </c>
      <c r="AX829">
        <v>826</v>
      </c>
      <c r="AY829" s="4">
        <f t="shared" si="68"/>
        <v>41396</v>
      </c>
      <c r="AZ829" s="6" t="e">
        <f t="shared" si="69"/>
        <v>#DIV/0!</v>
      </c>
      <c r="BA829" s="4">
        <v>41396</v>
      </c>
      <c r="BB829" s="6">
        <v>9.5328999999999997E-2</v>
      </c>
      <c r="BC829" s="6">
        <v>0.46416499999999999</v>
      </c>
      <c r="BD829" s="6">
        <v>1.0933710000000001</v>
      </c>
      <c r="BE829" s="6"/>
      <c r="BF829" s="6"/>
      <c r="BG829" s="6"/>
      <c r="BH829" s="6"/>
      <c r="BI829" s="6"/>
      <c r="BJ829" s="6"/>
      <c r="BK829" s="6"/>
      <c r="BL829" s="6"/>
      <c r="BM829" s="6"/>
      <c r="BN829" s="6" t="e">
        <f t="shared" si="71"/>
        <v>#DIV/0!</v>
      </c>
    </row>
    <row r="830" spans="49:66" x14ac:dyDescent="0.3">
      <c r="AW830">
        <f t="shared" si="70"/>
        <v>0</v>
      </c>
      <c r="AX830">
        <v>827</v>
      </c>
      <c r="AY830" s="4">
        <f t="shared" si="68"/>
        <v>41397</v>
      </c>
      <c r="AZ830" s="6" t="e">
        <f t="shared" si="69"/>
        <v>#DIV/0!</v>
      </c>
      <c r="BA830" s="4">
        <v>41397</v>
      </c>
      <c r="BB830" s="6">
        <v>1.766505</v>
      </c>
      <c r="BC830" s="6">
        <v>1.9282980000000001</v>
      </c>
      <c r="BD830" s="6">
        <v>2.1753079999999998</v>
      </c>
      <c r="BE830" s="6"/>
      <c r="BF830" s="6"/>
      <c r="BG830" s="6"/>
      <c r="BH830" s="6"/>
      <c r="BI830" s="6"/>
      <c r="BJ830" s="6"/>
      <c r="BK830" s="6"/>
      <c r="BL830" s="6"/>
      <c r="BM830" s="6"/>
      <c r="BN830" s="6" t="e">
        <f t="shared" si="71"/>
        <v>#DIV/0!</v>
      </c>
    </row>
    <row r="831" spans="49:66" x14ac:dyDescent="0.3">
      <c r="AW831">
        <f t="shared" si="70"/>
        <v>0</v>
      </c>
      <c r="AX831">
        <v>828</v>
      </c>
      <c r="AY831" s="4">
        <f t="shared" si="68"/>
        <v>41400</v>
      </c>
      <c r="AZ831" s="6" t="e">
        <f t="shared" si="69"/>
        <v>#DIV/0!</v>
      </c>
      <c r="BA831" s="4">
        <v>41400</v>
      </c>
      <c r="BB831" s="6">
        <v>1.3266009999999999</v>
      </c>
      <c r="BC831" s="6">
        <v>1.9084909999999999</v>
      </c>
      <c r="BD831" s="6">
        <v>1.88541</v>
      </c>
      <c r="BE831" s="6"/>
      <c r="BF831" s="6"/>
      <c r="BG831" s="6"/>
      <c r="BH831" s="6"/>
      <c r="BI831" s="6"/>
      <c r="BJ831" s="6"/>
      <c r="BK831" s="6"/>
      <c r="BL831" s="6"/>
      <c r="BM831" s="6"/>
      <c r="BN831" s="6" t="e">
        <f t="shared" si="71"/>
        <v>#DIV/0!</v>
      </c>
    </row>
    <row r="832" spans="49:66" x14ac:dyDescent="0.3">
      <c r="AW832">
        <f t="shared" si="70"/>
        <v>0</v>
      </c>
      <c r="AX832">
        <v>829</v>
      </c>
      <c r="AY832" s="4">
        <f t="shared" si="68"/>
        <v>41401</v>
      </c>
      <c r="AZ832" s="6" t="e">
        <f t="shared" si="69"/>
        <v>#DIV/0!</v>
      </c>
      <c r="BA832" s="4">
        <v>41401</v>
      </c>
      <c r="BB832" s="6">
        <v>0.15657299999999999</v>
      </c>
      <c r="BC832" s="6">
        <v>0.19974600000000001</v>
      </c>
      <c r="BD832" s="6">
        <v>0.31273800000000002</v>
      </c>
      <c r="BE832" s="6"/>
      <c r="BF832" s="6"/>
      <c r="BG832" s="6"/>
      <c r="BH832" s="6"/>
      <c r="BI832" s="6"/>
      <c r="BJ832" s="6"/>
      <c r="BK832" s="6"/>
      <c r="BL832" s="6"/>
      <c r="BM832" s="6"/>
      <c r="BN832" s="6" t="e">
        <f t="shared" si="71"/>
        <v>#DIV/0!</v>
      </c>
    </row>
    <row r="833" spans="49:66" x14ac:dyDescent="0.3">
      <c r="AW833">
        <f t="shared" si="70"/>
        <v>0</v>
      </c>
      <c r="AX833">
        <v>830</v>
      </c>
      <c r="AY833" s="4">
        <f t="shared" si="68"/>
        <v>41402</v>
      </c>
      <c r="AZ833" s="6" t="e">
        <f t="shared" si="69"/>
        <v>#DIV/0!</v>
      </c>
      <c r="BA833" s="4">
        <v>41402</v>
      </c>
      <c r="BB833" s="6">
        <v>0.50831300000000001</v>
      </c>
      <c r="BC833" s="6">
        <v>0.91924499999999998</v>
      </c>
      <c r="BD833" s="6">
        <v>1.259611</v>
      </c>
      <c r="BE833" s="6"/>
      <c r="BF833" s="6"/>
      <c r="BG833" s="6"/>
      <c r="BH833" s="6"/>
      <c r="BI833" s="6"/>
      <c r="BJ833" s="6"/>
      <c r="BK833" s="6"/>
      <c r="BL833" s="6"/>
      <c r="BM833" s="6"/>
      <c r="BN833" s="6" t="e">
        <f t="shared" si="71"/>
        <v>#DIV/0!</v>
      </c>
    </row>
    <row r="834" spans="49:66" x14ac:dyDescent="0.3">
      <c r="AW834">
        <f t="shared" si="70"/>
        <v>0</v>
      </c>
      <c r="AX834">
        <v>831</v>
      </c>
      <c r="AY834" s="4">
        <f t="shared" si="68"/>
        <v>41403</v>
      </c>
      <c r="AZ834" s="6" t="e">
        <f t="shared" si="69"/>
        <v>#DIV/0!</v>
      </c>
      <c r="BA834" s="4">
        <v>41403</v>
      </c>
      <c r="BB834" s="6">
        <v>-0.590059</v>
      </c>
      <c r="BC834" s="6">
        <v>5.4053999999999998E-2</v>
      </c>
      <c r="BD834" s="6">
        <v>0.39118000000000003</v>
      </c>
      <c r="BE834" s="6"/>
      <c r="BF834" s="6"/>
      <c r="BG834" s="6"/>
      <c r="BH834" s="6"/>
      <c r="BI834" s="6"/>
      <c r="BJ834" s="6"/>
      <c r="BK834" s="6"/>
      <c r="BL834" s="6"/>
      <c r="BM834" s="6"/>
      <c r="BN834" s="6" t="e">
        <f t="shared" si="71"/>
        <v>#DIV/0!</v>
      </c>
    </row>
    <row r="835" spans="49:66" x14ac:dyDescent="0.3">
      <c r="AW835">
        <f t="shared" si="70"/>
        <v>0</v>
      </c>
      <c r="AX835">
        <v>832</v>
      </c>
      <c r="AY835" s="4">
        <f t="shared" si="68"/>
        <v>41404</v>
      </c>
      <c r="AZ835" s="6" t="e">
        <f t="shared" si="69"/>
        <v>#DIV/0!</v>
      </c>
      <c r="BA835" s="4">
        <v>41404</v>
      </c>
      <c r="BB835" s="6">
        <v>0.51594399999999996</v>
      </c>
      <c r="BC835" s="6">
        <v>0.60628199999999999</v>
      </c>
      <c r="BD835" s="6">
        <v>0.49173899999999998</v>
      </c>
      <c r="BE835" s="6"/>
      <c r="BF835" s="6"/>
      <c r="BG835" s="6"/>
      <c r="BH835" s="6"/>
      <c r="BI835" s="6"/>
      <c r="BJ835" s="6"/>
      <c r="BK835" s="6"/>
      <c r="BL835" s="6"/>
      <c r="BM835" s="6"/>
      <c r="BN835" s="6" t="e">
        <f t="shared" si="71"/>
        <v>#DIV/0!</v>
      </c>
    </row>
    <row r="836" spans="49:66" x14ac:dyDescent="0.3">
      <c r="AW836">
        <f t="shared" si="70"/>
        <v>0</v>
      </c>
      <c r="AX836">
        <v>833</v>
      </c>
      <c r="AY836" s="4">
        <f t="shared" si="68"/>
        <v>41407</v>
      </c>
      <c r="AZ836" s="6" t="e">
        <f t="shared" si="69"/>
        <v>#DIV/0!</v>
      </c>
      <c r="BA836" s="4">
        <v>41407</v>
      </c>
      <c r="BB836" s="6">
        <v>-0.39624799999999999</v>
      </c>
      <c r="BC836" s="6">
        <v>0.375448</v>
      </c>
      <c r="BD836" s="6">
        <v>0.63242799999999999</v>
      </c>
      <c r="BE836" s="6"/>
      <c r="BF836" s="6"/>
      <c r="BG836" s="6"/>
      <c r="BH836" s="6"/>
      <c r="BI836" s="6"/>
      <c r="BJ836" s="6"/>
      <c r="BK836" s="6"/>
      <c r="BL836" s="6"/>
      <c r="BM836" s="6"/>
      <c r="BN836" s="6" t="e">
        <f t="shared" si="71"/>
        <v>#DIV/0!</v>
      </c>
    </row>
    <row r="837" spans="49:66" x14ac:dyDescent="0.3">
      <c r="AW837">
        <f t="shared" si="70"/>
        <v>0</v>
      </c>
      <c r="AX837">
        <v>834</v>
      </c>
      <c r="AY837" s="4">
        <f t="shared" ref="AY837:AY900" si="72">BA837</f>
        <v>41408</v>
      </c>
      <c r="AZ837" s="6" t="e">
        <f t="shared" ref="AZ837:AZ900" si="73">BN837</f>
        <v>#DIV/0!</v>
      </c>
      <c r="BA837" s="4">
        <v>41408</v>
      </c>
      <c r="BB837" s="6">
        <v>-1.478998</v>
      </c>
      <c r="BC837" s="6">
        <v>-1.1544920000000001</v>
      </c>
      <c r="BD837" s="6">
        <v>-1.197926</v>
      </c>
      <c r="BE837" s="6"/>
      <c r="BF837" s="6"/>
      <c r="BG837" s="6"/>
      <c r="BH837" s="6"/>
      <c r="BI837" s="6"/>
      <c r="BJ837" s="6"/>
      <c r="BK837" s="6"/>
      <c r="BL837" s="6"/>
      <c r="BM837" s="6"/>
      <c r="BN837" s="6" t="e">
        <f t="shared" si="71"/>
        <v>#DIV/0!</v>
      </c>
    </row>
    <row r="838" spans="49:66" x14ac:dyDescent="0.3">
      <c r="AW838">
        <f t="shared" ref="AW838:AW901" si="74">IF(AY838&lt;=AY837,1,0)</f>
        <v>0</v>
      </c>
      <c r="AX838">
        <v>835</v>
      </c>
      <c r="AY838" s="4">
        <f t="shared" si="72"/>
        <v>41409</v>
      </c>
      <c r="AZ838" s="6" t="e">
        <f t="shared" si="73"/>
        <v>#DIV/0!</v>
      </c>
      <c r="BA838" s="4">
        <v>41409</v>
      </c>
      <c r="BB838" s="6">
        <v>0.54493199999999997</v>
      </c>
      <c r="BC838" s="6">
        <v>1.3468279999999999</v>
      </c>
      <c r="BD838" s="6">
        <v>1.650665</v>
      </c>
      <c r="BE838" s="6"/>
      <c r="BF838" s="6"/>
      <c r="BG838" s="6"/>
      <c r="BH838" s="6"/>
      <c r="BI838" s="6"/>
      <c r="BJ838" s="6"/>
      <c r="BK838" s="6"/>
      <c r="BL838" s="6"/>
      <c r="BM838" s="6"/>
      <c r="BN838" s="6" t="e">
        <f t="shared" ref="BN838:BN901" si="75">(BM838/BM837-1)*100</f>
        <v>#DIV/0!</v>
      </c>
    </row>
    <row r="839" spans="49:66" x14ac:dyDescent="0.3">
      <c r="AW839">
        <f t="shared" si="74"/>
        <v>0</v>
      </c>
      <c r="AX839">
        <v>836</v>
      </c>
      <c r="AY839" s="4">
        <f t="shared" si="72"/>
        <v>41410</v>
      </c>
      <c r="AZ839" s="6" t="e">
        <f t="shared" si="73"/>
        <v>#DIV/0!</v>
      </c>
      <c r="BA839" s="4">
        <v>41410</v>
      </c>
      <c r="BB839" s="6">
        <v>1.826301</v>
      </c>
      <c r="BC839" s="6">
        <v>1.0744469999999999</v>
      </c>
      <c r="BD839" s="6">
        <v>0.60965899999999995</v>
      </c>
      <c r="BE839" s="6"/>
      <c r="BF839" s="6"/>
      <c r="BG839" s="6"/>
      <c r="BH839" s="6"/>
      <c r="BI839" s="6"/>
      <c r="BJ839" s="6"/>
      <c r="BK839" s="6"/>
      <c r="BL839" s="6"/>
      <c r="BM839" s="6"/>
      <c r="BN839" s="6" t="e">
        <f t="shared" si="75"/>
        <v>#DIV/0!</v>
      </c>
    </row>
    <row r="840" spans="49:66" x14ac:dyDescent="0.3">
      <c r="AW840">
        <f t="shared" si="74"/>
        <v>0</v>
      </c>
      <c r="AX840">
        <v>837</v>
      </c>
      <c r="AY840" s="4">
        <f t="shared" si="72"/>
        <v>41411</v>
      </c>
      <c r="AZ840" s="6" t="e">
        <f t="shared" si="73"/>
        <v>#DIV/0!</v>
      </c>
      <c r="BA840" s="4">
        <v>41411</v>
      </c>
      <c r="BB840" s="6">
        <v>1.541069</v>
      </c>
      <c r="BC840" s="6">
        <v>1.5304660000000001</v>
      </c>
      <c r="BD840" s="6">
        <v>1.347426</v>
      </c>
      <c r="BE840" s="6"/>
      <c r="BF840" s="6"/>
      <c r="BG840" s="6"/>
      <c r="BH840" s="6"/>
      <c r="BI840" s="6"/>
      <c r="BJ840" s="6"/>
      <c r="BK840" s="6"/>
      <c r="BL840" s="6"/>
      <c r="BM840" s="6"/>
      <c r="BN840" s="6" t="e">
        <f t="shared" si="75"/>
        <v>#DIV/0!</v>
      </c>
    </row>
    <row r="841" spans="49:66" x14ac:dyDescent="0.3">
      <c r="AW841">
        <f t="shared" si="74"/>
        <v>0</v>
      </c>
      <c r="AX841">
        <v>838</v>
      </c>
      <c r="AY841" s="4">
        <f t="shared" si="72"/>
        <v>41414</v>
      </c>
      <c r="AZ841" s="6" t="e">
        <f t="shared" si="73"/>
        <v>#DIV/0!</v>
      </c>
      <c r="BA841" s="4">
        <v>41414</v>
      </c>
      <c r="BB841" s="6">
        <v>0.67741799999999996</v>
      </c>
      <c r="BC841" s="6">
        <v>1.2555940000000001</v>
      </c>
      <c r="BD841" s="6">
        <v>1.827483</v>
      </c>
      <c r="BE841" s="6"/>
      <c r="BF841" s="6"/>
      <c r="BG841" s="6"/>
      <c r="BH841" s="6"/>
      <c r="BI841" s="6"/>
      <c r="BJ841" s="6"/>
      <c r="BK841" s="6"/>
      <c r="BL841" s="6"/>
      <c r="BM841" s="6"/>
      <c r="BN841" s="6" t="e">
        <f t="shared" si="75"/>
        <v>#DIV/0!</v>
      </c>
    </row>
    <row r="842" spans="49:66" x14ac:dyDescent="0.3">
      <c r="AW842">
        <f t="shared" si="74"/>
        <v>0</v>
      </c>
      <c r="AX842">
        <v>839</v>
      </c>
      <c r="AY842" s="4">
        <f t="shared" si="72"/>
        <v>41415</v>
      </c>
      <c r="AZ842" s="6" t="e">
        <f t="shared" si="73"/>
        <v>#DIV/0!</v>
      </c>
      <c r="BA842" s="4">
        <v>41415</v>
      </c>
      <c r="BB842" s="6">
        <v>0.20102600000000001</v>
      </c>
      <c r="BC842" s="6">
        <v>1.3192699999999999</v>
      </c>
      <c r="BD842" s="6">
        <v>1.5429580000000001</v>
      </c>
      <c r="BE842" s="6"/>
      <c r="BF842" s="6"/>
      <c r="BG842" s="6"/>
      <c r="BH842" s="6"/>
      <c r="BI842" s="6"/>
      <c r="BJ842" s="6"/>
      <c r="BK842" s="6"/>
      <c r="BL842" s="6"/>
      <c r="BM842" s="6"/>
      <c r="BN842" s="6" t="e">
        <f t="shared" si="75"/>
        <v>#DIV/0!</v>
      </c>
    </row>
    <row r="843" spans="49:66" x14ac:dyDescent="0.3">
      <c r="AW843">
        <f t="shared" si="74"/>
        <v>0</v>
      </c>
      <c r="AX843">
        <v>840</v>
      </c>
      <c r="AY843" s="4">
        <f t="shared" si="72"/>
        <v>41416</v>
      </c>
      <c r="AZ843" s="6" t="e">
        <f t="shared" si="73"/>
        <v>#DIV/0!</v>
      </c>
      <c r="BA843" s="4">
        <v>41416</v>
      </c>
      <c r="BB843" s="6">
        <v>0.121651</v>
      </c>
      <c r="BC843" s="6">
        <v>-0.82346200000000003</v>
      </c>
      <c r="BD843" s="6">
        <v>-1.375075</v>
      </c>
      <c r="BE843" s="6"/>
      <c r="BF843" s="6"/>
      <c r="BG843" s="6"/>
      <c r="BH843" s="6"/>
      <c r="BI843" s="6"/>
      <c r="BJ843" s="6"/>
      <c r="BK843" s="6"/>
      <c r="BL843" s="6"/>
      <c r="BM843" s="6"/>
      <c r="BN843" s="6" t="e">
        <f t="shared" si="75"/>
        <v>#DIV/0!</v>
      </c>
    </row>
    <row r="844" spans="49:66" x14ac:dyDescent="0.3">
      <c r="AW844">
        <f t="shared" si="74"/>
        <v>0</v>
      </c>
      <c r="AX844">
        <v>841</v>
      </c>
      <c r="AY844" s="4">
        <f t="shared" si="72"/>
        <v>41417</v>
      </c>
      <c r="AZ844" s="6" t="e">
        <f t="shared" si="73"/>
        <v>#DIV/0!</v>
      </c>
      <c r="BA844" s="4">
        <v>41417</v>
      </c>
      <c r="BB844" s="6">
        <v>-1.343947</v>
      </c>
      <c r="BC844" s="6">
        <v>-0.84254700000000005</v>
      </c>
      <c r="BD844" s="6">
        <v>-0.53737900000000005</v>
      </c>
      <c r="BE844" s="6"/>
      <c r="BF844" s="6"/>
      <c r="BG844" s="6"/>
      <c r="BH844" s="6"/>
      <c r="BI844" s="6"/>
      <c r="BJ844" s="6"/>
      <c r="BK844" s="6"/>
      <c r="BL844" s="6"/>
      <c r="BM844" s="6"/>
      <c r="BN844" s="6" t="e">
        <f t="shared" si="75"/>
        <v>#DIV/0!</v>
      </c>
    </row>
    <row r="845" spans="49:66" x14ac:dyDescent="0.3">
      <c r="AW845">
        <f t="shared" si="74"/>
        <v>0</v>
      </c>
      <c r="AX845">
        <v>842</v>
      </c>
      <c r="AY845" s="4">
        <f t="shared" si="72"/>
        <v>41418</v>
      </c>
      <c r="AZ845" s="6" t="e">
        <f t="shared" si="73"/>
        <v>#DIV/0!</v>
      </c>
      <c r="BA845" s="4">
        <v>41418</v>
      </c>
      <c r="BB845" s="6">
        <v>0.55671099999999996</v>
      </c>
      <c r="BC845" s="6">
        <v>1.5531269999999999</v>
      </c>
      <c r="BD845" s="6">
        <v>1.7557160000000001</v>
      </c>
      <c r="BE845" s="6"/>
      <c r="BF845" s="6"/>
      <c r="BG845" s="6"/>
      <c r="BH845" s="6"/>
      <c r="BI845" s="6"/>
      <c r="BJ845" s="6"/>
      <c r="BK845" s="6"/>
      <c r="BL845" s="6"/>
      <c r="BM845" s="6"/>
      <c r="BN845" s="6" t="e">
        <f t="shared" si="75"/>
        <v>#DIV/0!</v>
      </c>
    </row>
    <row r="846" spans="49:66" x14ac:dyDescent="0.3">
      <c r="AW846">
        <f t="shared" si="74"/>
        <v>0</v>
      </c>
      <c r="AX846">
        <v>843</v>
      </c>
      <c r="AY846" s="4">
        <f t="shared" si="72"/>
        <v>41421</v>
      </c>
      <c r="AZ846" s="6" t="e">
        <f t="shared" si="73"/>
        <v>#DIV/0!</v>
      </c>
      <c r="BA846" s="4">
        <v>41421</v>
      </c>
      <c r="BB846" s="6">
        <v>9.0828000000000006E-2</v>
      </c>
      <c r="BC846" s="6">
        <v>1.0141530000000001</v>
      </c>
      <c r="BD846" s="6">
        <v>1.2011909999999999</v>
      </c>
      <c r="BE846" s="6"/>
      <c r="BF846" s="6"/>
      <c r="BG846" s="6"/>
      <c r="BH846" s="6"/>
      <c r="BI846" s="6"/>
      <c r="BJ846" s="6"/>
      <c r="BK846" s="6"/>
      <c r="BL846" s="6"/>
      <c r="BM846" s="6"/>
      <c r="BN846" s="6" t="e">
        <f t="shared" si="75"/>
        <v>#DIV/0!</v>
      </c>
    </row>
    <row r="847" spans="49:66" x14ac:dyDescent="0.3">
      <c r="AW847">
        <f t="shared" si="74"/>
        <v>0</v>
      </c>
      <c r="AX847">
        <v>844</v>
      </c>
      <c r="AY847" s="4">
        <f t="shared" si="72"/>
        <v>41422</v>
      </c>
      <c r="AZ847" s="6" t="e">
        <f t="shared" si="73"/>
        <v>#DIV/0!</v>
      </c>
      <c r="BA847" s="4">
        <v>41422</v>
      </c>
      <c r="BB847" s="6">
        <v>1.7222740000000001</v>
      </c>
      <c r="BC847" s="6">
        <v>0.19251799999999999</v>
      </c>
      <c r="BD847" s="6">
        <v>-0.73805500000000002</v>
      </c>
      <c r="BE847" s="6"/>
      <c r="BF847" s="6"/>
      <c r="BG847" s="6"/>
      <c r="BH847" s="6"/>
      <c r="BI847" s="6"/>
      <c r="BJ847" s="6"/>
      <c r="BK847" s="6"/>
      <c r="BL847" s="6"/>
      <c r="BM847" s="6"/>
      <c r="BN847" s="6" t="e">
        <f t="shared" si="75"/>
        <v>#DIV/0!</v>
      </c>
    </row>
    <row r="848" spans="49:66" x14ac:dyDescent="0.3">
      <c r="AW848">
        <f t="shared" si="74"/>
        <v>0</v>
      </c>
      <c r="AX848">
        <v>845</v>
      </c>
      <c r="AY848" s="4">
        <f t="shared" si="72"/>
        <v>41423</v>
      </c>
      <c r="AZ848" s="6" t="e">
        <f t="shared" si="73"/>
        <v>#DIV/0!</v>
      </c>
      <c r="BA848" s="4">
        <v>41423</v>
      </c>
      <c r="BB848" s="6">
        <v>-6.7993999999999999E-2</v>
      </c>
      <c r="BC848" s="6">
        <v>0.74552300000000005</v>
      </c>
      <c r="BD848" s="6">
        <v>0.81124799999999997</v>
      </c>
      <c r="BE848" s="6"/>
      <c r="BF848" s="6"/>
      <c r="BG848" s="6"/>
      <c r="BH848" s="6"/>
      <c r="BI848" s="6"/>
      <c r="BJ848" s="6"/>
      <c r="BK848" s="6"/>
      <c r="BL848" s="6"/>
      <c r="BM848" s="6"/>
      <c r="BN848" s="6" t="e">
        <f t="shared" si="75"/>
        <v>#DIV/0!</v>
      </c>
    </row>
    <row r="849" spans="49:66" x14ac:dyDescent="0.3">
      <c r="AW849">
        <f t="shared" si="74"/>
        <v>0</v>
      </c>
      <c r="AX849">
        <v>846</v>
      </c>
      <c r="AY849" s="4">
        <f t="shared" si="72"/>
        <v>41424</v>
      </c>
      <c r="AZ849" s="6" t="e">
        <f t="shared" si="73"/>
        <v>#DIV/0!</v>
      </c>
      <c r="BA849" s="4">
        <v>41424</v>
      </c>
      <c r="BB849" s="6">
        <v>-0.31174299999999999</v>
      </c>
      <c r="BC849" s="6">
        <v>0.22858600000000001</v>
      </c>
      <c r="BD849" s="6">
        <v>0.41003699999999998</v>
      </c>
      <c r="BE849" s="6"/>
      <c r="BF849" s="6"/>
      <c r="BG849" s="6"/>
      <c r="BH849" s="6"/>
      <c r="BI849" s="6"/>
      <c r="BJ849" s="6"/>
      <c r="BK849" s="6"/>
      <c r="BL849" s="6"/>
      <c r="BM849" s="6"/>
      <c r="BN849" s="6" t="e">
        <f t="shared" si="75"/>
        <v>#DIV/0!</v>
      </c>
    </row>
    <row r="850" spans="49:66" x14ac:dyDescent="0.3">
      <c r="AW850">
        <f t="shared" si="74"/>
        <v>0</v>
      </c>
      <c r="AX850">
        <v>847</v>
      </c>
      <c r="AY850" s="4">
        <f t="shared" si="72"/>
        <v>41425</v>
      </c>
      <c r="AZ850" s="6" t="e">
        <f t="shared" si="73"/>
        <v>#DIV/0!</v>
      </c>
      <c r="BA850" s="4">
        <v>41425</v>
      </c>
      <c r="BB850" s="6">
        <v>-1.0589820000000001</v>
      </c>
      <c r="BC850" s="6">
        <v>-0.61876299999999995</v>
      </c>
      <c r="BD850" s="6">
        <v>-0.47446899999999997</v>
      </c>
      <c r="BE850" s="6"/>
      <c r="BF850" s="6"/>
      <c r="BG850" s="6"/>
      <c r="BH850" s="6"/>
      <c r="BI850" s="6"/>
      <c r="BJ850" s="6"/>
      <c r="BK850" s="6"/>
      <c r="BL850" s="6"/>
      <c r="BM850" s="6"/>
      <c r="BN850" s="6" t="e">
        <f t="shared" si="75"/>
        <v>#DIV/0!</v>
      </c>
    </row>
    <row r="851" spans="49:66" x14ac:dyDescent="0.3">
      <c r="AW851">
        <f t="shared" si="74"/>
        <v>0</v>
      </c>
      <c r="AX851">
        <v>848</v>
      </c>
      <c r="AY851" s="4">
        <f t="shared" si="72"/>
        <v>41428</v>
      </c>
      <c r="AZ851" s="6" t="e">
        <f t="shared" si="73"/>
        <v>#DIV/0!</v>
      </c>
      <c r="BA851" s="4">
        <v>41428</v>
      </c>
      <c r="BB851" s="6">
        <v>-0.14590900000000001</v>
      </c>
      <c r="BC851" s="6">
        <v>-0.69530000000000003</v>
      </c>
      <c r="BD851" s="6">
        <v>-0.90903100000000003</v>
      </c>
      <c r="BE851" s="6"/>
      <c r="BF851" s="6"/>
      <c r="BG851" s="6"/>
      <c r="BH851" s="6"/>
      <c r="BI851" s="6"/>
      <c r="BJ851" s="6"/>
      <c r="BK851" s="6"/>
      <c r="BL851" s="6"/>
      <c r="BM851" s="6"/>
      <c r="BN851" s="6" t="e">
        <f t="shared" si="75"/>
        <v>#DIV/0!</v>
      </c>
    </row>
    <row r="852" spans="49:66" x14ac:dyDescent="0.3">
      <c r="AW852">
        <f t="shared" si="74"/>
        <v>0</v>
      </c>
      <c r="AX852">
        <v>849</v>
      </c>
      <c r="AY852" s="4">
        <f t="shared" si="72"/>
        <v>41429</v>
      </c>
      <c r="AZ852" s="6" t="e">
        <f t="shared" si="73"/>
        <v>#DIV/0!</v>
      </c>
      <c r="BA852" s="4">
        <v>41429</v>
      </c>
      <c r="BB852" s="6">
        <v>-1.419991</v>
      </c>
      <c r="BC852" s="6">
        <v>-1.960566</v>
      </c>
      <c r="BD852" s="6">
        <v>-2.2191689999999999</v>
      </c>
      <c r="BE852" s="6"/>
      <c r="BF852" s="6"/>
      <c r="BG852" s="6"/>
      <c r="BH852" s="6"/>
      <c r="BI852" s="6"/>
      <c r="BJ852" s="6"/>
      <c r="BK852" s="6"/>
      <c r="BL852" s="6"/>
      <c r="BM852" s="6"/>
      <c r="BN852" s="6" t="e">
        <f t="shared" si="75"/>
        <v>#DIV/0!</v>
      </c>
    </row>
    <row r="853" spans="49:66" x14ac:dyDescent="0.3">
      <c r="AW853">
        <f t="shared" si="74"/>
        <v>0</v>
      </c>
      <c r="AX853">
        <v>850</v>
      </c>
      <c r="AY853" s="4">
        <f t="shared" si="72"/>
        <v>41430</v>
      </c>
      <c r="AZ853" s="6" t="e">
        <f t="shared" si="73"/>
        <v>#DIV/0!</v>
      </c>
      <c r="BA853" s="4">
        <v>41430</v>
      </c>
      <c r="BB853" s="6">
        <v>-0.19983100000000001</v>
      </c>
      <c r="BC853" s="6">
        <v>0.412437</v>
      </c>
      <c r="BD853" s="6">
        <v>0.60836900000000005</v>
      </c>
      <c r="BE853" s="6"/>
      <c r="BF853" s="6"/>
      <c r="BG853" s="6"/>
      <c r="BH853" s="6"/>
      <c r="BI853" s="6"/>
      <c r="BJ853" s="6"/>
      <c r="BK853" s="6"/>
      <c r="BL853" s="6"/>
      <c r="BM853" s="6"/>
      <c r="BN853" s="6" t="e">
        <f t="shared" si="75"/>
        <v>#DIV/0!</v>
      </c>
    </row>
    <row r="854" spans="49:66" x14ac:dyDescent="0.3">
      <c r="AW854">
        <f t="shared" si="74"/>
        <v>0</v>
      </c>
      <c r="AX854">
        <v>851</v>
      </c>
      <c r="AY854" s="4">
        <f t="shared" si="72"/>
        <v>41431</v>
      </c>
      <c r="AZ854" s="6" t="e">
        <f t="shared" si="73"/>
        <v>#DIV/0!</v>
      </c>
      <c r="BA854" s="4">
        <v>41431</v>
      </c>
      <c r="BB854" s="6">
        <v>-1.2768409999999999</v>
      </c>
      <c r="BC854" s="6">
        <v>-1.768559</v>
      </c>
      <c r="BD854" s="6">
        <v>-1.6588909999999999</v>
      </c>
      <c r="BE854" s="6"/>
      <c r="BF854" s="6"/>
      <c r="BG854" s="6"/>
      <c r="BH854" s="6"/>
      <c r="BI854" s="6"/>
      <c r="BJ854" s="6"/>
      <c r="BK854" s="6"/>
      <c r="BL854" s="6"/>
      <c r="BM854" s="6"/>
      <c r="BN854" s="6" t="e">
        <f t="shared" si="75"/>
        <v>#DIV/0!</v>
      </c>
    </row>
    <row r="855" spans="49:66" x14ac:dyDescent="0.3">
      <c r="AW855">
        <f t="shared" si="74"/>
        <v>0</v>
      </c>
      <c r="AX855">
        <v>852</v>
      </c>
      <c r="AY855" s="4">
        <f t="shared" si="72"/>
        <v>41432</v>
      </c>
      <c r="AZ855" s="6" t="e">
        <f t="shared" si="73"/>
        <v>#DIV/0!</v>
      </c>
      <c r="BA855" s="4">
        <v>41432</v>
      </c>
      <c r="BB855" s="6">
        <v>-1.7281519999999999</v>
      </c>
      <c r="BC855" s="6">
        <v>-1.966148</v>
      </c>
      <c r="BD855" s="6">
        <v>-1.2709280000000001</v>
      </c>
      <c r="BE855" s="6"/>
      <c r="BF855" s="6"/>
      <c r="BG855" s="6"/>
      <c r="BH855" s="6"/>
      <c r="BI855" s="6"/>
      <c r="BJ855" s="6"/>
      <c r="BK855" s="6"/>
      <c r="BL855" s="6"/>
      <c r="BM855" s="6"/>
      <c r="BN855" s="6" t="e">
        <f t="shared" si="75"/>
        <v>#DIV/0!</v>
      </c>
    </row>
    <row r="856" spans="49:66" x14ac:dyDescent="0.3">
      <c r="AW856">
        <f t="shared" si="74"/>
        <v>0</v>
      </c>
      <c r="AX856">
        <v>853</v>
      </c>
      <c r="AY856" s="4">
        <f t="shared" si="72"/>
        <v>41438</v>
      </c>
      <c r="AZ856" s="6" t="e">
        <f t="shared" si="73"/>
        <v>#DIV/0!</v>
      </c>
      <c r="BA856" s="4">
        <v>41438</v>
      </c>
      <c r="BB856" s="6">
        <v>-3.3904019999999999</v>
      </c>
      <c r="BC856" s="6">
        <v>-2.7974039999999998</v>
      </c>
      <c r="BD856" s="6">
        <v>-2.4530110000000001</v>
      </c>
      <c r="BE856" s="6"/>
      <c r="BF856" s="6"/>
      <c r="BG856" s="6"/>
      <c r="BH856" s="6"/>
      <c r="BI856" s="6"/>
      <c r="BJ856" s="6"/>
      <c r="BK856" s="6"/>
      <c r="BL856" s="6"/>
      <c r="BM856" s="6"/>
      <c r="BN856" s="6" t="e">
        <f t="shared" si="75"/>
        <v>#DIV/0!</v>
      </c>
    </row>
    <row r="857" spans="49:66" x14ac:dyDescent="0.3">
      <c r="AW857">
        <f t="shared" si="74"/>
        <v>0</v>
      </c>
      <c r="AX857">
        <v>854</v>
      </c>
      <c r="AY857" s="4">
        <f t="shared" si="72"/>
        <v>41439</v>
      </c>
      <c r="AZ857" s="6" t="e">
        <f t="shared" si="73"/>
        <v>#DIV/0!</v>
      </c>
      <c r="BA857" s="4">
        <v>41439</v>
      </c>
      <c r="BB857" s="6">
        <v>0.70143500000000003</v>
      </c>
      <c r="BC857" s="6">
        <v>1.9893879999999999</v>
      </c>
      <c r="BD857" s="6">
        <v>2.2578130000000001</v>
      </c>
      <c r="BE857" s="6"/>
      <c r="BF857" s="6"/>
      <c r="BG857" s="6"/>
      <c r="BH857" s="6"/>
      <c r="BI857" s="6"/>
      <c r="BJ857" s="6"/>
      <c r="BK857" s="6"/>
      <c r="BL857" s="6"/>
      <c r="BM857" s="6"/>
      <c r="BN857" s="6" t="e">
        <f t="shared" si="75"/>
        <v>#DIV/0!</v>
      </c>
    </row>
    <row r="858" spans="49:66" x14ac:dyDescent="0.3">
      <c r="AW858">
        <f t="shared" si="74"/>
        <v>0</v>
      </c>
      <c r="AX858">
        <v>855</v>
      </c>
      <c r="AY858" s="4">
        <f t="shared" si="72"/>
        <v>41442</v>
      </c>
      <c r="AZ858" s="6" t="e">
        <f t="shared" si="73"/>
        <v>#DIV/0!</v>
      </c>
      <c r="BA858" s="4">
        <v>41442</v>
      </c>
      <c r="BB858" s="6">
        <v>-0.53509399999999996</v>
      </c>
      <c r="BC858" s="6">
        <v>0.23411599999999999</v>
      </c>
      <c r="BD858" s="6">
        <v>0.52352900000000002</v>
      </c>
      <c r="BE858" s="6"/>
      <c r="BF858" s="6"/>
      <c r="BG858" s="6"/>
      <c r="BH858" s="6"/>
      <c r="BI858" s="6"/>
      <c r="BJ858" s="6"/>
      <c r="BK858" s="6"/>
      <c r="BL858" s="6"/>
      <c r="BM858" s="6"/>
      <c r="BN858" s="6" t="e">
        <f t="shared" si="75"/>
        <v>#DIV/0!</v>
      </c>
    </row>
    <row r="859" spans="49:66" x14ac:dyDescent="0.3">
      <c r="AW859">
        <f t="shared" si="74"/>
        <v>0</v>
      </c>
      <c r="AX859">
        <v>856</v>
      </c>
      <c r="AY859" s="4">
        <f t="shared" si="72"/>
        <v>41443</v>
      </c>
      <c r="AZ859" s="6" t="e">
        <f t="shared" si="73"/>
        <v>#DIV/0!</v>
      </c>
      <c r="BA859" s="4">
        <v>41443</v>
      </c>
      <c r="BB859" s="6">
        <v>0.62009099999999995</v>
      </c>
      <c r="BC859" s="6">
        <v>0.34471800000000002</v>
      </c>
      <c r="BD859" s="6">
        <v>0.220277</v>
      </c>
      <c r="BE859" s="6"/>
      <c r="BF859" s="6"/>
      <c r="BG859" s="6"/>
      <c r="BH859" s="6"/>
      <c r="BI859" s="6"/>
      <c r="BJ859" s="6"/>
      <c r="BK859" s="6"/>
      <c r="BL859" s="6"/>
      <c r="BM859" s="6"/>
      <c r="BN859" s="6" t="e">
        <f t="shared" si="75"/>
        <v>#DIV/0!</v>
      </c>
    </row>
    <row r="860" spans="49:66" x14ac:dyDescent="0.3">
      <c r="AW860">
        <f t="shared" si="74"/>
        <v>0</v>
      </c>
      <c r="AX860">
        <v>857</v>
      </c>
      <c r="AY860" s="4">
        <f t="shared" si="72"/>
        <v>41444</v>
      </c>
      <c r="AZ860" s="6" t="e">
        <f t="shared" si="73"/>
        <v>#DIV/0!</v>
      </c>
      <c r="BA860" s="4">
        <v>41444</v>
      </c>
      <c r="BB860" s="6">
        <v>-0.74336100000000005</v>
      </c>
      <c r="BC860" s="6">
        <v>-0.62289300000000003</v>
      </c>
      <c r="BD860" s="6">
        <v>-0.44542799999999999</v>
      </c>
      <c r="BE860" s="6"/>
      <c r="BF860" s="6"/>
      <c r="BG860" s="6"/>
      <c r="BH860" s="6"/>
      <c r="BI860" s="6"/>
      <c r="BJ860" s="6"/>
      <c r="BK860" s="6"/>
      <c r="BL860" s="6"/>
      <c r="BM860" s="6"/>
      <c r="BN860" s="6" t="e">
        <f t="shared" si="75"/>
        <v>#DIV/0!</v>
      </c>
    </row>
    <row r="861" spans="49:66" x14ac:dyDescent="0.3">
      <c r="AW861">
        <f t="shared" si="74"/>
        <v>0</v>
      </c>
      <c r="AX861">
        <v>858</v>
      </c>
      <c r="AY861" s="4">
        <f t="shared" si="72"/>
        <v>41445</v>
      </c>
      <c r="AZ861" s="6" t="e">
        <f t="shared" si="73"/>
        <v>#DIV/0!</v>
      </c>
      <c r="BA861" s="4">
        <v>41445</v>
      </c>
      <c r="BB861" s="6">
        <v>-3.3030719999999998</v>
      </c>
      <c r="BC861" s="6">
        <v>-3.3012600000000001</v>
      </c>
      <c r="BD861" s="6">
        <v>-3.1703920000000001</v>
      </c>
      <c r="BE861" s="6"/>
      <c r="BF861" s="6"/>
      <c r="BG861" s="6"/>
      <c r="BH861" s="6"/>
      <c r="BI861" s="6"/>
      <c r="BJ861" s="6"/>
      <c r="BK861" s="6"/>
      <c r="BL861" s="6"/>
      <c r="BM861" s="6"/>
      <c r="BN861" s="6" t="e">
        <f t="shared" si="75"/>
        <v>#DIV/0!</v>
      </c>
    </row>
    <row r="862" spans="49:66" x14ac:dyDescent="0.3">
      <c r="AW862">
        <f t="shared" si="74"/>
        <v>0</v>
      </c>
      <c r="AX862">
        <v>859</v>
      </c>
      <c r="AY862" s="4">
        <f t="shared" si="72"/>
        <v>41446</v>
      </c>
      <c r="AZ862" s="6" t="e">
        <f t="shared" si="73"/>
        <v>#DIV/0!</v>
      </c>
      <c r="BA862" s="4">
        <v>41446</v>
      </c>
      <c r="BB862" s="6">
        <v>-0.17540600000000001</v>
      </c>
      <c r="BC862" s="6">
        <v>-0.53451599999999999</v>
      </c>
      <c r="BD862" s="6">
        <v>-0.70097900000000002</v>
      </c>
      <c r="BE862" s="6"/>
      <c r="BF862" s="6"/>
      <c r="BG862" s="6"/>
      <c r="BH862" s="6"/>
      <c r="BI862" s="6"/>
      <c r="BJ862" s="6"/>
      <c r="BK862" s="6"/>
      <c r="BL862" s="6"/>
      <c r="BM862" s="6"/>
      <c r="BN862" s="6" t="e">
        <f t="shared" si="75"/>
        <v>#DIV/0!</v>
      </c>
    </row>
    <row r="863" spans="49:66" x14ac:dyDescent="0.3">
      <c r="AW863">
        <f t="shared" si="74"/>
        <v>0</v>
      </c>
      <c r="AX863">
        <v>860</v>
      </c>
      <c r="AY863" s="4">
        <f t="shared" si="72"/>
        <v>41449</v>
      </c>
      <c r="AZ863" s="6" t="e">
        <f t="shared" si="73"/>
        <v>#DIV/0!</v>
      </c>
      <c r="BA863" s="4">
        <v>41449</v>
      </c>
      <c r="BB863" s="6">
        <v>-6.3081199999999997</v>
      </c>
      <c r="BC863" s="6">
        <v>-6.1953300000000002</v>
      </c>
      <c r="BD863" s="6">
        <v>-5.9750560000000004</v>
      </c>
      <c r="BE863" s="6"/>
      <c r="BF863" s="6"/>
      <c r="BG863" s="6"/>
      <c r="BH863" s="6"/>
      <c r="BI863" s="6"/>
      <c r="BJ863" s="6"/>
      <c r="BK863" s="6"/>
      <c r="BL863" s="6"/>
      <c r="BM863" s="6"/>
      <c r="BN863" s="6" t="e">
        <f t="shared" si="75"/>
        <v>#DIV/0!</v>
      </c>
    </row>
    <row r="864" spans="49:66" x14ac:dyDescent="0.3">
      <c r="AW864">
        <f t="shared" si="74"/>
        <v>0</v>
      </c>
      <c r="AX864">
        <v>861</v>
      </c>
      <c r="AY864" s="4">
        <f t="shared" si="72"/>
        <v>41450</v>
      </c>
      <c r="AZ864" s="6" t="e">
        <f t="shared" si="73"/>
        <v>#DIV/0!</v>
      </c>
      <c r="BA864" s="4">
        <v>41450</v>
      </c>
      <c r="BB864" s="6">
        <v>-0.26662599999999997</v>
      </c>
      <c r="BC864" s="6">
        <v>-0.42771900000000002</v>
      </c>
      <c r="BD864" s="6">
        <v>-6.0476000000000002E-2</v>
      </c>
      <c r="BE864" s="6"/>
      <c r="BF864" s="6"/>
      <c r="BG864" s="6"/>
      <c r="BH864" s="6"/>
      <c r="BI864" s="6"/>
      <c r="BJ864" s="6"/>
      <c r="BK864" s="6"/>
      <c r="BL864" s="6"/>
      <c r="BM864" s="6"/>
      <c r="BN864" s="6" t="e">
        <f t="shared" si="75"/>
        <v>#DIV/0!</v>
      </c>
    </row>
    <row r="865" spans="49:66" x14ac:dyDescent="0.3">
      <c r="AW865">
        <f t="shared" si="74"/>
        <v>0</v>
      </c>
      <c r="AX865">
        <v>862</v>
      </c>
      <c r="AY865" s="4">
        <f t="shared" si="72"/>
        <v>41451</v>
      </c>
      <c r="AZ865" s="6" t="e">
        <f t="shared" si="73"/>
        <v>#DIV/0!</v>
      </c>
      <c r="BA865" s="4">
        <v>41451</v>
      </c>
      <c r="BB865" s="6">
        <v>0.13281499999999999</v>
      </c>
      <c r="BC865" s="6">
        <v>2.0714890000000001</v>
      </c>
      <c r="BD865" s="6">
        <v>2.6479439999999999</v>
      </c>
      <c r="BE865" s="6"/>
      <c r="BF865" s="6"/>
      <c r="BG865" s="6"/>
      <c r="BH865" s="6"/>
      <c r="BI865" s="6"/>
      <c r="BJ865" s="6"/>
      <c r="BK865" s="6"/>
      <c r="BL865" s="6"/>
      <c r="BM865" s="6"/>
      <c r="BN865" s="6" t="e">
        <f t="shared" si="75"/>
        <v>#DIV/0!</v>
      </c>
    </row>
    <row r="866" spans="49:66" x14ac:dyDescent="0.3">
      <c r="AW866">
        <f t="shared" si="74"/>
        <v>0</v>
      </c>
      <c r="AX866">
        <v>863</v>
      </c>
      <c r="AY866" s="4">
        <f t="shared" si="72"/>
        <v>41452</v>
      </c>
      <c r="AZ866" s="6" t="e">
        <f t="shared" si="73"/>
        <v>#DIV/0!</v>
      </c>
      <c r="BA866" s="4">
        <v>41452</v>
      </c>
      <c r="BB866" s="6">
        <v>-0.34875299999999998</v>
      </c>
      <c r="BC866" s="6">
        <v>-1.600697</v>
      </c>
      <c r="BD866" s="6">
        <v>-1.954752</v>
      </c>
      <c r="BE866" s="6"/>
      <c r="BF866" s="6"/>
      <c r="BG866" s="6"/>
      <c r="BH866" s="6"/>
      <c r="BI866" s="6"/>
      <c r="BJ866" s="6"/>
      <c r="BK866" s="6"/>
      <c r="BL866" s="6"/>
      <c r="BM866" s="6"/>
      <c r="BN866" s="6" t="e">
        <f t="shared" si="75"/>
        <v>#DIV/0!</v>
      </c>
    </row>
    <row r="867" spans="49:66" x14ac:dyDescent="0.3">
      <c r="AW867">
        <f t="shared" si="74"/>
        <v>0</v>
      </c>
      <c r="AX867">
        <v>864</v>
      </c>
      <c r="AY867" s="4">
        <f t="shared" si="72"/>
        <v>41453</v>
      </c>
      <c r="AZ867" s="6" t="e">
        <f t="shared" si="73"/>
        <v>#DIV/0!</v>
      </c>
      <c r="BA867" s="4">
        <v>41453</v>
      </c>
      <c r="BB867" s="6">
        <v>1.8467789999999999</v>
      </c>
      <c r="BC867" s="6">
        <v>8.5239999999999996E-2</v>
      </c>
      <c r="BD867" s="6">
        <v>-0.65008500000000002</v>
      </c>
      <c r="BE867" s="6"/>
      <c r="BF867" s="6"/>
      <c r="BG867" s="6"/>
      <c r="BH867" s="6"/>
      <c r="BI867" s="6"/>
      <c r="BJ867" s="6"/>
      <c r="BK867" s="6"/>
      <c r="BL867" s="6"/>
      <c r="BM867" s="6"/>
      <c r="BN867" s="6" t="e">
        <f t="shared" si="75"/>
        <v>#DIV/0!</v>
      </c>
    </row>
    <row r="868" spans="49:66" x14ac:dyDescent="0.3">
      <c r="AW868">
        <f t="shared" si="74"/>
        <v>0</v>
      </c>
      <c r="AX868">
        <v>865</v>
      </c>
      <c r="AY868" s="4">
        <f t="shared" si="72"/>
        <v>41456</v>
      </c>
      <c r="AZ868" s="6" t="e">
        <f t="shared" si="73"/>
        <v>#DIV/0!</v>
      </c>
      <c r="BA868" s="4">
        <v>41456</v>
      </c>
      <c r="BB868" s="6">
        <v>0.57610499999999998</v>
      </c>
      <c r="BC868" s="6">
        <v>2.120317</v>
      </c>
      <c r="BD868" s="6">
        <v>2.540041</v>
      </c>
      <c r="BE868" s="6"/>
      <c r="BF868" s="6"/>
      <c r="BG868" s="6"/>
      <c r="BH868" s="6"/>
      <c r="BI868" s="6"/>
      <c r="BJ868" s="6"/>
      <c r="BK868" s="6"/>
      <c r="BL868" s="6"/>
      <c r="BM868" s="6"/>
      <c r="BN868" s="6" t="e">
        <f t="shared" si="75"/>
        <v>#DIV/0!</v>
      </c>
    </row>
    <row r="869" spans="49:66" x14ac:dyDescent="0.3">
      <c r="AW869">
        <f t="shared" si="74"/>
        <v>0</v>
      </c>
      <c r="AX869">
        <v>866</v>
      </c>
      <c r="AY869" s="4">
        <f t="shared" si="72"/>
        <v>41457</v>
      </c>
      <c r="AZ869" s="6" t="e">
        <f t="shared" si="73"/>
        <v>#DIV/0!</v>
      </c>
      <c r="BA869" s="4">
        <v>41457</v>
      </c>
      <c r="BB869" s="6">
        <v>0.39158399999999999</v>
      </c>
      <c r="BC869" s="6">
        <v>1.6480710000000001</v>
      </c>
      <c r="BD869" s="6">
        <v>2.066573</v>
      </c>
      <c r="BE869" s="6"/>
      <c r="BF869" s="6"/>
      <c r="BG869" s="6"/>
      <c r="BH869" s="6"/>
      <c r="BI869" s="6"/>
      <c r="BJ869" s="6"/>
      <c r="BK869" s="6"/>
      <c r="BL869" s="6"/>
      <c r="BM869" s="6"/>
      <c r="BN869" s="6" t="e">
        <f t="shared" si="75"/>
        <v>#DIV/0!</v>
      </c>
    </row>
    <row r="870" spans="49:66" x14ac:dyDescent="0.3">
      <c r="AW870">
        <f t="shared" si="74"/>
        <v>0</v>
      </c>
      <c r="AX870">
        <v>867</v>
      </c>
      <c r="AY870" s="4">
        <f t="shared" si="72"/>
        <v>41458</v>
      </c>
      <c r="AZ870" s="6" t="e">
        <f t="shared" si="73"/>
        <v>#DIV/0!</v>
      </c>
      <c r="BA870" s="4">
        <v>41458</v>
      </c>
      <c r="BB870" s="6">
        <v>-0.81710799999999995</v>
      </c>
      <c r="BC870" s="6">
        <v>0.152751</v>
      </c>
      <c r="BD870" s="6">
        <v>0.28284300000000001</v>
      </c>
      <c r="BE870" s="6"/>
      <c r="BF870" s="6"/>
      <c r="BG870" s="6"/>
      <c r="BH870" s="6"/>
      <c r="BI870" s="6"/>
      <c r="BJ870" s="6"/>
      <c r="BK870" s="6"/>
      <c r="BL870" s="6"/>
      <c r="BM870" s="6"/>
      <c r="BN870" s="6" t="e">
        <f t="shared" si="75"/>
        <v>#DIV/0!</v>
      </c>
    </row>
    <row r="871" spans="49:66" x14ac:dyDescent="0.3">
      <c r="AW871">
        <f t="shared" si="74"/>
        <v>0</v>
      </c>
      <c r="AX871">
        <v>868</v>
      </c>
      <c r="AY871" s="4">
        <f t="shared" si="72"/>
        <v>41459</v>
      </c>
      <c r="AZ871" s="6" t="e">
        <f t="shared" si="73"/>
        <v>#DIV/0!</v>
      </c>
      <c r="BA871" s="4">
        <v>41459</v>
      </c>
      <c r="BB871" s="6">
        <v>0.82361200000000001</v>
      </c>
      <c r="BC871" s="6">
        <v>0.78188400000000002</v>
      </c>
      <c r="BD871" s="6">
        <v>0.39713300000000001</v>
      </c>
      <c r="BE871" s="6"/>
      <c r="BF871" s="6"/>
      <c r="BG871" s="6"/>
      <c r="BH871" s="6"/>
      <c r="BI871" s="6"/>
      <c r="BJ871" s="6"/>
      <c r="BK871" s="6"/>
      <c r="BL871" s="6"/>
      <c r="BM871" s="6"/>
      <c r="BN871" s="6" t="e">
        <f t="shared" si="75"/>
        <v>#DIV/0!</v>
      </c>
    </row>
    <row r="872" spans="49:66" x14ac:dyDescent="0.3">
      <c r="AW872">
        <f t="shared" si="74"/>
        <v>0</v>
      </c>
      <c r="AX872">
        <v>869</v>
      </c>
      <c r="AY872" s="4">
        <f t="shared" si="72"/>
        <v>41460</v>
      </c>
      <c r="AZ872" s="6" t="e">
        <f t="shared" si="73"/>
        <v>#DIV/0!</v>
      </c>
      <c r="BA872" s="4">
        <v>41460</v>
      </c>
      <c r="BB872" s="6">
        <v>0.21917400000000001</v>
      </c>
      <c r="BC872" s="6">
        <v>-0.55918199999999996</v>
      </c>
      <c r="BD872" s="6">
        <v>-1.0347740000000001</v>
      </c>
      <c r="BE872" s="6"/>
      <c r="BF872" s="6"/>
      <c r="BG872" s="6"/>
      <c r="BH872" s="6"/>
      <c r="BI872" s="6"/>
      <c r="BJ872" s="6"/>
      <c r="BK872" s="6"/>
      <c r="BL872" s="6"/>
      <c r="BM872" s="6"/>
      <c r="BN872" s="6" t="e">
        <f t="shared" si="75"/>
        <v>#DIV/0!</v>
      </c>
    </row>
    <row r="873" spans="49:66" x14ac:dyDescent="0.3">
      <c r="AW873">
        <f t="shared" si="74"/>
        <v>0</v>
      </c>
      <c r="AX873">
        <v>870</v>
      </c>
      <c r="AY873" s="4">
        <f t="shared" si="72"/>
        <v>41463</v>
      </c>
      <c r="AZ873" s="6" t="e">
        <f t="shared" si="73"/>
        <v>#DIV/0!</v>
      </c>
      <c r="BA873" s="4">
        <v>41463</v>
      </c>
      <c r="BB873" s="6">
        <v>-2.8394379999999999</v>
      </c>
      <c r="BC873" s="6">
        <v>-3.8870200000000001</v>
      </c>
      <c r="BD873" s="6">
        <v>-3.612139</v>
      </c>
      <c r="BE873" s="6"/>
      <c r="BF873" s="6"/>
      <c r="BG873" s="6"/>
      <c r="BH873" s="6"/>
      <c r="BI873" s="6"/>
      <c r="BJ873" s="6"/>
      <c r="BK873" s="6"/>
      <c r="BL873" s="6"/>
      <c r="BM873" s="6"/>
      <c r="BN873" s="6" t="e">
        <f t="shared" si="75"/>
        <v>#DIV/0!</v>
      </c>
    </row>
    <row r="874" spans="49:66" x14ac:dyDescent="0.3">
      <c r="AW874">
        <f t="shared" si="74"/>
        <v>0</v>
      </c>
      <c r="AX874">
        <v>871</v>
      </c>
      <c r="AY874" s="4">
        <f t="shared" si="72"/>
        <v>41464</v>
      </c>
      <c r="AZ874" s="6" t="e">
        <f t="shared" si="73"/>
        <v>#DIV/0!</v>
      </c>
      <c r="BA874" s="4">
        <v>41464</v>
      </c>
      <c r="BB874" s="6">
        <v>-4.3908000000000003E-2</v>
      </c>
      <c r="BC874" s="6">
        <v>0.59972700000000001</v>
      </c>
      <c r="BD874" s="6">
        <v>0.82985100000000001</v>
      </c>
      <c r="BE874" s="6"/>
      <c r="BF874" s="6"/>
      <c r="BG874" s="6"/>
      <c r="BH874" s="6"/>
      <c r="BI874" s="6"/>
      <c r="BJ874" s="6"/>
      <c r="BK874" s="6"/>
      <c r="BL874" s="6"/>
      <c r="BM874" s="6"/>
      <c r="BN874" s="6" t="e">
        <f t="shared" si="75"/>
        <v>#DIV/0!</v>
      </c>
    </row>
    <row r="875" spans="49:66" x14ac:dyDescent="0.3">
      <c r="AW875">
        <f t="shared" si="74"/>
        <v>0</v>
      </c>
      <c r="AX875">
        <v>872</v>
      </c>
      <c r="AY875" s="4">
        <f t="shared" si="72"/>
        <v>41465</v>
      </c>
      <c r="AZ875" s="6" t="e">
        <f t="shared" si="73"/>
        <v>#DIV/0!</v>
      </c>
      <c r="BA875" s="4">
        <v>41465</v>
      </c>
      <c r="BB875" s="6">
        <v>2.8389000000000002</v>
      </c>
      <c r="BC875" s="6">
        <v>3.1130909999999998</v>
      </c>
      <c r="BD875" s="6">
        <v>2.748818</v>
      </c>
      <c r="BE875" s="6"/>
      <c r="BF875" s="6"/>
      <c r="BG875" s="6"/>
      <c r="BH875" s="6"/>
      <c r="BI875" s="6"/>
      <c r="BJ875" s="6"/>
      <c r="BK875" s="6"/>
      <c r="BL875" s="6"/>
      <c r="BM875" s="6"/>
      <c r="BN875" s="6" t="e">
        <f t="shared" si="75"/>
        <v>#DIV/0!</v>
      </c>
    </row>
    <row r="876" spans="49:66" x14ac:dyDescent="0.3">
      <c r="AW876">
        <f t="shared" si="74"/>
        <v>0</v>
      </c>
      <c r="AX876">
        <v>873</v>
      </c>
      <c r="AY876" s="4">
        <f t="shared" si="72"/>
        <v>41466</v>
      </c>
      <c r="AZ876" s="6" t="e">
        <f t="shared" si="73"/>
        <v>#DIV/0!</v>
      </c>
      <c r="BA876" s="4">
        <v>41466</v>
      </c>
      <c r="BB876" s="6">
        <v>4.6142089999999998</v>
      </c>
      <c r="BC876" s="6">
        <v>2.8110059999999999</v>
      </c>
      <c r="BD876" s="6">
        <v>2.1590509999999998</v>
      </c>
      <c r="BE876" s="6"/>
      <c r="BF876" s="6"/>
      <c r="BG876" s="6"/>
      <c r="BH876" s="6"/>
      <c r="BI876" s="6"/>
      <c r="BJ876" s="6"/>
      <c r="BK876" s="6"/>
      <c r="BL876" s="6"/>
      <c r="BM876" s="6"/>
      <c r="BN876" s="6" t="e">
        <f t="shared" si="75"/>
        <v>#DIV/0!</v>
      </c>
    </row>
    <row r="877" spans="49:66" x14ac:dyDescent="0.3">
      <c r="AW877">
        <f t="shared" si="74"/>
        <v>0</v>
      </c>
      <c r="AX877">
        <v>874</v>
      </c>
      <c r="AY877" s="4">
        <f t="shared" si="72"/>
        <v>41467</v>
      </c>
      <c r="AZ877" s="6" t="e">
        <f t="shared" si="73"/>
        <v>#DIV/0!</v>
      </c>
      <c r="BA877" s="4">
        <v>41467</v>
      </c>
      <c r="BB877" s="6">
        <v>-2.2054960000000001</v>
      </c>
      <c r="BC877" s="6">
        <v>-0.88975800000000005</v>
      </c>
      <c r="BD877" s="6">
        <v>-7.4085999999999999E-2</v>
      </c>
      <c r="BE877" s="6"/>
      <c r="BF877" s="6"/>
      <c r="BG877" s="6"/>
      <c r="BH877" s="6"/>
      <c r="BI877" s="6"/>
      <c r="BJ877" s="6"/>
      <c r="BK877" s="6"/>
      <c r="BL877" s="6"/>
      <c r="BM877" s="6"/>
      <c r="BN877" s="6" t="e">
        <f t="shared" si="75"/>
        <v>#DIV/0!</v>
      </c>
    </row>
    <row r="878" spans="49:66" x14ac:dyDescent="0.3">
      <c r="AW878">
        <f t="shared" si="74"/>
        <v>0</v>
      </c>
      <c r="AX878">
        <v>875</v>
      </c>
      <c r="AY878" s="4">
        <f t="shared" si="72"/>
        <v>41470</v>
      </c>
      <c r="AZ878" s="6" t="e">
        <f t="shared" si="73"/>
        <v>#DIV/0!</v>
      </c>
      <c r="BA878" s="4">
        <v>41470</v>
      </c>
      <c r="BB878" s="6">
        <v>1.4030229999999999</v>
      </c>
      <c r="BC878" s="6">
        <v>1.9942569999999999</v>
      </c>
      <c r="BD878" s="6">
        <v>2.4596809999999998</v>
      </c>
      <c r="BE878" s="6"/>
      <c r="BF878" s="6"/>
      <c r="BG878" s="6"/>
      <c r="BH878" s="6"/>
      <c r="BI878" s="6"/>
      <c r="BJ878" s="6"/>
      <c r="BK878" s="6"/>
      <c r="BL878" s="6"/>
      <c r="BM878" s="6"/>
      <c r="BN878" s="6" t="e">
        <f t="shared" si="75"/>
        <v>#DIV/0!</v>
      </c>
    </row>
    <row r="879" spans="49:66" x14ac:dyDescent="0.3">
      <c r="AW879">
        <f t="shared" si="74"/>
        <v>0</v>
      </c>
      <c r="AX879">
        <v>876</v>
      </c>
      <c r="AY879" s="4">
        <f t="shared" si="72"/>
        <v>41471</v>
      </c>
      <c r="AZ879" s="6" t="e">
        <f t="shared" si="73"/>
        <v>#DIV/0!</v>
      </c>
      <c r="BA879" s="4">
        <v>41471</v>
      </c>
      <c r="BB879" s="6">
        <v>0.45728799999999997</v>
      </c>
      <c r="BC879" s="6">
        <v>1.227214</v>
      </c>
      <c r="BD879" s="6">
        <v>1.102595</v>
      </c>
      <c r="BE879" s="6"/>
      <c r="BF879" s="6"/>
      <c r="BG879" s="6"/>
      <c r="BH879" s="6"/>
      <c r="BI879" s="6"/>
      <c r="BJ879" s="6"/>
      <c r="BK879" s="6"/>
      <c r="BL879" s="6"/>
      <c r="BM879" s="6"/>
      <c r="BN879" s="6" t="e">
        <f t="shared" si="75"/>
        <v>#DIV/0!</v>
      </c>
    </row>
    <row r="880" spans="49:66" x14ac:dyDescent="0.3">
      <c r="AW880">
        <f t="shared" si="74"/>
        <v>0</v>
      </c>
      <c r="AX880">
        <v>877</v>
      </c>
      <c r="AY880" s="4">
        <f t="shared" si="72"/>
        <v>41472</v>
      </c>
      <c r="AZ880" s="6" t="e">
        <f t="shared" si="73"/>
        <v>#DIV/0!</v>
      </c>
      <c r="BA880" s="4">
        <v>41472</v>
      </c>
      <c r="BB880" s="6">
        <v>-1.5105390000000001</v>
      </c>
      <c r="BC880" s="6">
        <v>-1.4489380000000001</v>
      </c>
      <c r="BD880" s="6">
        <v>-1.4574050000000001</v>
      </c>
      <c r="BE880" s="6"/>
      <c r="BF880" s="6"/>
      <c r="BG880" s="6"/>
      <c r="BH880" s="6"/>
      <c r="BI880" s="6"/>
      <c r="BJ880" s="6"/>
      <c r="BK880" s="6"/>
      <c r="BL880" s="6"/>
      <c r="BM880" s="6"/>
      <c r="BN880" s="6" t="e">
        <f t="shared" si="75"/>
        <v>#DIV/0!</v>
      </c>
    </row>
    <row r="881" spans="49:66" x14ac:dyDescent="0.3">
      <c r="AW881">
        <f t="shared" si="74"/>
        <v>0</v>
      </c>
      <c r="AX881">
        <v>878</v>
      </c>
      <c r="AY881" s="4">
        <f t="shared" si="72"/>
        <v>41473</v>
      </c>
      <c r="AZ881" s="6" t="e">
        <f t="shared" si="73"/>
        <v>#DIV/0!</v>
      </c>
      <c r="BA881" s="4">
        <v>41473</v>
      </c>
      <c r="BB881" s="6">
        <v>-1.6430439999999999</v>
      </c>
      <c r="BC881" s="6">
        <v>-0.11113099999999999</v>
      </c>
      <c r="BD881" s="6">
        <v>6.0581000000000003E-2</v>
      </c>
      <c r="BE881" s="6"/>
      <c r="BF881" s="6"/>
      <c r="BG881" s="6"/>
      <c r="BH881" s="6"/>
      <c r="BI881" s="6"/>
      <c r="BJ881" s="6"/>
      <c r="BK881" s="6"/>
      <c r="BL881" s="6"/>
      <c r="BM881" s="6"/>
      <c r="BN881" s="6" t="e">
        <f t="shared" si="75"/>
        <v>#DIV/0!</v>
      </c>
    </row>
    <row r="882" spans="49:66" x14ac:dyDescent="0.3">
      <c r="AW882">
        <f t="shared" si="74"/>
        <v>0</v>
      </c>
      <c r="AX882">
        <v>879</v>
      </c>
      <c r="AY882" s="4">
        <f t="shared" si="72"/>
        <v>41474</v>
      </c>
      <c r="AZ882" s="6" t="e">
        <f t="shared" si="73"/>
        <v>#DIV/0!</v>
      </c>
      <c r="BA882" s="4">
        <v>41474</v>
      </c>
      <c r="BB882" s="6">
        <v>-2.44285</v>
      </c>
      <c r="BC882" s="6">
        <v>-2.496121</v>
      </c>
      <c r="BD882" s="6">
        <v>-2.0208390000000001</v>
      </c>
      <c r="BE882" s="6"/>
      <c r="BF882" s="6"/>
      <c r="BG882" s="6"/>
      <c r="BH882" s="6"/>
      <c r="BI882" s="6"/>
      <c r="BJ882" s="6"/>
      <c r="BK882" s="6"/>
      <c r="BL882" s="6"/>
      <c r="BM882" s="6"/>
      <c r="BN882" s="6" t="e">
        <f t="shared" si="75"/>
        <v>#DIV/0!</v>
      </c>
    </row>
    <row r="883" spans="49:66" x14ac:dyDescent="0.3">
      <c r="AW883">
        <f t="shared" si="74"/>
        <v>0</v>
      </c>
      <c r="AX883">
        <v>880</v>
      </c>
      <c r="AY883" s="4">
        <f t="shared" si="72"/>
        <v>41477</v>
      </c>
      <c r="AZ883" s="6" t="e">
        <f t="shared" si="73"/>
        <v>#DIV/0!</v>
      </c>
      <c r="BA883" s="4">
        <v>41477</v>
      </c>
      <c r="BB883" s="6">
        <v>0.534632</v>
      </c>
      <c r="BC883" s="6">
        <v>1.973157</v>
      </c>
      <c r="BD883" s="6">
        <v>2.2739919999999998</v>
      </c>
      <c r="BE883" s="6"/>
      <c r="BF883" s="6"/>
      <c r="BG883" s="6"/>
      <c r="BH883" s="6"/>
      <c r="BI883" s="6"/>
      <c r="BJ883" s="6"/>
      <c r="BK883" s="6"/>
      <c r="BL883" s="6"/>
      <c r="BM883" s="6"/>
      <c r="BN883" s="6" t="e">
        <f t="shared" si="75"/>
        <v>#DIV/0!</v>
      </c>
    </row>
    <row r="884" spans="49:66" x14ac:dyDescent="0.3">
      <c r="AW884">
        <f t="shared" si="74"/>
        <v>0</v>
      </c>
      <c r="AX884">
        <v>881</v>
      </c>
      <c r="AY884" s="4">
        <f t="shared" si="72"/>
        <v>41478</v>
      </c>
      <c r="AZ884" s="6" t="e">
        <f t="shared" si="73"/>
        <v>#DIV/0!</v>
      </c>
      <c r="BA884" s="4">
        <v>41478</v>
      </c>
      <c r="BB884" s="6">
        <v>2.8905780000000001</v>
      </c>
      <c r="BC884" s="6">
        <v>2.4177460000000002</v>
      </c>
      <c r="BD884" s="6">
        <v>2.447247</v>
      </c>
      <c r="BE884" s="6"/>
      <c r="BF884" s="6"/>
      <c r="BG884" s="6"/>
      <c r="BH884" s="6"/>
      <c r="BI884" s="6"/>
      <c r="BJ884" s="6"/>
      <c r="BK884" s="6"/>
      <c r="BL884" s="6"/>
      <c r="BM884" s="6"/>
      <c r="BN884" s="6" t="e">
        <f t="shared" si="75"/>
        <v>#DIV/0!</v>
      </c>
    </row>
    <row r="885" spans="49:66" x14ac:dyDescent="0.3">
      <c r="AW885">
        <f t="shared" si="74"/>
        <v>0</v>
      </c>
      <c r="AX885">
        <v>882</v>
      </c>
      <c r="AY885" s="4">
        <f t="shared" si="72"/>
        <v>41479</v>
      </c>
      <c r="AZ885" s="6" t="e">
        <f t="shared" si="73"/>
        <v>#DIV/0!</v>
      </c>
      <c r="BA885" s="4">
        <v>41479</v>
      </c>
      <c r="BB885" s="6">
        <v>-0.73676699999999995</v>
      </c>
      <c r="BC885" s="6">
        <v>0.60130300000000003</v>
      </c>
      <c r="BD885" s="6">
        <v>1.0621339999999999</v>
      </c>
      <c r="BE885" s="6"/>
      <c r="BF885" s="6"/>
      <c r="BG885" s="6"/>
      <c r="BH885" s="6"/>
      <c r="BI885" s="6"/>
      <c r="BJ885" s="6"/>
      <c r="BK885" s="6"/>
      <c r="BL885" s="6"/>
      <c r="BM885" s="6"/>
      <c r="BN885" s="6" t="e">
        <f t="shared" si="75"/>
        <v>#DIV/0!</v>
      </c>
    </row>
    <row r="886" spans="49:66" x14ac:dyDescent="0.3">
      <c r="AW886">
        <f t="shared" si="74"/>
        <v>0</v>
      </c>
      <c r="AX886">
        <v>883</v>
      </c>
      <c r="AY886" s="4">
        <f t="shared" si="72"/>
        <v>41480</v>
      </c>
      <c r="AZ886" s="6" t="e">
        <f t="shared" si="73"/>
        <v>#DIV/0!</v>
      </c>
      <c r="BA886" s="4">
        <v>41480</v>
      </c>
      <c r="BB886" s="6">
        <v>-0.50988100000000003</v>
      </c>
      <c r="BC886" s="6">
        <v>-1.907869</v>
      </c>
      <c r="BD886" s="6">
        <v>-2.330044</v>
      </c>
      <c r="BE886" s="6"/>
      <c r="BF886" s="6"/>
      <c r="BG886" s="6"/>
      <c r="BH886" s="6"/>
      <c r="BI886" s="6"/>
      <c r="BJ886" s="6"/>
      <c r="BK886" s="6"/>
      <c r="BL886" s="6"/>
      <c r="BM886" s="6"/>
      <c r="BN886" s="6" t="e">
        <f t="shared" si="75"/>
        <v>#DIV/0!</v>
      </c>
    </row>
    <row r="887" spans="49:66" x14ac:dyDescent="0.3">
      <c r="AW887">
        <f t="shared" si="74"/>
        <v>0</v>
      </c>
      <c r="AX887">
        <v>884</v>
      </c>
      <c r="AY887" s="4">
        <f t="shared" si="72"/>
        <v>41481</v>
      </c>
      <c r="AZ887" s="6" t="e">
        <f t="shared" si="73"/>
        <v>#DIV/0!</v>
      </c>
      <c r="BA887" s="4">
        <v>41481</v>
      </c>
      <c r="BB887" s="6">
        <v>-0.61112299999999997</v>
      </c>
      <c r="BC887" s="6">
        <v>-0.116716</v>
      </c>
      <c r="BD887" s="6">
        <v>0.14174999999999999</v>
      </c>
      <c r="BE887" s="6"/>
      <c r="BF887" s="6"/>
      <c r="BG887" s="6"/>
      <c r="BH887" s="6"/>
      <c r="BI887" s="6"/>
      <c r="BJ887" s="6"/>
      <c r="BK887" s="6"/>
      <c r="BL887" s="6"/>
      <c r="BM887" s="6"/>
      <c r="BN887" s="6" t="e">
        <f t="shared" si="75"/>
        <v>#DIV/0!</v>
      </c>
    </row>
    <row r="888" spans="49:66" x14ac:dyDescent="0.3">
      <c r="AW888">
        <f t="shared" si="74"/>
        <v>0</v>
      </c>
      <c r="AX888">
        <v>885</v>
      </c>
      <c r="AY888" s="4">
        <f t="shared" si="72"/>
        <v>41484</v>
      </c>
      <c r="AZ888" s="6" t="e">
        <f t="shared" si="73"/>
        <v>#DIV/0!</v>
      </c>
      <c r="BA888" s="4">
        <v>41484</v>
      </c>
      <c r="BB888" s="6">
        <v>-2.1599740000000001</v>
      </c>
      <c r="BC888" s="6">
        <v>-1.933684</v>
      </c>
      <c r="BD888" s="6">
        <v>-1.7091750000000001</v>
      </c>
      <c r="BE888" s="6"/>
      <c r="BF888" s="6"/>
      <c r="BG888" s="6"/>
      <c r="BH888" s="6"/>
      <c r="BI888" s="6"/>
      <c r="BJ888" s="6"/>
      <c r="BK888" s="6"/>
      <c r="BL888" s="6"/>
      <c r="BM888" s="6"/>
      <c r="BN888" s="6" t="e">
        <f t="shared" si="75"/>
        <v>#DIV/0!</v>
      </c>
    </row>
    <row r="889" spans="49:66" x14ac:dyDescent="0.3">
      <c r="AW889">
        <f t="shared" si="74"/>
        <v>0</v>
      </c>
      <c r="AX889">
        <v>886</v>
      </c>
      <c r="AY889" s="4">
        <f t="shared" si="72"/>
        <v>41485</v>
      </c>
      <c r="AZ889" s="6" t="e">
        <f t="shared" si="73"/>
        <v>#DIV/0!</v>
      </c>
      <c r="BA889" s="4">
        <v>41485</v>
      </c>
      <c r="BB889" s="6">
        <v>0.616645</v>
      </c>
      <c r="BC889" s="6">
        <v>-0.44866699999999998</v>
      </c>
      <c r="BD889" s="6">
        <v>-0.48130099999999998</v>
      </c>
      <c r="BE889" s="6"/>
      <c r="BF889" s="6"/>
      <c r="BG889" s="6"/>
      <c r="BH889" s="6"/>
      <c r="BI889" s="6"/>
      <c r="BJ889" s="6"/>
      <c r="BK889" s="6"/>
      <c r="BL889" s="6"/>
      <c r="BM889" s="6"/>
      <c r="BN889" s="6" t="e">
        <f t="shared" si="75"/>
        <v>#DIV/0!</v>
      </c>
    </row>
    <row r="890" spans="49:66" x14ac:dyDescent="0.3">
      <c r="AW890">
        <f t="shared" si="74"/>
        <v>0</v>
      </c>
      <c r="AX890">
        <v>887</v>
      </c>
      <c r="AY890" s="4">
        <f t="shared" si="72"/>
        <v>41486</v>
      </c>
      <c r="AZ890" s="6" t="e">
        <f t="shared" si="73"/>
        <v>#DIV/0!</v>
      </c>
      <c r="BA890" s="4">
        <v>41486</v>
      </c>
      <c r="BB890" s="6">
        <v>0.165937</v>
      </c>
      <c r="BC890" s="6">
        <v>0.57234700000000005</v>
      </c>
      <c r="BD890" s="6">
        <v>0.46788999999999997</v>
      </c>
      <c r="BE890" s="6"/>
      <c r="BF890" s="6"/>
      <c r="BG890" s="6"/>
      <c r="BH890" s="6"/>
      <c r="BI890" s="6"/>
      <c r="BJ890" s="6"/>
      <c r="BK890" s="6"/>
      <c r="BL890" s="6"/>
      <c r="BM890" s="6"/>
      <c r="BN890" s="6" t="e">
        <f t="shared" si="75"/>
        <v>#DIV/0!</v>
      </c>
    </row>
    <row r="891" spans="49:66" x14ac:dyDescent="0.3">
      <c r="AW891">
        <f t="shared" si="74"/>
        <v>0</v>
      </c>
      <c r="AX891">
        <v>888</v>
      </c>
      <c r="AY891" s="4">
        <f t="shared" si="72"/>
        <v>41487</v>
      </c>
      <c r="AZ891" s="6" t="e">
        <f t="shared" si="73"/>
        <v>#DIV/0!</v>
      </c>
      <c r="BA891" s="4">
        <v>41487</v>
      </c>
      <c r="BB891" s="6">
        <v>2.3867989999999999</v>
      </c>
      <c r="BC891" s="6">
        <v>2.6352600000000002</v>
      </c>
      <c r="BD891" s="6">
        <v>3.2300089999999999</v>
      </c>
      <c r="BE891" s="6"/>
      <c r="BF891" s="6"/>
      <c r="BG891" s="6"/>
      <c r="BH891" s="6"/>
      <c r="BI891" s="6"/>
      <c r="BJ891" s="6"/>
      <c r="BK891" s="6"/>
      <c r="BL891" s="6"/>
      <c r="BM891" s="6"/>
      <c r="BN891" s="6" t="e">
        <f t="shared" si="75"/>
        <v>#DIV/0!</v>
      </c>
    </row>
    <row r="892" spans="49:66" x14ac:dyDescent="0.3">
      <c r="AW892">
        <f t="shared" si="74"/>
        <v>0</v>
      </c>
      <c r="AX892">
        <v>889</v>
      </c>
      <c r="AY892" s="4">
        <f t="shared" si="72"/>
        <v>41488</v>
      </c>
      <c r="AZ892" s="6" t="e">
        <f t="shared" si="73"/>
        <v>#DIV/0!</v>
      </c>
      <c r="BA892" s="4">
        <v>41488</v>
      </c>
      <c r="BB892" s="6">
        <v>8.4573999999999996E-2</v>
      </c>
      <c r="BC892" s="6">
        <v>0.35377599999999998</v>
      </c>
      <c r="BD892" s="6">
        <v>0.30552800000000002</v>
      </c>
      <c r="BE892" s="6"/>
      <c r="BF892" s="6"/>
      <c r="BG892" s="6"/>
      <c r="BH892" s="6"/>
      <c r="BI892" s="6"/>
      <c r="BJ892" s="6"/>
      <c r="BK892" s="6"/>
      <c r="BL892" s="6"/>
      <c r="BM892" s="6"/>
      <c r="BN892" s="6" t="e">
        <f t="shared" si="75"/>
        <v>#DIV/0!</v>
      </c>
    </row>
    <row r="893" spans="49:66" x14ac:dyDescent="0.3">
      <c r="AW893">
        <f t="shared" si="74"/>
        <v>0</v>
      </c>
      <c r="AX893">
        <v>890</v>
      </c>
      <c r="AY893" s="4">
        <f t="shared" si="72"/>
        <v>41491</v>
      </c>
      <c r="AZ893" s="6" t="e">
        <f t="shared" si="73"/>
        <v>#DIV/0!</v>
      </c>
      <c r="BA893" s="4">
        <v>41491</v>
      </c>
      <c r="BB893" s="6">
        <v>1.382393</v>
      </c>
      <c r="BC893" s="6">
        <v>1.667672</v>
      </c>
      <c r="BD893" s="6">
        <v>1.5686199999999999</v>
      </c>
      <c r="BE893" s="6"/>
      <c r="BF893" s="6"/>
      <c r="BG893" s="6"/>
      <c r="BH893" s="6"/>
      <c r="BI893" s="6"/>
      <c r="BJ893" s="6"/>
      <c r="BK893" s="6"/>
      <c r="BL893" s="6"/>
      <c r="BM893" s="6"/>
      <c r="BN893" s="6" t="e">
        <f t="shared" si="75"/>
        <v>#DIV/0!</v>
      </c>
    </row>
    <row r="894" spans="49:66" x14ac:dyDescent="0.3">
      <c r="AW894">
        <f t="shared" si="74"/>
        <v>0</v>
      </c>
      <c r="AX894">
        <v>891</v>
      </c>
      <c r="AY894" s="4">
        <f t="shared" si="72"/>
        <v>41492</v>
      </c>
      <c r="AZ894" s="6" t="e">
        <f t="shared" si="73"/>
        <v>#DIV/0!</v>
      </c>
      <c r="BA894" s="4">
        <v>41492</v>
      </c>
      <c r="BB894" s="6">
        <v>0.672072</v>
      </c>
      <c r="BC894" s="6">
        <v>1.07406</v>
      </c>
      <c r="BD894" s="6">
        <v>1.0857540000000001</v>
      </c>
      <c r="BE894" s="6"/>
      <c r="BF894" s="6"/>
      <c r="BG894" s="6"/>
      <c r="BH894" s="6"/>
      <c r="BI894" s="6"/>
      <c r="BJ894" s="6"/>
      <c r="BK894" s="6"/>
      <c r="BL894" s="6"/>
      <c r="BM894" s="6"/>
      <c r="BN894" s="6" t="e">
        <f t="shared" si="75"/>
        <v>#DIV/0!</v>
      </c>
    </row>
    <row r="895" spans="49:66" x14ac:dyDescent="0.3">
      <c r="AW895">
        <f t="shared" si="74"/>
        <v>0</v>
      </c>
      <c r="AX895">
        <v>892</v>
      </c>
      <c r="AY895" s="4">
        <f t="shared" si="72"/>
        <v>41493</v>
      </c>
      <c r="AZ895" s="6" t="e">
        <f t="shared" si="73"/>
        <v>#DIV/0!</v>
      </c>
      <c r="BA895" s="4">
        <v>41493</v>
      </c>
      <c r="BB895" s="6">
        <v>-0.56756899999999999</v>
      </c>
      <c r="BC895" s="6">
        <v>-0.95854600000000001</v>
      </c>
      <c r="BD895" s="6">
        <v>-1.262316</v>
      </c>
      <c r="BE895" s="6"/>
      <c r="BF895" s="6"/>
      <c r="BG895" s="6"/>
      <c r="BH895" s="6"/>
      <c r="BI895" s="6"/>
      <c r="BJ895" s="6"/>
      <c r="BK895" s="6"/>
      <c r="BL895" s="6"/>
      <c r="BM895" s="6"/>
      <c r="BN895" s="6" t="e">
        <f t="shared" si="75"/>
        <v>#DIV/0!</v>
      </c>
    </row>
    <row r="896" spans="49:66" x14ac:dyDescent="0.3">
      <c r="AW896">
        <f t="shared" si="74"/>
        <v>0</v>
      </c>
      <c r="AX896">
        <v>893</v>
      </c>
      <c r="AY896" s="4">
        <f t="shared" si="72"/>
        <v>41494</v>
      </c>
      <c r="AZ896" s="6" t="e">
        <f t="shared" si="73"/>
        <v>#DIV/0!</v>
      </c>
      <c r="BA896" s="4">
        <v>41494</v>
      </c>
      <c r="BB896" s="6">
        <v>-0.16841900000000001</v>
      </c>
      <c r="BC896" s="6">
        <v>0.26504899999999998</v>
      </c>
      <c r="BD896" s="6">
        <v>0.457951</v>
      </c>
      <c r="BE896" s="6"/>
      <c r="BF896" s="6"/>
      <c r="BG896" s="6"/>
      <c r="BH896" s="6"/>
      <c r="BI896" s="6"/>
      <c r="BJ896" s="6"/>
      <c r="BK896" s="6"/>
      <c r="BL896" s="6"/>
      <c r="BM896" s="6"/>
      <c r="BN896" s="6" t="e">
        <f t="shared" si="75"/>
        <v>#DIV/0!</v>
      </c>
    </row>
    <row r="897" spans="49:66" x14ac:dyDescent="0.3">
      <c r="AW897">
        <f t="shared" si="74"/>
        <v>0</v>
      </c>
      <c r="AX897">
        <v>894</v>
      </c>
      <c r="AY897" s="4">
        <f t="shared" si="72"/>
        <v>41495</v>
      </c>
      <c r="AZ897" s="6" t="e">
        <f t="shared" si="73"/>
        <v>#DIV/0!</v>
      </c>
      <c r="BA897" s="4">
        <v>41495</v>
      </c>
      <c r="BB897" s="6">
        <v>0.40530899999999997</v>
      </c>
      <c r="BC897" s="6">
        <v>0.35758600000000001</v>
      </c>
      <c r="BD897" s="6">
        <v>8.8260000000000005E-3</v>
      </c>
      <c r="BE897" s="6"/>
      <c r="BF897" s="6"/>
      <c r="BG897" s="6"/>
      <c r="BH897" s="6"/>
      <c r="BI897" s="6"/>
      <c r="BJ897" s="6"/>
      <c r="BK897" s="6"/>
      <c r="BL897" s="6"/>
      <c r="BM897" s="6"/>
      <c r="BN897" s="6" t="e">
        <f t="shared" si="75"/>
        <v>#DIV/0!</v>
      </c>
    </row>
    <row r="898" spans="49:66" x14ac:dyDescent="0.3">
      <c r="AW898">
        <f t="shared" si="74"/>
        <v>0</v>
      </c>
      <c r="AX898">
        <v>895</v>
      </c>
      <c r="AY898" s="4">
        <f t="shared" si="72"/>
        <v>41498</v>
      </c>
      <c r="AZ898" s="6" t="e">
        <f t="shared" si="73"/>
        <v>#DIV/0!</v>
      </c>
      <c r="BA898" s="4">
        <v>41498</v>
      </c>
      <c r="BB898" s="6">
        <v>2.9214220000000002</v>
      </c>
      <c r="BC898" s="6">
        <v>1.5875950000000001</v>
      </c>
      <c r="BD898" s="6">
        <v>0.80353799999999997</v>
      </c>
      <c r="BE898" s="6"/>
      <c r="BF898" s="6"/>
      <c r="BG898" s="6"/>
      <c r="BH898" s="6"/>
      <c r="BI898" s="6"/>
      <c r="BJ898" s="6"/>
      <c r="BK898" s="6"/>
      <c r="BL898" s="6"/>
      <c r="BM898" s="6"/>
      <c r="BN898" s="6" t="e">
        <f t="shared" si="75"/>
        <v>#DIV/0!</v>
      </c>
    </row>
    <row r="899" spans="49:66" x14ac:dyDescent="0.3">
      <c r="AW899">
        <f t="shared" si="74"/>
        <v>0</v>
      </c>
      <c r="AX899">
        <v>896</v>
      </c>
      <c r="AY899" s="4">
        <f t="shared" si="72"/>
        <v>41499</v>
      </c>
      <c r="AZ899" s="6" t="e">
        <f t="shared" si="73"/>
        <v>#DIV/0!</v>
      </c>
      <c r="BA899" s="4">
        <v>41499</v>
      </c>
      <c r="BB899" s="6">
        <v>0.26666200000000001</v>
      </c>
      <c r="BC899" s="6">
        <v>0.52654999999999996</v>
      </c>
      <c r="BD899" s="6">
        <v>0.76949500000000004</v>
      </c>
      <c r="BE899" s="6"/>
      <c r="BF899" s="6"/>
      <c r="BG899" s="6"/>
      <c r="BH899" s="6"/>
      <c r="BI899" s="6"/>
      <c r="BJ899" s="6"/>
      <c r="BK899" s="6"/>
      <c r="BL899" s="6"/>
      <c r="BM899" s="6"/>
      <c r="BN899" s="6" t="e">
        <f t="shared" si="75"/>
        <v>#DIV/0!</v>
      </c>
    </row>
    <row r="900" spans="49:66" x14ac:dyDescent="0.3">
      <c r="AW900">
        <f t="shared" si="74"/>
        <v>0</v>
      </c>
      <c r="AX900">
        <v>897</v>
      </c>
      <c r="AY900" s="4">
        <f t="shared" si="72"/>
        <v>41500</v>
      </c>
      <c r="AZ900" s="6" t="e">
        <f t="shared" si="73"/>
        <v>#DIV/0!</v>
      </c>
      <c r="BA900" s="4">
        <v>41500</v>
      </c>
      <c r="BB900" s="6">
        <v>-0.42338799999999999</v>
      </c>
      <c r="BC900" s="6">
        <v>-0.39155200000000001</v>
      </c>
      <c r="BD900" s="6">
        <v>-7.0528999999999994E-2</v>
      </c>
      <c r="BE900" s="6"/>
      <c r="BF900" s="6"/>
      <c r="BG900" s="6"/>
      <c r="BH900" s="6"/>
      <c r="BI900" s="6"/>
      <c r="BJ900" s="6"/>
      <c r="BK900" s="6"/>
      <c r="BL900" s="6"/>
      <c r="BM900" s="6"/>
      <c r="BN900" s="6" t="e">
        <f t="shared" si="75"/>
        <v>#DIV/0!</v>
      </c>
    </row>
    <row r="901" spans="49:66" x14ac:dyDescent="0.3">
      <c r="AW901">
        <f t="shared" si="74"/>
        <v>0</v>
      </c>
      <c r="AX901">
        <v>898</v>
      </c>
      <c r="AY901" s="4">
        <f t="shared" ref="AY901:AY964" si="76">BA901</f>
        <v>41501</v>
      </c>
      <c r="AZ901" s="6" t="e">
        <f t="shared" ref="AZ901:AZ964" si="77">BN901</f>
        <v>#DIV/0!</v>
      </c>
      <c r="BA901" s="4">
        <v>41501</v>
      </c>
      <c r="BB901" s="6">
        <v>-1.170841</v>
      </c>
      <c r="BC901" s="6">
        <v>-1.351804</v>
      </c>
      <c r="BD901" s="6">
        <v>-1.0589999999999999</v>
      </c>
      <c r="BE901" s="6"/>
      <c r="BF901" s="6"/>
      <c r="BG901" s="6"/>
      <c r="BH901" s="6"/>
      <c r="BI901" s="6"/>
      <c r="BJ901" s="6"/>
      <c r="BK901" s="6"/>
      <c r="BL901" s="6"/>
      <c r="BM901" s="6"/>
      <c r="BN901" s="6" t="e">
        <f t="shared" si="75"/>
        <v>#DIV/0!</v>
      </c>
    </row>
    <row r="902" spans="49:66" x14ac:dyDescent="0.3">
      <c r="AW902">
        <f t="shared" ref="AW902:AW965" si="78">IF(AY902&lt;=AY901,1,0)</f>
        <v>0</v>
      </c>
      <c r="AX902">
        <v>899</v>
      </c>
      <c r="AY902" s="4">
        <f t="shared" si="76"/>
        <v>41502</v>
      </c>
      <c r="AZ902" s="6" t="e">
        <f t="shared" si="77"/>
        <v>#DIV/0!</v>
      </c>
      <c r="BA902" s="4">
        <v>41502</v>
      </c>
      <c r="BB902" s="6">
        <v>-0.75086900000000001</v>
      </c>
      <c r="BC902" s="6">
        <v>-2.1196969999999999</v>
      </c>
      <c r="BD902" s="6">
        <v>-2.3926289999999999</v>
      </c>
      <c r="BE902" s="6"/>
      <c r="BF902" s="6"/>
      <c r="BG902" s="6"/>
      <c r="BH902" s="6"/>
      <c r="BI902" s="6"/>
      <c r="BJ902" s="6"/>
      <c r="BK902" s="6"/>
      <c r="BL902" s="6"/>
      <c r="BM902" s="6"/>
      <c r="BN902" s="6" t="e">
        <f t="shared" ref="BN902:BN965" si="79">(BM902/BM901-1)*100</f>
        <v>#DIV/0!</v>
      </c>
    </row>
    <row r="903" spans="49:66" x14ac:dyDescent="0.3">
      <c r="AW903">
        <f t="shared" si="78"/>
        <v>0</v>
      </c>
      <c r="AX903">
        <v>900</v>
      </c>
      <c r="AY903" s="4">
        <f t="shared" si="76"/>
        <v>41505</v>
      </c>
      <c r="AZ903" s="6" t="e">
        <f t="shared" si="77"/>
        <v>#DIV/0!</v>
      </c>
      <c r="BA903" s="4">
        <v>41505</v>
      </c>
      <c r="BB903" s="6">
        <v>1.1842140000000001</v>
      </c>
      <c r="BC903" s="6">
        <v>1.538397</v>
      </c>
      <c r="BD903" s="6">
        <v>2.406914</v>
      </c>
      <c r="BE903" s="6"/>
      <c r="BF903" s="6"/>
      <c r="BG903" s="6"/>
      <c r="BH903" s="6"/>
      <c r="BI903" s="6"/>
      <c r="BJ903" s="6"/>
      <c r="BK903" s="6"/>
      <c r="BL903" s="6"/>
      <c r="BM903" s="6"/>
      <c r="BN903" s="6" t="e">
        <f t="shared" si="79"/>
        <v>#DIV/0!</v>
      </c>
    </row>
    <row r="904" spans="49:66" x14ac:dyDescent="0.3">
      <c r="AW904">
        <f t="shared" si="78"/>
        <v>0</v>
      </c>
      <c r="AX904">
        <v>901</v>
      </c>
      <c r="AY904" s="4">
        <f t="shared" si="76"/>
        <v>41506</v>
      </c>
      <c r="AZ904" s="6" t="e">
        <f t="shared" si="77"/>
        <v>#DIV/0!</v>
      </c>
      <c r="BA904" s="4">
        <v>41506</v>
      </c>
      <c r="BB904" s="6">
        <v>-0.81344899999999998</v>
      </c>
      <c r="BC904" s="6">
        <v>-0.26020900000000002</v>
      </c>
      <c r="BD904" s="6">
        <v>0.2928</v>
      </c>
      <c r="BE904" s="6"/>
      <c r="BF904" s="6"/>
      <c r="BG904" s="6"/>
      <c r="BH904" s="6"/>
      <c r="BI904" s="6"/>
      <c r="BJ904" s="6"/>
      <c r="BK904" s="6"/>
      <c r="BL904" s="6"/>
      <c r="BM904" s="6"/>
      <c r="BN904" s="6" t="e">
        <f t="shared" si="79"/>
        <v>#DIV/0!</v>
      </c>
    </row>
    <row r="905" spans="49:66" x14ac:dyDescent="0.3">
      <c r="AW905">
        <f t="shared" si="78"/>
        <v>0</v>
      </c>
      <c r="AX905">
        <v>902</v>
      </c>
      <c r="AY905" s="4">
        <f t="shared" si="76"/>
        <v>41507</v>
      </c>
      <c r="AZ905" s="6" t="e">
        <f t="shared" si="77"/>
        <v>#DIV/0!</v>
      </c>
      <c r="BA905" s="4">
        <v>41507</v>
      </c>
      <c r="BB905" s="6">
        <v>-0.16761300000000001</v>
      </c>
      <c r="BC905" s="6">
        <v>0.77407800000000004</v>
      </c>
      <c r="BD905" s="6">
        <v>0.55539799999999995</v>
      </c>
      <c r="BE905" s="6"/>
      <c r="BF905" s="6"/>
      <c r="BG905" s="6"/>
      <c r="BH905" s="6"/>
      <c r="BI905" s="6"/>
      <c r="BJ905" s="6"/>
      <c r="BK905" s="6"/>
      <c r="BL905" s="6"/>
      <c r="BM905" s="6"/>
      <c r="BN905" s="6" t="e">
        <f t="shared" si="79"/>
        <v>#DIV/0!</v>
      </c>
    </row>
    <row r="906" spans="49:66" x14ac:dyDescent="0.3">
      <c r="AW906">
        <f t="shared" si="78"/>
        <v>0</v>
      </c>
      <c r="AX906">
        <v>903</v>
      </c>
      <c r="AY906" s="4">
        <f t="shared" si="76"/>
        <v>41508</v>
      </c>
      <c r="AZ906" s="6" t="e">
        <f t="shared" si="77"/>
        <v>#DIV/0!</v>
      </c>
      <c r="BA906" s="4">
        <v>41508</v>
      </c>
      <c r="BB906" s="6">
        <v>-0.20172499999999999</v>
      </c>
      <c r="BC906" s="6">
        <v>0.247223</v>
      </c>
      <c r="BD906" s="6">
        <v>0.40400700000000001</v>
      </c>
      <c r="BE906" s="6"/>
      <c r="BF906" s="6"/>
      <c r="BG906" s="6"/>
      <c r="BH906" s="6"/>
      <c r="BI906" s="6"/>
      <c r="BJ906" s="6"/>
      <c r="BK906" s="6"/>
      <c r="BL906" s="6"/>
      <c r="BM906" s="6"/>
      <c r="BN906" s="6" t="e">
        <f t="shared" si="79"/>
        <v>#DIV/0!</v>
      </c>
    </row>
    <row r="907" spans="49:66" x14ac:dyDescent="0.3">
      <c r="AW907">
        <f t="shared" si="78"/>
        <v>0</v>
      </c>
      <c r="AX907">
        <v>904</v>
      </c>
      <c r="AY907" s="4">
        <f t="shared" si="76"/>
        <v>41509</v>
      </c>
      <c r="AZ907" s="6" t="e">
        <f t="shared" si="77"/>
        <v>#DIV/0!</v>
      </c>
      <c r="BA907" s="4">
        <v>41509</v>
      </c>
      <c r="BB907" s="6">
        <v>-0.73799899999999996</v>
      </c>
      <c r="BC907" s="6">
        <v>-0.23371600000000001</v>
      </c>
      <c r="BD907" s="6">
        <v>8.2699999999999996E-2</v>
      </c>
      <c r="BE907" s="6"/>
      <c r="BF907" s="6"/>
      <c r="BG907" s="6"/>
      <c r="BH907" s="6"/>
      <c r="BI907" s="6"/>
      <c r="BJ907" s="6"/>
      <c r="BK907" s="6"/>
      <c r="BL907" s="6"/>
      <c r="BM907" s="6"/>
      <c r="BN907" s="6" t="e">
        <f t="shared" si="79"/>
        <v>#DIV/0!</v>
      </c>
    </row>
    <row r="908" spans="49:66" x14ac:dyDescent="0.3">
      <c r="AW908">
        <f t="shared" si="78"/>
        <v>0</v>
      </c>
      <c r="AX908">
        <v>905</v>
      </c>
      <c r="AY908" s="4">
        <f t="shared" si="76"/>
        <v>41512</v>
      </c>
      <c r="AZ908" s="6" t="e">
        <f t="shared" si="77"/>
        <v>#DIV/0!</v>
      </c>
      <c r="BA908" s="4">
        <v>41512</v>
      </c>
      <c r="BB908" s="6">
        <v>2.1289250000000002</v>
      </c>
      <c r="BC908" s="6">
        <v>2.084444</v>
      </c>
      <c r="BD908" s="6">
        <v>1.9727269999999999</v>
      </c>
      <c r="BE908" s="6"/>
      <c r="BF908" s="6"/>
      <c r="BG908" s="6"/>
      <c r="BH908" s="6"/>
      <c r="BI908" s="6"/>
      <c r="BJ908" s="6"/>
      <c r="BK908" s="6"/>
      <c r="BL908" s="6"/>
      <c r="BM908" s="6"/>
      <c r="BN908" s="6" t="e">
        <f t="shared" si="79"/>
        <v>#DIV/0!</v>
      </c>
    </row>
    <row r="909" spans="49:66" x14ac:dyDescent="0.3">
      <c r="AW909">
        <f t="shared" si="78"/>
        <v>0</v>
      </c>
      <c r="AX909">
        <v>906</v>
      </c>
      <c r="AY909" s="4">
        <f t="shared" si="76"/>
        <v>41513</v>
      </c>
      <c r="AZ909" s="6" t="e">
        <f t="shared" si="77"/>
        <v>#DIV/0!</v>
      </c>
      <c r="BA909" s="4">
        <v>41513</v>
      </c>
      <c r="BB909" s="6">
        <v>0.22542200000000001</v>
      </c>
      <c r="BC909" s="6">
        <v>0.76965799999999995</v>
      </c>
      <c r="BD909" s="6">
        <v>0.91412300000000002</v>
      </c>
      <c r="BE909" s="6"/>
      <c r="BF909" s="6"/>
      <c r="BG909" s="6"/>
      <c r="BH909" s="6"/>
      <c r="BI909" s="6"/>
      <c r="BJ909" s="6"/>
      <c r="BK909" s="6"/>
      <c r="BL909" s="6"/>
      <c r="BM909" s="6"/>
      <c r="BN909" s="6" t="e">
        <f t="shared" si="79"/>
        <v>#DIV/0!</v>
      </c>
    </row>
    <row r="910" spans="49:66" x14ac:dyDescent="0.3">
      <c r="AW910">
        <f t="shared" si="78"/>
        <v>0</v>
      </c>
      <c r="AX910">
        <v>907</v>
      </c>
      <c r="AY910" s="4">
        <f t="shared" si="76"/>
        <v>41514</v>
      </c>
      <c r="AZ910" s="6" t="e">
        <f t="shared" si="77"/>
        <v>#DIV/0!</v>
      </c>
      <c r="BA910" s="4">
        <v>41514</v>
      </c>
      <c r="BB910" s="6">
        <v>-0.547871</v>
      </c>
      <c r="BC910" s="6">
        <v>-0.75501799999999997</v>
      </c>
      <c r="BD910" s="6">
        <v>-1.1241000000000001</v>
      </c>
      <c r="BE910" s="6"/>
      <c r="BF910" s="6"/>
      <c r="BG910" s="6"/>
      <c r="BH910" s="6"/>
      <c r="BI910" s="6"/>
      <c r="BJ910" s="6"/>
      <c r="BK910" s="6"/>
      <c r="BL910" s="6"/>
      <c r="BM910" s="6"/>
      <c r="BN910" s="6" t="e">
        <f t="shared" si="79"/>
        <v>#DIV/0!</v>
      </c>
    </row>
    <row r="911" spans="49:66" x14ac:dyDescent="0.3">
      <c r="AW911">
        <f t="shared" si="78"/>
        <v>0</v>
      </c>
      <c r="AX911">
        <v>908</v>
      </c>
      <c r="AY911" s="4">
        <f t="shared" si="76"/>
        <v>41515</v>
      </c>
      <c r="AZ911" s="6" t="e">
        <f t="shared" si="77"/>
        <v>#DIV/0!</v>
      </c>
      <c r="BA911" s="4">
        <v>41515</v>
      </c>
      <c r="BB911" s="6">
        <v>-0.41859000000000002</v>
      </c>
      <c r="BC911" s="6">
        <v>-7.6594999999999996E-2</v>
      </c>
      <c r="BD911" s="6">
        <v>6.6252000000000005E-2</v>
      </c>
      <c r="BE911" s="6"/>
      <c r="BF911" s="6"/>
      <c r="BG911" s="6"/>
      <c r="BH911" s="6"/>
      <c r="BI911" s="6"/>
      <c r="BJ911" s="6"/>
      <c r="BK911" s="6"/>
      <c r="BL911" s="6"/>
      <c r="BM911" s="6"/>
      <c r="BN911" s="6" t="e">
        <f t="shared" si="79"/>
        <v>#DIV/0!</v>
      </c>
    </row>
    <row r="912" spans="49:66" x14ac:dyDescent="0.3">
      <c r="AW912">
        <f t="shared" si="78"/>
        <v>0</v>
      </c>
      <c r="AX912">
        <v>909</v>
      </c>
      <c r="AY912" s="4">
        <f t="shared" si="76"/>
        <v>41516</v>
      </c>
      <c r="AZ912" s="6" t="e">
        <f t="shared" si="77"/>
        <v>#DIV/0!</v>
      </c>
      <c r="BA912" s="4">
        <v>41516</v>
      </c>
      <c r="BB912" s="6">
        <v>-0.189836</v>
      </c>
      <c r="BC912" s="6">
        <v>-0.99795100000000003</v>
      </c>
      <c r="BD912" s="6">
        <v>-1.8553120000000001</v>
      </c>
      <c r="BE912" s="6"/>
      <c r="BF912" s="6"/>
      <c r="BG912" s="6"/>
      <c r="BH912" s="6"/>
      <c r="BI912" s="6"/>
      <c r="BJ912" s="6"/>
      <c r="BK912" s="6"/>
      <c r="BL912" s="6"/>
      <c r="BM912" s="6"/>
      <c r="BN912" s="6" t="e">
        <f t="shared" si="79"/>
        <v>#DIV/0!</v>
      </c>
    </row>
    <row r="913" spans="49:66" x14ac:dyDescent="0.3">
      <c r="AW913">
        <f t="shared" si="78"/>
        <v>0</v>
      </c>
      <c r="AX913">
        <v>910</v>
      </c>
      <c r="AY913" s="4">
        <f t="shared" si="76"/>
        <v>41519</v>
      </c>
      <c r="AZ913" s="6" t="e">
        <f t="shared" si="77"/>
        <v>#DIV/0!</v>
      </c>
      <c r="BA913" s="4">
        <v>41519</v>
      </c>
      <c r="BB913" s="6">
        <v>0.278057</v>
      </c>
      <c r="BC913" s="6">
        <v>0.70442000000000005</v>
      </c>
      <c r="BD913" s="6">
        <v>0.87650099999999997</v>
      </c>
      <c r="BE913" s="6"/>
      <c r="BF913" s="6"/>
      <c r="BG913" s="6"/>
      <c r="BH913" s="6"/>
      <c r="BI913" s="6"/>
      <c r="BJ913" s="6"/>
      <c r="BK913" s="6"/>
      <c r="BL913" s="6"/>
      <c r="BM913" s="6"/>
      <c r="BN913" s="6" t="e">
        <f t="shared" si="79"/>
        <v>#DIV/0!</v>
      </c>
    </row>
    <row r="914" spans="49:66" x14ac:dyDescent="0.3">
      <c r="AW914">
        <f t="shared" si="78"/>
        <v>0</v>
      </c>
      <c r="AX914">
        <v>911</v>
      </c>
      <c r="AY914" s="4">
        <f t="shared" si="76"/>
        <v>41520</v>
      </c>
      <c r="AZ914" s="6" t="e">
        <f t="shared" si="77"/>
        <v>#DIV/0!</v>
      </c>
      <c r="BA914" s="4">
        <v>41520</v>
      </c>
      <c r="BB914" s="6">
        <v>1.4721089999999999</v>
      </c>
      <c r="BC914" s="6">
        <v>1.4881470000000001</v>
      </c>
      <c r="BD914" s="6">
        <v>1.718118</v>
      </c>
      <c r="BE914" s="6"/>
      <c r="BF914" s="6"/>
      <c r="BG914" s="6"/>
      <c r="BH914" s="6"/>
      <c r="BI914" s="6"/>
      <c r="BJ914" s="6"/>
      <c r="BK914" s="6"/>
      <c r="BL914" s="6"/>
      <c r="BM914" s="6"/>
      <c r="BN914" s="6" t="e">
        <f t="shared" si="79"/>
        <v>#DIV/0!</v>
      </c>
    </row>
    <row r="915" spans="49:66" x14ac:dyDescent="0.3">
      <c r="AW915">
        <f t="shared" si="78"/>
        <v>0</v>
      </c>
      <c r="AX915">
        <v>912</v>
      </c>
      <c r="AY915" s="4">
        <f t="shared" si="76"/>
        <v>41521</v>
      </c>
      <c r="AZ915" s="6" t="e">
        <f t="shared" si="77"/>
        <v>#DIV/0!</v>
      </c>
      <c r="BA915" s="4">
        <v>41521</v>
      </c>
      <c r="BB915" s="6">
        <v>-0.16152</v>
      </c>
      <c r="BC915" s="6">
        <v>0.27685900000000002</v>
      </c>
      <c r="BD915" s="6">
        <v>0.186116</v>
      </c>
      <c r="BE915" s="6"/>
      <c r="BF915" s="6"/>
      <c r="BG915" s="6"/>
      <c r="BH915" s="6"/>
      <c r="BI915" s="6"/>
      <c r="BJ915" s="6"/>
      <c r="BK915" s="6"/>
      <c r="BL915" s="6"/>
      <c r="BM915" s="6"/>
      <c r="BN915" s="6" t="e">
        <f t="shared" si="79"/>
        <v>#DIV/0!</v>
      </c>
    </row>
    <row r="916" spans="49:66" x14ac:dyDescent="0.3">
      <c r="AW916">
        <f t="shared" si="78"/>
        <v>0</v>
      </c>
      <c r="AX916">
        <v>913</v>
      </c>
      <c r="AY916" s="4">
        <f t="shared" si="76"/>
        <v>41522</v>
      </c>
      <c r="AZ916" s="6" t="e">
        <f t="shared" si="77"/>
        <v>#DIV/0!</v>
      </c>
      <c r="BA916" s="4">
        <v>41522</v>
      </c>
      <c r="BB916" s="6">
        <v>-0.38133299999999998</v>
      </c>
      <c r="BC916" s="6">
        <v>0.19519400000000001</v>
      </c>
      <c r="BD916" s="6">
        <v>0.60171799999999998</v>
      </c>
      <c r="BE916" s="6"/>
      <c r="BF916" s="6"/>
      <c r="BG916" s="6"/>
      <c r="BH916" s="6"/>
      <c r="BI916" s="6"/>
      <c r="BJ916" s="6"/>
      <c r="BK916" s="6"/>
      <c r="BL916" s="6"/>
      <c r="BM916" s="6"/>
      <c r="BN916" s="6" t="e">
        <f t="shared" si="79"/>
        <v>#DIV/0!</v>
      </c>
    </row>
    <row r="917" spans="49:66" x14ac:dyDescent="0.3">
      <c r="AW917">
        <f t="shared" si="78"/>
        <v>0</v>
      </c>
      <c r="AX917">
        <v>914</v>
      </c>
      <c r="AY917" s="4">
        <f t="shared" si="76"/>
        <v>41523</v>
      </c>
      <c r="AZ917" s="6" t="e">
        <f t="shared" si="77"/>
        <v>#DIV/0!</v>
      </c>
      <c r="BA917" s="4">
        <v>41523</v>
      </c>
      <c r="BB917" s="6">
        <v>0.68526100000000001</v>
      </c>
      <c r="BC917" s="6">
        <v>0.80431699999999995</v>
      </c>
      <c r="BD917" s="6">
        <v>0.641289</v>
      </c>
      <c r="BE917" s="6"/>
      <c r="BF917" s="6"/>
      <c r="BG917" s="6"/>
      <c r="BH917" s="6"/>
      <c r="BI917" s="6"/>
      <c r="BJ917" s="6"/>
      <c r="BK917" s="6"/>
      <c r="BL917" s="6"/>
      <c r="BM917" s="6"/>
      <c r="BN917" s="6" t="e">
        <f t="shared" si="79"/>
        <v>#DIV/0!</v>
      </c>
    </row>
    <row r="918" spans="49:66" x14ac:dyDescent="0.3">
      <c r="AW918">
        <f t="shared" si="78"/>
        <v>0</v>
      </c>
      <c r="AX918">
        <v>915</v>
      </c>
      <c r="AY918" s="4">
        <f t="shared" si="76"/>
        <v>41526</v>
      </c>
      <c r="AZ918" s="6" t="e">
        <f t="shared" si="77"/>
        <v>#DIV/0!</v>
      </c>
      <c r="BA918" s="4">
        <v>41526</v>
      </c>
      <c r="BB918" s="6">
        <v>3.5129199999999998</v>
      </c>
      <c r="BC918" s="6">
        <v>1.0307599999999999</v>
      </c>
      <c r="BD918" s="6">
        <v>0.40170400000000001</v>
      </c>
      <c r="BE918" s="6"/>
      <c r="BF918" s="6"/>
      <c r="BG918" s="6"/>
      <c r="BH918" s="6"/>
      <c r="BI918" s="6"/>
      <c r="BJ918" s="6"/>
      <c r="BK918" s="6"/>
      <c r="BL918" s="6"/>
      <c r="BM918" s="6"/>
      <c r="BN918" s="6" t="e">
        <f t="shared" si="79"/>
        <v>#DIV/0!</v>
      </c>
    </row>
    <row r="919" spans="49:66" x14ac:dyDescent="0.3">
      <c r="AW919">
        <f t="shared" si="78"/>
        <v>0</v>
      </c>
      <c r="AX919">
        <v>916</v>
      </c>
      <c r="AY919" s="4">
        <f t="shared" si="76"/>
        <v>41527</v>
      </c>
      <c r="AZ919" s="6" t="e">
        <f t="shared" si="77"/>
        <v>#DIV/0!</v>
      </c>
      <c r="BA919" s="4">
        <v>41527</v>
      </c>
      <c r="BB919" s="6">
        <v>1.4047719999999999</v>
      </c>
      <c r="BC919" s="6">
        <v>1.01766</v>
      </c>
      <c r="BD919" s="6">
        <v>0.40762500000000002</v>
      </c>
      <c r="BE919" s="6"/>
      <c r="BF919" s="6"/>
      <c r="BG919" s="6"/>
      <c r="BH919" s="6"/>
      <c r="BI919" s="6"/>
      <c r="BJ919" s="6"/>
      <c r="BK919" s="6"/>
      <c r="BL919" s="6"/>
      <c r="BM919" s="6"/>
      <c r="BN919" s="6" t="e">
        <f t="shared" si="79"/>
        <v>#DIV/0!</v>
      </c>
    </row>
    <row r="920" spans="49:66" x14ac:dyDescent="0.3">
      <c r="AW920">
        <f t="shared" si="78"/>
        <v>0</v>
      </c>
      <c r="AX920">
        <v>917</v>
      </c>
      <c r="AY920" s="4">
        <f t="shared" si="76"/>
        <v>41528</v>
      </c>
      <c r="AZ920" s="6" t="e">
        <f t="shared" si="77"/>
        <v>#DIV/0!</v>
      </c>
      <c r="BA920" s="4">
        <v>41528</v>
      </c>
      <c r="BB920" s="6">
        <v>0.323044</v>
      </c>
      <c r="BC920" s="6">
        <v>-0.94718999999999998</v>
      </c>
      <c r="BD920" s="6">
        <v>-1.573469</v>
      </c>
      <c r="BE920" s="6"/>
      <c r="BF920" s="6"/>
      <c r="BG920" s="6"/>
      <c r="BH920" s="6"/>
      <c r="BI920" s="6"/>
      <c r="BJ920" s="6"/>
      <c r="BK920" s="6"/>
      <c r="BL920" s="6"/>
      <c r="BM920" s="6"/>
      <c r="BN920" s="6" t="e">
        <f t="shared" si="79"/>
        <v>#DIV/0!</v>
      </c>
    </row>
    <row r="921" spans="49:66" x14ac:dyDescent="0.3">
      <c r="AW921">
        <f t="shared" si="78"/>
        <v>0</v>
      </c>
      <c r="AX921">
        <v>918</v>
      </c>
      <c r="AY921" s="4">
        <f t="shared" si="76"/>
        <v>41529</v>
      </c>
      <c r="AZ921" s="6" t="e">
        <f t="shared" si="77"/>
        <v>#DIV/0!</v>
      </c>
      <c r="BA921" s="4">
        <v>41529</v>
      </c>
      <c r="BB921" s="6">
        <v>0.98941199999999996</v>
      </c>
      <c r="BC921" s="6">
        <v>0.28193200000000002</v>
      </c>
      <c r="BD921" s="6">
        <v>9.1690000000000001E-3</v>
      </c>
      <c r="BE921" s="6"/>
      <c r="BF921" s="6"/>
      <c r="BG921" s="6"/>
      <c r="BH921" s="6"/>
      <c r="BI921" s="6"/>
      <c r="BJ921" s="6"/>
      <c r="BK921" s="6"/>
      <c r="BL921" s="6"/>
      <c r="BM921" s="6"/>
      <c r="BN921" s="6" t="e">
        <f t="shared" si="79"/>
        <v>#DIV/0!</v>
      </c>
    </row>
    <row r="922" spans="49:66" x14ac:dyDescent="0.3">
      <c r="AW922">
        <f t="shared" si="78"/>
        <v>0</v>
      </c>
      <c r="AX922">
        <v>919</v>
      </c>
      <c r="AY922" s="4">
        <f t="shared" si="76"/>
        <v>41530</v>
      </c>
      <c r="AZ922" s="6" t="e">
        <f t="shared" si="77"/>
        <v>#DIV/0!</v>
      </c>
      <c r="BA922" s="4">
        <v>41530</v>
      </c>
      <c r="BB922" s="6">
        <v>-0.73991399999999996</v>
      </c>
      <c r="BC922" s="6">
        <v>0.123587</v>
      </c>
      <c r="BD922" s="6">
        <v>0.78342500000000004</v>
      </c>
      <c r="BE922" s="6"/>
      <c r="BF922" s="6"/>
      <c r="BG922" s="6"/>
      <c r="BH922" s="6"/>
      <c r="BI922" s="6"/>
      <c r="BJ922" s="6"/>
      <c r="BK922" s="6"/>
      <c r="BL922" s="6"/>
      <c r="BM922" s="6"/>
      <c r="BN922" s="6" t="e">
        <f t="shared" si="79"/>
        <v>#DIV/0!</v>
      </c>
    </row>
    <row r="923" spans="49:66" x14ac:dyDescent="0.3">
      <c r="AW923">
        <f t="shared" si="78"/>
        <v>0</v>
      </c>
      <c r="AX923">
        <v>920</v>
      </c>
      <c r="AY923" s="4">
        <f t="shared" si="76"/>
        <v>41533</v>
      </c>
      <c r="AZ923" s="6" t="e">
        <f t="shared" si="77"/>
        <v>#DIV/0!</v>
      </c>
      <c r="BA923" s="4">
        <v>41533</v>
      </c>
      <c r="BB923" s="6">
        <v>-0.42235499999999998</v>
      </c>
      <c r="BC923" s="6">
        <v>0.113953</v>
      </c>
      <c r="BD923" s="6">
        <v>0.73600699999999997</v>
      </c>
      <c r="BE923" s="6"/>
      <c r="BF923" s="6"/>
      <c r="BG923" s="6"/>
      <c r="BH923" s="6"/>
      <c r="BI923" s="6"/>
      <c r="BJ923" s="6"/>
      <c r="BK923" s="6"/>
      <c r="BL923" s="6"/>
      <c r="BM923" s="6"/>
      <c r="BN923" s="6" t="e">
        <f t="shared" si="79"/>
        <v>#DIV/0!</v>
      </c>
    </row>
    <row r="924" spans="49:66" x14ac:dyDescent="0.3">
      <c r="AW924">
        <f t="shared" si="78"/>
        <v>0</v>
      </c>
      <c r="AX924">
        <v>921</v>
      </c>
      <c r="AY924" s="4">
        <f t="shared" si="76"/>
        <v>41534</v>
      </c>
      <c r="AZ924" s="6" t="e">
        <f t="shared" si="77"/>
        <v>#DIV/0!</v>
      </c>
      <c r="BA924" s="4">
        <v>41534</v>
      </c>
      <c r="BB924" s="6">
        <v>-2.0605310000000001</v>
      </c>
      <c r="BC924" s="6">
        <v>-1.7621</v>
      </c>
      <c r="BD924" s="6">
        <v>-1.3667320000000001</v>
      </c>
      <c r="BE924" s="6"/>
      <c r="BF924" s="6"/>
      <c r="BG924" s="6"/>
      <c r="BH924" s="6"/>
      <c r="BI924" s="6"/>
      <c r="BJ924" s="6"/>
      <c r="BK924" s="6"/>
      <c r="BL924" s="6"/>
      <c r="BM924" s="6"/>
      <c r="BN924" s="6" t="e">
        <f t="shared" si="79"/>
        <v>#DIV/0!</v>
      </c>
    </row>
    <row r="925" spans="49:66" x14ac:dyDescent="0.3">
      <c r="AW925">
        <f t="shared" si="78"/>
        <v>0</v>
      </c>
      <c r="AX925">
        <v>922</v>
      </c>
      <c r="AY925" s="4">
        <f t="shared" si="76"/>
        <v>41535</v>
      </c>
      <c r="AZ925" s="6" t="e">
        <f t="shared" si="77"/>
        <v>#DIV/0!</v>
      </c>
      <c r="BA925" s="4">
        <v>41535</v>
      </c>
      <c r="BB925" s="6">
        <v>0.21373300000000001</v>
      </c>
      <c r="BC925" s="6">
        <v>0.94633500000000004</v>
      </c>
      <c r="BD925" s="6">
        <v>0.94990699999999995</v>
      </c>
      <c r="BE925" s="6"/>
      <c r="BF925" s="6"/>
      <c r="BG925" s="6"/>
      <c r="BH925" s="6"/>
      <c r="BI925" s="6"/>
      <c r="BJ925" s="6"/>
      <c r="BK925" s="6"/>
      <c r="BL925" s="6"/>
      <c r="BM925" s="6"/>
      <c r="BN925" s="6" t="e">
        <f t="shared" si="79"/>
        <v>#DIV/0!</v>
      </c>
    </row>
    <row r="926" spans="49:66" x14ac:dyDescent="0.3">
      <c r="AW926">
        <f t="shared" si="78"/>
        <v>0</v>
      </c>
      <c r="AX926">
        <v>923</v>
      </c>
      <c r="AY926" s="4">
        <f t="shared" si="76"/>
        <v>41540</v>
      </c>
      <c r="AZ926" s="6" t="e">
        <f t="shared" si="77"/>
        <v>#DIV/0!</v>
      </c>
      <c r="BA926" s="4">
        <v>41540</v>
      </c>
      <c r="BB926" s="6">
        <v>1.6352660000000001</v>
      </c>
      <c r="BC926" s="6">
        <v>2.0277210000000001</v>
      </c>
      <c r="BD926" s="6">
        <v>2.05369</v>
      </c>
      <c r="BE926" s="6"/>
      <c r="BF926" s="6"/>
      <c r="BG926" s="6"/>
      <c r="BH926" s="6"/>
      <c r="BI926" s="6"/>
      <c r="BJ926" s="6"/>
      <c r="BK926" s="6"/>
      <c r="BL926" s="6"/>
      <c r="BM926" s="6"/>
      <c r="BN926" s="6" t="e">
        <f t="shared" si="79"/>
        <v>#DIV/0!</v>
      </c>
    </row>
    <row r="927" spans="49:66" x14ac:dyDescent="0.3">
      <c r="AW927">
        <f t="shared" si="78"/>
        <v>0</v>
      </c>
      <c r="AX927">
        <v>924</v>
      </c>
      <c r="AY927" s="4">
        <f t="shared" si="76"/>
        <v>41541</v>
      </c>
      <c r="AZ927" s="6" t="e">
        <f t="shared" si="77"/>
        <v>#DIV/0!</v>
      </c>
      <c r="BA927" s="4">
        <v>41541</v>
      </c>
      <c r="BB927" s="6">
        <v>-1.148855</v>
      </c>
      <c r="BC927" s="6">
        <v>9.9830000000000002E-2</v>
      </c>
      <c r="BD927" s="6">
        <v>0.282194</v>
      </c>
      <c r="BE927" s="6"/>
      <c r="BF927" s="6"/>
      <c r="BG927" s="6"/>
      <c r="BH927" s="6"/>
      <c r="BI927" s="6"/>
      <c r="BJ927" s="6"/>
      <c r="BK927" s="6"/>
      <c r="BL927" s="6"/>
      <c r="BM927" s="6"/>
      <c r="BN927" s="6" t="e">
        <f t="shared" si="79"/>
        <v>#DIV/0!</v>
      </c>
    </row>
    <row r="928" spans="49:66" x14ac:dyDescent="0.3">
      <c r="AW928">
        <f t="shared" si="78"/>
        <v>0</v>
      </c>
      <c r="AX928">
        <v>925</v>
      </c>
      <c r="AY928" s="4">
        <f t="shared" si="76"/>
        <v>41542</v>
      </c>
      <c r="AZ928" s="6" t="e">
        <f t="shared" si="77"/>
        <v>#DIV/0!</v>
      </c>
      <c r="BA928" s="4">
        <v>41542</v>
      </c>
      <c r="BB928" s="6">
        <v>-0.60784400000000005</v>
      </c>
      <c r="BC928" s="6">
        <v>-0.366259</v>
      </c>
      <c r="BD928" s="6">
        <v>-0.476101</v>
      </c>
      <c r="BE928" s="6"/>
      <c r="BF928" s="6"/>
      <c r="BG928" s="6"/>
      <c r="BH928" s="6"/>
      <c r="BI928" s="6"/>
      <c r="BJ928" s="6"/>
      <c r="BK928" s="6"/>
      <c r="BL928" s="6"/>
      <c r="BM928" s="6"/>
      <c r="BN928" s="6" t="e">
        <f t="shared" si="79"/>
        <v>#DIV/0!</v>
      </c>
    </row>
    <row r="929" spans="49:66" x14ac:dyDescent="0.3">
      <c r="AW929">
        <f t="shared" si="78"/>
        <v>0</v>
      </c>
      <c r="AX929">
        <v>926</v>
      </c>
      <c r="AY929" s="4">
        <f t="shared" si="76"/>
        <v>41543</v>
      </c>
      <c r="AZ929" s="6" t="e">
        <f t="shared" si="77"/>
        <v>#DIV/0!</v>
      </c>
      <c r="BA929" s="4">
        <v>41543</v>
      </c>
      <c r="BB929" s="6">
        <v>-1.8355889999999999</v>
      </c>
      <c r="BC929" s="6">
        <v>-2.082808</v>
      </c>
      <c r="BD929" s="6">
        <v>-1.549704</v>
      </c>
      <c r="BE929" s="6"/>
      <c r="BF929" s="6"/>
      <c r="BG929" s="6"/>
      <c r="BH929" s="6"/>
      <c r="BI929" s="6"/>
      <c r="BJ929" s="6"/>
      <c r="BK929" s="6"/>
      <c r="BL929" s="6"/>
      <c r="BM929" s="6"/>
      <c r="BN929" s="6" t="e">
        <f t="shared" si="79"/>
        <v>#DIV/0!</v>
      </c>
    </row>
    <row r="930" spans="49:66" x14ac:dyDescent="0.3">
      <c r="AW930">
        <f t="shared" si="78"/>
        <v>0</v>
      </c>
      <c r="AX930">
        <v>927</v>
      </c>
      <c r="AY930" s="4">
        <f t="shared" si="76"/>
        <v>41544</v>
      </c>
      <c r="AZ930" s="6" t="e">
        <f t="shared" si="77"/>
        <v>#DIV/0!</v>
      </c>
      <c r="BA930" s="4">
        <v>41544</v>
      </c>
      <c r="BB930" s="6">
        <v>0.441529</v>
      </c>
      <c r="BC930" s="6">
        <v>0.381859</v>
      </c>
      <c r="BD930" s="6">
        <v>0.355215</v>
      </c>
      <c r="BE930" s="6"/>
      <c r="BF930" s="6"/>
      <c r="BG930" s="6"/>
      <c r="BH930" s="6"/>
      <c r="BI930" s="6"/>
      <c r="BJ930" s="6"/>
      <c r="BK930" s="6"/>
      <c r="BL930" s="6"/>
      <c r="BM930" s="6"/>
      <c r="BN930" s="6" t="e">
        <f t="shared" si="79"/>
        <v>#DIV/0!</v>
      </c>
    </row>
    <row r="931" spans="49:66" x14ac:dyDescent="0.3">
      <c r="AW931">
        <f t="shared" si="78"/>
        <v>0</v>
      </c>
      <c r="AX931">
        <v>928</v>
      </c>
      <c r="AY931" s="4">
        <f t="shared" si="76"/>
        <v>41547</v>
      </c>
      <c r="AZ931" s="6" t="e">
        <f t="shared" si="77"/>
        <v>#DIV/0!</v>
      </c>
      <c r="BA931" s="4">
        <v>41547</v>
      </c>
      <c r="BB931" s="6">
        <v>0.587314</v>
      </c>
      <c r="BC931" s="6">
        <v>1.311488</v>
      </c>
      <c r="BD931" s="6">
        <v>1.7457560000000001</v>
      </c>
      <c r="BE931" s="6"/>
      <c r="BF931" s="6"/>
      <c r="BG931" s="6"/>
      <c r="BH931" s="6"/>
      <c r="BI931" s="6"/>
      <c r="BJ931" s="6"/>
      <c r="BK931" s="6"/>
      <c r="BL931" s="6"/>
      <c r="BM931" s="6"/>
      <c r="BN931" s="6" t="e">
        <f t="shared" si="79"/>
        <v>#DIV/0!</v>
      </c>
    </row>
    <row r="932" spans="49:66" x14ac:dyDescent="0.3">
      <c r="AW932">
        <f t="shared" si="78"/>
        <v>0</v>
      </c>
      <c r="AX932">
        <v>929</v>
      </c>
      <c r="AY932" s="4">
        <f t="shared" si="76"/>
        <v>41555</v>
      </c>
      <c r="AZ932" s="6" t="e">
        <f t="shared" si="77"/>
        <v>#DIV/0!</v>
      </c>
      <c r="BA932" s="4">
        <v>41555</v>
      </c>
      <c r="BB932" s="6">
        <v>1.3604609999999999</v>
      </c>
      <c r="BC932" s="6">
        <v>1.6828510000000001</v>
      </c>
      <c r="BD932" s="6">
        <v>1.607491</v>
      </c>
      <c r="BE932" s="6"/>
      <c r="BF932" s="6"/>
      <c r="BG932" s="6"/>
      <c r="BH932" s="6"/>
      <c r="BI932" s="6"/>
      <c r="BJ932" s="6"/>
      <c r="BK932" s="6"/>
      <c r="BL932" s="6"/>
      <c r="BM932" s="6"/>
      <c r="BN932" s="6" t="e">
        <f t="shared" si="79"/>
        <v>#DIV/0!</v>
      </c>
    </row>
    <row r="933" spans="49:66" x14ac:dyDescent="0.3">
      <c r="AW933">
        <f t="shared" si="78"/>
        <v>0</v>
      </c>
      <c r="AX933">
        <v>930</v>
      </c>
      <c r="AY933" s="4">
        <f t="shared" si="76"/>
        <v>41556</v>
      </c>
      <c r="AZ933" s="6" t="e">
        <f t="shared" si="77"/>
        <v>#DIV/0!</v>
      </c>
      <c r="BA933" s="4">
        <v>41556</v>
      </c>
      <c r="BB933" s="6">
        <v>0.482101</v>
      </c>
      <c r="BC933" s="6">
        <v>1.0916520000000001</v>
      </c>
      <c r="BD933" s="6">
        <v>1.5370600000000001</v>
      </c>
      <c r="BE933" s="6"/>
      <c r="BF933" s="6"/>
      <c r="BG933" s="6"/>
      <c r="BH933" s="6"/>
      <c r="BI933" s="6"/>
      <c r="BJ933" s="6"/>
      <c r="BK933" s="6"/>
      <c r="BL933" s="6"/>
      <c r="BM933" s="6"/>
      <c r="BN933" s="6" t="e">
        <f t="shared" si="79"/>
        <v>#DIV/0!</v>
      </c>
    </row>
    <row r="934" spans="49:66" x14ac:dyDescent="0.3">
      <c r="AW934">
        <f t="shared" si="78"/>
        <v>0</v>
      </c>
      <c r="AX934">
        <v>931</v>
      </c>
      <c r="AY934" s="4">
        <f t="shared" si="76"/>
        <v>41557</v>
      </c>
      <c r="AZ934" s="6" t="e">
        <f t="shared" si="77"/>
        <v>#DIV/0!</v>
      </c>
      <c r="BA934" s="4">
        <v>41557</v>
      </c>
      <c r="BB934" s="6">
        <v>-0.98900299999999997</v>
      </c>
      <c r="BC934" s="6">
        <v>-0.53824899999999998</v>
      </c>
      <c r="BD934" s="6">
        <v>-0.96599699999999999</v>
      </c>
      <c r="BE934" s="6"/>
      <c r="BF934" s="6"/>
      <c r="BG934" s="6"/>
      <c r="BH934" s="6"/>
      <c r="BI934" s="6"/>
      <c r="BJ934" s="6"/>
      <c r="BK934" s="6"/>
      <c r="BL934" s="6"/>
      <c r="BM934" s="6"/>
      <c r="BN934" s="6" t="e">
        <f t="shared" si="79"/>
        <v>#DIV/0!</v>
      </c>
    </row>
    <row r="935" spans="49:66" x14ac:dyDescent="0.3">
      <c r="AW935">
        <f t="shared" si="78"/>
        <v>0</v>
      </c>
      <c r="AX935">
        <v>932</v>
      </c>
      <c r="AY935" s="4">
        <f t="shared" si="76"/>
        <v>41558</v>
      </c>
      <c r="AZ935" s="6" t="e">
        <f t="shared" si="77"/>
        <v>#DIV/0!</v>
      </c>
      <c r="BA935" s="4">
        <v>41558</v>
      </c>
      <c r="BB935" s="6">
        <v>1.6132519999999999</v>
      </c>
      <c r="BC935" s="6">
        <v>1.6993</v>
      </c>
      <c r="BD935" s="6">
        <v>1.0071870000000001</v>
      </c>
      <c r="BE935" s="6"/>
      <c r="BF935" s="6"/>
      <c r="BG935" s="6"/>
      <c r="BH935" s="6"/>
      <c r="BI935" s="6"/>
      <c r="BJ935" s="6"/>
      <c r="BK935" s="6"/>
      <c r="BL935" s="6"/>
      <c r="BM935" s="6"/>
      <c r="BN935" s="6" t="e">
        <f t="shared" si="79"/>
        <v>#DIV/0!</v>
      </c>
    </row>
    <row r="936" spans="49:66" x14ac:dyDescent="0.3">
      <c r="AW936">
        <f t="shared" si="78"/>
        <v>0</v>
      </c>
      <c r="AX936">
        <v>933</v>
      </c>
      <c r="AY936" s="4">
        <f t="shared" si="76"/>
        <v>41561</v>
      </c>
      <c r="AZ936" s="6" t="e">
        <f t="shared" si="77"/>
        <v>#DIV/0!</v>
      </c>
      <c r="BA936" s="4">
        <v>41561</v>
      </c>
      <c r="BB936" s="6">
        <v>0.16341900000000001</v>
      </c>
      <c r="BC936" s="6">
        <v>1.028181</v>
      </c>
      <c r="BD936" s="6">
        <v>1.134304</v>
      </c>
      <c r="BE936" s="6"/>
      <c r="BF936" s="6"/>
      <c r="BG936" s="6"/>
      <c r="BH936" s="6"/>
      <c r="BI936" s="6"/>
      <c r="BJ936" s="6"/>
      <c r="BK936" s="6"/>
      <c r="BL936" s="6"/>
      <c r="BM936" s="6"/>
      <c r="BN936" s="6" t="e">
        <f t="shared" si="79"/>
        <v>#DIV/0!</v>
      </c>
    </row>
    <row r="937" spans="49:66" x14ac:dyDescent="0.3">
      <c r="AW937">
        <f t="shared" si="78"/>
        <v>0</v>
      </c>
      <c r="AX937">
        <v>934</v>
      </c>
      <c r="AY937" s="4">
        <f t="shared" si="76"/>
        <v>41562</v>
      </c>
      <c r="AZ937" s="6" t="e">
        <f t="shared" si="77"/>
        <v>#DIV/0!</v>
      </c>
      <c r="BA937" s="4">
        <v>41562</v>
      </c>
      <c r="BB937" s="6">
        <v>-0.203232</v>
      </c>
      <c r="BC937" s="6">
        <v>0.141656</v>
      </c>
      <c r="BD937" s="6">
        <v>-6.7381999999999997E-2</v>
      </c>
      <c r="BE937" s="6"/>
      <c r="BF937" s="6"/>
      <c r="BG937" s="6"/>
      <c r="BH937" s="6"/>
      <c r="BI937" s="6"/>
      <c r="BJ937" s="6"/>
      <c r="BK937" s="6"/>
      <c r="BL937" s="6"/>
      <c r="BM937" s="6"/>
      <c r="BN937" s="6" t="e">
        <f t="shared" si="79"/>
        <v>#DIV/0!</v>
      </c>
    </row>
    <row r="938" spans="49:66" x14ac:dyDescent="0.3">
      <c r="AW938">
        <f t="shared" si="78"/>
        <v>0</v>
      </c>
      <c r="AX938">
        <v>935</v>
      </c>
      <c r="AY938" s="4">
        <f t="shared" si="76"/>
        <v>41563</v>
      </c>
      <c r="AZ938" s="6" t="e">
        <f t="shared" si="77"/>
        <v>#DIV/0!</v>
      </c>
      <c r="BA938" s="4">
        <v>41563</v>
      </c>
      <c r="BB938" s="6">
        <v>-1.870139</v>
      </c>
      <c r="BC938" s="6">
        <v>-2.7213729999999998</v>
      </c>
      <c r="BD938" s="6">
        <v>-3.0892189999999999</v>
      </c>
      <c r="BE938" s="6"/>
      <c r="BF938" s="6"/>
      <c r="BG938" s="6"/>
      <c r="BH938" s="6"/>
      <c r="BI938" s="6"/>
      <c r="BJ938" s="6"/>
      <c r="BK938" s="6"/>
      <c r="BL938" s="6"/>
      <c r="BM938" s="6"/>
      <c r="BN938" s="6" t="e">
        <f t="shared" si="79"/>
        <v>#DIV/0!</v>
      </c>
    </row>
    <row r="939" spans="49:66" x14ac:dyDescent="0.3">
      <c r="AW939">
        <f t="shared" si="78"/>
        <v>0</v>
      </c>
      <c r="AX939">
        <v>936</v>
      </c>
      <c r="AY939" s="4">
        <f t="shared" si="76"/>
        <v>41564</v>
      </c>
      <c r="AZ939" s="6" t="e">
        <f t="shared" si="77"/>
        <v>#DIV/0!</v>
      </c>
      <c r="BA939" s="4">
        <v>41564</v>
      </c>
      <c r="BB939" s="6">
        <v>-0.33208500000000002</v>
      </c>
      <c r="BC939" s="6">
        <v>-0.15762499999999999</v>
      </c>
      <c r="BD939" s="6">
        <v>-2.1045999999999999E-2</v>
      </c>
      <c r="BE939" s="6"/>
      <c r="BF939" s="6"/>
      <c r="BG939" s="6"/>
      <c r="BH939" s="6"/>
      <c r="BI939" s="6"/>
      <c r="BJ939" s="6"/>
      <c r="BK939" s="6"/>
      <c r="BL939" s="6"/>
      <c r="BM939" s="6"/>
      <c r="BN939" s="6" t="e">
        <f t="shared" si="79"/>
        <v>#DIV/0!</v>
      </c>
    </row>
    <row r="940" spans="49:66" x14ac:dyDescent="0.3">
      <c r="AW940">
        <f t="shared" si="78"/>
        <v>0</v>
      </c>
      <c r="AX940">
        <v>937</v>
      </c>
      <c r="AY940" s="4">
        <f t="shared" si="76"/>
        <v>41565</v>
      </c>
      <c r="AZ940" s="6" t="e">
        <f t="shared" si="77"/>
        <v>#DIV/0!</v>
      </c>
      <c r="BA940" s="4">
        <v>41565</v>
      </c>
      <c r="BB940" s="6">
        <v>0.52723799999999998</v>
      </c>
      <c r="BC940" s="6">
        <v>0.34561799999999998</v>
      </c>
      <c r="BD940" s="6">
        <v>0.71309500000000003</v>
      </c>
      <c r="BE940" s="6"/>
      <c r="BF940" s="6"/>
      <c r="BG940" s="6"/>
      <c r="BH940" s="6"/>
      <c r="BI940" s="6"/>
      <c r="BJ940" s="6"/>
      <c r="BK940" s="6"/>
      <c r="BL940" s="6"/>
      <c r="BM940" s="6"/>
      <c r="BN940" s="6" t="e">
        <f t="shared" si="79"/>
        <v>#DIV/0!</v>
      </c>
    </row>
    <row r="941" spans="49:66" x14ac:dyDescent="0.3">
      <c r="AW941">
        <f t="shared" si="78"/>
        <v>0</v>
      </c>
      <c r="AX941">
        <v>938</v>
      </c>
      <c r="AY941" s="4">
        <f t="shared" si="76"/>
        <v>41568</v>
      </c>
      <c r="AZ941" s="6" t="e">
        <f t="shared" si="77"/>
        <v>#DIV/0!</v>
      </c>
      <c r="BA941" s="4">
        <v>41568</v>
      </c>
      <c r="BB941" s="6">
        <v>1.8659110000000001</v>
      </c>
      <c r="BC941" s="6">
        <v>2.4779879999999999</v>
      </c>
      <c r="BD941" s="6">
        <v>2.7203369999999998</v>
      </c>
      <c r="BE941" s="6"/>
      <c r="BF941" s="6"/>
      <c r="BG941" s="6"/>
      <c r="BH941" s="6"/>
      <c r="BI941" s="6"/>
      <c r="BJ941" s="6"/>
      <c r="BK941" s="6"/>
      <c r="BL941" s="6"/>
      <c r="BM941" s="6"/>
      <c r="BN941" s="6" t="e">
        <f t="shared" si="79"/>
        <v>#DIV/0!</v>
      </c>
    </row>
    <row r="942" spans="49:66" x14ac:dyDescent="0.3">
      <c r="AW942">
        <f t="shared" si="78"/>
        <v>0</v>
      </c>
      <c r="AX942">
        <v>939</v>
      </c>
      <c r="AY942" s="4">
        <f t="shared" si="76"/>
        <v>41569</v>
      </c>
      <c r="AZ942" s="6" t="e">
        <f t="shared" si="77"/>
        <v>#DIV/0!</v>
      </c>
      <c r="BA942" s="4">
        <v>41569</v>
      </c>
      <c r="BB942" s="6">
        <v>-1.0290440000000001</v>
      </c>
      <c r="BC942" s="6">
        <v>-1.0448919999999999</v>
      </c>
      <c r="BD942" s="6">
        <v>-1.1206179999999999</v>
      </c>
      <c r="BE942" s="6"/>
      <c r="BF942" s="6"/>
      <c r="BG942" s="6"/>
      <c r="BH942" s="6"/>
      <c r="BI942" s="6"/>
      <c r="BJ942" s="6"/>
      <c r="BK942" s="6"/>
      <c r="BL942" s="6"/>
      <c r="BM942" s="6"/>
      <c r="BN942" s="6" t="e">
        <f t="shared" si="79"/>
        <v>#DIV/0!</v>
      </c>
    </row>
    <row r="943" spans="49:66" x14ac:dyDescent="0.3">
      <c r="AW943">
        <f t="shared" si="78"/>
        <v>0</v>
      </c>
      <c r="AX943">
        <v>940</v>
      </c>
      <c r="AY943" s="4">
        <f t="shared" si="76"/>
        <v>41570</v>
      </c>
      <c r="AZ943" s="6" t="e">
        <f t="shared" si="77"/>
        <v>#DIV/0!</v>
      </c>
      <c r="BA943" s="4">
        <v>41570</v>
      </c>
      <c r="BB943" s="6">
        <v>-1.1202460000000001</v>
      </c>
      <c r="BC943" s="6">
        <v>-2.5405829999999998</v>
      </c>
      <c r="BD943" s="6">
        <v>-2.5399949999999998</v>
      </c>
      <c r="BE943" s="6"/>
      <c r="BF943" s="6"/>
      <c r="BG943" s="6"/>
      <c r="BH943" s="6"/>
      <c r="BI943" s="6"/>
      <c r="BJ943" s="6"/>
      <c r="BK943" s="6"/>
      <c r="BL943" s="6"/>
      <c r="BM943" s="6"/>
      <c r="BN943" s="6" t="e">
        <f t="shared" si="79"/>
        <v>#DIV/0!</v>
      </c>
    </row>
    <row r="944" spans="49:66" x14ac:dyDescent="0.3">
      <c r="AW944">
        <f t="shared" si="78"/>
        <v>0</v>
      </c>
      <c r="AX944">
        <v>941</v>
      </c>
      <c r="AY944" s="4">
        <f t="shared" si="76"/>
        <v>41571</v>
      </c>
      <c r="AZ944" s="6" t="e">
        <f t="shared" si="77"/>
        <v>#DIV/0!</v>
      </c>
      <c r="BA944" s="4">
        <v>41571</v>
      </c>
      <c r="BB944" s="6">
        <v>-0.74343899999999996</v>
      </c>
      <c r="BC944" s="6">
        <v>-0.66415800000000003</v>
      </c>
      <c r="BD944" s="6">
        <v>-0.76287700000000003</v>
      </c>
      <c r="BE944" s="6"/>
      <c r="BF944" s="6"/>
      <c r="BG944" s="6"/>
      <c r="BH944" s="6"/>
      <c r="BI944" s="6"/>
      <c r="BJ944" s="6"/>
      <c r="BK944" s="6"/>
      <c r="BL944" s="6"/>
      <c r="BM944" s="6"/>
      <c r="BN944" s="6" t="e">
        <f t="shared" si="79"/>
        <v>#DIV/0!</v>
      </c>
    </row>
    <row r="945" spans="49:66" x14ac:dyDescent="0.3">
      <c r="AW945">
        <f t="shared" si="78"/>
        <v>0</v>
      </c>
      <c r="AX945">
        <v>942</v>
      </c>
      <c r="AY945" s="4">
        <f t="shared" si="76"/>
        <v>41572</v>
      </c>
      <c r="AZ945" s="6" t="e">
        <f t="shared" si="77"/>
        <v>#DIV/0!</v>
      </c>
      <c r="BA945" s="4">
        <v>41572</v>
      </c>
      <c r="BB945" s="6">
        <v>-1.3310500000000001</v>
      </c>
      <c r="BC945" s="6">
        <v>-1.959311</v>
      </c>
      <c r="BD945" s="6">
        <v>-1.8128960000000001</v>
      </c>
      <c r="BE945" s="6"/>
      <c r="BF945" s="6"/>
      <c r="BG945" s="6"/>
      <c r="BH945" s="6"/>
      <c r="BI945" s="6"/>
      <c r="BJ945" s="6"/>
      <c r="BK945" s="6"/>
      <c r="BL945" s="6"/>
      <c r="BM945" s="6"/>
      <c r="BN945" s="6" t="e">
        <f t="shared" si="79"/>
        <v>#DIV/0!</v>
      </c>
    </row>
    <row r="946" spans="49:66" x14ac:dyDescent="0.3">
      <c r="AW946">
        <f t="shared" si="78"/>
        <v>0</v>
      </c>
      <c r="AX946">
        <v>943</v>
      </c>
      <c r="AY946" s="4">
        <f t="shared" si="76"/>
        <v>41575</v>
      </c>
      <c r="AZ946" s="6" t="e">
        <f t="shared" si="77"/>
        <v>#DIV/0!</v>
      </c>
      <c r="BA946" s="4">
        <v>41575</v>
      </c>
      <c r="BB946" s="6">
        <v>-0.109982</v>
      </c>
      <c r="BC946" s="6">
        <v>-0.342144</v>
      </c>
      <c r="BD946" s="6">
        <v>-9.6363000000000004E-2</v>
      </c>
      <c r="BE946" s="6"/>
      <c r="BF946" s="6"/>
      <c r="BG946" s="6"/>
      <c r="BH946" s="6"/>
      <c r="BI946" s="6"/>
      <c r="BJ946" s="6"/>
      <c r="BK946" s="6"/>
      <c r="BL946" s="6"/>
      <c r="BM946" s="6"/>
      <c r="BN946" s="6" t="e">
        <f t="shared" si="79"/>
        <v>#DIV/0!</v>
      </c>
    </row>
    <row r="947" spans="49:66" x14ac:dyDescent="0.3">
      <c r="AW947">
        <f t="shared" si="78"/>
        <v>0</v>
      </c>
      <c r="AX947">
        <v>944</v>
      </c>
      <c r="AY947" s="4">
        <f t="shared" si="76"/>
        <v>41576</v>
      </c>
      <c r="AZ947" s="6" t="e">
        <f t="shared" si="77"/>
        <v>#DIV/0!</v>
      </c>
      <c r="BA947" s="4">
        <v>41576</v>
      </c>
      <c r="BB947" s="6">
        <v>0.25778200000000001</v>
      </c>
      <c r="BC947" s="6">
        <v>-2.7527219999999999</v>
      </c>
      <c r="BD947" s="6">
        <v>-2.6167639999999999</v>
      </c>
      <c r="BE947" s="6"/>
      <c r="BF947" s="6"/>
      <c r="BG947" s="6"/>
      <c r="BH947" s="6"/>
      <c r="BI947" s="6"/>
      <c r="BJ947" s="6"/>
      <c r="BK947" s="6"/>
      <c r="BL947" s="6"/>
      <c r="BM947" s="6"/>
      <c r="BN947" s="6" t="e">
        <f t="shared" si="79"/>
        <v>#DIV/0!</v>
      </c>
    </row>
    <row r="948" spans="49:66" x14ac:dyDescent="0.3">
      <c r="AW948">
        <f t="shared" si="78"/>
        <v>0</v>
      </c>
      <c r="AX948">
        <v>945</v>
      </c>
      <c r="AY948" s="4">
        <f t="shared" si="76"/>
        <v>41577</v>
      </c>
      <c r="AZ948" s="6" t="e">
        <f t="shared" si="77"/>
        <v>#DIV/0!</v>
      </c>
      <c r="BA948" s="4">
        <v>41577</v>
      </c>
      <c r="BB948" s="6">
        <v>1.4931369999999999</v>
      </c>
      <c r="BC948" s="6">
        <v>1.635942</v>
      </c>
      <c r="BD948" s="6">
        <v>1.544176</v>
      </c>
      <c r="BE948" s="6"/>
      <c r="BF948" s="6"/>
      <c r="BG948" s="6"/>
      <c r="BH948" s="6"/>
      <c r="BI948" s="6"/>
      <c r="BJ948" s="6"/>
      <c r="BK948" s="6"/>
      <c r="BL948" s="6"/>
      <c r="BM948" s="6"/>
      <c r="BN948" s="6" t="e">
        <f t="shared" si="79"/>
        <v>#DIV/0!</v>
      </c>
    </row>
    <row r="949" spans="49:66" x14ac:dyDescent="0.3">
      <c r="AW949">
        <f t="shared" si="78"/>
        <v>0</v>
      </c>
      <c r="AX949">
        <v>946</v>
      </c>
      <c r="AY949" s="4">
        <f t="shared" si="76"/>
        <v>41578</v>
      </c>
      <c r="AZ949" s="6" t="e">
        <f t="shared" si="77"/>
        <v>#DIV/0!</v>
      </c>
      <c r="BA949" s="4">
        <v>41578</v>
      </c>
      <c r="BB949" s="6">
        <v>-1.4020109999999999</v>
      </c>
      <c r="BC949" s="6">
        <v>-1.3447899999999999</v>
      </c>
      <c r="BD949" s="6">
        <v>-1.490386</v>
      </c>
      <c r="BE949" s="6"/>
      <c r="BF949" s="6"/>
      <c r="BG949" s="6"/>
      <c r="BH949" s="6"/>
      <c r="BI949" s="6"/>
      <c r="BJ949" s="6"/>
      <c r="BK949" s="6"/>
      <c r="BL949" s="6"/>
      <c r="BM949" s="6"/>
      <c r="BN949" s="6" t="e">
        <f t="shared" si="79"/>
        <v>#DIV/0!</v>
      </c>
    </row>
    <row r="950" spans="49:66" x14ac:dyDescent="0.3">
      <c r="AW950">
        <f t="shared" si="78"/>
        <v>0</v>
      </c>
      <c r="AX950">
        <v>947</v>
      </c>
      <c r="AY950" s="4">
        <f t="shared" si="76"/>
        <v>41579</v>
      </c>
      <c r="AZ950" s="6" t="e">
        <f t="shared" si="77"/>
        <v>#DIV/0!</v>
      </c>
      <c r="BA950" s="4">
        <v>41579</v>
      </c>
      <c r="BB950" s="6">
        <v>0.473603</v>
      </c>
      <c r="BC950" s="6">
        <v>-0.30653000000000002</v>
      </c>
      <c r="BD950" s="6">
        <v>-0.72011700000000001</v>
      </c>
      <c r="BE950" s="6"/>
      <c r="BF950" s="6"/>
      <c r="BG950" s="6"/>
      <c r="BH950" s="6"/>
      <c r="BI950" s="6"/>
      <c r="BJ950" s="6"/>
      <c r="BK950" s="6"/>
      <c r="BL950" s="6"/>
      <c r="BM950" s="6"/>
      <c r="BN950" s="6" t="e">
        <f t="shared" si="79"/>
        <v>#DIV/0!</v>
      </c>
    </row>
    <row r="951" spans="49:66" x14ac:dyDescent="0.3">
      <c r="AW951">
        <f t="shared" si="78"/>
        <v>0</v>
      </c>
      <c r="AX951">
        <v>948</v>
      </c>
      <c r="AY951" s="4">
        <f t="shared" si="76"/>
        <v>41582</v>
      </c>
      <c r="AZ951" s="6" t="e">
        <f t="shared" si="77"/>
        <v>#DIV/0!</v>
      </c>
      <c r="BA951" s="4">
        <v>41582</v>
      </c>
      <c r="BB951" s="6">
        <v>-0.18893399999999999</v>
      </c>
      <c r="BC951" s="6">
        <v>0.69529700000000005</v>
      </c>
      <c r="BD951" s="6">
        <v>0.64036899999999997</v>
      </c>
      <c r="BE951" s="6"/>
      <c r="BF951" s="6"/>
      <c r="BG951" s="6"/>
      <c r="BH951" s="6"/>
      <c r="BI951" s="6"/>
      <c r="BJ951" s="6"/>
      <c r="BK951" s="6"/>
      <c r="BL951" s="6"/>
      <c r="BM951" s="6"/>
      <c r="BN951" s="6" t="e">
        <f t="shared" si="79"/>
        <v>#DIV/0!</v>
      </c>
    </row>
    <row r="952" spans="49:66" x14ac:dyDescent="0.3">
      <c r="AW952">
        <f t="shared" si="78"/>
        <v>0</v>
      </c>
      <c r="AX952">
        <v>949</v>
      </c>
      <c r="AY952" s="4">
        <f t="shared" si="76"/>
        <v>41583</v>
      </c>
      <c r="AZ952" s="6" t="e">
        <f t="shared" si="77"/>
        <v>#DIV/0!</v>
      </c>
      <c r="BA952" s="4">
        <v>41583</v>
      </c>
      <c r="BB952" s="6">
        <v>0.13925899999999999</v>
      </c>
      <c r="BC952" s="6">
        <v>1.3201050000000001</v>
      </c>
      <c r="BD952" s="6">
        <v>1.7111019999999999</v>
      </c>
      <c r="BE952" s="6"/>
      <c r="BF952" s="6"/>
      <c r="BG952" s="6"/>
      <c r="BH952" s="6"/>
      <c r="BI952" s="6"/>
      <c r="BJ952" s="6"/>
      <c r="BK952" s="6"/>
      <c r="BL952" s="6"/>
      <c r="BM952" s="6"/>
      <c r="BN952" s="6" t="e">
        <f t="shared" si="79"/>
        <v>#DIV/0!</v>
      </c>
    </row>
    <row r="953" spans="49:66" x14ac:dyDescent="0.3">
      <c r="AW953">
        <f t="shared" si="78"/>
        <v>0</v>
      </c>
      <c r="AX953">
        <v>950</v>
      </c>
      <c r="AY953" s="4">
        <f t="shared" si="76"/>
        <v>41584</v>
      </c>
      <c r="AZ953" s="6" t="e">
        <f t="shared" si="77"/>
        <v>#DIV/0!</v>
      </c>
      <c r="BA953" s="4">
        <v>41584</v>
      </c>
      <c r="BB953" s="6">
        <v>-1.2669429999999999</v>
      </c>
      <c r="BC953" s="6">
        <v>-1.0668169999999999</v>
      </c>
      <c r="BD953" s="6">
        <v>-0.84057000000000004</v>
      </c>
      <c r="BE953" s="6"/>
      <c r="BF953" s="6"/>
      <c r="BG953" s="6"/>
      <c r="BH953" s="6"/>
      <c r="BI953" s="6"/>
      <c r="BJ953" s="6"/>
      <c r="BK953" s="6"/>
      <c r="BL953" s="6"/>
      <c r="BM953" s="6"/>
      <c r="BN953" s="6" t="e">
        <f t="shared" si="79"/>
        <v>#DIV/0!</v>
      </c>
    </row>
    <row r="954" spans="49:66" x14ac:dyDescent="0.3">
      <c r="AW954">
        <f t="shared" si="78"/>
        <v>0</v>
      </c>
      <c r="AX954">
        <v>951</v>
      </c>
      <c r="AY954" s="4">
        <f t="shared" si="76"/>
        <v>41585</v>
      </c>
      <c r="AZ954" s="6" t="e">
        <f t="shared" si="77"/>
        <v>#DIV/0!</v>
      </c>
      <c r="BA954" s="4">
        <v>41585</v>
      </c>
      <c r="BB954" s="6">
        <v>-0.553033</v>
      </c>
      <c r="BC954" s="6">
        <v>-1.3932169999999999</v>
      </c>
      <c r="BD954" s="6">
        <v>-1.3404119999999999</v>
      </c>
      <c r="BE954" s="6"/>
      <c r="BF954" s="6"/>
      <c r="BG954" s="6"/>
      <c r="BH954" s="6"/>
      <c r="BI954" s="6"/>
      <c r="BJ954" s="6"/>
      <c r="BK954" s="6"/>
      <c r="BL954" s="6"/>
      <c r="BM954" s="6"/>
      <c r="BN954" s="6" t="e">
        <f t="shared" si="79"/>
        <v>#DIV/0!</v>
      </c>
    </row>
    <row r="955" spans="49:66" x14ac:dyDescent="0.3">
      <c r="AW955">
        <f t="shared" si="78"/>
        <v>0</v>
      </c>
      <c r="AX955">
        <v>952</v>
      </c>
      <c r="AY955" s="4">
        <f t="shared" si="76"/>
        <v>41586</v>
      </c>
      <c r="AZ955" s="6" t="e">
        <f t="shared" si="77"/>
        <v>#DIV/0!</v>
      </c>
      <c r="BA955" s="4">
        <v>41586</v>
      </c>
      <c r="BB955" s="6">
        <v>-1.393133</v>
      </c>
      <c r="BC955" s="6">
        <v>-1.4952350000000001</v>
      </c>
      <c r="BD955" s="6">
        <v>-1.4138949999999999</v>
      </c>
      <c r="BE955" s="6"/>
      <c r="BF955" s="6"/>
      <c r="BG955" s="6"/>
      <c r="BH955" s="6"/>
      <c r="BI955" s="6"/>
      <c r="BJ955" s="6"/>
      <c r="BK955" s="6"/>
      <c r="BL955" s="6"/>
      <c r="BM955" s="6"/>
      <c r="BN955" s="6" t="e">
        <f t="shared" si="79"/>
        <v>#DIV/0!</v>
      </c>
    </row>
    <row r="956" spans="49:66" x14ac:dyDescent="0.3">
      <c r="AW956">
        <f t="shared" si="78"/>
        <v>0</v>
      </c>
      <c r="AX956">
        <v>953</v>
      </c>
      <c r="AY956" s="4">
        <f t="shared" si="76"/>
        <v>41589</v>
      </c>
      <c r="AZ956" s="6" t="e">
        <f t="shared" si="77"/>
        <v>#DIV/0!</v>
      </c>
      <c r="BA956" s="4">
        <v>41589</v>
      </c>
      <c r="BB956" s="6">
        <v>0.34420200000000001</v>
      </c>
      <c r="BC956" s="6">
        <v>0.43802400000000002</v>
      </c>
      <c r="BD956" s="6">
        <v>0.64414400000000005</v>
      </c>
      <c r="BE956" s="6"/>
      <c r="BF956" s="6"/>
      <c r="BG956" s="6"/>
      <c r="BH956" s="6"/>
      <c r="BI956" s="6"/>
      <c r="BJ956" s="6"/>
      <c r="BK956" s="6"/>
      <c r="BL956" s="6"/>
      <c r="BM956" s="6"/>
      <c r="BN956" s="6" t="e">
        <f t="shared" si="79"/>
        <v>#DIV/0!</v>
      </c>
    </row>
    <row r="957" spans="49:66" x14ac:dyDescent="0.3">
      <c r="AW957">
        <f t="shared" si="78"/>
        <v>0</v>
      </c>
      <c r="AX957">
        <v>954</v>
      </c>
      <c r="AY957" s="4">
        <f t="shared" si="76"/>
        <v>41590</v>
      </c>
      <c r="AZ957" s="6" t="e">
        <f t="shared" si="77"/>
        <v>#DIV/0!</v>
      </c>
      <c r="BA957" s="4">
        <v>41590</v>
      </c>
      <c r="BB957" s="6">
        <v>1.041112</v>
      </c>
      <c r="BC957" s="6">
        <v>0.95165999999999995</v>
      </c>
      <c r="BD957" s="6">
        <v>0.83626500000000004</v>
      </c>
      <c r="BE957" s="6"/>
      <c r="BF957" s="6"/>
      <c r="BG957" s="6"/>
      <c r="BH957" s="6"/>
      <c r="BI957" s="6"/>
      <c r="BJ957" s="6"/>
      <c r="BK957" s="6"/>
      <c r="BL957" s="6"/>
      <c r="BM957" s="6"/>
      <c r="BN957" s="6" t="e">
        <f t="shared" si="79"/>
        <v>#DIV/0!</v>
      </c>
    </row>
    <row r="958" spans="49:66" x14ac:dyDescent="0.3">
      <c r="AW958">
        <f t="shared" si="78"/>
        <v>0</v>
      </c>
      <c r="AX958">
        <v>955</v>
      </c>
      <c r="AY958" s="4">
        <f t="shared" si="76"/>
        <v>41591</v>
      </c>
      <c r="AZ958" s="6" t="e">
        <f t="shared" si="77"/>
        <v>#DIV/0!</v>
      </c>
      <c r="BA958" s="4">
        <v>41591</v>
      </c>
      <c r="BB958" s="6">
        <v>-2.2172649999999998</v>
      </c>
      <c r="BC958" s="6">
        <v>-1.868641</v>
      </c>
      <c r="BD958" s="6">
        <v>-1.762486</v>
      </c>
      <c r="BE958" s="6"/>
      <c r="BF958" s="6"/>
      <c r="BG958" s="6"/>
      <c r="BH958" s="6"/>
      <c r="BI958" s="6"/>
      <c r="BJ958" s="6"/>
      <c r="BK958" s="6"/>
      <c r="BL958" s="6"/>
      <c r="BM958" s="6"/>
      <c r="BN958" s="6" t="e">
        <f t="shared" si="79"/>
        <v>#DIV/0!</v>
      </c>
    </row>
    <row r="959" spans="49:66" x14ac:dyDescent="0.3">
      <c r="AW959">
        <f t="shared" si="78"/>
        <v>0</v>
      </c>
      <c r="AX959">
        <v>956</v>
      </c>
      <c r="AY959" s="4">
        <f t="shared" si="76"/>
        <v>41592</v>
      </c>
      <c r="AZ959" s="6" t="e">
        <f t="shared" si="77"/>
        <v>#DIV/0!</v>
      </c>
      <c r="BA959" s="4">
        <v>41592</v>
      </c>
      <c r="BB959" s="6">
        <v>0.71609100000000003</v>
      </c>
      <c r="BC959" s="6">
        <v>1.3309299999999999</v>
      </c>
      <c r="BD959" s="6">
        <v>1.663138</v>
      </c>
      <c r="BE959" s="6"/>
      <c r="BF959" s="6"/>
      <c r="BG959" s="6"/>
      <c r="BH959" s="6"/>
      <c r="BI959" s="6"/>
      <c r="BJ959" s="6"/>
      <c r="BK959" s="6"/>
      <c r="BL959" s="6"/>
      <c r="BM959" s="6"/>
      <c r="BN959" s="6" t="e">
        <f t="shared" si="79"/>
        <v>#DIV/0!</v>
      </c>
    </row>
    <row r="960" spans="49:66" x14ac:dyDescent="0.3">
      <c r="AW960">
        <f t="shared" si="78"/>
        <v>0</v>
      </c>
      <c r="AX960">
        <v>957</v>
      </c>
      <c r="AY960" s="4">
        <f t="shared" si="76"/>
        <v>41593</v>
      </c>
      <c r="AZ960" s="6" t="e">
        <f t="shared" si="77"/>
        <v>#DIV/0!</v>
      </c>
      <c r="BA960" s="4">
        <v>41593</v>
      </c>
      <c r="BB960" s="6">
        <v>2.0062039999999999</v>
      </c>
      <c r="BC960" s="6">
        <v>2.0935950000000001</v>
      </c>
      <c r="BD960" s="6">
        <v>1.918048</v>
      </c>
      <c r="BE960" s="6"/>
      <c r="BF960" s="6"/>
      <c r="BG960" s="6"/>
      <c r="BH960" s="6"/>
      <c r="BI960" s="6"/>
      <c r="BJ960" s="6"/>
      <c r="BK960" s="6"/>
      <c r="BL960" s="6"/>
      <c r="BM960" s="6"/>
      <c r="BN960" s="6" t="e">
        <f t="shared" si="79"/>
        <v>#DIV/0!</v>
      </c>
    </row>
    <row r="961" spans="49:66" x14ac:dyDescent="0.3">
      <c r="AW961">
        <f t="shared" si="78"/>
        <v>0</v>
      </c>
      <c r="AX961">
        <v>958</v>
      </c>
      <c r="AY961" s="4">
        <f t="shared" si="76"/>
        <v>41596</v>
      </c>
      <c r="AZ961" s="6" t="e">
        <f t="shared" si="77"/>
        <v>#DIV/0!</v>
      </c>
      <c r="BA961" s="4">
        <v>41596</v>
      </c>
      <c r="BB961" s="6">
        <v>3.3253020000000002</v>
      </c>
      <c r="BC961" s="6">
        <v>2.446974</v>
      </c>
      <c r="BD961" s="6">
        <v>2.2420339999999999</v>
      </c>
      <c r="BE961" s="6"/>
      <c r="BF961" s="6"/>
      <c r="BG961" s="6"/>
      <c r="BH961" s="6"/>
      <c r="BI961" s="6"/>
      <c r="BJ961" s="6"/>
      <c r="BK961" s="6"/>
      <c r="BL961" s="6"/>
      <c r="BM961" s="6"/>
      <c r="BN961" s="6" t="e">
        <f t="shared" si="79"/>
        <v>#DIV/0!</v>
      </c>
    </row>
    <row r="962" spans="49:66" x14ac:dyDescent="0.3">
      <c r="AW962">
        <f t="shared" si="78"/>
        <v>0</v>
      </c>
      <c r="AX962">
        <v>959</v>
      </c>
      <c r="AY962" s="4">
        <f t="shared" si="76"/>
        <v>41597</v>
      </c>
      <c r="AZ962" s="6" t="e">
        <f t="shared" si="77"/>
        <v>#DIV/0!</v>
      </c>
      <c r="BA962" s="4">
        <v>41597</v>
      </c>
      <c r="BB962" s="6">
        <v>-0.68920000000000003</v>
      </c>
      <c r="BC962" s="6">
        <v>0.32610699999999998</v>
      </c>
      <c r="BD962" s="6">
        <v>0.570994</v>
      </c>
      <c r="BE962" s="6"/>
      <c r="BF962" s="6"/>
      <c r="BG962" s="6"/>
      <c r="BH962" s="6"/>
      <c r="BI962" s="6"/>
      <c r="BJ962" s="6"/>
      <c r="BK962" s="6"/>
      <c r="BL962" s="6"/>
      <c r="BM962" s="6"/>
      <c r="BN962" s="6" t="e">
        <f t="shared" si="79"/>
        <v>#DIV/0!</v>
      </c>
    </row>
    <row r="963" spans="49:66" x14ac:dyDescent="0.3">
      <c r="AW963">
        <f t="shared" si="78"/>
        <v>0</v>
      </c>
      <c r="AX963">
        <v>960</v>
      </c>
      <c r="AY963" s="4">
        <f t="shared" si="76"/>
        <v>41598</v>
      </c>
      <c r="AZ963" s="6" t="e">
        <f t="shared" si="77"/>
        <v>#DIV/0!</v>
      </c>
      <c r="BA963" s="4">
        <v>41598</v>
      </c>
      <c r="BB963" s="6">
        <v>0.52595899999999995</v>
      </c>
      <c r="BC963" s="6">
        <v>0.99519199999999997</v>
      </c>
      <c r="BD963" s="6">
        <v>0.90237599999999996</v>
      </c>
      <c r="BE963" s="6"/>
      <c r="BF963" s="6"/>
      <c r="BG963" s="6"/>
      <c r="BH963" s="6"/>
      <c r="BI963" s="6"/>
      <c r="BJ963" s="6"/>
      <c r="BK963" s="6"/>
      <c r="BL963" s="6"/>
      <c r="BM963" s="6"/>
      <c r="BN963" s="6" t="e">
        <f t="shared" si="79"/>
        <v>#DIV/0!</v>
      </c>
    </row>
    <row r="964" spans="49:66" x14ac:dyDescent="0.3">
      <c r="AW964">
        <f t="shared" si="78"/>
        <v>0</v>
      </c>
      <c r="AX964">
        <v>961</v>
      </c>
      <c r="AY964" s="4">
        <f t="shared" si="76"/>
        <v>41599</v>
      </c>
      <c r="AZ964" s="6" t="e">
        <f t="shared" si="77"/>
        <v>#DIV/0!</v>
      </c>
      <c r="BA964" s="4">
        <v>41599</v>
      </c>
      <c r="BB964" s="6">
        <v>-0.61286300000000005</v>
      </c>
      <c r="BC964" s="6">
        <v>-0.33966000000000002</v>
      </c>
      <c r="BD964" s="6">
        <v>-0.18323400000000001</v>
      </c>
      <c r="BE964" s="6"/>
      <c r="BF964" s="6"/>
      <c r="BG964" s="6"/>
      <c r="BH964" s="6"/>
      <c r="BI964" s="6"/>
      <c r="BJ964" s="6"/>
      <c r="BK964" s="6"/>
      <c r="BL964" s="6"/>
      <c r="BM964" s="6"/>
      <c r="BN964" s="6" t="e">
        <f t="shared" si="79"/>
        <v>#DIV/0!</v>
      </c>
    </row>
    <row r="965" spans="49:66" x14ac:dyDescent="0.3">
      <c r="AW965">
        <f t="shared" si="78"/>
        <v>0</v>
      </c>
      <c r="AX965">
        <v>962</v>
      </c>
      <c r="AY965" s="4">
        <f t="shared" ref="AY965:AY1028" si="80">BA965</f>
        <v>41600</v>
      </c>
      <c r="AZ965" s="6" t="e">
        <f t="shared" ref="AZ965:AZ1028" si="81">BN965</f>
        <v>#DIV/0!</v>
      </c>
      <c r="BA965" s="4">
        <v>41600</v>
      </c>
      <c r="BB965" s="6">
        <v>-0.49904799999999999</v>
      </c>
      <c r="BC965" s="6">
        <v>-0.58606999999999998</v>
      </c>
      <c r="BD965" s="6">
        <v>-0.23575399999999999</v>
      </c>
      <c r="BE965" s="6"/>
      <c r="BF965" s="6"/>
      <c r="BG965" s="6"/>
      <c r="BH965" s="6"/>
      <c r="BI965" s="6"/>
      <c r="BJ965" s="6"/>
      <c r="BK965" s="6"/>
      <c r="BL965" s="6"/>
      <c r="BM965" s="6"/>
      <c r="BN965" s="6" t="e">
        <f t="shared" si="79"/>
        <v>#DIV/0!</v>
      </c>
    </row>
    <row r="966" spans="49:66" x14ac:dyDescent="0.3">
      <c r="AW966">
        <f t="shared" ref="AW966:AW1029" si="82">IF(AY966&lt;=AY965,1,0)</f>
        <v>0</v>
      </c>
      <c r="AX966">
        <v>963</v>
      </c>
      <c r="AY966" s="4">
        <f t="shared" si="80"/>
        <v>41603</v>
      </c>
      <c r="AZ966" s="6" t="e">
        <f t="shared" si="81"/>
        <v>#DIV/0!</v>
      </c>
      <c r="BA966" s="4">
        <v>41603</v>
      </c>
      <c r="BB966" s="6">
        <v>-0.389206</v>
      </c>
      <c r="BC966" s="6">
        <v>-8.2076999999999997E-2</v>
      </c>
      <c r="BD966" s="6">
        <v>0.12784699999999999</v>
      </c>
      <c r="BE966" s="6"/>
      <c r="BF966" s="6"/>
      <c r="BG966" s="6"/>
      <c r="BH966" s="6"/>
      <c r="BI966" s="6"/>
      <c r="BJ966" s="6"/>
      <c r="BK966" s="6"/>
      <c r="BL966" s="6"/>
      <c r="BM966" s="6"/>
      <c r="BN966" s="6" t="e">
        <f t="shared" ref="BN966:BN1029" si="83">(BM966/BM965-1)*100</f>
        <v>#DIV/0!</v>
      </c>
    </row>
    <row r="967" spans="49:66" x14ac:dyDescent="0.3">
      <c r="AW967">
        <f t="shared" si="82"/>
        <v>0</v>
      </c>
      <c r="AX967">
        <v>964</v>
      </c>
      <c r="AY967" s="4">
        <f t="shared" si="80"/>
        <v>41604</v>
      </c>
      <c r="AZ967" s="6" t="e">
        <f t="shared" si="81"/>
        <v>#DIV/0!</v>
      </c>
      <c r="BA967" s="4">
        <v>41604</v>
      </c>
      <c r="BB967" s="6">
        <v>-5.0782000000000001E-2</v>
      </c>
      <c r="BC967" s="6">
        <v>0.158193</v>
      </c>
      <c r="BD967" s="6">
        <v>0.37923000000000001</v>
      </c>
      <c r="BE967" s="6"/>
      <c r="BF967" s="6"/>
      <c r="BG967" s="6"/>
      <c r="BH967" s="6"/>
      <c r="BI967" s="6"/>
      <c r="BJ967" s="6"/>
      <c r="BK967" s="6"/>
      <c r="BL967" s="6"/>
      <c r="BM967" s="6"/>
      <c r="BN967" s="6" t="e">
        <f t="shared" si="83"/>
        <v>#DIV/0!</v>
      </c>
    </row>
    <row r="968" spans="49:66" x14ac:dyDescent="0.3">
      <c r="AW968">
        <f t="shared" si="82"/>
        <v>0</v>
      </c>
      <c r="AX968">
        <v>965</v>
      </c>
      <c r="AY968" s="4">
        <f t="shared" si="80"/>
        <v>41605</v>
      </c>
      <c r="AZ968" s="6" t="e">
        <f t="shared" si="81"/>
        <v>#DIV/0!</v>
      </c>
      <c r="BA968" s="4">
        <v>41605</v>
      </c>
      <c r="BB968" s="6">
        <v>1.1336520000000001</v>
      </c>
      <c r="BC968" s="6">
        <v>1.146196</v>
      </c>
      <c r="BD968" s="6">
        <v>1.535283</v>
      </c>
      <c r="BE968" s="6"/>
      <c r="BF968" s="6"/>
      <c r="BG968" s="6"/>
      <c r="BH968" s="6"/>
      <c r="BI968" s="6"/>
      <c r="BJ968" s="6"/>
      <c r="BK968" s="6"/>
      <c r="BL968" s="6"/>
      <c r="BM968" s="6"/>
      <c r="BN968" s="6" t="e">
        <f t="shared" si="83"/>
        <v>#DIV/0!</v>
      </c>
    </row>
    <row r="969" spans="49:66" x14ac:dyDescent="0.3">
      <c r="AW969">
        <f t="shared" si="82"/>
        <v>0</v>
      </c>
      <c r="AX969">
        <v>966</v>
      </c>
      <c r="AY969" s="4">
        <f t="shared" si="80"/>
        <v>41606</v>
      </c>
      <c r="AZ969" s="6" t="e">
        <f t="shared" si="81"/>
        <v>#DIV/0!</v>
      </c>
      <c r="BA969" s="4">
        <v>41606</v>
      </c>
      <c r="BB969" s="6">
        <v>1.0374490000000001</v>
      </c>
      <c r="BC969" s="6">
        <v>0.84609400000000001</v>
      </c>
      <c r="BD969" s="6">
        <v>0.61948300000000001</v>
      </c>
      <c r="BE969" s="6"/>
      <c r="BF969" s="6"/>
      <c r="BG969" s="6"/>
      <c r="BH969" s="6"/>
      <c r="BI969" s="6"/>
      <c r="BJ969" s="6"/>
      <c r="BK969" s="6"/>
      <c r="BL969" s="6"/>
      <c r="BM969" s="6"/>
      <c r="BN969" s="6" t="e">
        <f t="shared" si="83"/>
        <v>#DIV/0!</v>
      </c>
    </row>
    <row r="970" spans="49:66" x14ac:dyDescent="0.3">
      <c r="AW970">
        <f t="shared" si="82"/>
        <v>0</v>
      </c>
      <c r="AX970">
        <v>967</v>
      </c>
      <c r="AY970" s="4">
        <f t="shared" si="80"/>
        <v>41607</v>
      </c>
      <c r="AZ970" s="6" t="e">
        <f t="shared" si="81"/>
        <v>#DIV/0!</v>
      </c>
      <c r="BA970" s="4">
        <v>41607</v>
      </c>
      <c r="BB970" s="6">
        <v>-2.4021000000000001E-2</v>
      </c>
      <c r="BC970" s="6">
        <v>0.60461399999999998</v>
      </c>
      <c r="BD970" s="6">
        <v>1.2120690000000001</v>
      </c>
      <c r="BE970" s="6"/>
      <c r="BF970" s="6"/>
      <c r="BG970" s="6"/>
      <c r="BH970" s="6"/>
      <c r="BI970" s="6"/>
      <c r="BJ970" s="6"/>
      <c r="BK970" s="6"/>
      <c r="BL970" s="6"/>
      <c r="BM970" s="6"/>
      <c r="BN970" s="6" t="e">
        <f t="shared" si="83"/>
        <v>#DIV/0!</v>
      </c>
    </row>
    <row r="971" spans="49:66" x14ac:dyDescent="0.3">
      <c r="AW971">
        <f t="shared" si="82"/>
        <v>0</v>
      </c>
      <c r="AX971">
        <v>968</v>
      </c>
      <c r="AY971" s="4">
        <f t="shared" si="80"/>
        <v>41610</v>
      </c>
      <c r="AZ971" s="6" t="e">
        <f t="shared" si="81"/>
        <v>#DIV/0!</v>
      </c>
      <c r="BA971" s="4">
        <v>41610</v>
      </c>
      <c r="BB971" s="6">
        <v>-0.82642300000000002</v>
      </c>
      <c r="BC971" s="6">
        <v>-4.4475660000000001</v>
      </c>
      <c r="BD971" s="6">
        <v>-6.2182069999999996</v>
      </c>
      <c r="BE971" s="6"/>
      <c r="BF971" s="6"/>
      <c r="BG971" s="6"/>
      <c r="BH971" s="6"/>
      <c r="BI971" s="6"/>
      <c r="BJ971" s="6"/>
      <c r="BK971" s="6"/>
      <c r="BL971" s="6"/>
      <c r="BM971" s="6"/>
      <c r="BN971" s="6" t="e">
        <f t="shared" si="83"/>
        <v>#DIV/0!</v>
      </c>
    </row>
    <row r="972" spans="49:66" x14ac:dyDescent="0.3">
      <c r="AW972">
        <f t="shared" si="82"/>
        <v>0</v>
      </c>
      <c r="AX972">
        <v>969</v>
      </c>
      <c r="AY972" s="4">
        <f t="shared" si="80"/>
        <v>41611</v>
      </c>
      <c r="AZ972" s="6" t="e">
        <f t="shared" si="81"/>
        <v>#DIV/0!</v>
      </c>
      <c r="BA972" s="4">
        <v>41611</v>
      </c>
      <c r="BB972" s="6">
        <v>0.99206700000000003</v>
      </c>
      <c r="BC972" s="6">
        <v>2.3625880000000001</v>
      </c>
      <c r="BD972" s="6">
        <v>1.6795230000000001</v>
      </c>
      <c r="BE972" s="6"/>
      <c r="BF972" s="6"/>
      <c r="BG972" s="6"/>
      <c r="BH972" s="6"/>
      <c r="BI972" s="6"/>
      <c r="BJ972" s="6"/>
      <c r="BK972" s="6"/>
      <c r="BL972" s="6"/>
      <c r="BM972" s="6"/>
      <c r="BN972" s="6" t="e">
        <f t="shared" si="83"/>
        <v>#DIV/0!</v>
      </c>
    </row>
    <row r="973" spans="49:66" x14ac:dyDescent="0.3">
      <c r="AW973">
        <f t="shared" si="82"/>
        <v>0</v>
      </c>
      <c r="AX973">
        <v>970</v>
      </c>
      <c r="AY973" s="4">
        <f t="shared" si="80"/>
        <v>41612</v>
      </c>
      <c r="AZ973" s="6" t="e">
        <f t="shared" si="81"/>
        <v>#DIV/0!</v>
      </c>
      <c r="BA973" s="4">
        <v>41612</v>
      </c>
      <c r="BB973" s="6">
        <v>1.3243499999999999</v>
      </c>
      <c r="BC973" s="6">
        <v>1.892328</v>
      </c>
      <c r="BD973" s="6">
        <v>0.85823199999999999</v>
      </c>
      <c r="BE973" s="6"/>
      <c r="BF973" s="6"/>
      <c r="BG973" s="6"/>
      <c r="BH973" s="6"/>
      <c r="BI973" s="6"/>
      <c r="BJ973" s="6"/>
      <c r="BK973" s="6"/>
      <c r="BL973" s="6"/>
      <c r="BM973" s="6"/>
      <c r="BN973" s="6" t="e">
        <f t="shared" si="83"/>
        <v>#DIV/0!</v>
      </c>
    </row>
    <row r="974" spans="49:66" x14ac:dyDescent="0.3">
      <c r="AW974">
        <f t="shared" si="82"/>
        <v>0</v>
      </c>
      <c r="AX974">
        <v>971</v>
      </c>
      <c r="AY974" s="4">
        <f t="shared" si="80"/>
        <v>41613</v>
      </c>
      <c r="AZ974" s="6" t="e">
        <f t="shared" si="81"/>
        <v>#DIV/0!</v>
      </c>
      <c r="BA974" s="4">
        <v>41613</v>
      </c>
      <c r="BB974" s="6">
        <v>-0.280308</v>
      </c>
      <c r="BC974" s="6">
        <v>-0.10867</v>
      </c>
      <c r="BD974" s="6">
        <v>-0.64352600000000004</v>
      </c>
      <c r="BE974" s="6"/>
      <c r="BF974" s="6"/>
      <c r="BG974" s="6"/>
      <c r="BH974" s="6"/>
      <c r="BI974" s="6"/>
      <c r="BJ974" s="6"/>
      <c r="BK974" s="6"/>
      <c r="BL974" s="6"/>
      <c r="BM974" s="6"/>
      <c r="BN974" s="6" t="e">
        <f t="shared" si="83"/>
        <v>#DIV/0!</v>
      </c>
    </row>
    <row r="975" spans="49:66" x14ac:dyDescent="0.3">
      <c r="AW975">
        <f t="shared" si="82"/>
        <v>0</v>
      </c>
      <c r="AX975">
        <v>972</v>
      </c>
      <c r="AY975" s="4">
        <f t="shared" si="80"/>
        <v>41614</v>
      </c>
      <c r="AZ975" s="6" t="e">
        <f t="shared" si="81"/>
        <v>#DIV/0!</v>
      </c>
      <c r="BA975" s="4">
        <v>41614</v>
      </c>
      <c r="BB975" s="6">
        <v>-0.64459999999999995</v>
      </c>
      <c r="BC975" s="6">
        <v>-0.25303399999999998</v>
      </c>
      <c r="BD975" s="6">
        <v>-0.15560199999999999</v>
      </c>
      <c r="BE975" s="6"/>
      <c r="BF975" s="6"/>
      <c r="BG975" s="6"/>
      <c r="BH975" s="6"/>
      <c r="BI975" s="6"/>
      <c r="BJ975" s="6"/>
      <c r="BK975" s="6"/>
      <c r="BL975" s="6"/>
      <c r="BM975" s="6"/>
      <c r="BN975" s="6" t="e">
        <f t="shared" si="83"/>
        <v>#DIV/0!</v>
      </c>
    </row>
    <row r="976" spans="49:66" x14ac:dyDescent="0.3">
      <c r="AW976">
        <f t="shared" si="82"/>
        <v>0</v>
      </c>
      <c r="AX976">
        <v>973</v>
      </c>
      <c r="AY976" s="4">
        <f t="shared" si="80"/>
        <v>41617</v>
      </c>
      <c r="AZ976" s="6" t="e">
        <f t="shared" si="81"/>
        <v>#DIV/0!</v>
      </c>
      <c r="BA976" s="4">
        <v>41617</v>
      </c>
      <c r="BB976" s="6">
        <v>-5.7701000000000002E-2</v>
      </c>
      <c r="BC976" s="6">
        <v>0.73801000000000005</v>
      </c>
      <c r="BD976" s="6">
        <v>1.454561</v>
      </c>
      <c r="BE976" s="6"/>
      <c r="BF976" s="6"/>
      <c r="BG976" s="6"/>
      <c r="BH976" s="6"/>
      <c r="BI976" s="6"/>
      <c r="BJ976" s="6"/>
      <c r="BK976" s="6"/>
      <c r="BL976" s="6"/>
      <c r="BM976" s="6"/>
      <c r="BN976" s="6" t="e">
        <f t="shared" si="83"/>
        <v>#DIV/0!</v>
      </c>
    </row>
    <row r="977" spans="49:66" x14ac:dyDescent="0.3">
      <c r="AW977">
        <f t="shared" si="82"/>
        <v>0</v>
      </c>
      <c r="AX977">
        <v>974</v>
      </c>
      <c r="AY977" s="4">
        <f t="shared" si="80"/>
        <v>41618</v>
      </c>
      <c r="AZ977" s="6" t="e">
        <f t="shared" si="81"/>
        <v>#DIV/0!</v>
      </c>
      <c r="BA977" s="4">
        <v>41618</v>
      </c>
      <c r="BB977" s="6">
        <v>9.9963999999999997E-2</v>
      </c>
      <c r="BC977" s="6">
        <v>7.0471000000000006E-2</v>
      </c>
      <c r="BD977" s="6">
        <v>-5.6402000000000001E-2</v>
      </c>
      <c r="BE977" s="6"/>
      <c r="BF977" s="6"/>
      <c r="BG977" s="6"/>
      <c r="BH977" s="6"/>
      <c r="BI977" s="6"/>
      <c r="BJ977" s="6"/>
      <c r="BK977" s="6"/>
      <c r="BL977" s="6"/>
      <c r="BM977" s="6"/>
      <c r="BN977" s="6" t="e">
        <f t="shared" si="83"/>
        <v>#DIV/0!</v>
      </c>
    </row>
    <row r="978" spans="49:66" x14ac:dyDescent="0.3">
      <c r="AW978">
        <f t="shared" si="82"/>
        <v>0</v>
      </c>
      <c r="AX978">
        <v>975</v>
      </c>
      <c r="AY978" s="4">
        <f t="shared" si="80"/>
        <v>41619</v>
      </c>
      <c r="AZ978" s="6" t="e">
        <f t="shared" si="81"/>
        <v>#DIV/0!</v>
      </c>
      <c r="BA978" s="4">
        <v>41619</v>
      </c>
      <c r="BB978" s="6">
        <v>-1.6532279999999999</v>
      </c>
      <c r="BC978" s="6">
        <v>-1.1063449999999999</v>
      </c>
      <c r="BD978" s="6">
        <v>-0.59918099999999996</v>
      </c>
      <c r="BE978" s="6"/>
      <c r="BF978" s="6"/>
      <c r="BG978" s="6"/>
      <c r="BH978" s="6"/>
      <c r="BI978" s="6"/>
      <c r="BJ978" s="6"/>
      <c r="BK978" s="6"/>
      <c r="BL978" s="6"/>
      <c r="BM978" s="6"/>
      <c r="BN978" s="6" t="e">
        <f t="shared" si="83"/>
        <v>#DIV/0!</v>
      </c>
    </row>
    <row r="979" spans="49:66" x14ac:dyDescent="0.3">
      <c r="AW979">
        <f t="shared" si="82"/>
        <v>0</v>
      </c>
      <c r="AX979">
        <v>976</v>
      </c>
      <c r="AY979" s="4">
        <f t="shared" si="80"/>
        <v>41620</v>
      </c>
      <c r="AZ979" s="6" t="e">
        <f t="shared" si="81"/>
        <v>#DIV/0!</v>
      </c>
      <c r="BA979" s="4">
        <v>41620</v>
      </c>
      <c r="BB979" s="6">
        <v>-0.113894</v>
      </c>
      <c r="BC979" s="6">
        <v>0.26062400000000002</v>
      </c>
      <c r="BD979" s="6">
        <v>0.95167999999999997</v>
      </c>
      <c r="BE979" s="6"/>
      <c r="BF979" s="6"/>
      <c r="BG979" s="6"/>
      <c r="BH979" s="6"/>
      <c r="BI979" s="6"/>
      <c r="BJ979" s="6"/>
      <c r="BK979" s="6"/>
      <c r="BL979" s="6"/>
      <c r="BM979" s="6"/>
      <c r="BN979" s="6" t="e">
        <f t="shared" si="83"/>
        <v>#DIV/0!</v>
      </c>
    </row>
    <row r="980" spans="49:66" x14ac:dyDescent="0.3">
      <c r="AW980">
        <f t="shared" si="82"/>
        <v>0</v>
      </c>
      <c r="AX980">
        <v>977</v>
      </c>
      <c r="AY980" s="4">
        <f t="shared" si="80"/>
        <v>41621</v>
      </c>
      <c r="AZ980" s="6" t="e">
        <f t="shared" si="81"/>
        <v>#DIV/0!</v>
      </c>
      <c r="BA980" s="4">
        <v>41621</v>
      </c>
      <c r="BB980" s="6">
        <v>-0.14008200000000001</v>
      </c>
      <c r="BC980" s="6">
        <v>0.21629000000000001</v>
      </c>
      <c r="BD980" s="6">
        <v>0.29390699999999997</v>
      </c>
      <c r="BE980" s="6"/>
      <c r="BF980" s="6"/>
      <c r="BG980" s="6"/>
      <c r="BH980" s="6"/>
      <c r="BI980" s="6"/>
      <c r="BJ980" s="6"/>
      <c r="BK980" s="6"/>
      <c r="BL980" s="6"/>
      <c r="BM980" s="6"/>
      <c r="BN980" s="6" t="e">
        <f t="shared" si="83"/>
        <v>#DIV/0!</v>
      </c>
    </row>
    <row r="981" spans="49:66" x14ac:dyDescent="0.3">
      <c r="AW981">
        <f t="shared" si="82"/>
        <v>0</v>
      </c>
      <c r="AX981">
        <v>978</v>
      </c>
      <c r="AY981" s="4">
        <f t="shared" si="80"/>
        <v>41624</v>
      </c>
      <c r="AZ981" s="6" t="e">
        <f t="shared" si="81"/>
        <v>#DIV/0!</v>
      </c>
      <c r="BA981" s="4">
        <v>41624</v>
      </c>
      <c r="BB981" s="6">
        <v>-1.608717</v>
      </c>
      <c r="BC981" s="6">
        <v>-1.7251339999999999</v>
      </c>
      <c r="BD981" s="6">
        <v>-1.341844</v>
      </c>
      <c r="BE981" s="6"/>
      <c r="BF981" s="6"/>
      <c r="BG981" s="6"/>
      <c r="BH981" s="6"/>
      <c r="BI981" s="6"/>
      <c r="BJ981" s="6"/>
      <c r="BK981" s="6"/>
      <c r="BL981" s="6"/>
      <c r="BM981" s="6"/>
      <c r="BN981" s="6" t="e">
        <f t="shared" si="83"/>
        <v>#DIV/0!</v>
      </c>
    </row>
    <row r="982" spans="49:66" x14ac:dyDescent="0.3">
      <c r="AW982">
        <f t="shared" si="82"/>
        <v>0</v>
      </c>
      <c r="AX982">
        <v>979</v>
      </c>
      <c r="AY982" s="4">
        <f t="shared" si="80"/>
        <v>41625</v>
      </c>
      <c r="AZ982" s="6" t="e">
        <f t="shared" si="81"/>
        <v>#DIV/0!</v>
      </c>
      <c r="BA982" s="4">
        <v>41625</v>
      </c>
      <c r="BB982" s="6">
        <v>-0.48764299999999999</v>
      </c>
      <c r="BC982" s="6">
        <v>-0.61404199999999998</v>
      </c>
      <c r="BD982" s="6">
        <v>-0.59258299999999997</v>
      </c>
      <c r="BE982" s="6"/>
      <c r="BF982" s="6"/>
      <c r="BG982" s="6"/>
      <c r="BH982" s="6"/>
      <c r="BI982" s="6"/>
      <c r="BJ982" s="6"/>
      <c r="BK982" s="6"/>
      <c r="BL982" s="6"/>
      <c r="BM982" s="6"/>
      <c r="BN982" s="6" t="e">
        <f t="shared" si="83"/>
        <v>#DIV/0!</v>
      </c>
    </row>
    <row r="983" spans="49:66" x14ac:dyDescent="0.3">
      <c r="AW983">
        <f t="shared" si="82"/>
        <v>0</v>
      </c>
      <c r="AX983">
        <v>980</v>
      </c>
      <c r="AY983" s="4">
        <f t="shared" si="80"/>
        <v>41626</v>
      </c>
      <c r="AZ983" s="6" t="e">
        <f t="shared" si="81"/>
        <v>#DIV/0!</v>
      </c>
      <c r="BA983" s="4">
        <v>41626</v>
      </c>
      <c r="BB983" s="6">
        <v>3.6072E-2</v>
      </c>
      <c r="BC983" s="6">
        <v>4.6900000000000002E-4</v>
      </c>
      <c r="BD983" s="6">
        <v>-0.102894</v>
      </c>
      <c r="BE983" s="6"/>
      <c r="BF983" s="6"/>
      <c r="BG983" s="6"/>
      <c r="BH983" s="6"/>
      <c r="BI983" s="6"/>
      <c r="BJ983" s="6"/>
      <c r="BK983" s="6"/>
      <c r="BL983" s="6"/>
      <c r="BM983" s="6"/>
      <c r="BN983" s="6" t="e">
        <f t="shared" si="83"/>
        <v>#DIV/0!</v>
      </c>
    </row>
    <row r="984" spans="49:66" x14ac:dyDescent="0.3">
      <c r="AW984">
        <f t="shared" si="82"/>
        <v>0</v>
      </c>
      <c r="AX984">
        <v>981</v>
      </c>
      <c r="AY984" s="4">
        <f t="shared" si="80"/>
        <v>41627</v>
      </c>
      <c r="AZ984" s="6" t="e">
        <f t="shared" si="81"/>
        <v>#DIV/0!</v>
      </c>
      <c r="BA984" s="4">
        <v>41627</v>
      </c>
      <c r="BB984" s="6">
        <v>-1.0527629999999999</v>
      </c>
      <c r="BC984" s="6">
        <v>-1.017776</v>
      </c>
      <c r="BD984" s="6">
        <v>-0.80426500000000001</v>
      </c>
      <c r="BE984" s="6"/>
      <c r="BF984" s="6"/>
      <c r="BG984" s="6"/>
      <c r="BH984" s="6"/>
      <c r="BI984" s="6"/>
      <c r="BJ984" s="6"/>
      <c r="BK984" s="6"/>
      <c r="BL984" s="6"/>
      <c r="BM984" s="6"/>
      <c r="BN984" s="6" t="e">
        <f t="shared" si="83"/>
        <v>#DIV/0!</v>
      </c>
    </row>
    <row r="985" spans="49:66" x14ac:dyDescent="0.3">
      <c r="AW985">
        <f t="shared" si="82"/>
        <v>0</v>
      </c>
      <c r="AX985">
        <v>982</v>
      </c>
      <c r="AY985" s="4">
        <f t="shared" si="80"/>
        <v>41628</v>
      </c>
      <c r="AZ985" s="6" t="e">
        <f t="shared" si="81"/>
        <v>#DIV/0!</v>
      </c>
      <c r="BA985" s="4">
        <v>41628</v>
      </c>
      <c r="BB985" s="6">
        <v>-2.3269489999999999</v>
      </c>
      <c r="BC985" s="6">
        <v>-1.265368</v>
      </c>
      <c r="BD985" s="6">
        <v>-1.0178179999999999</v>
      </c>
      <c r="BE985" s="6"/>
      <c r="BF985" s="6"/>
      <c r="BG985" s="6"/>
      <c r="BH985" s="6"/>
      <c r="BI985" s="6"/>
      <c r="BJ985" s="6"/>
      <c r="BK985" s="6"/>
      <c r="BL985" s="6"/>
      <c r="BM985" s="6"/>
      <c r="BN985" s="6" t="e">
        <f t="shared" si="83"/>
        <v>#DIV/0!</v>
      </c>
    </row>
    <row r="986" spans="49:66" x14ac:dyDescent="0.3">
      <c r="AW986">
        <f t="shared" si="82"/>
        <v>0</v>
      </c>
      <c r="AX986">
        <v>983</v>
      </c>
      <c r="AY986" s="4">
        <f t="shared" si="80"/>
        <v>41631</v>
      </c>
      <c r="AZ986" s="6" t="e">
        <f t="shared" si="81"/>
        <v>#DIV/0!</v>
      </c>
      <c r="BA986" s="4">
        <v>41631</v>
      </c>
      <c r="BB986" s="6">
        <v>0.283829</v>
      </c>
      <c r="BC986" s="6">
        <v>-0.113798</v>
      </c>
      <c r="BD986" s="6">
        <v>-0.33636899999999997</v>
      </c>
      <c r="BE986" s="6"/>
      <c r="BF986" s="6"/>
      <c r="BG986" s="6"/>
      <c r="BH986" s="6"/>
      <c r="BI986" s="6"/>
      <c r="BJ986" s="6"/>
      <c r="BK986" s="6"/>
      <c r="BL986" s="6"/>
      <c r="BM986" s="6"/>
      <c r="BN986" s="6" t="e">
        <f t="shared" si="83"/>
        <v>#DIV/0!</v>
      </c>
    </row>
    <row r="987" spans="49:66" x14ac:dyDescent="0.3">
      <c r="AW987">
        <f t="shared" si="82"/>
        <v>0</v>
      </c>
      <c r="AX987">
        <v>984</v>
      </c>
      <c r="AY987" s="4">
        <f t="shared" si="80"/>
        <v>41632</v>
      </c>
      <c r="AZ987" s="6" t="e">
        <f t="shared" si="81"/>
        <v>#DIV/0!</v>
      </c>
      <c r="BA987" s="4">
        <v>41632</v>
      </c>
      <c r="BB987" s="6">
        <v>0.15959000000000001</v>
      </c>
      <c r="BC987" s="6">
        <v>0.693743</v>
      </c>
      <c r="BD987" s="6">
        <v>1.0406139999999999</v>
      </c>
      <c r="BE987" s="6"/>
      <c r="BF987" s="6"/>
      <c r="BG987" s="6"/>
      <c r="BH987" s="6"/>
      <c r="BI987" s="6"/>
      <c r="BJ987" s="6"/>
      <c r="BK987" s="6"/>
      <c r="BL987" s="6"/>
      <c r="BM987" s="6"/>
      <c r="BN987" s="6" t="e">
        <f t="shared" si="83"/>
        <v>#DIV/0!</v>
      </c>
    </row>
    <row r="988" spans="49:66" x14ac:dyDescent="0.3">
      <c r="AW988">
        <f t="shared" si="82"/>
        <v>0</v>
      </c>
      <c r="AX988">
        <v>985</v>
      </c>
      <c r="AY988" s="4">
        <f t="shared" si="80"/>
        <v>41633</v>
      </c>
      <c r="AZ988" s="6" t="e">
        <f t="shared" si="81"/>
        <v>#DIV/0!</v>
      </c>
      <c r="BA988" s="4">
        <v>41633</v>
      </c>
      <c r="BB988" s="6">
        <v>0.736896</v>
      </c>
      <c r="BC988" s="6">
        <v>1.05474</v>
      </c>
      <c r="BD988" s="6">
        <v>1.7131149999999999</v>
      </c>
      <c r="BE988" s="6"/>
      <c r="BF988" s="6"/>
      <c r="BG988" s="6"/>
      <c r="BH988" s="6"/>
      <c r="BI988" s="6"/>
      <c r="BJ988" s="6"/>
      <c r="BK988" s="6"/>
      <c r="BL988" s="6"/>
      <c r="BM988" s="6"/>
      <c r="BN988" s="6" t="e">
        <f t="shared" si="83"/>
        <v>#DIV/0!</v>
      </c>
    </row>
    <row r="989" spans="49:66" x14ac:dyDescent="0.3">
      <c r="AW989">
        <f t="shared" si="82"/>
        <v>0</v>
      </c>
      <c r="AX989">
        <v>986</v>
      </c>
      <c r="AY989" s="4">
        <f t="shared" si="80"/>
        <v>41634</v>
      </c>
      <c r="AZ989" s="6" t="e">
        <f t="shared" si="81"/>
        <v>#DIV/0!</v>
      </c>
      <c r="BA989" s="4">
        <v>41634</v>
      </c>
      <c r="BB989" s="6">
        <v>-1.7255579999999999</v>
      </c>
      <c r="BC989" s="6">
        <v>-1.715158</v>
      </c>
      <c r="BD989" s="6">
        <v>-1.7767120000000001</v>
      </c>
      <c r="BE989" s="6"/>
      <c r="BF989" s="6"/>
      <c r="BG989" s="6"/>
      <c r="BH989" s="6"/>
      <c r="BI989" s="6"/>
      <c r="BJ989" s="6"/>
      <c r="BK989" s="6"/>
      <c r="BL989" s="6"/>
      <c r="BM989" s="6"/>
      <c r="BN989" s="6" t="e">
        <f t="shared" si="83"/>
        <v>#DIV/0!</v>
      </c>
    </row>
    <row r="990" spans="49:66" x14ac:dyDescent="0.3">
      <c r="AW990">
        <f t="shared" si="82"/>
        <v>0</v>
      </c>
      <c r="AX990">
        <v>987</v>
      </c>
      <c r="AY990" s="4">
        <f t="shared" si="80"/>
        <v>41635</v>
      </c>
      <c r="AZ990" s="6" t="e">
        <f t="shared" si="81"/>
        <v>#DIV/0!</v>
      </c>
      <c r="BA990" s="4">
        <v>41635</v>
      </c>
      <c r="BB990" s="6">
        <v>1.6838139999999999</v>
      </c>
      <c r="BC990" s="6">
        <v>1.5399400000000001</v>
      </c>
      <c r="BD990" s="6">
        <v>1.832986</v>
      </c>
      <c r="BE990" s="6"/>
      <c r="BF990" s="6"/>
      <c r="BG990" s="6"/>
      <c r="BH990" s="6"/>
      <c r="BI990" s="6"/>
      <c r="BJ990" s="6"/>
      <c r="BK990" s="6"/>
      <c r="BL990" s="6"/>
      <c r="BM990" s="6"/>
      <c r="BN990" s="6" t="e">
        <f t="shared" si="83"/>
        <v>#DIV/0!</v>
      </c>
    </row>
    <row r="991" spans="49:66" x14ac:dyDescent="0.3">
      <c r="AW991">
        <f t="shared" si="82"/>
        <v>0</v>
      </c>
      <c r="AX991">
        <v>988</v>
      </c>
      <c r="AY991" s="4">
        <f t="shared" si="80"/>
        <v>41638</v>
      </c>
      <c r="AZ991" s="6" t="e">
        <f t="shared" si="81"/>
        <v>#DIV/0!</v>
      </c>
      <c r="BA991" s="4">
        <v>41638</v>
      </c>
      <c r="BB991" s="6">
        <v>-0.17451900000000001</v>
      </c>
      <c r="BC991" s="6">
        <v>0.32174999999999998</v>
      </c>
      <c r="BD991" s="6">
        <v>0.72133499999999995</v>
      </c>
      <c r="BE991" s="6"/>
      <c r="BF991" s="6"/>
      <c r="BG991" s="6"/>
      <c r="BH991" s="6"/>
      <c r="BI991" s="6"/>
      <c r="BJ991" s="6"/>
      <c r="BK991" s="6"/>
      <c r="BL991" s="6"/>
      <c r="BM991" s="6"/>
      <c r="BN991" s="6" t="e">
        <f t="shared" si="83"/>
        <v>#DIV/0!</v>
      </c>
    </row>
    <row r="992" spans="49:66" x14ac:dyDescent="0.3">
      <c r="AW992">
        <f t="shared" si="82"/>
        <v>0</v>
      </c>
      <c r="AX992">
        <v>989</v>
      </c>
      <c r="AY992" s="4">
        <f t="shared" si="80"/>
        <v>41639</v>
      </c>
      <c r="AZ992" s="6" t="e">
        <f t="shared" si="81"/>
        <v>#DIV/0!</v>
      </c>
      <c r="BA992" s="4">
        <v>41639</v>
      </c>
      <c r="BB992" s="6">
        <v>1.3293569999999999</v>
      </c>
      <c r="BC992" s="6">
        <v>0.42205599999999999</v>
      </c>
      <c r="BD992" s="6">
        <v>-0.103131</v>
      </c>
      <c r="BE992" s="6"/>
      <c r="BF992" s="6"/>
      <c r="BG992" s="6"/>
      <c r="BH992" s="6"/>
      <c r="BI992" s="6"/>
      <c r="BJ992" s="6"/>
      <c r="BK992" s="6"/>
      <c r="BL992" s="6"/>
      <c r="BM992" s="6"/>
      <c r="BN992" s="6" t="e">
        <f t="shared" si="83"/>
        <v>#DIV/0!</v>
      </c>
    </row>
    <row r="993" spans="49:66" x14ac:dyDescent="0.3">
      <c r="AW993">
        <f t="shared" si="82"/>
        <v>0</v>
      </c>
      <c r="AX993">
        <v>990</v>
      </c>
      <c r="AY993" s="4">
        <f t="shared" si="80"/>
        <v>41641</v>
      </c>
      <c r="AZ993" s="6" t="e">
        <f t="shared" si="81"/>
        <v>#DIV/0!</v>
      </c>
      <c r="BA993" s="4">
        <v>41641</v>
      </c>
      <c r="BB993" s="6">
        <v>-0.34540399999999999</v>
      </c>
      <c r="BC993" s="6">
        <v>0.49053400000000003</v>
      </c>
      <c r="BD993" s="6">
        <v>1.2634570000000001</v>
      </c>
      <c r="BE993" s="6"/>
      <c r="BF993" s="6"/>
      <c r="BG993" s="6"/>
      <c r="BH993" s="6"/>
      <c r="BI993" s="6"/>
      <c r="BJ993" s="6"/>
      <c r="BK993" s="6"/>
      <c r="BL993" s="6"/>
      <c r="BM993" s="6"/>
      <c r="BN993" s="6" t="e">
        <f t="shared" si="83"/>
        <v>#DIV/0!</v>
      </c>
    </row>
    <row r="994" spans="49:66" x14ac:dyDescent="0.3">
      <c r="AW994">
        <f t="shared" si="82"/>
        <v>0</v>
      </c>
      <c r="AX994">
        <v>991</v>
      </c>
      <c r="AY994" s="4">
        <f t="shared" si="80"/>
        <v>41642</v>
      </c>
      <c r="AZ994" s="6" t="e">
        <f t="shared" si="81"/>
        <v>#DIV/0!</v>
      </c>
      <c r="BA994" s="4">
        <v>41642</v>
      </c>
      <c r="BB994" s="6">
        <v>-1.343639</v>
      </c>
      <c r="BC994" s="6">
        <v>-0.82027000000000005</v>
      </c>
      <c r="BD994" s="6">
        <v>-0.17079</v>
      </c>
      <c r="BE994" s="6"/>
      <c r="BF994" s="6"/>
      <c r="BG994" s="6"/>
      <c r="BH994" s="6"/>
      <c r="BI994" s="6"/>
      <c r="BJ994" s="6"/>
      <c r="BK994" s="6"/>
      <c r="BL994" s="6"/>
      <c r="BM994" s="6"/>
      <c r="BN994" s="6" t="e">
        <f t="shared" si="83"/>
        <v>#DIV/0!</v>
      </c>
    </row>
    <row r="995" spans="49:66" x14ac:dyDescent="0.3">
      <c r="AW995">
        <f t="shared" si="82"/>
        <v>0</v>
      </c>
      <c r="AX995">
        <v>992</v>
      </c>
      <c r="AY995" s="4">
        <f t="shared" si="80"/>
        <v>41645</v>
      </c>
      <c r="AZ995" s="6" t="e">
        <f t="shared" si="81"/>
        <v>#DIV/0!</v>
      </c>
      <c r="BA995" s="4">
        <v>41645</v>
      </c>
      <c r="BB995" s="6">
        <v>-2.2761689999999999</v>
      </c>
      <c r="BC995" s="6">
        <v>-2.7622969999999998</v>
      </c>
      <c r="BD995" s="6">
        <v>-2.6585109999999998</v>
      </c>
      <c r="BE995" s="6"/>
      <c r="BF995" s="6"/>
      <c r="BG995" s="6"/>
      <c r="BH995" s="6"/>
      <c r="BI995" s="6"/>
      <c r="BJ995" s="6"/>
      <c r="BK995" s="6"/>
      <c r="BL995" s="6"/>
      <c r="BM995" s="6"/>
      <c r="BN995" s="6" t="e">
        <f t="shared" si="83"/>
        <v>#DIV/0!</v>
      </c>
    </row>
    <row r="996" spans="49:66" x14ac:dyDescent="0.3">
      <c r="AW996">
        <f t="shared" si="82"/>
        <v>0</v>
      </c>
      <c r="AX996">
        <v>993</v>
      </c>
      <c r="AY996" s="4">
        <f t="shared" si="80"/>
        <v>41646</v>
      </c>
      <c r="AZ996" s="6" t="e">
        <f t="shared" si="81"/>
        <v>#DIV/0!</v>
      </c>
      <c r="BA996" s="4">
        <v>41646</v>
      </c>
      <c r="BB996" s="6">
        <v>-2.8410000000000001E-2</v>
      </c>
      <c r="BC996" s="6">
        <v>0.61343599999999998</v>
      </c>
      <c r="BD996" s="6">
        <v>1.0719590000000001</v>
      </c>
      <c r="BE996" s="6"/>
      <c r="BF996" s="6"/>
      <c r="BG996" s="6"/>
      <c r="BH996" s="6"/>
      <c r="BI996" s="6"/>
      <c r="BJ996" s="6"/>
      <c r="BK996" s="6"/>
      <c r="BL996" s="6"/>
      <c r="BM996" s="6"/>
      <c r="BN996" s="6" t="e">
        <f t="shared" si="83"/>
        <v>#DIV/0!</v>
      </c>
    </row>
    <row r="997" spans="49:66" x14ac:dyDescent="0.3">
      <c r="AW997">
        <f t="shared" si="82"/>
        <v>0</v>
      </c>
      <c r="AX997">
        <v>994</v>
      </c>
      <c r="AY997" s="4">
        <f t="shared" si="80"/>
        <v>41647</v>
      </c>
      <c r="AZ997" s="6" t="e">
        <f t="shared" si="81"/>
        <v>#DIV/0!</v>
      </c>
      <c r="BA997" s="4">
        <v>41647</v>
      </c>
      <c r="BB997" s="6">
        <v>0.174709</v>
      </c>
      <c r="BC997" s="6">
        <v>0.12167699999999999</v>
      </c>
      <c r="BD997" s="6">
        <v>1.0343260000000001</v>
      </c>
      <c r="BE997" s="6"/>
      <c r="BF997" s="6"/>
      <c r="BG997" s="6"/>
      <c r="BH997" s="6"/>
      <c r="BI997" s="6"/>
      <c r="BJ997" s="6"/>
      <c r="BK997" s="6"/>
      <c r="BL997" s="6"/>
      <c r="BM997" s="6"/>
      <c r="BN997" s="6" t="e">
        <f t="shared" si="83"/>
        <v>#DIV/0!</v>
      </c>
    </row>
    <row r="998" spans="49:66" x14ac:dyDescent="0.3">
      <c r="AW998">
        <f t="shared" si="82"/>
        <v>0</v>
      </c>
      <c r="AX998">
        <v>995</v>
      </c>
      <c r="AY998" s="4">
        <f t="shared" si="80"/>
        <v>41648</v>
      </c>
      <c r="AZ998" s="6" t="e">
        <f t="shared" si="81"/>
        <v>#DIV/0!</v>
      </c>
      <c r="BA998" s="4">
        <v>41648</v>
      </c>
      <c r="BB998" s="6">
        <v>-0.87826899999999997</v>
      </c>
      <c r="BC998" s="6">
        <v>-1.128403</v>
      </c>
      <c r="BD998" s="6">
        <v>-1.61772</v>
      </c>
      <c r="BE998" s="6"/>
      <c r="BF998" s="6"/>
      <c r="BG998" s="6"/>
      <c r="BH998" s="6"/>
      <c r="BI998" s="6"/>
      <c r="BJ998" s="6"/>
      <c r="BK998" s="6"/>
      <c r="BL998" s="6"/>
      <c r="BM998" s="6"/>
      <c r="BN998" s="6" t="e">
        <f t="shared" si="83"/>
        <v>#DIV/0!</v>
      </c>
    </row>
    <row r="999" spans="49:66" x14ac:dyDescent="0.3">
      <c r="AW999">
        <f t="shared" si="82"/>
        <v>0</v>
      </c>
      <c r="AX999">
        <v>996</v>
      </c>
      <c r="AY999" s="4">
        <f t="shared" si="80"/>
        <v>41649</v>
      </c>
      <c r="AZ999" s="6" t="e">
        <f t="shared" si="81"/>
        <v>#DIV/0!</v>
      </c>
      <c r="BA999" s="4">
        <v>41649</v>
      </c>
      <c r="BB999" s="6">
        <v>-0.78164999999999996</v>
      </c>
      <c r="BC999" s="6">
        <v>-1.8232839999999999</v>
      </c>
      <c r="BD999" s="6">
        <v>-1.73645</v>
      </c>
      <c r="BE999" s="6"/>
      <c r="BF999" s="6"/>
      <c r="BG999" s="6"/>
      <c r="BH999" s="6"/>
      <c r="BI999" s="6"/>
      <c r="BJ999" s="6"/>
      <c r="BK999" s="6"/>
      <c r="BL999" s="6"/>
      <c r="BM999" s="6"/>
      <c r="BN999" s="6" t="e">
        <f t="shared" si="83"/>
        <v>#DIV/0!</v>
      </c>
    </row>
    <row r="1000" spans="49:66" x14ac:dyDescent="0.3">
      <c r="AW1000">
        <f t="shared" si="82"/>
        <v>0</v>
      </c>
      <c r="AX1000">
        <v>997</v>
      </c>
      <c r="AY1000" s="4">
        <f t="shared" si="80"/>
        <v>41652</v>
      </c>
      <c r="AZ1000" s="6" t="e">
        <f t="shared" si="81"/>
        <v>#DIV/0!</v>
      </c>
      <c r="BA1000" s="4">
        <v>41652</v>
      </c>
      <c r="BB1000" s="6">
        <v>-0.50670099999999996</v>
      </c>
      <c r="BC1000" s="6">
        <v>-0.45785799999999999</v>
      </c>
      <c r="BD1000" s="6">
        <v>-0.18671199999999999</v>
      </c>
      <c r="BE1000" s="6"/>
      <c r="BF1000" s="6"/>
      <c r="BG1000" s="6"/>
      <c r="BH1000" s="6"/>
      <c r="BI1000" s="6"/>
      <c r="BJ1000" s="6"/>
      <c r="BK1000" s="6"/>
      <c r="BL1000" s="6"/>
      <c r="BM1000" s="6"/>
      <c r="BN1000" s="6" t="e">
        <f t="shared" si="83"/>
        <v>#DIV/0!</v>
      </c>
    </row>
    <row r="1001" spans="49:66" x14ac:dyDescent="0.3">
      <c r="AW1001">
        <f t="shared" si="82"/>
        <v>0</v>
      </c>
      <c r="AX1001">
        <v>998</v>
      </c>
      <c r="AY1001" s="4">
        <f t="shared" si="80"/>
        <v>41653</v>
      </c>
      <c r="AZ1001" s="6" t="e">
        <f t="shared" si="81"/>
        <v>#DIV/0!</v>
      </c>
      <c r="BA1001" s="4">
        <v>41653</v>
      </c>
      <c r="BB1001" s="6">
        <v>0.87373800000000001</v>
      </c>
      <c r="BC1001" s="6">
        <v>1.979889</v>
      </c>
      <c r="BD1001" s="6">
        <v>2.3232729999999999</v>
      </c>
      <c r="BE1001" s="6"/>
      <c r="BF1001" s="6"/>
      <c r="BG1001" s="6"/>
      <c r="BH1001" s="6"/>
      <c r="BI1001" s="6"/>
      <c r="BJ1001" s="6"/>
      <c r="BK1001" s="6"/>
      <c r="BL1001" s="6"/>
      <c r="BM1001" s="6"/>
      <c r="BN1001" s="6" t="e">
        <f t="shared" si="83"/>
        <v>#DIV/0!</v>
      </c>
    </row>
    <row r="1002" spans="49:66" x14ac:dyDescent="0.3">
      <c r="AW1002">
        <f t="shared" si="82"/>
        <v>0</v>
      </c>
      <c r="AX1002">
        <v>999</v>
      </c>
      <c r="AY1002" s="4">
        <f t="shared" si="80"/>
        <v>41654</v>
      </c>
      <c r="AZ1002" s="6" t="e">
        <f t="shared" si="81"/>
        <v>#DIV/0!</v>
      </c>
      <c r="BA1002" s="4">
        <v>41654</v>
      </c>
      <c r="BB1002" s="6">
        <v>-0.17646999999999999</v>
      </c>
      <c r="BC1002" s="6">
        <v>0.66805400000000004</v>
      </c>
      <c r="BD1002" s="6">
        <v>1.0431459999999999</v>
      </c>
      <c r="BE1002" s="6"/>
      <c r="BF1002" s="6"/>
      <c r="BG1002" s="6"/>
      <c r="BH1002" s="6"/>
      <c r="BI1002" s="6"/>
      <c r="BJ1002" s="6"/>
      <c r="BK1002" s="6"/>
      <c r="BL1002" s="6"/>
      <c r="BM1002" s="6"/>
      <c r="BN1002" s="6" t="e">
        <f t="shared" si="83"/>
        <v>#DIV/0!</v>
      </c>
    </row>
    <row r="1003" spans="49:66" x14ac:dyDescent="0.3">
      <c r="AW1003">
        <f t="shared" si="82"/>
        <v>0</v>
      </c>
      <c r="AX1003">
        <v>1000</v>
      </c>
      <c r="AY1003" s="4">
        <f t="shared" si="80"/>
        <v>41655</v>
      </c>
      <c r="AZ1003" s="6" t="e">
        <f t="shared" si="81"/>
        <v>#DIV/0!</v>
      </c>
      <c r="BA1003" s="4">
        <v>41655</v>
      </c>
      <c r="BB1003" s="6">
        <v>0.13142000000000001</v>
      </c>
      <c r="BC1003" s="6">
        <v>0.16644500000000001</v>
      </c>
      <c r="BD1003" s="6">
        <v>-0.19639100000000001</v>
      </c>
      <c r="BE1003" s="6"/>
      <c r="BF1003" s="6"/>
      <c r="BG1003" s="6"/>
      <c r="BH1003" s="6"/>
      <c r="BI1003" s="6"/>
      <c r="BJ1003" s="6"/>
      <c r="BK1003" s="6"/>
      <c r="BL1003" s="6"/>
      <c r="BM1003" s="6"/>
      <c r="BN1003" s="6" t="e">
        <f t="shared" si="83"/>
        <v>#DIV/0!</v>
      </c>
    </row>
    <row r="1004" spans="49:66" x14ac:dyDescent="0.3">
      <c r="AW1004">
        <f t="shared" si="82"/>
        <v>0</v>
      </c>
      <c r="AX1004">
        <v>1001</v>
      </c>
      <c r="AY1004" s="4">
        <f t="shared" si="80"/>
        <v>41656</v>
      </c>
      <c r="AZ1004" s="6" t="e">
        <f t="shared" si="81"/>
        <v>#DIV/0!</v>
      </c>
      <c r="BA1004" s="4">
        <v>41656</v>
      </c>
      <c r="BB1004" s="6">
        <v>-1.5080629999999999</v>
      </c>
      <c r="BC1004" s="6">
        <v>-1.1415029999999999</v>
      </c>
      <c r="BD1004" s="6">
        <v>-0.893347</v>
      </c>
      <c r="BE1004" s="6"/>
      <c r="BF1004" s="6"/>
      <c r="BG1004" s="6"/>
      <c r="BH1004" s="6"/>
      <c r="BI1004" s="6"/>
      <c r="BJ1004" s="6"/>
      <c r="BK1004" s="6"/>
      <c r="BL1004" s="6"/>
      <c r="BM1004" s="6"/>
      <c r="BN1004" s="6" t="e">
        <f t="shared" si="83"/>
        <v>#DIV/0!</v>
      </c>
    </row>
    <row r="1005" spans="49:66" x14ac:dyDescent="0.3">
      <c r="AW1005">
        <f t="shared" si="82"/>
        <v>0</v>
      </c>
      <c r="AX1005">
        <v>1002</v>
      </c>
      <c r="AY1005" s="4">
        <f t="shared" si="80"/>
        <v>41659</v>
      </c>
      <c r="AZ1005" s="6" t="e">
        <f t="shared" si="81"/>
        <v>#DIV/0!</v>
      </c>
      <c r="BA1005" s="4">
        <v>41659</v>
      </c>
      <c r="BB1005" s="6">
        <v>-0.57356300000000005</v>
      </c>
      <c r="BC1005" s="6">
        <v>-0.756826</v>
      </c>
      <c r="BD1005" s="6">
        <v>-0.67722499999999997</v>
      </c>
      <c r="BE1005" s="6"/>
      <c r="BF1005" s="6"/>
      <c r="BG1005" s="6"/>
      <c r="BH1005" s="6"/>
      <c r="BI1005" s="6"/>
      <c r="BJ1005" s="6"/>
      <c r="BK1005" s="6"/>
      <c r="BL1005" s="6"/>
      <c r="BM1005" s="6"/>
      <c r="BN1005" s="6" t="e">
        <f t="shared" si="83"/>
        <v>#DIV/0!</v>
      </c>
    </row>
    <row r="1006" spans="49:66" x14ac:dyDescent="0.3">
      <c r="AW1006">
        <f t="shared" si="82"/>
        <v>0</v>
      </c>
      <c r="AX1006">
        <v>1003</v>
      </c>
      <c r="AY1006" s="4">
        <f t="shared" si="80"/>
        <v>41660</v>
      </c>
      <c r="AZ1006" s="6" t="e">
        <f t="shared" si="81"/>
        <v>#DIV/0!</v>
      </c>
      <c r="BA1006" s="4">
        <v>41660</v>
      </c>
      <c r="BB1006" s="6">
        <v>0.988784</v>
      </c>
      <c r="BC1006" s="6">
        <v>1.536254</v>
      </c>
      <c r="BD1006" s="6">
        <v>1.6256269999999999</v>
      </c>
      <c r="BE1006" s="6"/>
      <c r="BF1006" s="6"/>
      <c r="BG1006" s="6"/>
      <c r="BH1006" s="6"/>
      <c r="BI1006" s="6"/>
      <c r="BJ1006" s="6"/>
      <c r="BK1006" s="6"/>
      <c r="BL1006" s="6"/>
      <c r="BM1006" s="6"/>
      <c r="BN1006" s="6" t="e">
        <f t="shared" si="83"/>
        <v>#DIV/0!</v>
      </c>
    </row>
    <row r="1007" spans="49:66" x14ac:dyDescent="0.3">
      <c r="AW1007">
        <f t="shared" si="82"/>
        <v>0</v>
      </c>
      <c r="AX1007">
        <v>1004</v>
      </c>
      <c r="AY1007" s="4">
        <f t="shared" si="80"/>
        <v>41661</v>
      </c>
      <c r="AZ1007" s="6" t="e">
        <f t="shared" si="81"/>
        <v>#DIV/0!</v>
      </c>
      <c r="BA1007" s="4">
        <v>41661</v>
      </c>
      <c r="BB1007" s="6">
        <v>2.5777519999999998</v>
      </c>
      <c r="BC1007" s="6">
        <v>2.6738140000000001</v>
      </c>
      <c r="BD1007" s="6">
        <v>2.166544</v>
      </c>
      <c r="BE1007" s="6"/>
      <c r="BF1007" s="6"/>
      <c r="BG1007" s="6"/>
      <c r="BH1007" s="6"/>
      <c r="BI1007" s="6"/>
      <c r="BJ1007" s="6"/>
      <c r="BK1007" s="6"/>
      <c r="BL1007" s="6"/>
      <c r="BM1007" s="6"/>
      <c r="BN1007" s="6" t="e">
        <f t="shared" si="83"/>
        <v>#DIV/0!</v>
      </c>
    </row>
    <row r="1008" spans="49:66" x14ac:dyDescent="0.3">
      <c r="AW1008">
        <f t="shared" si="82"/>
        <v>0</v>
      </c>
      <c r="AX1008">
        <v>1005</v>
      </c>
      <c r="AY1008" s="4">
        <f t="shared" si="80"/>
        <v>41662</v>
      </c>
      <c r="AZ1008" s="6" t="e">
        <f t="shared" si="81"/>
        <v>#DIV/0!</v>
      </c>
      <c r="BA1008" s="4">
        <v>41662</v>
      </c>
      <c r="BB1008" s="6">
        <v>-0.530663</v>
      </c>
      <c r="BC1008" s="6">
        <v>0.69606999999999997</v>
      </c>
      <c r="BD1008" s="6">
        <v>0.94374499999999995</v>
      </c>
      <c r="BE1008" s="6"/>
      <c r="BF1008" s="6"/>
      <c r="BG1008" s="6"/>
      <c r="BH1008" s="6"/>
      <c r="BI1008" s="6"/>
      <c r="BJ1008" s="6"/>
      <c r="BK1008" s="6"/>
      <c r="BL1008" s="6"/>
      <c r="BM1008" s="6"/>
      <c r="BN1008" s="6" t="e">
        <f t="shared" si="83"/>
        <v>#DIV/0!</v>
      </c>
    </row>
    <row r="1009" spans="49:66" x14ac:dyDescent="0.3">
      <c r="AW1009">
        <f t="shared" si="82"/>
        <v>0</v>
      </c>
      <c r="AX1009">
        <v>1006</v>
      </c>
      <c r="AY1009" s="4">
        <f t="shared" si="80"/>
        <v>41663</v>
      </c>
      <c r="AZ1009" s="6" t="e">
        <f t="shared" si="81"/>
        <v>#DIV/0!</v>
      </c>
      <c r="BA1009" s="4">
        <v>41663</v>
      </c>
      <c r="BB1009" s="6">
        <v>0.61781699999999995</v>
      </c>
      <c r="BC1009" s="6">
        <v>1.494764</v>
      </c>
      <c r="BD1009" s="6">
        <v>1.468359</v>
      </c>
      <c r="BE1009" s="6"/>
      <c r="BF1009" s="6"/>
      <c r="BG1009" s="6"/>
      <c r="BH1009" s="6"/>
      <c r="BI1009" s="6"/>
      <c r="BJ1009" s="6"/>
      <c r="BK1009" s="6"/>
      <c r="BL1009" s="6"/>
      <c r="BM1009" s="6"/>
      <c r="BN1009" s="6" t="e">
        <f t="shared" si="83"/>
        <v>#DIV/0!</v>
      </c>
    </row>
    <row r="1010" spans="49:66" x14ac:dyDescent="0.3">
      <c r="AW1010">
        <f t="shared" si="82"/>
        <v>0</v>
      </c>
      <c r="AX1010">
        <v>1007</v>
      </c>
      <c r="AY1010" s="4">
        <f t="shared" si="80"/>
        <v>41666</v>
      </c>
      <c r="AZ1010" s="6" t="e">
        <f t="shared" si="81"/>
        <v>#DIV/0!</v>
      </c>
      <c r="BA1010" s="4">
        <v>41666</v>
      </c>
      <c r="BB1010" s="6">
        <v>-1.3251679999999999</v>
      </c>
      <c r="BC1010" s="6">
        <v>-1.857E-2</v>
      </c>
      <c r="BD1010" s="6">
        <v>-0.28185700000000002</v>
      </c>
      <c r="BE1010" s="6"/>
      <c r="BF1010" s="6"/>
      <c r="BG1010" s="6"/>
      <c r="BH1010" s="6"/>
      <c r="BI1010" s="6"/>
      <c r="BJ1010" s="6"/>
      <c r="BK1010" s="6"/>
      <c r="BL1010" s="6"/>
      <c r="BM1010" s="6"/>
      <c r="BN1010" s="6" t="e">
        <f t="shared" si="83"/>
        <v>#DIV/0!</v>
      </c>
    </row>
    <row r="1011" spans="49:66" x14ac:dyDescent="0.3">
      <c r="AW1011">
        <f t="shared" si="82"/>
        <v>0</v>
      </c>
      <c r="AX1011">
        <v>1008</v>
      </c>
      <c r="AY1011" s="4">
        <f t="shared" si="80"/>
        <v>41667</v>
      </c>
      <c r="AZ1011" s="6" t="e">
        <f t="shared" si="81"/>
        <v>#DIV/0!</v>
      </c>
      <c r="BA1011" s="4">
        <v>41667</v>
      </c>
      <c r="BB1011" s="6">
        <v>0.177624</v>
      </c>
      <c r="BC1011" s="6">
        <v>-0.20961099999999999</v>
      </c>
      <c r="BD1011" s="6">
        <v>-0.30582700000000002</v>
      </c>
      <c r="BE1011" s="6"/>
      <c r="BF1011" s="6"/>
      <c r="BG1011" s="6"/>
      <c r="BH1011" s="6"/>
      <c r="BI1011" s="6"/>
      <c r="BJ1011" s="6"/>
      <c r="BK1011" s="6"/>
      <c r="BL1011" s="6"/>
      <c r="BM1011" s="6"/>
      <c r="BN1011" s="6" t="e">
        <f t="shared" si="83"/>
        <v>#DIV/0!</v>
      </c>
    </row>
    <row r="1012" spans="49:66" x14ac:dyDescent="0.3">
      <c r="AW1012">
        <f t="shared" si="82"/>
        <v>0</v>
      </c>
      <c r="AX1012">
        <v>1009</v>
      </c>
      <c r="AY1012" s="4">
        <f t="shared" si="80"/>
        <v>41668</v>
      </c>
      <c r="AZ1012" s="6" t="e">
        <f t="shared" si="81"/>
        <v>#DIV/0!</v>
      </c>
      <c r="BA1012" s="4">
        <v>41668</v>
      </c>
      <c r="BB1012" s="6">
        <v>0.35704999999999998</v>
      </c>
      <c r="BC1012" s="6">
        <v>0.89420999999999995</v>
      </c>
      <c r="BD1012" s="6">
        <v>1.3523909999999999</v>
      </c>
      <c r="BE1012" s="6"/>
      <c r="BF1012" s="6"/>
      <c r="BG1012" s="6"/>
      <c r="BH1012" s="6"/>
      <c r="BI1012" s="6"/>
      <c r="BJ1012" s="6"/>
      <c r="BK1012" s="6"/>
      <c r="BL1012" s="6"/>
      <c r="BM1012" s="6"/>
      <c r="BN1012" s="6" t="e">
        <f t="shared" si="83"/>
        <v>#DIV/0!</v>
      </c>
    </row>
    <row r="1013" spans="49:66" x14ac:dyDescent="0.3">
      <c r="AW1013">
        <f t="shared" si="82"/>
        <v>0</v>
      </c>
      <c r="AX1013">
        <v>1010</v>
      </c>
      <c r="AY1013" s="4">
        <f t="shared" si="80"/>
        <v>41669</v>
      </c>
      <c r="AZ1013" s="6" t="e">
        <f t="shared" si="81"/>
        <v>#DIV/0!</v>
      </c>
      <c r="BA1013" s="4">
        <v>41669</v>
      </c>
      <c r="BB1013" s="6">
        <v>-1.137051</v>
      </c>
      <c r="BC1013" s="6">
        <v>-0.58933800000000003</v>
      </c>
      <c r="BD1013" s="6">
        <v>-0.34203099999999997</v>
      </c>
      <c r="BE1013" s="6"/>
      <c r="BF1013" s="6"/>
      <c r="BG1013" s="6"/>
      <c r="BH1013" s="6"/>
      <c r="BI1013" s="6"/>
      <c r="BJ1013" s="6"/>
      <c r="BK1013" s="6"/>
      <c r="BL1013" s="6"/>
      <c r="BM1013" s="6"/>
      <c r="BN1013" s="6" t="e">
        <f t="shared" si="83"/>
        <v>#DIV/0!</v>
      </c>
    </row>
    <row r="1014" spans="49:66" x14ac:dyDescent="0.3">
      <c r="AW1014">
        <f t="shared" si="82"/>
        <v>0</v>
      </c>
      <c r="AX1014">
        <v>1011</v>
      </c>
      <c r="AY1014" s="4">
        <f t="shared" si="80"/>
        <v>41677</v>
      </c>
      <c r="AZ1014" s="6" t="e">
        <f t="shared" si="81"/>
        <v>#DIV/0!</v>
      </c>
      <c r="BA1014" s="4">
        <v>41677</v>
      </c>
      <c r="BB1014" s="6">
        <v>0.455538</v>
      </c>
      <c r="BC1014" s="6">
        <v>1.8596459999999999</v>
      </c>
      <c r="BD1014" s="6">
        <v>2.1966929999999998</v>
      </c>
      <c r="BE1014" s="6"/>
      <c r="BF1014" s="6"/>
      <c r="BG1014" s="6"/>
      <c r="BH1014" s="6"/>
      <c r="BI1014" s="6"/>
      <c r="BJ1014" s="6"/>
      <c r="BK1014" s="6"/>
      <c r="BL1014" s="6"/>
      <c r="BM1014" s="6"/>
      <c r="BN1014" s="6" t="e">
        <f t="shared" si="83"/>
        <v>#DIV/0!</v>
      </c>
    </row>
    <row r="1015" spans="49:66" x14ac:dyDescent="0.3">
      <c r="AW1015">
        <f t="shared" si="82"/>
        <v>0</v>
      </c>
      <c r="AX1015">
        <v>1012</v>
      </c>
      <c r="AY1015" s="4">
        <f t="shared" si="80"/>
        <v>41680</v>
      </c>
      <c r="AZ1015" s="6" t="e">
        <f t="shared" si="81"/>
        <v>#DIV/0!</v>
      </c>
      <c r="BA1015" s="4">
        <v>41680</v>
      </c>
      <c r="BB1015" s="6">
        <v>2.4882</v>
      </c>
      <c r="BC1015" s="6">
        <v>2.9552480000000001</v>
      </c>
      <c r="BD1015" s="6">
        <v>2.597045</v>
      </c>
      <c r="BE1015" s="6"/>
      <c r="BF1015" s="6"/>
      <c r="BG1015" s="6"/>
      <c r="BH1015" s="6"/>
      <c r="BI1015" s="6"/>
      <c r="BJ1015" s="6"/>
      <c r="BK1015" s="6"/>
      <c r="BL1015" s="6"/>
      <c r="BM1015" s="6"/>
      <c r="BN1015" s="6" t="e">
        <f t="shared" si="83"/>
        <v>#DIV/0!</v>
      </c>
    </row>
    <row r="1016" spans="49:66" x14ac:dyDescent="0.3">
      <c r="AW1016">
        <f t="shared" si="82"/>
        <v>0</v>
      </c>
      <c r="AX1016">
        <v>1013</v>
      </c>
      <c r="AY1016" s="4">
        <f t="shared" si="80"/>
        <v>41681</v>
      </c>
      <c r="AZ1016" s="6" t="e">
        <f t="shared" si="81"/>
        <v>#DIV/0!</v>
      </c>
      <c r="BA1016" s="4">
        <v>41681</v>
      </c>
      <c r="BB1016" s="6">
        <v>0.79504900000000001</v>
      </c>
      <c r="BC1016" s="6">
        <v>0.141068</v>
      </c>
      <c r="BD1016" s="6">
        <v>-3.1759999999999997E-2</v>
      </c>
      <c r="BE1016" s="6"/>
      <c r="BF1016" s="6"/>
      <c r="BG1016" s="6"/>
      <c r="BH1016" s="6"/>
      <c r="BI1016" s="6"/>
      <c r="BJ1016" s="6"/>
      <c r="BK1016" s="6"/>
      <c r="BL1016" s="6"/>
      <c r="BM1016" s="6"/>
      <c r="BN1016" s="6" t="e">
        <f t="shared" si="83"/>
        <v>#DIV/0!</v>
      </c>
    </row>
    <row r="1017" spans="49:66" x14ac:dyDescent="0.3">
      <c r="AW1017">
        <f t="shared" si="82"/>
        <v>0</v>
      </c>
      <c r="AX1017">
        <v>1014</v>
      </c>
      <c r="AY1017" s="4">
        <f t="shared" si="80"/>
        <v>41682</v>
      </c>
      <c r="AZ1017" s="6" t="e">
        <f t="shared" si="81"/>
        <v>#DIV/0!</v>
      </c>
      <c r="BA1017" s="4">
        <v>41682</v>
      </c>
      <c r="BB1017" s="6">
        <v>0.248692</v>
      </c>
      <c r="BC1017" s="6">
        <v>1.103672</v>
      </c>
      <c r="BD1017" s="6">
        <v>1.2792479999999999</v>
      </c>
      <c r="BE1017" s="6"/>
      <c r="BF1017" s="6"/>
      <c r="BG1017" s="6"/>
      <c r="BH1017" s="6"/>
      <c r="BI1017" s="6"/>
      <c r="BJ1017" s="6"/>
      <c r="BK1017" s="6"/>
      <c r="BL1017" s="6"/>
      <c r="BM1017" s="6"/>
      <c r="BN1017" s="6" t="e">
        <f t="shared" si="83"/>
        <v>#DIV/0!</v>
      </c>
    </row>
    <row r="1018" spans="49:66" x14ac:dyDescent="0.3">
      <c r="AW1018">
        <f t="shared" si="82"/>
        <v>0</v>
      </c>
      <c r="AX1018">
        <v>1015</v>
      </c>
      <c r="AY1018" s="4">
        <f t="shared" si="80"/>
        <v>41683</v>
      </c>
      <c r="AZ1018" s="6" t="e">
        <f t="shared" si="81"/>
        <v>#DIV/0!</v>
      </c>
      <c r="BA1018" s="4">
        <v>41683</v>
      </c>
      <c r="BB1018" s="6">
        <v>-0.51029000000000002</v>
      </c>
      <c r="BC1018" s="6">
        <v>-1.4783740000000001</v>
      </c>
      <c r="BD1018" s="6">
        <v>-2.064864</v>
      </c>
      <c r="BE1018" s="6"/>
      <c r="BF1018" s="6"/>
      <c r="BG1018" s="6"/>
      <c r="BH1018" s="6"/>
      <c r="BI1018" s="6"/>
      <c r="BJ1018" s="6"/>
      <c r="BK1018" s="6"/>
      <c r="BL1018" s="6"/>
      <c r="BM1018" s="6"/>
      <c r="BN1018" s="6" t="e">
        <f t="shared" si="83"/>
        <v>#DIV/0!</v>
      </c>
    </row>
    <row r="1019" spans="49:66" x14ac:dyDescent="0.3">
      <c r="AW1019">
        <f t="shared" si="82"/>
        <v>0</v>
      </c>
      <c r="AX1019">
        <v>1016</v>
      </c>
      <c r="AY1019" s="4">
        <f t="shared" si="80"/>
        <v>41684</v>
      </c>
      <c r="AZ1019" s="6" t="e">
        <f t="shared" si="81"/>
        <v>#DIV/0!</v>
      </c>
      <c r="BA1019" s="4">
        <v>41684</v>
      </c>
      <c r="BB1019" s="6">
        <v>0.70281300000000002</v>
      </c>
      <c r="BC1019" s="6">
        <v>1.7157910000000001</v>
      </c>
      <c r="BD1019" s="6">
        <v>2.0179</v>
      </c>
      <c r="BE1019" s="6"/>
      <c r="BF1019" s="6"/>
      <c r="BG1019" s="6"/>
      <c r="BH1019" s="6"/>
      <c r="BI1019" s="6"/>
      <c r="BJ1019" s="6"/>
      <c r="BK1019" s="6"/>
      <c r="BL1019" s="6"/>
      <c r="BM1019" s="6"/>
      <c r="BN1019" s="6" t="e">
        <f t="shared" si="83"/>
        <v>#DIV/0!</v>
      </c>
    </row>
    <row r="1020" spans="49:66" x14ac:dyDescent="0.3">
      <c r="AW1020">
        <f t="shared" si="82"/>
        <v>0</v>
      </c>
      <c r="AX1020">
        <v>1017</v>
      </c>
      <c r="AY1020" s="4">
        <f t="shared" si="80"/>
        <v>41687</v>
      </c>
      <c r="AZ1020" s="6" t="e">
        <f t="shared" si="81"/>
        <v>#DIV/0!</v>
      </c>
      <c r="BA1020" s="4">
        <v>41687</v>
      </c>
      <c r="BB1020" s="6">
        <v>0.70013000000000003</v>
      </c>
      <c r="BC1020" s="6">
        <v>1.9008700000000001</v>
      </c>
      <c r="BD1020" s="6">
        <v>2.335804</v>
      </c>
      <c r="BE1020" s="6"/>
      <c r="BF1020" s="6"/>
      <c r="BG1020" s="6"/>
      <c r="BH1020" s="6"/>
      <c r="BI1020" s="6"/>
      <c r="BJ1020" s="6"/>
      <c r="BK1020" s="6"/>
      <c r="BL1020" s="6"/>
      <c r="BM1020" s="6"/>
      <c r="BN1020" s="6" t="e">
        <f t="shared" si="83"/>
        <v>#DIV/0!</v>
      </c>
    </row>
    <row r="1021" spans="49:66" x14ac:dyDescent="0.3">
      <c r="AW1021">
        <f t="shared" si="82"/>
        <v>0</v>
      </c>
      <c r="AX1021">
        <v>1018</v>
      </c>
      <c r="AY1021" s="4">
        <f t="shared" si="80"/>
        <v>41688</v>
      </c>
      <c r="AZ1021" s="6" t="e">
        <f t="shared" si="81"/>
        <v>#DIV/0!</v>
      </c>
      <c r="BA1021" s="4">
        <v>41688</v>
      </c>
      <c r="BB1021" s="6">
        <v>-1.263385</v>
      </c>
      <c r="BC1021" s="6">
        <v>-0.119779</v>
      </c>
      <c r="BD1021" s="6">
        <v>5.5673E-2</v>
      </c>
      <c r="BE1021" s="6"/>
      <c r="BF1021" s="6"/>
      <c r="BG1021" s="6"/>
      <c r="BH1021" s="6"/>
      <c r="BI1021" s="6"/>
      <c r="BJ1021" s="6"/>
      <c r="BK1021" s="6"/>
      <c r="BL1021" s="6"/>
      <c r="BM1021" s="6"/>
      <c r="BN1021" s="6" t="e">
        <f t="shared" si="83"/>
        <v>#DIV/0!</v>
      </c>
    </row>
    <row r="1022" spans="49:66" x14ac:dyDescent="0.3">
      <c r="AW1022">
        <f t="shared" si="82"/>
        <v>0</v>
      </c>
      <c r="AX1022">
        <v>1019</v>
      </c>
      <c r="AY1022" s="4">
        <f t="shared" si="80"/>
        <v>41689</v>
      </c>
      <c r="AZ1022" s="6" t="e">
        <f t="shared" si="81"/>
        <v>#DIV/0!</v>
      </c>
      <c r="BA1022" s="4">
        <v>41689</v>
      </c>
      <c r="BB1022" s="6">
        <v>1.1485069999999999</v>
      </c>
      <c r="BC1022" s="6">
        <v>7.0109999999999999E-3</v>
      </c>
      <c r="BD1022" s="6">
        <v>-2.0899999999999998E-3</v>
      </c>
      <c r="BE1022" s="6"/>
      <c r="BF1022" s="6"/>
      <c r="BG1022" s="6"/>
      <c r="BH1022" s="6"/>
      <c r="BI1022" s="6"/>
      <c r="BJ1022" s="6"/>
      <c r="BK1022" s="6"/>
      <c r="BL1022" s="6"/>
      <c r="BM1022" s="6"/>
      <c r="BN1022" s="6" t="e">
        <f t="shared" si="83"/>
        <v>#DIV/0!</v>
      </c>
    </row>
    <row r="1023" spans="49:66" x14ac:dyDescent="0.3">
      <c r="AW1023">
        <f t="shared" si="82"/>
        <v>0</v>
      </c>
      <c r="AX1023">
        <v>1020</v>
      </c>
      <c r="AY1023" s="4">
        <f t="shared" si="80"/>
        <v>41690</v>
      </c>
      <c r="AZ1023" s="6" t="e">
        <f t="shared" si="81"/>
        <v>#DIV/0!</v>
      </c>
      <c r="BA1023" s="4">
        <v>41690</v>
      </c>
      <c r="BB1023" s="6">
        <v>-0.91914899999999999</v>
      </c>
      <c r="BC1023" s="6">
        <v>-1.400263</v>
      </c>
      <c r="BD1023" s="6">
        <v>-1.6594869999999999</v>
      </c>
      <c r="BE1023" s="6"/>
      <c r="BF1023" s="6"/>
      <c r="BG1023" s="6"/>
      <c r="BH1023" s="6"/>
      <c r="BI1023" s="6"/>
      <c r="BJ1023" s="6"/>
      <c r="BK1023" s="6"/>
      <c r="BL1023" s="6"/>
      <c r="BM1023" s="6"/>
      <c r="BN1023" s="6" t="e">
        <f t="shared" si="83"/>
        <v>#DIV/0!</v>
      </c>
    </row>
    <row r="1024" spans="49:66" x14ac:dyDescent="0.3">
      <c r="AW1024">
        <f t="shared" si="82"/>
        <v>0</v>
      </c>
      <c r="AX1024">
        <v>1021</v>
      </c>
      <c r="AY1024" s="4">
        <f t="shared" si="80"/>
        <v>41691</v>
      </c>
      <c r="AZ1024" s="6" t="e">
        <f t="shared" si="81"/>
        <v>#DIV/0!</v>
      </c>
      <c r="BA1024" s="4">
        <v>41691</v>
      </c>
      <c r="BB1024" s="6">
        <v>-1.0117</v>
      </c>
      <c r="BC1024" s="6">
        <v>-0.65446000000000004</v>
      </c>
      <c r="BD1024" s="6">
        <v>-8.7147000000000002E-2</v>
      </c>
      <c r="BE1024" s="6"/>
      <c r="BF1024" s="6"/>
      <c r="BG1024" s="6"/>
      <c r="BH1024" s="6"/>
      <c r="BI1024" s="6"/>
      <c r="BJ1024" s="6"/>
      <c r="BK1024" s="6"/>
      <c r="BL1024" s="6"/>
      <c r="BM1024" s="6"/>
      <c r="BN1024" s="6" t="e">
        <f t="shared" si="83"/>
        <v>#DIV/0!</v>
      </c>
    </row>
    <row r="1025" spans="49:66" x14ac:dyDescent="0.3">
      <c r="AW1025">
        <f t="shared" si="82"/>
        <v>0</v>
      </c>
      <c r="AX1025">
        <v>1022</v>
      </c>
      <c r="AY1025" s="4">
        <f t="shared" si="80"/>
        <v>41694</v>
      </c>
      <c r="AZ1025" s="6" t="e">
        <f t="shared" si="81"/>
        <v>#DIV/0!</v>
      </c>
      <c r="BA1025" s="4">
        <v>41694</v>
      </c>
      <c r="BB1025" s="6">
        <v>-2.198699</v>
      </c>
      <c r="BC1025" s="6">
        <v>-0.39120100000000002</v>
      </c>
      <c r="BD1025" s="6">
        <v>0.67003500000000005</v>
      </c>
      <c r="BE1025" s="6"/>
      <c r="BF1025" s="6"/>
      <c r="BG1025" s="6"/>
      <c r="BH1025" s="6"/>
      <c r="BI1025" s="6"/>
      <c r="BJ1025" s="6"/>
      <c r="BK1025" s="6"/>
      <c r="BL1025" s="6"/>
      <c r="BM1025" s="6"/>
      <c r="BN1025" s="6" t="e">
        <f t="shared" si="83"/>
        <v>#DIV/0!</v>
      </c>
    </row>
    <row r="1026" spans="49:66" x14ac:dyDescent="0.3">
      <c r="AW1026">
        <f t="shared" si="82"/>
        <v>0</v>
      </c>
      <c r="AX1026">
        <v>1023</v>
      </c>
      <c r="AY1026" s="4">
        <f t="shared" si="80"/>
        <v>41695</v>
      </c>
      <c r="AZ1026" s="6" t="e">
        <f t="shared" si="81"/>
        <v>#DIV/0!</v>
      </c>
      <c r="BA1026" s="4">
        <v>41695</v>
      </c>
      <c r="BB1026" s="6">
        <v>-2.5558709999999998</v>
      </c>
      <c r="BC1026" s="6">
        <v>-3.515838</v>
      </c>
      <c r="BD1026" s="6">
        <v>-4.2475370000000003</v>
      </c>
      <c r="BE1026" s="6"/>
      <c r="BF1026" s="6"/>
      <c r="BG1026" s="6"/>
      <c r="BH1026" s="6"/>
      <c r="BI1026" s="6"/>
      <c r="BJ1026" s="6"/>
      <c r="BK1026" s="6"/>
      <c r="BL1026" s="6"/>
      <c r="BM1026" s="6"/>
      <c r="BN1026" s="6" t="e">
        <f t="shared" si="83"/>
        <v>#DIV/0!</v>
      </c>
    </row>
    <row r="1027" spans="49:66" x14ac:dyDescent="0.3">
      <c r="AW1027">
        <f t="shared" si="82"/>
        <v>0</v>
      </c>
      <c r="AX1027">
        <v>1024</v>
      </c>
      <c r="AY1027" s="4">
        <f t="shared" si="80"/>
        <v>41696</v>
      </c>
      <c r="AZ1027" s="6" t="e">
        <f t="shared" si="81"/>
        <v>#DIV/0!</v>
      </c>
      <c r="BA1027" s="4">
        <v>41696</v>
      </c>
      <c r="BB1027" s="6">
        <v>0.254691</v>
      </c>
      <c r="BC1027" s="6">
        <v>0.657362</v>
      </c>
      <c r="BD1027" s="6">
        <v>0.66720000000000002</v>
      </c>
      <c r="BE1027" s="6"/>
      <c r="BF1027" s="6"/>
      <c r="BG1027" s="6"/>
      <c r="BH1027" s="6"/>
      <c r="BI1027" s="6"/>
      <c r="BJ1027" s="6"/>
      <c r="BK1027" s="6"/>
      <c r="BL1027" s="6"/>
      <c r="BM1027" s="6"/>
      <c r="BN1027" s="6" t="e">
        <f t="shared" si="83"/>
        <v>#DIV/0!</v>
      </c>
    </row>
    <row r="1028" spans="49:66" x14ac:dyDescent="0.3">
      <c r="AW1028">
        <f t="shared" si="82"/>
        <v>0</v>
      </c>
      <c r="AX1028">
        <v>1025</v>
      </c>
      <c r="AY1028" s="4">
        <f t="shared" si="80"/>
        <v>41697</v>
      </c>
      <c r="AZ1028" s="6" t="e">
        <f t="shared" si="81"/>
        <v>#DIV/0!</v>
      </c>
      <c r="BA1028" s="4">
        <v>41697</v>
      </c>
      <c r="BB1028" s="6">
        <v>-0.42973899999999998</v>
      </c>
      <c r="BC1028" s="6">
        <v>-1.3229660000000001</v>
      </c>
      <c r="BD1028" s="6">
        <v>-1.765277</v>
      </c>
      <c r="BE1028" s="6"/>
      <c r="BF1028" s="6"/>
      <c r="BG1028" s="6"/>
      <c r="BH1028" s="6"/>
      <c r="BI1028" s="6"/>
      <c r="BJ1028" s="6"/>
      <c r="BK1028" s="6"/>
      <c r="BL1028" s="6"/>
      <c r="BM1028" s="6"/>
      <c r="BN1028" s="6" t="e">
        <f t="shared" si="83"/>
        <v>#DIV/0!</v>
      </c>
    </row>
    <row r="1029" spans="49:66" x14ac:dyDescent="0.3">
      <c r="AW1029">
        <f t="shared" si="82"/>
        <v>0</v>
      </c>
      <c r="AX1029">
        <v>1026</v>
      </c>
      <c r="AY1029" s="4">
        <f t="shared" ref="AY1029:AY1092" si="84">BA1029</f>
        <v>41698</v>
      </c>
      <c r="AZ1029" s="6" t="e">
        <f t="shared" ref="AZ1029:AZ1092" si="85">BN1029</f>
        <v>#DIV/0!</v>
      </c>
      <c r="BA1029" s="4">
        <v>41698</v>
      </c>
      <c r="BB1029" s="6">
        <v>1.1542129999999999</v>
      </c>
      <c r="BC1029" s="6">
        <v>1.047137</v>
      </c>
      <c r="BD1029" s="6">
        <v>0.97951200000000005</v>
      </c>
      <c r="BE1029" s="6"/>
      <c r="BF1029" s="6"/>
      <c r="BG1029" s="6"/>
      <c r="BH1029" s="6"/>
      <c r="BI1029" s="6"/>
      <c r="BJ1029" s="6"/>
      <c r="BK1029" s="6"/>
      <c r="BL1029" s="6"/>
      <c r="BM1029" s="6"/>
      <c r="BN1029" s="6" t="e">
        <f t="shared" si="83"/>
        <v>#DIV/0!</v>
      </c>
    </row>
    <row r="1030" spans="49:66" x14ac:dyDescent="0.3">
      <c r="AW1030">
        <f t="shared" ref="AW1030:AW1093" si="86">IF(AY1030&lt;=AY1029,1,0)</f>
        <v>0</v>
      </c>
      <c r="AX1030">
        <v>1027</v>
      </c>
      <c r="AY1030" s="4">
        <f t="shared" si="84"/>
        <v>41701</v>
      </c>
      <c r="AZ1030" s="6" t="e">
        <f t="shared" si="85"/>
        <v>#DIV/0!</v>
      </c>
      <c r="BA1030" s="4">
        <v>41701</v>
      </c>
      <c r="BB1030" s="6">
        <v>0.52313699999999996</v>
      </c>
      <c r="BC1030" s="6">
        <v>2.0842930000000002</v>
      </c>
      <c r="BD1030" s="6">
        <v>2.3056160000000001</v>
      </c>
      <c r="BE1030" s="6"/>
      <c r="BF1030" s="6"/>
      <c r="BG1030" s="6"/>
      <c r="BH1030" s="6"/>
      <c r="BI1030" s="6"/>
      <c r="BJ1030" s="6"/>
      <c r="BK1030" s="6"/>
      <c r="BL1030" s="6"/>
      <c r="BM1030" s="6"/>
      <c r="BN1030" s="6" t="e">
        <f t="shared" ref="BN1030:BN1093" si="87">(BM1030/BM1029-1)*100</f>
        <v>#DIV/0!</v>
      </c>
    </row>
    <row r="1031" spans="49:66" x14ac:dyDescent="0.3">
      <c r="AW1031">
        <f t="shared" si="86"/>
        <v>0</v>
      </c>
      <c r="AX1031">
        <v>1028</v>
      </c>
      <c r="AY1031" s="4">
        <f t="shared" si="84"/>
        <v>41702</v>
      </c>
      <c r="AZ1031" s="6" t="e">
        <f t="shared" si="85"/>
        <v>#DIV/0!</v>
      </c>
      <c r="BA1031" s="4">
        <v>41702</v>
      </c>
      <c r="BB1031" s="6">
        <v>-0.27835500000000002</v>
      </c>
      <c r="BC1031" s="6">
        <v>1.8922000000000001E-2</v>
      </c>
      <c r="BD1031" s="6">
        <v>0.156837</v>
      </c>
      <c r="BE1031" s="6"/>
      <c r="BF1031" s="6"/>
      <c r="BG1031" s="6"/>
      <c r="BH1031" s="6"/>
      <c r="BI1031" s="6"/>
      <c r="BJ1031" s="6"/>
      <c r="BK1031" s="6"/>
      <c r="BL1031" s="6"/>
      <c r="BM1031" s="6"/>
      <c r="BN1031" s="6" t="e">
        <f t="shared" si="87"/>
        <v>#DIV/0!</v>
      </c>
    </row>
    <row r="1032" spans="49:66" x14ac:dyDescent="0.3">
      <c r="AW1032">
        <f t="shared" si="86"/>
        <v>0</v>
      </c>
      <c r="AX1032">
        <v>1029</v>
      </c>
      <c r="AY1032" s="4">
        <f t="shared" si="84"/>
        <v>41703</v>
      </c>
      <c r="AZ1032" s="6" t="e">
        <f t="shared" si="85"/>
        <v>#DIV/0!</v>
      </c>
      <c r="BA1032" s="4">
        <v>41703</v>
      </c>
      <c r="BB1032" s="6">
        <v>-0.929234</v>
      </c>
      <c r="BC1032" s="6">
        <v>-0.53658399999999995</v>
      </c>
      <c r="BD1032" s="6">
        <v>3.4624000000000002E-2</v>
      </c>
      <c r="BE1032" s="6"/>
      <c r="BF1032" s="6"/>
      <c r="BG1032" s="6"/>
      <c r="BH1032" s="6"/>
      <c r="BI1032" s="6"/>
      <c r="BJ1032" s="6"/>
      <c r="BK1032" s="6"/>
      <c r="BL1032" s="6"/>
      <c r="BM1032" s="6"/>
      <c r="BN1032" s="6" t="e">
        <f t="shared" si="87"/>
        <v>#DIV/0!</v>
      </c>
    </row>
    <row r="1033" spans="49:66" x14ac:dyDescent="0.3">
      <c r="AW1033">
        <f t="shared" si="86"/>
        <v>0</v>
      </c>
      <c r="AX1033">
        <v>1030</v>
      </c>
      <c r="AY1033" s="4">
        <f t="shared" si="84"/>
        <v>41704</v>
      </c>
      <c r="AZ1033" s="6" t="e">
        <f t="shared" si="85"/>
        <v>#DIV/0!</v>
      </c>
      <c r="BA1033" s="4">
        <v>41704</v>
      </c>
      <c r="BB1033" s="6">
        <v>0.44630799999999998</v>
      </c>
      <c r="BC1033" s="6">
        <v>-0.124524</v>
      </c>
      <c r="BD1033" s="6">
        <v>-2.5526E-2</v>
      </c>
      <c r="BE1033" s="6"/>
      <c r="BF1033" s="6"/>
      <c r="BG1033" s="6"/>
      <c r="BH1033" s="6"/>
      <c r="BI1033" s="6"/>
      <c r="BJ1033" s="6"/>
      <c r="BK1033" s="6"/>
      <c r="BL1033" s="6"/>
      <c r="BM1033" s="6"/>
      <c r="BN1033" s="6" t="e">
        <f t="shared" si="87"/>
        <v>#DIV/0!</v>
      </c>
    </row>
    <row r="1034" spans="49:66" x14ac:dyDescent="0.3">
      <c r="AW1034">
        <f t="shared" si="86"/>
        <v>0</v>
      </c>
      <c r="AX1034">
        <v>1031</v>
      </c>
      <c r="AY1034" s="4">
        <f t="shared" si="84"/>
        <v>41705</v>
      </c>
      <c r="AZ1034" s="6" t="e">
        <f t="shared" si="85"/>
        <v>#DIV/0!</v>
      </c>
      <c r="BA1034" s="4">
        <v>41705</v>
      </c>
      <c r="BB1034" s="6">
        <v>-0.242727</v>
      </c>
      <c r="BC1034" s="6">
        <v>-0.50360099999999997</v>
      </c>
      <c r="BD1034" s="6">
        <v>-0.253104</v>
      </c>
      <c r="BE1034" s="6"/>
      <c r="BF1034" s="6"/>
      <c r="BG1034" s="6"/>
      <c r="BH1034" s="6"/>
      <c r="BI1034" s="6"/>
      <c r="BJ1034" s="6"/>
      <c r="BK1034" s="6"/>
      <c r="BL1034" s="6"/>
      <c r="BM1034" s="6"/>
      <c r="BN1034" s="6" t="e">
        <f t="shared" si="87"/>
        <v>#DIV/0!</v>
      </c>
    </row>
    <row r="1035" spans="49:66" x14ac:dyDescent="0.3">
      <c r="AW1035">
        <f t="shared" si="86"/>
        <v>0</v>
      </c>
      <c r="AX1035">
        <v>1032</v>
      </c>
      <c r="AY1035" s="4">
        <f t="shared" si="84"/>
        <v>41708</v>
      </c>
      <c r="AZ1035" s="6" t="e">
        <f t="shared" si="85"/>
        <v>#DIV/0!</v>
      </c>
      <c r="BA1035" s="4">
        <v>41708</v>
      </c>
      <c r="BB1035" s="6">
        <v>-3.2545820000000001</v>
      </c>
      <c r="BC1035" s="6">
        <v>-3.7932709999999998</v>
      </c>
      <c r="BD1035" s="6">
        <v>-3.8216019999999999</v>
      </c>
      <c r="BE1035" s="6"/>
      <c r="BF1035" s="6"/>
      <c r="BG1035" s="6"/>
      <c r="BH1035" s="6"/>
      <c r="BI1035" s="6"/>
      <c r="BJ1035" s="6"/>
      <c r="BK1035" s="6"/>
      <c r="BL1035" s="6"/>
      <c r="BM1035" s="6"/>
      <c r="BN1035" s="6" t="e">
        <f t="shared" si="87"/>
        <v>#DIV/0!</v>
      </c>
    </row>
    <row r="1036" spans="49:66" x14ac:dyDescent="0.3">
      <c r="AW1036">
        <f t="shared" si="86"/>
        <v>0</v>
      </c>
      <c r="AX1036">
        <v>1033</v>
      </c>
      <c r="AY1036" s="4">
        <f t="shared" si="84"/>
        <v>41709</v>
      </c>
      <c r="AZ1036" s="6" t="e">
        <f t="shared" si="85"/>
        <v>#DIV/0!</v>
      </c>
      <c r="BA1036" s="4">
        <v>41709</v>
      </c>
      <c r="BB1036" s="6">
        <v>0.51835600000000004</v>
      </c>
      <c r="BC1036" s="6">
        <v>0.104035</v>
      </c>
      <c r="BD1036" s="6">
        <v>-0.29279500000000003</v>
      </c>
      <c r="BE1036" s="6"/>
      <c r="BF1036" s="6"/>
      <c r="BG1036" s="6"/>
      <c r="BH1036" s="6"/>
      <c r="BI1036" s="6"/>
      <c r="BJ1036" s="6"/>
      <c r="BK1036" s="6"/>
      <c r="BL1036" s="6"/>
      <c r="BM1036" s="6"/>
      <c r="BN1036" s="6" t="e">
        <f t="shared" si="87"/>
        <v>#DIV/0!</v>
      </c>
    </row>
    <row r="1037" spans="49:66" x14ac:dyDescent="0.3">
      <c r="AW1037">
        <f t="shared" si="86"/>
        <v>0</v>
      </c>
      <c r="AX1037">
        <v>1034</v>
      </c>
      <c r="AY1037" s="4">
        <f t="shared" si="84"/>
        <v>41710</v>
      </c>
      <c r="AZ1037" s="6" t="e">
        <f t="shared" si="85"/>
        <v>#DIV/0!</v>
      </c>
      <c r="BA1037" s="4">
        <v>41710</v>
      </c>
      <c r="BB1037" s="6">
        <v>0.25954899999999997</v>
      </c>
      <c r="BC1037" s="6">
        <v>3.6281000000000001E-2</v>
      </c>
      <c r="BD1037" s="6">
        <v>-0.41860399999999998</v>
      </c>
      <c r="BE1037" s="6"/>
      <c r="BF1037" s="6"/>
      <c r="BG1037" s="6"/>
      <c r="BH1037" s="6"/>
      <c r="BI1037" s="6"/>
      <c r="BJ1037" s="6"/>
      <c r="BK1037" s="6"/>
      <c r="BL1037" s="6"/>
      <c r="BM1037" s="6"/>
      <c r="BN1037" s="6" t="e">
        <f t="shared" si="87"/>
        <v>#DIV/0!</v>
      </c>
    </row>
    <row r="1038" spans="49:66" x14ac:dyDescent="0.3">
      <c r="AW1038">
        <f t="shared" si="86"/>
        <v>0</v>
      </c>
      <c r="AX1038">
        <v>1035</v>
      </c>
      <c r="AY1038" s="4">
        <f t="shared" si="84"/>
        <v>41711</v>
      </c>
      <c r="AZ1038" s="6" t="e">
        <f t="shared" si="85"/>
        <v>#DIV/0!</v>
      </c>
      <c r="BA1038" s="4">
        <v>41711</v>
      </c>
      <c r="BB1038" s="6">
        <v>1.239231</v>
      </c>
      <c r="BC1038" s="6">
        <v>1.0731409999999999</v>
      </c>
      <c r="BD1038" s="6">
        <v>1.4204129999999999</v>
      </c>
      <c r="BE1038" s="6"/>
      <c r="BF1038" s="6"/>
      <c r="BG1038" s="6"/>
      <c r="BH1038" s="6"/>
      <c r="BI1038" s="6"/>
      <c r="BJ1038" s="6"/>
      <c r="BK1038" s="6"/>
      <c r="BL1038" s="6"/>
      <c r="BM1038" s="6"/>
      <c r="BN1038" s="6" t="e">
        <f t="shared" si="87"/>
        <v>#DIV/0!</v>
      </c>
    </row>
    <row r="1039" spans="49:66" x14ac:dyDescent="0.3">
      <c r="AW1039">
        <f t="shared" si="86"/>
        <v>0</v>
      </c>
      <c r="AX1039">
        <v>1036</v>
      </c>
      <c r="AY1039" s="4">
        <f t="shared" si="84"/>
        <v>41712</v>
      </c>
      <c r="AZ1039" s="6" t="e">
        <f t="shared" si="85"/>
        <v>#DIV/0!</v>
      </c>
      <c r="BA1039" s="4">
        <v>41712</v>
      </c>
      <c r="BB1039" s="6">
        <v>-0.81749000000000005</v>
      </c>
      <c r="BC1039" s="6">
        <v>-0.46507100000000001</v>
      </c>
      <c r="BD1039" s="6">
        <v>-0.18690000000000001</v>
      </c>
      <c r="BE1039" s="6"/>
      <c r="BF1039" s="6"/>
      <c r="BG1039" s="6"/>
      <c r="BH1039" s="6"/>
      <c r="BI1039" s="6"/>
      <c r="BJ1039" s="6"/>
      <c r="BK1039" s="6"/>
      <c r="BL1039" s="6"/>
      <c r="BM1039" s="6"/>
      <c r="BN1039" s="6" t="e">
        <f t="shared" si="87"/>
        <v>#DIV/0!</v>
      </c>
    </row>
    <row r="1040" spans="49:66" x14ac:dyDescent="0.3">
      <c r="AW1040">
        <f t="shared" si="86"/>
        <v>0</v>
      </c>
      <c r="AX1040">
        <v>1037</v>
      </c>
      <c r="AY1040" s="4">
        <f t="shared" si="84"/>
        <v>41715</v>
      </c>
      <c r="AZ1040" s="6" t="e">
        <f t="shared" si="85"/>
        <v>#DIV/0!</v>
      </c>
      <c r="BA1040" s="4">
        <v>41715</v>
      </c>
      <c r="BB1040" s="6">
        <v>0.95165100000000002</v>
      </c>
      <c r="BC1040" s="6">
        <v>2.01017</v>
      </c>
      <c r="BD1040" s="6">
        <v>2.4678770000000001</v>
      </c>
      <c r="BE1040" s="6"/>
      <c r="BF1040" s="6"/>
      <c r="BG1040" s="6"/>
      <c r="BH1040" s="6"/>
      <c r="BI1040" s="6"/>
      <c r="BJ1040" s="6"/>
      <c r="BK1040" s="6"/>
      <c r="BL1040" s="6"/>
      <c r="BM1040" s="6"/>
      <c r="BN1040" s="6" t="e">
        <f t="shared" si="87"/>
        <v>#DIV/0!</v>
      </c>
    </row>
    <row r="1041" spans="49:66" x14ac:dyDescent="0.3">
      <c r="AW1041">
        <f t="shared" si="86"/>
        <v>0</v>
      </c>
      <c r="AX1041">
        <v>1038</v>
      </c>
      <c r="AY1041" s="4">
        <f t="shared" si="84"/>
        <v>41716</v>
      </c>
      <c r="AZ1041" s="6" t="e">
        <f t="shared" si="85"/>
        <v>#DIV/0!</v>
      </c>
      <c r="BA1041" s="4">
        <v>41716</v>
      </c>
      <c r="BB1041" s="6">
        <v>-0.228881</v>
      </c>
      <c r="BC1041" s="6">
        <v>0.55584</v>
      </c>
      <c r="BD1041" s="6">
        <v>0.63808200000000004</v>
      </c>
      <c r="BE1041" s="6"/>
      <c r="BF1041" s="6"/>
      <c r="BG1041" s="6"/>
      <c r="BH1041" s="6"/>
      <c r="BI1041" s="6"/>
      <c r="BJ1041" s="6"/>
      <c r="BK1041" s="6"/>
      <c r="BL1041" s="6"/>
      <c r="BM1041" s="6"/>
      <c r="BN1041" s="6" t="e">
        <f t="shared" si="87"/>
        <v>#DIV/0!</v>
      </c>
    </row>
    <row r="1042" spans="49:66" x14ac:dyDescent="0.3">
      <c r="AW1042">
        <f t="shared" si="86"/>
        <v>0</v>
      </c>
      <c r="AX1042">
        <v>1039</v>
      </c>
      <c r="AY1042" s="4">
        <f t="shared" si="84"/>
        <v>41717</v>
      </c>
      <c r="AZ1042" s="6" t="e">
        <f t="shared" si="85"/>
        <v>#DIV/0!</v>
      </c>
      <c r="BA1042" s="4">
        <v>41717</v>
      </c>
      <c r="BB1042" s="6">
        <v>-0.80738699999999997</v>
      </c>
      <c r="BC1042" s="6">
        <v>-0.21377699999999999</v>
      </c>
      <c r="BD1042" s="6">
        <v>6.7059999999999995E-2</v>
      </c>
      <c r="BE1042" s="6"/>
      <c r="BF1042" s="6"/>
      <c r="BG1042" s="6"/>
      <c r="BH1042" s="6"/>
      <c r="BI1042" s="6"/>
      <c r="BJ1042" s="6"/>
      <c r="BK1042" s="6"/>
      <c r="BL1042" s="6"/>
      <c r="BM1042" s="6"/>
      <c r="BN1042" s="6" t="e">
        <f t="shared" si="87"/>
        <v>#DIV/0!</v>
      </c>
    </row>
    <row r="1043" spans="49:66" x14ac:dyDescent="0.3">
      <c r="AW1043">
        <f t="shared" si="86"/>
        <v>0</v>
      </c>
      <c r="AX1043">
        <v>1040</v>
      </c>
      <c r="AY1043" s="4">
        <f t="shared" si="84"/>
        <v>41718</v>
      </c>
      <c r="AZ1043" s="6" t="e">
        <f t="shared" si="85"/>
        <v>#DIV/0!</v>
      </c>
      <c r="BA1043" s="4">
        <v>41718</v>
      </c>
      <c r="BB1043" s="6">
        <v>-1.5985419999999999</v>
      </c>
      <c r="BC1043" s="6">
        <v>-2.6150099999999998</v>
      </c>
      <c r="BD1043" s="6">
        <v>-2.8217430000000001</v>
      </c>
      <c r="BE1043" s="6"/>
      <c r="BF1043" s="6"/>
      <c r="BG1043" s="6"/>
      <c r="BH1043" s="6"/>
      <c r="BI1043" s="6"/>
      <c r="BJ1043" s="6"/>
      <c r="BK1043" s="6"/>
      <c r="BL1043" s="6"/>
      <c r="BM1043" s="6"/>
      <c r="BN1043" s="6" t="e">
        <f t="shared" si="87"/>
        <v>#DIV/0!</v>
      </c>
    </row>
    <row r="1044" spans="49:66" x14ac:dyDescent="0.3">
      <c r="AW1044">
        <f t="shared" si="86"/>
        <v>0</v>
      </c>
      <c r="AX1044">
        <v>1041</v>
      </c>
      <c r="AY1044" s="4">
        <f t="shared" si="84"/>
        <v>41719</v>
      </c>
      <c r="AZ1044" s="6" t="e">
        <f t="shared" si="85"/>
        <v>#DIV/0!</v>
      </c>
      <c r="BA1044" s="4">
        <v>41719</v>
      </c>
      <c r="BB1044" s="6">
        <v>3.4418850000000001</v>
      </c>
      <c r="BC1044" s="6">
        <v>1.955694</v>
      </c>
      <c r="BD1044" s="6">
        <v>1.4924770000000001</v>
      </c>
      <c r="BE1044" s="6"/>
      <c r="BF1044" s="6"/>
      <c r="BG1044" s="6"/>
      <c r="BH1044" s="6"/>
      <c r="BI1044" s="6"/>
      <c r="BJ1044" s="6"/>
      <c r="BK1044" s="6"/>
      <c r="BL1044" s="6"/>
      <c r="BM1044" s="6"/>
      <c r="BN1044" s="6" t="e">
        <f t="shared" si="87"/>
        <v>#DIV/0!</v>
      </c>
    </row>
    <row r="1045" spans="49:66" x14ac:dyDescent="0.3">
      <c r="AW1045">
        <f t="shared" si="86"/>
        <v>0</v>
      </c>
      <c r="AX1045">
        <v>1042</v>
      </c>
      <c r="AY1045" s="4">
        <f t="shared" si="84"/>
        <v>41722</v>
      </c>
      <c r="AZ1045" s="6" t="e">
        <f t="shared" si="85"/>
        <v>#DIV/0!</v>
      </c>
      <c r="BA1045" s="4">
        <v>41722</v>
      </c>
      <c r="BB1045" s="6">
        <v>0.82249499999999998</v>
      </c>
      <c r="BC1045" s="6">
        <v>0.846804</v>
      </c>
      <c r="BD1045" s="6">
        <v>0.132607</v>
      </c>
      <c r="BE1045" s="6"/>
      <c r="BF1045" s="6"/>
      <c r="BG1045" s="6"/>
      <c r="BH1045" s="6"/>
      <c r="BI1045" s="6"/>
      <c r="BJ1045" s="6"/>
      <c r="BK1045" s="6"/>
      <c r="BL1045" s="6"/>
      <c r="BM1045" s="6"/>
      <c r="BN1045" s="6" t="e">
        <f t="shared" si="87"/>
        <v>#DIV/0!</v>
      </c>
    </row>
    <row r="1046" spans="49:66" x14ac:dyDescent="0.3">
      <c r="AW1046">
        <f t="shared" si="86"/>
        <v>0</v>
      </c>
      <c r="AX1046">
        <v>1043</v>
      </c>
      <c r="AY1046" s="4">
        <f t="shared" si="84"/>
        <v>41723</v>
      </c>
      <c r="AZ1046" s="6" t="e">
        <f t="shared" si="85"/>
        <v>#DIV/0!</v>
      </c>
      <c r="BA1046" s="4">
        <v>41723</v>
      </c>
      <c r="BB1046" s="6">
        <v>-9.7126000000000004E-2</v>
      </c>
      <c r="BC1046" s="6">
        <v>0.132544</v>
      </c>
      <c r="BD1046" s="6">
        <v>-3.7320000000000001E-3</v>
      </c>
      <c r="BE1046" s="6"/>
      <c r="BF1046" s="6"/>
      <c r="BG1046" s="6"/>
      <c r="BH1046" s="6"/>
      <c r="BI1046" s="6"/>
      <c r="BJ1046" s="6"/>
      <c r="BK1046" s="6"/>
      <c r="BL1046" s="6"/>
      <c r="BM1046" s="6"/>
      <c r="BN1046" s="6" t="e">
        <f t="shared" si="87"/>
        <v>#DIV/0!</v>
      </c>
    </row>
    <row r="1047" spans="49:66" x14ac:dyDescent="0.3">
      <c r="AW1047">
        <f t="shared" si="86"/>
        <v>0</v>
      </c>
      <c r="AX1047">
        <v>1044</v>
      </c>
      <c r="AY1047" s="4">
        <f t="shared" si="84"/>
        <v>41724</v>
      </c>
      <c r="AZ1047" s="6" t="e">
        <f t="shared" si="85"/>
        <v>#DIV/0!</v>
      </c>
      <c r="BA1047" s="4">
        <v>41724</v>
      </c>
      <c r="BB1047" s="6">
        <v>-0.15604000000000001</v>
      </c>
      <c r="BC1047" s="6">
        <v>0.25952500000000001</v>
      </c>
      <c r="BD1047" s="6">
        <v>0.56655800000000001</v>
      </c>
      <c r="BE1047" s="6"/>
      <c r="BF1047" s="6"/>
      <c r="BG1047" s="6"/>
      <c r="BH1047" s="6"/>
      <c r="BI1047" s="6"/>
      <c r="BJ1047" s="6"/>
      <c r="BK1047" s="6"/>
      <c r="BL1047" s="6"/>
      <c r="BM1047" s="6"/>
      <c r="BN1047" s="6" t="e">
        <f t="shared" si="87"/>
        <v>#DIV/0!</v>
      </c>
    </row>
    <row r="1048" spans="49:66" x14ac:dyDescent="0.3">
      <c r="AW1048">
        <f t="shared" si="86"/>
        <v>0</v>
      </c>
      <c r="AX1048">
        <v>1045</v>
      </c>
      <c r="AY1048" s="4">
        <f t="shared" si="84"/>
        <v>41725</v>
      </c>
      <c r="AZ1048" s="6" t="e">
        <f t="shared" si="85"/>
        <v>#DIV/0!</v>
      </c>
      <c r="BA1048" s="4">
        <v>41725</v>
      </c>
      <c r="BB1048" s="6">
        <v>-0.70657199999999998</v>
      </c>
      <c r="BC1048" s="6">
        <v>-1.4359109999999999</v>
      </c>
      <c r="BD1048" s="6">
        <v>-2.0332530000000002</v>
      </c>
      <c r="BE1048" s="6"/>
      <c r="BF1048" s="6"/>
      <c r="BG1048" s="6"/>
      <c r="BH1048" s="6"/>
      <c r="BI1048" s="6"/>
      <c r="BJ1048" s="6"/>
      <c r="BK1048" s="6"/>
      <c r="BL1048" s="6"/>
      <c r="BM1048" s="6"/>
      <c r="BN1048" s="6" t="e">
        <f t="shared" si="87"/>
        <v>#DIV/0!</v>
      </c>
    </row>
    <row r="1049" spans="49:66" x14ac:dyDescent="0.3">
      <c r="AW1049">
        <f t="shared" si="86"/>
        <v>0</v>
      </c>
      <c r="AX1049">
        <v>1046</v>
      </c>
      <c r="AY1049" s="4">
        <f t="shared" si="84"/>
        <v>41726</v>
      </c>
      <c r="AZ1049" s="6" t="e">
        <f t="shared" si="85"/>
        <v>#DIV/0!</v>
      </c>
      <c r="BA1049" s="4">
        <v>41726</v>
      </c>
      <c r="BB1049" s="6">
        <v>-0.17358599999999999</v>
      </c>
      <c r="BC1049" s="6">
        <v>-1.996656</v>
      </c>
      <c r="BD1049" s="6">
        <v>-2.756313</v>
      </c>
      <c r="BE1049" s="6"/>
      <c r="BF1049" s="6"/>
      <c r="BG1049" s="6"/>
      <c r="BH1049" s="6"/>
      <c r="BI1049" s="6"/>
      <c r="BJ1049" s="6"/>
      <c r="BK1049" s="6"/>
      <c r="BL1049" s="6"/>
      <c r="BM1049" s="6"/>
      <c r="BN1049" s="6" t="e">
        <f t="shared" si="87"/>
        <v>#DIV/0!</v>
      </c>
    </row>
    <row r="1050" spans="49:66" x14ac:dyDescent="0.3">
      <c r="AW1050">
        <f t="shared" si="86"/>
        <v>0</v>
      </c>
      <c r="AX1050">
        <v>1047</v>
      </c>
      <c r="AY1050" s="4">
        <f t="shared" si="84"/>
        <v>41729</v>
      </c>
      <c r="AZ1050" s="6" t="e">
        <f t="shared" si="85"/>
        <v>#DIV/0!</v>
      </c>
      <c r="BA1050" s="4">
        <v>41729</v>
      </c>
      <c r="BB1050" s="6">
        <v>-0.263015</v>
      </c>
      <c r="BC1050" s="6">
        <v>-0.64054599999999995</v>
      </c>
      <c r="BD1050" s="6">
        <v>-0.82448100000000002</v>
      </c>
      <c r="BE1050" s="6"/>
      <c r="BF1050" s="6"/>
      <c r="BG1050" s="6"/>
      <c r="BH1050" s="6"/>
      <c r="BI1050" s="6"/>
      <c r="BJ1050" s="6"/>
      <c r="BK1050" s="6"/>
      <c r="BL1050" s="6"/>
      <c r="BM1050" s="6"/>
      <c r="BN1050" s="6" t="e">
        <f t="shared" si="87"/>
        <v>#DIV/0!</v>
      </c>
    </row>
    <row r="1051" spans="49:66" x14ac:dyDescent="0.3">
      <c r="AW1051">
        <f t="shared" si="86"/>
        <v>0</v>
      </c>
      <c r="AX1051">
        <v>1048</v>
      </c>
      <c r="AY1051" s="4">
        <f t="shared" si="84"/>
        <v>41730</v>
      </c>
      <c r="AZ1051" s="6" t="e">
        <f t="shared" si="85"/>
        <v>#DIV/0!</v>
      </c>
      <c r="BA1051" s="4">
        <v>41730</v>
      </c>
      <c r="BB1051" s="6">
        <v>0.78320599999999996</v>
      </c>
      <c r="BC1051" s="6">
        <v>1.534994</v>
      </c>
      <c r="BD1051" s="6">
        <v>1.762859</v>
      </c>
      <c r="BE1051" s="6"/>
      <c r="BF1051" s="6"/>
      <c r="BG1051" s="6"/>
      <c r="BH1051" s="6"/>
      <c r="BI1051" s="6"/>
      <c r="BJ1051" s="6"/>
      <c r="BK1051" s="6"/>
      <c r="BL1051" s="6"/>
      <c r="BM1051" s="6"/>
      <c r="BN1051" s="6" t="e">
        <f t="shared" si="87"/>
        <v>#DIV/0!</v>
      </c>
    </row>
    <row r="1052" spans="49:66" x14ac:dyDescent="0.3">
      <c r="AW1052">
        <f t="shared" si="86"/>
        <v>0</v>
      </c>
      <c r="AX1052">
        <v>1049</v>
      </c>
      <c r="AY1052" s="4">
        <f t="shared" si="84"/>
        <v>41731</v>
      </c>
      <c r="AZ1052" s="6" t="e">
        <f t="shared" si="85"/>
        <v>#DIV/0!</v>
      </c>
      <c r="BA1052" s="4">
        <v>41731</v>
      </c>
      <c r="BB1052" s="6">
        <v>0.81419600000000003</v>
      </c>
      <c r="BC1052" s="6">
        <v>6.5520999999999996E-2</v>
      </c>
      <c r="BD1052" s="6">
        <v>-0.66098299999999999</v>
      </c>
      <c r="BE1052" s="6"/>
      <c r="BF1052" s="6"/>
      <c r="BG1052" s="6"/>
      <c r="BH1052" s="6"/>
      <c r="BI1052" s="6"/>
      <c r="BJ1052" s="6"/>
      <c r="BK1052" s="6"/>
      <c r="BL1052" s="6"/>
      <c r="BM1052" s="6"/>
      <c r="BN1052" s="6" t="e">
        <f t="shared" si="87"/>
        <v>#DIV/0!</v>
      </c>
    </row>
    <row r="1053" spans="49:66" x14ac:dyDescent="0.3">
      <c r="AW1053">
        <f t="shared" si="86"/>
        <v>0</v>
      </c>
      <c r="AX1053">
        <v>1050</v>
      </c>
      <c r="AY1053" s="4">
        <f t="shared" si="84"/>
        <v>41732</v>
      </c>
      <c r="AZ1053" s="6" t="e">
        <f t="shared" si="85"/>
        <v>#DIV/0!</v>
      </c>
      <c r="BA1053" s="4">
        <v>41732</v>
      </c>
      <c r="BB1053" s="6">
        <v>-0.72081499999999998</v>
      </c>
      <c r="BC1053" s="6">
        <v>-0.14769199999999999</v>
      </c>
      <c r="BD1053" s="6">
        <v>6.7658999999999997E-2</v>
      </c>
      <c r="BE1053" s="6"/>
      <c r="BF1053" s="6"/>
      <c r="BG1053" s="6"/>
      <c r="BH1053" s="6"/>
      <c r="BI1053" s="6"/>
      <c r="BJ1053" s="6"/>
      <c r="BK1053" s="6"/>
      <c r="BL1053" s="6"/>
      <c r="BM1053" s="6"/>
      <c r="BN1053" s="6" t="e">
        <f t="shared" si="87"/>
        <v>#DIV/0!</v>
      </c>
    </row>
    <row r="1054" spans="49:66" x14ac:dyDescent="0.3">
      <c r="AW1054">
        <f t="shared" si="86"/>
        <v>0</v>
      </c>
      <c r="AX1054">
        <v>1051</v>
      </c>
      <c r="AY1054" s="4">
        <f t="shared" si="84"/>
        <v>41733</v>
      </c>
      <c r="AZ1054" s="6" t="e">
        <f t="shared" si="85"/>
        <v>#DIV/0!</v>
      </c>
      <c r="BA1054" s="4">
        <v>41733</v>
      </c>
      <c r="BB1054" s="6">
        <v>0.94521599999999995</v>
      </c>
      <c r="BC1054" s="6">
        <v>1.1023080000000001</v>
      </c>
      <c r="BD1054" s="6">
        <v>1.2103820000000001</v>
      </c>
      <c r="BE1054" s="6"/>
      <c r="BF1054" s="6"/>
      <c r="BG1054" s="6"/>
      <c r="BH1054" s="6"/>
      <c r="BI1054" s="6"/>
      <c r="BJ1054" s="6"/>
      <c r="BK1054" s="6"/>
      <c r="BL1054" s="6"/>
      <c r="BM1054" s="6"/>
      <c r="BN1054" s="6" t="e">
        <f t="shared" si="87"/>
        <v>#DIV/0!</v>
      </c>
    </row>
    <row r="1055" spans="49:66" x14ac:dyDescent="0.3">
      <c r="AW1055">
        <f t="shared" si="86"/>
        <v>0</v>
      </c>
      <c r="AX1055">
        <v>1052</v>
      </c>
      <c r="AY1055" s="4">
        <f t="shared" si="84"/>
        <v>41737</v>
      </c>
      <c r="AZ1055" s="6" t="e">
        <f t="shared" si="85"/>
        <v>#DIV/0!</v>
      </c>
      <c r="BA1055" s="4">
        <v>41737</v>
      </c>
      <c r="BB1055" s="6">
        <v>2.3722110000000001</v>
      </c>
      <c r="BC1055" s="6">
        <v>1.0762510000000001</v>
      </c>
      <c r="BD1055" s="6">
        <v>0.65031799999999995</v>
      </c>
      <c r="BE1055" s="6"/>
      <c r="BF1055" s="6"/>
      <c r="BG1055" s="6"/>
      <c r="BH1055" s="6"/>
      <c r="BI1055" s="6"/>
      <c r="BJ1055" s="6"/>
      <c r="BK1055" s="6"/>
      <c r="BL1055" s="6"/>
      <c r="BM1055" s="6"/>
      <c r="BN1055" s="6" t="e">
        <f t="shared" si="87"/>
        <v>#DIV/0!</v>
      </c>
    </row>
    <row r="1056" spans="49:66" x14ac:dyDescent="0.3">
      <c r="AW1056">
        <f t="shared" si="86"/>
        <v>0</v>
      </c>
      <c r="AX1056">
        <v>1053</v>
      </c>
      <c r="AY1056" s="4">
        <f t="shared" si="84"/>
        <v>41738</v>
      </c>
      <c r="AZ1056" s="6" t="e">
        <f t="shared" si="85"/>
        <v>#DIV/0!</v>
      </c>
      <c r="BA1056" s="4">
        <v>41738</v>
      </c>
      <c r="BB1056" s="6">
        <v>5.8284000000000002E-2</v>
      </c>
      <c r="BC1056" s="6">
        <v>0.92730999999999997</v>
      </c>
      <c r="BD1056" s="6">
        <v>1.172995</v>
      </c>
      <c r="BE1056" s="6"/>
      <c r="BF1056" s="6"/>
      <c r="BG1056" s="6"/>
      <c r="BH1056" s="6"/>
      <c r="BI1056" s="6"/>
      <c r="BJ1056" s="6"/>
      <c r="BK1056" s="6"/>
      <c r="BL1056" s="6"/>
      <c r="BM1056" s="6"/>
      <c r="BN1056" s="6" t="e">
        <f t="shared" si="87"/>
        <v>#DIV/0!</v>
      </c>
    </row>
    <row r="1057" spans="49:66" x14ac:dyDescent="0.3">
      <c r="AW1057">
        <f t="shared" si="86"/>
        <v>0</v>
      </c>
      <c r="AX1057">
        <v>1054</v>
      </c>
      <c r="AY1057" s="4">
        <f t="shared" si="84"/>
        <v>41739</v>
      </c>
      <c r="AZ1057" s="6" t="e">
        <f t="shared" si="85"/>
        <v>#DIV/0!</v>
      </c>
      <c r="BA1057" s="4">
        <v>41739</v>
      </c>
      <c r="BB1057" s="6">
        <v>1.5697620000000001</v>
      </c>
      <c r="BC1057" s="6">
        <v>0.50498399999999999</v>
      </c>
      <c r="BD1057" s="6">
        <v>0.39583600000000002</v>
      </c>
      <c r="BE1057" s="6"/>
      <c r="BF1057" s="6"/>
      <c r="BG1057" s="6"/>
      <c r="BH1057" s="6"/>
      <c r="BI1057" s="6"/>
      <c r="BJ1057" s="6"/>
      <c r="BK1057" s="6"/>
      <c r="BL1057" s="6"/>
      <c r="BM1057" s="6"/>
      <c r="BN1057" s="6" t="e">
        <f t="shared" si="87"/>
        <v>#DIV/0!</v>
      </c>
    </row>
    <row r="1058" spans="49:66" x14ac:dyDescent="0.3">
      <c r="AW1058">
        <f t="shared" si="86"/>
        <v>0</v>
      </c>
      <c r="AX1058">
        <v>1055</v>
      </c>
      <c r="AY1058" s="4">
        <f t="shared" si="84"/>
        <v>41740</v>
      </c>
      <c r="AZ1058" s="6" t="e">
        <f t="shared" si="85"/>
        <v>#DIV/0!</v>
      </c>
      <c r="BA1058" s="4">
        <v>41740</v>
      </c>
      <c r="BB1058" s="6">
        <v>-0.13611799999999999</v>
      </c>
      <c r="BC1058" s="6">
        <v>-0.43690800000000002</v>
      </c>
      <c r="BD1058" s="6">
        <v>-0.55560600000000004</v>
      </c>
      <c r="BE1058" s="6"/>
      <c r="BF1058" s="6"/>
      <c r="BG1058" s="6"/>
      <c r="BH1058" s="6"/>
      <c r="BI1058" s="6"/>
      <c r="BJ1058" s="6"/>
      <c r="BK1058" s="6"/>
      <c r="BL1058" s="6"/>
      <c r="BM1058" s="6"/>
      <c r="BN1058" s="6" t="e">
        <f t="shared" si="87"/>
        <v>#DIV/0!</v>
      </c>
    </row>
    <row r="1059" spans="49:66" x14ac:dyDescent="0.3">
      <c r="AW1059">
        <f t="shared" si="86"/>
        <v>0</v>
      </c>
      <c r="AX1059">
        <v>1056</v>
      </c>
      <c r="AY1059" s="4">
        <f t="shared" si="84"/>
        <v>41743</v>
      </c>
      <c r="AZ1059" s="6" t="e">
        <f t="shared" si="85"/>
        <v>#DIV/0!</v>
      </c>
      <c r="BA1059" s="4">
        <v>41743</v>
      </c>
      <c r="BB1059" s="6">
        <v>-9.0413999999999994E-2</v>
      </c>
      <c r="BC1059" s="6">
        <v>0.74942900000000001</v>
      </c>
      <c r="BD1059" s="6">
        <v>0.73495999999999995</v>
      </c>
      <c r="BE1059" s="6"/>
      <c r="BF1059" s="6"/>
      <c r="BG1059" s="6"/>
      <c r="BH1059" s="6"/>
      <c r="BI1059" s="6"/>
      <c r="BJ1059" s="6"/>
      <c r="BK1059" s="6"/>
      <c r="BL1059" s="6"/>
      <c r="BM1059" s="6"/>
      <c r="BN1059" s="6" t="e">
        <f t="shared" si="87"/>
        <v>#DIV/0!</v>
      </c>
    </row>
    <row r="1060" spans="49:66" x14ac:dyDescent="0.3">
      <c r="AW1060">
        <f t="shared" si="86"/>
        <v>0</v>
      </c>
      <c r="AX1060">
        <v>1057</v>
      </c>
      <c r="AY1060" s="4">
        <f t="shared" si="84"/>
        <v>41744</v>
      </c>
      <c r="AZ1060" s="6" t="e">
        <f t="shared" si="85"/>
        <v>#DIV/0!</v>
      </c>
      <c r="BA1060" s="4">
        <v>41744</v>
      </c>
      <c r="BB1060" s="6">
        <v>-1.725724</v>
      </c>
      <c r="BC1060" s="6">
        <v>-0.72628000000000004</v>
      </c>
      <c r="BD1060" s="6">
        <v>-0.40149000000000001</v>
      </c>
      <c r="BE1060" s="6"/>
      <c r="BF1060" s="6"/>
      <c r="BG1060" s="6"/>
      <c r="BH1060" s="6"/>
      <c r="BI1060" s="6"/>
      <c r="BJ1060" s="6"/>
      <c r="BK1060" s="6"/>
      <c r="BL1060" s="6"/>
      <c r="BM1060" s="6"/>
      <c r="BN1060" s="6" t="e">
        <f t="shared" si="87"/>
        <v>#DIV/0!</v>
      </c>
    </row>
    <row r="1061" spans="49:66" x14ac:dyDescent="0.3">
      <c r="AW1061">
        <f t="shared" si="86"/>
        <v>0</v>
      </c>
      <c r="AX1061">
        <v>1058</v>
      </c>
      <c r="AY1061" s="4">
        <f t="shared" si="84"/>
        <v>41745</v>
      </c>
      <c r="AZ1061" s="6" t="e">
        <f t="shared" si="85"/>
        <v>#DIV/0!</v>
      </c>
      <c r="BA1061" s="4">
        <v>41745</v>
      </c>
      <c r="BB1061" s="6">
        <v>0.13738700000000001</v>
      </c>
      <c r="BC1061" s="6">
        <v>-5.0299999999999997E-2</v>
      </c>
      <c r="BD1061" s="6">
        <v>0.185692</v>
      </c>
      <c r="BE1061" s="6"/>
      <c r="BF1061" s="6"/>
      <c r="BG1061" s="6"/>
      <c r="BH1061" s="6"/>
      <c r="BI1061" s="6"/>
      <c r="BJ1061" s="6"/>
      <c r="BK1061" s="6"/>
      <c r="BL1061" s="6"/>
      <c r="BM1061" s="6"/>
      <c r="BN1061" s="6" t="e">
        <f t="shared" si="87"/>
        <v>#DIV/0!</v>
      </c>
    </row>
    <row r="1062" spans="49:66" x14ac:dyDescent="0.3">
      <c r="AW1062">
        <f t="shared" si="86"/>
        <v>0</v>
      </c>
      <c r="AX1062">
        <v>1059</v>
      </c>
      <c r="AY1062" s="4">
        <f t="shared" si="84"/>
        <v>41746</v>
      </c>
      <c r="AZ1062" s="6" t="e">
        <f t="shared" si="85"/>
        <v>#DIV/0!</v>
      </c>
      <c r="BA1062" s="4">
        <v>41746</v>
      </c>
      <c r="BB1062" s="6">
        <v>-0.34593099999999999</v>
      </c>
      <c r="BC1062" s="6">
        <v>-0.122964</v>
      </c>
      <c r="BD1062" s="6">
        <v>9.2800000000000001E-4</v>
      </c>
      <c r="BE1062" s="6"/>
      <c r="BF1062" s="6"/>
      <c r="BG1062" s="6"/>
      <c r="BH1062" s="6"/>
      <c r="BI1062" s="6"/>
      <c r="BJ1062" s="6"/>
      <c r="BK1062" s="6"/>
      <c r="BL1062" s="6"/>
      <c r="BM1062" s="6"/>
      <c r="BN1062" s="6" t="e">
        <f t="shared" si="87"/>
        <v>#DIV/0!</v>
      </c>
    </row>
    <row r="1063" spans="49:66" x14ac:dyDescent="0.3">
      <c r="AW1063">
        <f t="shared" si="86"/>
        <v>0</v>
      </c>
      <c r="AX1063">
        <v>1060</v>
      </c>
      <c r="AY1063" s="4">
        <f t="shared" si="84"/>
        <v>41747</v>
      </c>
      <c r="AZ1063" s="6" t="e">
        <f t="shared" si="85"/>
        <v>#DIV/0!</v>
      </c>
      <c r="BA1063" s="4">
        <v>41747</v>
      </c>
      <c r="BB1063" s="6">
        <v>-1.4563E-2</v>
      </c>
      <c r="BC1063" s="6">
        <v>0.35671799999999998</v>
      </c>
      <c r="BD1063" s="6">
        <v>0.46675899999999998</v>
      </c>
      <c r="BE1063" s="6"/>
      <c r="BF1063" s="6"/>
      <c r="BG1063" s="6"/>
      <c r="BH1063" s="6"/>
      <c r="BI1063" s="6"/>
      <c r="BJ1063" s="6"/>
      <c r="BK1063" s="6"/>
      <c r="BL1063" s="6"/>
      <c r="BM1063" s="6"/>
      <c r="BN1063" s="6" t="e">
        <f t="shared" si="87"/>
        <v>#DIV/0!</v>
      </c>
    </row>
    <row r="1064" spans="49:66" x14ac:dyDescent="0.3">
      <c r="AW1064">
        <f t="shared" si="86"/>
        <v>0</v>
      </c>
      <c r="AX1064">
        <v>1061</v>
      </c>
      <c r="AY1064" s="4">
        <f t="shared" si="84"/>
        <v>41750</v>
      </c>
      <c r="AZ1064" s="6" t="e">
        <f t="shared" si="85"/>
        <v>#DIV/0!</v>
      </c>
      <c r="BA1064" s="4">
        <v>41750</v>
      </c>
      <c r="BB1064" s="6">
        <v>-1.6736949999999999</v>
      </c>
      <c r="BC1064" s="6">
        <v>-1.586519</v>
      </c>
      <c r="BD1064" s="6">
        <v>-1.548813</v>
      </c>
      <c r="BE1064" s="6"/>
      <c r="BF1064" s="6"/>
      <c r="BG1064" s="6"/>
      <c r="BH1064" s="6"/>
      <c r="BI1064" s="6"/>
      <c r="BJ1064" s="6"/>
      <c r="BK1064" s="6"/>
      <c r="BL1064" s="6"/>
      <c r="BM1064" s="6"/>
      <c r="BN1064" s="6" t="e">
        <f t="shared" si="87"/>
        <v>#DIV/0!</v>
      </c>
    </row>
    <row r="1065" spans="49:66" x14ac:dyDescent="0.3">
      <c r="AW1065">
        <f t="shared" si="86"/>
        <v>0</v>
      </c>
      <c r="AX1065">
        <v>1062</v>
      </c>
      <c r="AY1065" s="4">
        <f t="shared" si="84"/>
        <v>41751</v>
      </c>
      <c r="AZ1065" s="6" t="e">
        <f t="shared" si="85"/>
        <v>#DIV/0!</v>
      </c>
      <c r="BA1065" s="4">
        <v>41751</v>
      </c>
      <c r="BB1065" s="6">
        <v>0.43648500000000001</v>
      </c>
      <c r="BC1065" s="6">
        <v>-0.45817000000000002</v>
      </c>
      <c r="BD1065" s="6">
        <v>-0.97739699999999996</v>
      </c>
      <c r="BE1065" s="6"/>
      <c r="BF1065" s="6"/>
      <c r="BG1065" s="6"/>
      <c r="BH1065" s="6"/>
      <c r="BI1065" s="6"/>
      <c r="BJ1065" s="6"/>
      <c r="BK1065" s="6"/>
      <c r="BL1065" s="6"/>
      <c r="BM1065" s="6"/>
      <c r="BN1065" s="6" t="e">
        <f t="shared" si="87"/>
        <v>#DIV/0!</v>
      </c>
    </row>
    <row r="1066" spans="49:66" x14ac:dyDescent="0.3">
      <c r="AW1066">
        <f t="shared" si="86"/>
        <v>0</v>
      </c>
      <c r="AX1066">
        <v>1063</v>
      </c>
      <c r="AY1066" s="4">
        <f t="shared" si="84"/>
        <v>41752</v>
      </c>
      <c r="AZ1066" s="6" t="e">
        <f t="shared" si="85"/>
        <v>#DIV/0!</v>
      </c>
      <c r="BA1066" s="4">
        <v>41752</v>
      </c>
      <c r="BB1066" s="6">
        <v>-9.6823000000000006E-2</v>
      </c>
      <c r="BC1066" s="6">
        <v>-0.45604800000000001</v>
      </c>
      <c r="BD1066" s="6">
        <v>-0.36196200000000001</v>
      </c>
      <c r="BE1066" s="6"/>
      <c r="BF1066" s="6"/>
      <c r="BG1066" s="6"/>
      <c r="BH1066" s="6"/>
      <c r="BI1066" s="6"/>
      <c r="BJ1066" s="6"/>
      <c r="BK1066" s="6"/>
      <c r="BL1066" s="6"/>
      <c r="BM1066" s="6"/>
      <c r="BN1066" s="6" t="e">
        <f t="shared" si="87"/>
        <v>#DIV/0!</v>
      </c>
    </row>
    <row r="1067" spans="49:66" x14ac:dyDescent="0.3">
      <c r="AW1067">
        <f t="shared" si="86"/>
        <v>0</v>
      </c>
      <c r="AX1067">
        <v>1064</v>
      </c>
      <c r="AY1067" s="4">
        <f t="shared" si="84"/>
        <v>41753</v>
      </c>
      <c r="AZ1067" s="6" t="e">
        <f t="shared" si="85"/>
        <v>#DIV/0!</v>
      </c>
      <c r="BA1067" s="4">
        <v>41753</v>
      </c>
      <c r="BB1067" s="6">
        <v>-0.19109999999999999</v>
      </c>
      <c r="BC1067" s="6">
        <v>-1.128916</v>
      </c>
      <c r="BD1067" s="6">
        <v>-1.0146010000000001</v>
      </c>
      <c r="BE1067" s="6"/>
      <c r="BF1067" s="6"/>
      <c r="BG1067" s="6"/>
      <c r="BH1067" s="6"/>
      <c r="BI1067" s="6"/>
      <c r="BJ1067" s="6"/>
      <c r="BK1067" s="6"/>
      <c r="BL1067" s="6"/>
      <c r="BM1067" s="6"/>
      <c r="BN1067" s="6" t="e">
        <f t="shared" si="87"/>
        <v>#DIV/0!</v>
      </c>
    </row>
    <row r="1068" spans="49:66" x14ac:dyDescent="0.3">
      <c r="AW1068">
        <f t="shared" si="86"/>
        <v>0</v>
      </c>
      <c r="AX1068">
        <v>1065</v>
      </c>
      <c r="AY1068" s="4">
        <f t="shared" si="84"/>
        <v>41754</v>
      </c>
      <c r="AZ1068" s="6" t="e">
        <f t="shared" si="85"/>
        <v>#DIV/0!</v>
      </c>
      <c r="BA1068" s="4">
        <v>41754</v>
      </c>
      <c r="BB1068" s="6">
        <v>-1.0339309999999999</v>
      </c>
      <c r="BC1068" s="6">
        <v>-2.1656140000000001</v>
      </c>
      <c r="BD1068" s="6">
        <v>-2.1396259999999998</v>
      </c>
      <c r="BE1068" s="6"/>
      <c r="BF1068" s="6"/>
      <c r="BG1068" s="6"/>
      <c r="BH1068" s="6"/>
      <c r="BI1068" s="6"/>
      <c r="BJ1068" s="6"/>
      <c r="BK1068" s="6"/>
      <c r="BL1068" s="6"/>
      <c r="BM1068" s="6"/>
      <c r="BN1068" s="6" t="e">
        <f t="shared" si="87"/>
        <v>#DIV/0!</v>
      </c>
    </row>
    <row r="1069" spans="49:66" x14ac:dyDescent="0.3">
      <c r="AW1069">
        <f t="shared" si="86"/>
        <v>0</v>
      </c>
      <c r="AX1069">
        <v>1066</v>
      </c>
      <c r="AY1069" s="4">
        <f t="shared" si="84"/>
        <v>41757</v>
      </c>
      <c r="AZ1069" s="6" t="e">
        <f t="shared" si="85"/>
        <v>#DIV/0!</v>
      </c>
      <c r="BA1069" s="4">
        <v>41757</v>
      </c>
      <c r="BB1069" s="6">
        <v>-1.515666</v>
      </c>
      <c r="BC1069" s="6">
        <v>-3.0543999999999998</v>
      </c>
      <c r="BD1069" s="6">
        <v>-3.452623</v>
      </c>
      <c r="BE1069" s="6"/>
      <c r="BF1069" s="6"/>
      <c r="BG1069" s="6"/>
      <c r="BH1069" s="6"/>
      <c r="BI1069" s="6"/>
      <c r="BJ1069" s="6"/>
      <c r="BK1069" s="6"/>
      <c r="BL1069" s="6"/>
      <c r="BM1069" s="6"/>
      <c r="BN1069" s="6" t="e">
        <f t="shared" si="87"/>
        <v>#DIV/0!</v>
      </c>
    </row>
    <row r="1070" spans="49:66" x14ac:dyDescent="0.3">
      <c r="AW1070">
        <f t="shared" si="86"/>
        <v>0</v>
      </c>
      <c r="AX1070">
        <v>1067</v>
      </c>
      <c r="AY1070" s="4">
        <f t="shared" si="84"/>
        <v>41758</v>
      </c>
      <c r="AZ1070" s="6" t="e">
        <f t="shared" si="85"/>
        <v>#DIV/0!</v>
      </c>
      <c r="BA1070" s="4">
        <v>41758</v>
      </c>
      <c r="BB1070" s="6">
        <v>1.100765</v>
      </c>
      <c r="BC1070" s="6">
        <v>1.4745999999999999</v>
      </c>
      <c r="BD1070" s="6">
        <v>1.239668</v>
      </c>
      <c r="BE1070" s="6"/>
      <c r="BF1070" s="6"/>
      <c r="BG1070" s="6"/>
      <c r="BH1070" s="6"/>
      <c r="BI1070" s="6"/>
      <c r="BJ1070" s="6"/>
      <c r="BK1070" s="6"/>
      <c r="BL1070" s="6"/>
      <c r="BM1070" s="6"/>
      <c r="BN1070" s="6" t="e">
        <f t="shared" si="87"/>
        <v>#DIV/0!</v>
      </c>
    </row>
    <row r="1071" spans="49:66" x14ac:dyDescent="0.3">
      <c r="AW1071">
        <f t="shared" si="86"/>
        <v>0</v>
      </c>
      <c r="AX1071">
        <v>1068</v>
      </c>
      <c r="AY1071" s="4">
        <f t="shared" si="84"/>
        <v>41759</v>
      </c>
      <c r="AZ1071" s="6" t="e">
        <f t="shared" si="85"/>
        <v>#DIV/0!</v>
      </c>
      <c r="BA1071" s="4">
        <v>41759</v>
      </c>
      <c r="BB1071" s="6">
        <v>8.7559999999999999E-3</v>
      </c>
      <c r="BC1071" s="6">
        <v>0.72865800000000003</v>
      </c>
      <c r="BD1071" s="6">
        <v>1.0280050000000001</v>
      </c>
      <c r="BE1071" s="6"/>
      <c r="BF1071" s="6"/>
      <c r="BG1071" s="6"/>
      <c r="BH1071" s="6"/>
      <c r="BI1071" s="6"/>
      <c r="BJ1071" s="6"/>
      <c r="BK1071" s="6"/>
      <c r="BL1071" s="6"/>
      <c r="BM1071" s="6"/>
      <c r="BN1071" s="6" t="e">
        <f t="shared" si="87"/>
        <v>#DIV/0!</v>
      </c>
    </row>
    <row r="1072" spans="49:66" x14ac:dyDescent="0.3">
      <c r="AW1072">
        <f t="shared" si="86"/>
        <v>0</v>
      </c>
      <c r="AX1072">
        <v>1069</v>
      </c>
      <c r="AY1072" s="4">
        <f t="shared" si="84"/>
        <v>41764</v>
      </c>
      <c r="AZ1072" s="6" t="e">
        <f t="shared" si="85"/>
        <v>#DIV/0!</v>
      </c>
      <c r="BA1072" s="4">
        <v>41764</v>
      </c>
      <c r="BB1072" s="6">
        <v>-0.101406</v>
      </c>
      <c r="BC1072" s="6">
        <v>0.85280299999999998</v>
      </c>
      <c r="BD1072" s="6">
        <v>1.1513249999999999</v>
      </c>
      <c r="BE1072" s="6"/>
      <c r="BF1072" s="6"/>
      <c r="BG1072" s="6"/>
      <c r="BH1072" s="6"/>
      <c r="BI1072" s="6"/>
      <c r="BJ1072" s="6"/>
      <c r="BK1072" s="6"/>
      <c r="BL1072" s="6"/>
      <c r="BM1072" s="6"/>
      <c r="BN1072" s="6" t="e">
        <f t="shared" si="87"/>
        <v>#DIV/0!</v>
      </c>
    </row>
    <row r="1073" spans="49:66" x14ac:dyDescent="0.3">
      <c r="AW1073">
        <f t="shared" si="86"/>
        <v>0</v>
      </c>
      <c r="AX1073">
        <v>1070</v>
      </c>
      <c r="AY1073" s="4">
        <f t="shared" si="84"/>
        <v>41765</v>
      </c>
      <c r="AZ1073" s="6" t="e">
        <f t="shared" si="85"/>
        <v>#DIV/0!</v>
      </c>
      <c r="BA1073" s="4">
        <v>41765</v>
      </c>
      <c r="BB1073" s="6">
        <v>3.9787000000000003E-2</v>
      </c>
      <c r="BC1073" s="6">
        <v>0.51844400000000002</v>
      </c>
      <c r="BD1073" s="6">
        <v>0.75898900000000002</v>
      </c>
      <c r="BE1073" s="6"/>
      <c r="BF1073" s="6"/>
      <c r="BG1073" s="6"/>
      <c r="BH1073" s="6"/>
      <c r="BI1073" s="6"/>
      <c r="BJ1073" s="6"/>
      <c r="BK1073" s="6"/>
      <c r="BL1073" s="6"/>
      <c r="BM1073" s="6"/>
      <c r="BN1073" s="6" t="e">
        <f t="shared" si="87"/>
        <v>#DIV/0!</v>
      </c>
    </row>
    <row r="1074" spans="49:66" x14ac:dyDescent="0.3">
      <c r="AW1074">
        <f t="shared" si="86"/>
        <v>0</v>
      </c>
      <c r="AX1074">
        <v>1071</v>
      </c>
      <c r="AY1074" s="4">
        <f t="shared" si="84"/>
        <v>41766</v>
      </c>
      <c r="AZ1074" s="6" t="e">
        <f t="shared" si="85"/>
        <v>#DIV/0!</v>
      </c>
      <c r="BA1074" s="4">
        <v>41766</v>
      </c>
      <c r="BB1074" s="6">
        <v>-0.92762900000000004</v>
      </c>
      <c r="BC1074" s="6">
        <v>-1.781439</v>
      </c>
      <c r="BD1074" s="6">
        <v>-1.715795</v>
      </c>
      <c r="BE1074" s="6"/>
      <c r="BF1074" s="6"/>
      <c r="BG1074" s="6"/>
      <c r="BH1074" s="6"/>
      <c r="BI1074" s="6"/>
      <c r="BJ1074" s="6"/>
      <c r="BK1074" s="6"/>
      <c r="BL1074" s="6"/>
      <c r="BM1074" s="6"/>
      <c r="BN1074" s="6" t="e">
        <f t="shared" si="87"/>
        <v>#DIV/0!</v>
      </c>
    </row>
    <row r="1075" spans="49:66" x14ac:dyDescent="0.3">
      <c r="AW1075">
        <f t="shared" si="86"/>
        <v>0</v>
      </c>
      <c r="AX1075">
        <v>1072</v>
      </c>
      <c r="AY1075" s="4">
        <f t="shared" si="84"/>
        <v>41767</v>
      </c>
      <c r="AZ1075" s="6" t="e">
        <f t="shared" si="85"/>
        <v>#DIV/0!</v>
      </c>
      <c r="BA1075" s="4">
        <v>41767</v>
      </c>
      <c r="BB1075" s="6">
        <v>-8.5153999999999994E-2</v>
      </c>
      <c r="BC1075" s="6">
        <v>0.107894</v>
      </c>
      <c r="BD1075" s="6">
        <v>-1.6545000000000001E-2</v>
      </c>
      <c r="BE1075" s="6"/>
      <c r="BF1075" s="6"/>
      <c r="BG1075" s="6"/>
      <c r="BH1075" s="6"/>
      <c r="BI1075" s="6"/>
      <c r="BJ1075" s="6"/>
      <c r="BK1075" s="6"/>
      <c r="BL1075" s="6"/>
      <c r="BM1075" s="6"/>
      <c r="BN1075" s="6" t="e">
        <f t="shared" si="87"/>
        <v>#DIV/0!</v>
      </c>
    </row>
    <row r="1076" spans="49:66" x14ac:dyDescent="0.3">
      <c r="AW1076">
        <f t="shared" si="86"/>
        <v>0</v>
      </c>
      <c r="AX1076">
        <v>1073</v>
      </c>
      <c r="AY1076" s="4">
        <f t="shared" si="84"/>
        <v>41768</v>
      </c>
      <c r="AZ1076" s="6" t="e">
        <f t="shared" si="85"/>
        <v>#DIV/0!</v>
      </c>
      <c r="BA1076" s="4">
        <v>41768</v>
      </c>
      <c r="BB1076" s="6">
        <v>-7.4221999999999996E-2</v>
      </c>
      <c r="BC1076" s="6">
        <v>-1.0119579999999999</v>
      </c>
      <c r="BD1076" s="6">
        <v>-1.1126670000000001</v>
      </c>
      <c r="BE1076" s="6"/>
      <c r="BF1076" s="6"/>
      <c r="BG1076" s="6"/>
      <c r="BH1076" s="6"/>
      <c r="BI1076" s="6"/>
      <c r="BJ1076" s="6"/>
      <c r="BK1076" s="6"/>
      <c r="BL1076" s="6"/>
      <c r="BM1076" s="6"/>
      <c r="BN1076" s="6" t="e">
        <f t="shared" si="87"/>
        <v>#DIV/0!</v>
      </c>
    </row>
    <row r="1077" spans="49:66" x14ac:dyDescent="0.3">
      <c r="AW1077">
        <f t="shared" si="86"/>
        <v>0</v>
      </c>
      <c r="AX1077">
        <v>1074</v>
      </c>
      <c r="AY1077" s="4">
        <f t="shared" si="84"/>
        <v>41771</v>
      </c>
      <c r="AZ1077" s="6" t="e">
        <f t="shared" si="85"/>
        <v>#DIV/0!</v>
      </c>
      <c r="BA1077" s="4">
        <v>41771</v>
      </c>
      <c r="BB1077" s="6">
        <v>2.1623679999999998</v>
      </c>
      <c r="BC1077" s="6">
        <v>2.6032139999999999</v>
      </c>
      <c r="BD1077" s="6">
        <v>2.1104530000000001</v>
      </c>
      <c r="BE1077" s="6"/>
      <c r="BF1077" s="6"/>
      <c r="BG1077" s="6"/>
      <c r="BH1077" s="6"/>
      <c r="BI1077" s="6"/>
      <c r="BJ1077" s="6"/>
      <c r="BK1077" s="6"/>
      <c r="BL1077" s="6"/>
      <c r="BM1077" s="6"/>
      <c r="BN1077" s="6" t="e">
        <f t="shared" si="87"/>
        <v>#DIV/0!</v>
      </c>
    </row>
    <row r="1078" spans="49:66" x14ac:dyDescent="0.3">
      <c r="AW1078">
        <f t="shared" si="86"/>
        <v>0</v>
      </c>
      <c r="AX1078">
        <v>1075</v>
      </c>
      <c r="AY1078" s="4">
        <f t="shared" si="84"/>
        <v>41772</v>
      </c>
      <c r="AZ1078" s="6" t="e">
        <f t="shared" si="85"/>
        <v>#DIV/0!</v>
      </c>
      <c r="BA1078" s="4">
        <v>41772</v>
      </c>
      <c r="BB1078" s="6">
        <v>-0.238618</v>
      </c>
      <c r="BC1078" s="6">
        <v>-0.15390400000000001</v>
      </c>
      <c r="BD1078" s="6">
        <v>-3.5354999999999998E-2</v>
      </c>
      <c r="BE1078" s="6"/>
      <c r="BF1078" s="6"/>
      <c r="BG1078" s="6"/>
      <c r="BH1078" s="6"/>
      <c r="BI1078" s="6"/>
      <c r="BJ1078" s="6"/>
      <c r="BK1078" s="6"/>
      <c r="BL1078" s="6"/>
      <c r="BM1078" s="6"/>
      <c r="BN1078" s="6" t="e">
        <f t="shared" si="87"/>
        <v>#DIV/0!</v>
      </c>
    </row>
    <row r="1079" spans="49:66" x14ac:dyDescent="0.3">
      <c r="AW1079">
        <f t="shared" si="86"/>
        <v>0</v>
      </c>
      <c r="AX1079">
        <v>1076</v>
      </c>
      <c r="AY1079" s="4">
        <f t="shared" si="84"/>
        <v>41773</v>
      </c>
      <c r="AZ1079" s="6" t="e">
        <f t="shared" si="85"/>
        <v>#DIV/0!</v>
      </c>
      <c r="BA1079" s="4">
        <v>41773</v>
      </c>
      <c r="BB1079" s="6">
        <v>-0.11403099999999999</v>
      </c>
      <c r="BC1079" s="6">
        <v>-8.1089999999999995E-2</v>
      </c>
      <c r="BD1079" s="6">
        <v>6.2887999999999999E-2</v>
      </c>
      <c r="BE1079" s="6"/>
      <c r="BF1079" s="6"/>
      <c r="BG1079" s="6"/>
      <c r="BH1079" s="6"/>
      <c r="BI1079" s="6"/>
      <c r="BJ1079" s="6"/>
      <c r="BK1079" s="6"/>
      <c r="BL1079" s="6"/>
      <c r="BM1079" s="6"/>
      <c r="BN1079" s="6" t="e">
        <f t="shared" si="87"/>
        <v>#DIV/0!</v>
      </c>
    </row>
    <row r="1080" spans="49:66" x14ac:dyDescent="0.3">
      <c r="AW1080">
        <f t="shared" si="86"/>
        <v>0</v>
      </c>
      <c r="AX1080">
        <v>1077</v>
      </c>
      <c r="AY1080" s="4">
        <f t="shared" si="84"/>
        <v>41774</v>
      </c>
      <c r="AZ1080" s="6" t="e">
        <f t="shared" si="85"/>
        <v>#DIV/0!</v>
      </c>
      <c r="BA1080" s="4">
        <v>41774</v>
      </c>
      <c r="BB1080" s="6">
        <v>-1.302171</v>
      </c>
      <c r="BC1080" s="6">
        <v>-1.8788039999999999</v>
      </c>
      <c r="BD1080" s="6">
        <v>-1.877129</v>
      </c>
      <c r="BE1080" s="6"/>
      <c r="BF1080" s="6"/>
      <c r="BG1080" s="6"/>
      <c r="BH1080" s="6"/>
      <c r="BI1080" s="6"/>
      <c r="BJ1080" s="6"/>
      <c r="BK1080" s="6"/>
      <c r="BL1080" s="6"/>
      <c r="BM1080" s="6"/>
      <c r="BN1080" s="6" t="e">
        <f t="shared" si="87"/>
        <v>#DIV/0!</v>
      </c>
    </row>
    <row r="1081" spans="49:66" x14ac:dyDescent="0.3">
      <c r="AW1081">
        <f t="shared" si="86"/>
        <v>0</v>
      </c>
      <c r="AX1081">
        <v>1078</v>
      </c>
      <c r="AY1081" s="4">
        <f t="shared" si="84"/>
        <v>41775</v>
      </c>
      <c r="AZ1081" s="6" t="e">
        <f t="shared" si="85"/>
        <v>#DIV/0!</v>
      </c>
      <c r="BA1081" s="4">
        <v>41775</v>
      </c>
      <c r="BB1081" s="6">
        <v>8.7123000000000006E-2</v>
      </c>
      <c r="BC1081" s="6">
        <v>-0.15221000000000001</v>
      </c>
      <c r="BD1081" s="6">
        <v>-0.435977</v>
      </c>
      <c r="BE1081" s="6"/>
      <c r="BF1081" s="6"/>
      <c r="BG1081" s="6"/>
      <c r="BH1081" s="6"/>
      <c r="BI1081" s="6"/>
      <c r="BJ1081" s="6"/>
      <c r="BK1081" s="6"/>
      <c r="BL1081" s="6"/>
      <c r="BM1081" s="6"/>
      <c r="BN1081" s="6" t="e">
        <f t="shared" si="87"/>
        <v>#DIV/0!</v>
      </c>
    </row>
    <row r="1082" spans="49:66" x14ac:dyDescent="0.3">
      <c r="AW1082">
        <f t="shared" si="86"/>
        <v>0</v>
      </c>
      <c r="AX1082">
        <v>1079</v>
      </c>
      <c r="AY1082" s="4">
        <f t="shared" si="84"/>
        <v>41778</v>
      </c>
      <c r="AZ1082" s="6" t="e">
        <f t="shared" si="85"/>
        <v>#DIV/0!</v>
      </c>
      <c r="BA1082" s="4">
        <v>41778</v>
      </c>
      <c r="BB1082" s="6">
        <v>-1.4356800000000001</v>
      </c>
      <c r="BC1082" s="6">
        <v>-0.57134300000000005</v>
      </c>
      <c r="BD1082" s="6">
        <v>-0.30835099999999999</v>
      </c>
      <c r="BE1082" s="6"/>
      <c r="BF1082" s="6"/>
      <c r="BG1082" s="6"/>
      <c r="BH1082" s="6"/>
      <c r="BI1082" s="6"/>
      <c r="BJ1082" s="6"/>
      <c r="BK1082" s="6"/>
      <c r="BL1082" s="6"/>
      <c r="BM1082" s="6"/>
      <c r="BN1082" s="6" t="e">
        <f t="shared" si="87"/>
        <v>#DIV/0!</v>
      </c>
    </row>
    <row r="1083" spans="49:66" x14ac:dyDescent="0.3">
      <c r="AW1083">
        <f t="shared" si="86"/>
        <v>0</v>
      </c>
      <c r="AX1083">
        <v>1080</v>
      </c>
      <c r="AY1083" s="4">
        <f t="shared" si="84"/>
        <v>41779</v>
      </c>
      <c r="AZ1083" s="6" t="e">
        <f t="shared" si="85"/>
        <v>#DIV/0!</v>
      </c>
      <c r="BA1083" s="4">
        <v>41779</v>
      </c>
      <c r="BB1083" s="6">
        <v>2.9690999999999999E-2</v>
      </c>
      <c r="BC1083" s="6">
        <v>0.27921699999999999</v>
      </c>
      <c r="BD1083" s="6">
        <v>0.48558000000000001</v>
      </c>
      <c r="BE1083" s="6"/>
      <c r="BF1083" s="6"/>
      <c r="BG1083" s="6"/>
      <c r="BH1083" s="6"/>
      <c r="BI1083" s="6"/>
      <c r="BJ1083" s="6"/>
      <c r="BK1083" s="6"/>
      <c r="BL1083" s="6"/>
      <c r="BM1083" s="6"/>
      <c r="BN1083" s="6" t="e">
        <f t="shared" si="87"/>
        <v>#DIV/0!</v>
      </c>
    </row>
    <row r="1084" spans="49:66" x14ac:dyDescent="0.3">
      <c r="AW1084">
        <f t="shared" si="86"/>
        <v>0</v>
      </c>
      <c r="AX1084">
        <v>1081</v>
      </c>
      <c r="AY1084" s="4">
        <f t="shared" si="84"/>
        <v>41780</v>
      </c>
      <c r="AZ1084" s="6" t="e">
        <f t="shared" si="85"/>
        <v>#DIV/0!</v>
      </c>
      <c r="BA1084" s="4">
        <v>41780</v>
      </c>
      <c r="BB1084" s="6">
        <v>0.95161499999999999</v>
      </c>
      <c r="BC1084" s="6">
        <v>0.85108899999999998</v>
      </c>
      <c r="BD1084" s="6">
        <v>0.86224900000000004</v>
      </c>
      <c r="BE1084" s="6"/>
      <c r="BF1084" s="6"/>
      <c r="BG1084" s="6"/>
      <c r="BH1084" s="6"/>
      <c r="BI1084" s="6"/>
      <c r="BJ1084" s="6"/>
      <c r="BK1084" s="6"/>
      <c r="BL1084" s="6"/>
      <c r="BM1084" s="6"/>
      <c r="BN1084" s="6" t="e">
        <f t="shared" si="87"/>
        <v>#DIV/0!</v>
      </c>
    </row>
    <row r="1085" spans="49:66" x14ac:dyDescent="0.3">
      <c r="AW1085">
        <f t="shared" si="86"/>
        <v>0</v>
      </c>
      <c r="AX1085">
        <v>1082</v>
      </c>
      <c r="AY1085" s="4">
        <f t="shared" si="84"/>
        <v>41781</v>
      </c>
      <c r="AZ1085" s="6" t="e">
        <f t="shared" si="85"/>
        <v>#DIV/0!</v>
      </c>
      <c r="BA1085" s="4">
        <v>41781</v>
      </c>
      <c r="BB1085" s="6">
        <v>-0.23582500000000001</v>
      </c>
      <c r="BC1085" s="6">
        <v>-3.1863000000000002E-2</v>
      </c>
      <c r="BD1085" s="6">
        <v>0.19786899999999999</v>
      </c>
      <c r="BE1085" s="6"/>
      <c r="BF1085" s="6"/>
      <c r="BG1085" s="6"/>
      <c r="BH1085" s="6"/>
      <c r="BI1085" s="6"/>
      <c r="BJ1085" s="6"/>
      <c r="BK1085" s="6"/>
      <c r="BL1085" s="6"/>
      <c r="BM1085" s="6"/>
      <c r="BN1085" s="6" t="e">
        <f t="shared" si="87"/>
        <v>#DIV/0!</v>
      </c>
    </row>
    <row r="1086" spans="49:66" x14ac:dyDescent="0.3">
      <c r="AW1086">
        <f t="shared" si="86"/>
        <v>0</v>
      </c>
      <c r="AX1086">
        <v>1083</v>
      </c>
      <c r="AY1086" s="4">
        <f t="shared" si="84"/>
        <v>41782</v>
      </c>
      <c r="AZ1086" s="6" t="e">
        <f t="shared" si="85"/>
        <v>#DIV/0!</v>
      </c>
      <c r="BA1086" s="4">
        <v>41782</v>
      </c>
      <c r="BB1086" s="6">
        <v>0.82342000000000004</v>
      </c>
      <c r="BC1086" s="6">
        <v>1.0790569999999999</v>
      </c>
      <c r="BD1086" s="6">
        <v>1.2116800000000001</v>
      </c>
      <c r="BE1086" s="6"/>
      <c r="BF1086" s="6"/>
      <c r="BG1086" s="6"/>
      <c r="BH1086" s="6"/>
      <c r="BI1086" s="6"/>
      <c r="BJ1086" s="6"/>
      <c r="BK1086" s="6"/>
      <c r="BL1086" s="6"/>
      <c r="BM1086" s="6"/>
      <c r="BN1086" s="6" t="e">
        <f t="shared" si="87"/>
        <v>#DIV/0!</v>
      </c>
    </row>
    <row r="1087" spans="49:66" x14ac:dyDescent="0.3">
      <c r="AW1087">
        <f t="shared" si="86"/>
        <v>0</v>
      </c>
      <c r="AX1087">
        <v>1084</v>
      </c>
      <c r="AY1087" s="4">
        <f t="shared" si="84"/>
        <v>41785</v>
      </c>
      <c r="AZ1087" s="6" t="e">
        <f t="shared" si="85"/>
        <v>#DIV/0!</v>
      </c>
      <c r="BA1087" s="4">
        <v>41785</v>
      </c>
      <c r="BB1087" s="6">
        <v>0.35198099999999999</v>
      </c>
      <c r="BC1087" s="6">
        <v>1.0807690000000001</v>
      </c>
      <c r="BD1087" s="6">
        <v>1.3649009999999999</v>
      </c>
      <c r="BE1087" s="6"/>
      <c r="BF1087" s="6"/>
      <c r="BG1087" s="6"/>
      <c r="BH1087" s="6"/>
      <c r="BI1087" s="6"/>
      <c r="BJ1087" s="6"/>
      <c r="BK1087" s="6"/>
      <c r="BL1087" s="6"/>
      <c r="BM1087" s="6"/>
      <c r="BN1087" s="6" t="e">
        <f t="shared" si="87"/>
        <v>#DIV/0!</v>
      </c>
    </row>
    <row r="1088" spans="49:66" x14ac:dyDescent="0.3">
      <c r="AW1088">
        <f t="shared" si="86"/>
        <v>0</v>
      </c>
      <c r="AX1088">
        <v>1085</v>
      </c>
      <c r="AY1088" s="4">
        <f t="shared" si="84"/>
        <v>41786</v>
      </c>
      <c r="AZ1088" s="6" t="e">
        <f t="shared" si="85"/>
        <v>#DIV/0!</v>
      </c>
      <c r="BA1088" s="4">
        <v>41786</v>
      </c>
      <c r="BB1088" s="6">
        <v>-0.40334399999999998</v>
      </c>
      <c r="BC1088" s="6">
        <v>-0.239452</v>
      </c>
      <c r="BD1088" s="6">
        <v>-0.44486500000000001</v>
      </c>
      <c r="BE1088" s="6"/>
      <c r="BF1088" s="6"/>
      <c r="BG1088" s="6"/>
      <c r="BH1088" s="6"/>
      <c r="BI1088" s="6"/>
      <c r="BJ1088" s="6"/>
      <c r="BK1088" s="6"/>
      <c r="BL1088" s="6"/>
      <c r="BM1088" s="6"/>
      <c r="BN1088" s="6" t="e">
        <f t="shared" si="87"/>
        <v>#DIV/0!</v>
      </c>
    </row>
    <row r="1089" spans="49:66" x14ac:dyDescent="0.3">
      <c r="AW1089">
        <f t="shared" si="86"/>
        <v>0</v>
      </c>
      <c r="AX1089">
        <v>1086</v>
      </c>
      <c r="AY1089" s="4">
        <f t="shared" si="84"/>
        <v>41787</v>
      </c>
      <c r="AZ1089" s="6" t="e">
        <f t="shared" si="85"/>
        <v>#DIV/0!</v>
      </c>
      <c r="BA1089" s="4">
        <v>41787</v>
      </c>
      <c r="BB1089" s="6">
        <v>1.0279050000000001</v>
      </c>
      <c r="BC1089" s="6">
        <v>1.133116</v>
      </c>
      <c r="BD1089" s="6">
        <v>1.4332640000000001</v>
      </c>
      <c r="BE1089" s="6"/>
      <c r="BF1089" s="6"/>
      <c r="BG1089" s="6"/>
      <c r="BH1089" s="6"/>
      <c r="BI1089" s="6"/>
      <c r="BJ1089" s="6"/>
      <c r="BK1089" s="6"/>
      <c r="BL1089" s="6"/>
      <c r="BM1089" s="6"/>
      <c r="BN1089" s="6" t="e">
        <f t="shared" si="87"/>
        <v>#DIV/0!</v>
      </c>
    </row>
    <row r="1090" spans="49:66" x14ac:dyDescent="0.3">
      <c r="AW1090">
        <f t="shared" si="86"/>
        <v>0</v>
      </c>
      <c r="AX1090">
        <v>1087</v>
      </c>
      <c r="AY1090" s="4">
        <f t="shared" si="84"/>
        <v>41788</v>
      </c>
      <c r="AZ1090" s="6" t="e">
        <f t="shared" si="85"/>
        <v>#DIV/0!</v>
      </c>
      <c r="BA1090" s="4">
        <v>41788</v>
      </c>
      <c r="BB1090" s="6">
        <v>-0.65402000000000005</v>
      </c>
      <c r="BC1090" s="6">
        <v>-1.028618</v>
      </c>
      <c r="BD1090" s="6">
        <v>-1.1856</v>
      </c>
      <c r="BE1090" s="6"/>
      <c r="BF1090" s="6"/>
      <c r="BG1090" s="6"/>
      <c r="BH1090" s="6"/>
      <c r="BI1090" s="6"/>
      <c r="BJ1090" s="6"/>
      <c r="BK1090" s="6"/>
      <c r="BL1090" s="6"/>
      <c r="BM1090" s="6"/>
      <c r="BN1090" s="6" t="e">
        <f t="shared" si="87"/>
        <v>#DIV/0!</v>
      </c>
    </row>
    <row r="1091" spans="49:66" x14ac:dyDescent="0.3">
      <c r="AW1091">
        <f t="shared" si="86"/>
        <v>0</v>
      </c>
      <c r="AX1091">
        <v>1088</v>
      </c>
      <c r="AY1091" s="4">
        <f t="shared" si="84"/>
        <v>41789</v>
      </c>
      <c r="AZ1091" s="6" t="e">
        <f t="shared" si="85"/>
        <v>#DIV/0!</v>
      </c>
      <c r="BA1091" s="4">
        <v>41789</v>
      </c>
      <c r="BB1091" s="6">
        <v>6.0319999999999999E-2</v>
      </c>
      <c r="BC1091" s="6">
        <v>0.19286400000000001</v>
      </c>
      <c r="BD1091" s="6">
        <v>0.28534999999999999</v>
      </c>
      <c r="BE1091" s="6"/>
      <c r="BF1091" s="6"/>
      <c r="BG1091" s="6"/>
      <c r="BH1091" s="6"/>
      <c r="BI1091" s="6"/>
      <c r="BJ1091" s="6"/>
      <c r="BK1091" s="6"/>
      <c r="BL1091" s="6"/>
      <c r="BM1091" s="6"/>
      <c r="BN1091" s="6" t="e">
        <f t="shared" si="87"/>
        <v>#DIV/0!</v>
      </c>
    </row>
    <row r="1092" spans="49:66" x14ac:dyDescent="0.3">
      <c r="AW1092">
        <f t="shared" si="86"/>
        <v>0</v>
      </c>
      <c r="AX1092">
        <v>1089</v>
      </c>
      <c r="AY1092" s="4">
        <f t="shared" si="84"/>
        <v>41793</v>
      </c>
      <c r="AZ1092" s="6" t="e">
        <f t="shared" si="85"/>
        <v>#DIV/0!</v>
      </c>
      <c r="BA1092" s="4">
        <v>41793</v>
      </c>
      <c r="BB1092" s="6">
        <v>-0.30355199999999999</v>
      </c>
      <c r="BC1092" s="6">
        <v>-0.170321</v>
      </c>
      <c r="BD1092" s="6">
        <v>-0.17191500000000001</v>
      </c>
      <c r="BE1092" s="6"/>
      <c r="BF1092" s="6"/>
      <c r="BG1092" s="6"/>
      <c r="BH1092" s="6"/>
      <c r="BI1092" s="6"/>
      <c r="BJ1092" s="6"/>
      <c r="BK1092" s="6"/>
      <c r="BL1092" s="6"/>
      <c r="BM1092" s="6"/>
      <c r="BN1092" s="6" t="e">
        <f t="shared" si="87"/>
        <v>#DIV/0!</v>
      </c>
    </row>
    <row r="1093" spans="49:66" x14ac:dyDescent="0.3">
      <c r="AW1093">
        <f t="shared" si="86"/>
        <v>0</v>
      </c>
      <c r="AX1093">
        <v>1090</v>
      </c>
      <c r="AY1093" s="4">
        <f t="shared" ref="AY1093:AY1156" si="88">BA1093</f>
        <v>41794</v>
      </c>
      <c r="AZ1093" s="6" t="e">
        <f t="shared" ref="AZ1093:AZ1156" si="89">BN1093</f>
        <v>#DIV/0!</v>
      </c>
      <c r="BA1093" s="4">
        <v>41794</v>
      </c>
      <c r="BB1093" s="6">
        <v>-1.0067360000000001</v>
      </c>
      <c r="BC1093" s="6">
        <v>-0.87429999999999997</v>
      </c>
      <c r="BD1093" s="6">
        <v>-0.636131</v>
      </c>
      <c r="BE1093" s="6"/>
      <c r="BF1093" s="6"/>
      <c r="BG1093" s="6"/>
      <c r="BH1093" s="6"/>
      <c r="BI1093" s="6"/>
      <c r="BJ1093" s="6"/>
      <c r="BK1093" s="6"/>
      <c r="BL1093" s="6"/>
      <c r="BM1093" s="6"/>
      <c r="BN1093" s="6" t="e">
        <f t="shared" si="87"/>
        <v>#DIV/0!</v>
      </c>
    </row>
    <row r="1094" spans="49:66" x14ac:dyDescent="0.3">
      <c r="AW1094">
        <f t="shared" ref="AW1094:AW1157" si="90">IF(AY1094&lt;=AY1093,1,0)</f>
        <v>0</v>
      </c>
      <c r="AX1094">
        <v>1091</v>
      </c>
      <c r="AY1094" s="4">
        <f t="shared" si="88"/>
        <v>41795</v>
      </c>
      <c r="AZ1094" s="6" t="e">
        <f t="shared" si="89"/>
        <v>#DIV/0!</v>
      </c>
      <c r="BA1094" s="4">
        <v>41795</v>
      </c>
      <c r="BB1094" s="6">
        <v>1.049113</v>
      </c>
      <c r="BC1094" s="6">
        <v>1.1284689999999999</v>
      </c>
      <c r="BD1094" s="6">
        <v>1.314522</v>
      </c>
      <c r="BE1094" s="6"/>
      <c r="BF1094" s="6"/>
      <c r="BG1094" s="6"/>
      <c r="BH1094" s="6"/>
      <c r="BI1094" s="6"/>
      <c r="BJ1094" s="6"/>
      <c r="BK1094" s="6"/>
      <c r="BL1094" s="6"/>
      <c r="BM1094" s="6"/>
      <c r="BN1094" s="6" t="e">
        <f t="shared" ref="BN1094:BN1157" si="91">(BM1094/BM1093-1)*100</f>
        <v>#DIV/0!</v>
      </c>
    </row>
    <row r="1095" spans="49:66" x14ac:dyDescent="0.3">
      <c r="AW1095">
        <f t="shared" si="90"/>
        <v>0</v>
      </c>
      <c r="AX1095">
        <v>1092</v>
      </c>
      <c r="AY1095" s="4">
        <f t="shared" si="88"/>
        <v>41796</v>
      </c>
      <c r="AZ1095" s="6" t="e">
        <f t="shared" si="89"/>
        <v>#DIV/0!</v>
      </c>
      <c r="BA1095" s="4">
        <v>41796</v>
      </c>
      <c r="BB1095" s="6">
        <v>-0.73867700000000003</v>
      </c>
      <c r="BC1095" s="6">
        <v>-0.35808499999999999</v>
      </c>
      <c r="BD1095" s="6">
        <v>-0.193135</v>
      </c>
      <c r="BE1095" s="6"/>
      <c r="BF1095" s="6"/>
      <c r="BG1095" s="6"/>
      <c r="BH1095" s="6"/>
      <c r="BI1095" s="6"/>
      <c r="BJ1095" s="6"/>
      <c r="BK1095" s="6"/>
      <c r="BL1095" s="6"/>
      <c r="BM1095" s="6"/>
      <c r="BN1095" s="6" t="e">
        <f t="shared" si="91"/>
        <v>#DIV/0!</v>
      </c>
    </row>
    <row r="1096" spans="49:66" x14ac:dyDescent="0.3">
      <c r="AW1096">
        <f t="shared" si="90"/>
        <v>0</v>
      </c>
      <c r="AX1096">
        <v>1093</v>
      </c>
      <c r="AY1096" s="4">
        <f t="shared" si="88"/>
        <v>41799</v>
      </c>
      <c r="AZ1096" s="6" t="e">
        <f t="shared" si="89"/>
        <v>#DIV/0!</v>
      </c>
      <c r="BA1096" s="4">
        <v>41799</v>
      </c>
      <c r="BB1096" s="6">
        <v>-2.0376999999999999E-2</v>
      </c>
      <c r="BC1096" s="6">
        <v>-0.54746399999999995</v>
      </c>
      <c r="BD1096" s="6">
        <v>-0.74821300000000002</v>
      </c>
      <c r="BE1096" s="6"/>
      <c r="BF1096" s="6"/>
      <c r="BG1096" s="6"/>
      <c r="BH1096" s="6"/>
      <c r="BI1096" s="6"/>
      <c r="BJ1096" s="6"/>
      <c r="BK1096" s="6"/>
      <c r="BL1096" s="6"/>
      <c r="BM1096" s="6"/>
      <c r="BN1096" s="6" t="e">
        <f t="shared" si="91"/>
        <v>#DIV/0!</v>
      </c>
    </row>
    <row r="1097" spans="49:66" x14ac:dyDescent="0.3">
      <c r="AW1097">
        <f t="shared" si="90"/>
        <v>0</v>
      </c>
      <c r="AX1097">
        <v>1094</v>
      </c>
      <c r="AY1097" s="4">
        <f t="shared" si="88"/>
        <v>41800</v>
      </c>
      <c r="AZ1097" s="6" t="e">
        <f t="shared" si="89"/>
        <v>#DIV/0!</v>
      </c>
      <c r="BA1097" s="4">
        <v>41800</v>
      </c>
      <c r="BB1097" s="6">
        <v>1.264454</v>
      </c>
      <c r="BC1097" s="6">
        <v>1.121548</v>
      </c>
      <c r="BD1097" s="6">
        <v>1.2676590000000001</v>
      </c>
      <c r="BE1097" s="6"/>
      <c r="BF1097" s="6"/>
      <c r="BG1097" s="6"/>
      <c r="BH1097" s="6"/>
      <c r="BI1097" s="6"/>
      <c r="BJ1097" s="6"/>
      <c r="BK1097" s="6"/>
      <c r="BL1097" s="6"/>
      <c r="BM1097" s="6"/>
      <c r="BN1097" s="6" t="e">
        <f t="shared" si="91"/>
        <v>#DIV/0!</v>
      </c>
    </row>
    <row r="1098" spans="49:66" x14ac:dyDescent="0.3">
      <c r="AW1098">
        <f t="shared" si="90"/>
        <v>0</v>
      </c>
      <c r="AX1098">
        <v>1095</v>
      </c>
      <c r="AY1098" s="4">
        <f t="shared" si="88"/>
        <v>41801</v>
      </c>
      <c r="AZ1098" s="6" t="e">
        <f t="shared" si="89"/>
        <v>#DIV/0!</v>
      </c>
      <c r="BA1098" s="4">
        <v>41801</v>
      </c>
      <c r="BB1098" s="6">
        <v>-2.3227000000000001E-2</v>
      </c>
      <c r="BC1098" s="6">
        <v>0.46958100000000003</v>
      </c>
      <c r="BD1098" s="6">
        <v>0.67977799999999999</v>
      </c>
      <c r="BE1098" s="6"/>
      <c r="BF1098" s="6"/>
      <c r="BG1098" s="6"/>
      <c r="BH1098" s="6"/>
      <c r="BI1098" s="6"/>
      <c r="BJ1098" s="6"/>
      <c r="BK1098" s="6"/>
      <c r="BL1098" s="6"/>
      <c r="BM1098" s="6"/>
      <c r="BN1098" s="6" t="e">
        <f t="shared" si="91"/>
        <v>#DIV/0!</v>
      </c>
    </row>
    <row r="1099" spans="49:66" x14ac:dyDescent="0.3">
      <c r="AW1099">
        <f t="shared" si="90"/>
        <v>0</v>
      </c>
      <c r="AX1099">
        <v>1096</v>
      </c>
      <c r="AY1099" s="4">
        <f t="shared" si="88"/>
        <v>41802</v>
      </c>
      <c r="AZ1099" s="6" t="e">
        <f t="shared" si="89"/>
        <v>#DIV/0!</v>
      </c>
      <c r="BA1099" s="4">
        <v>41802</v>
      </c>
      <c r="BB1099" s="6">
        <v>-0.34043499999999999</v>
      </c>
      <c r="BC1099" s="6">
        <v>-0.20575199999999999</v>
      </c>
      <c r="BD1099" s="6">
        <v>-0.12503300000000001</v>
      </c>
      <c r="BE1099" s="6"/>
      <c r="BF1099" s="6"/>
      <c r="BG1099" s="6"/>
      <c r="BH1099" s="6"/>
      <c r="BI1099" s="6"/>
      <c r="BJ1099" s="6"/>
      <c r="BK1099" s="6"/>
      <c r="BL1099" s="6"/>
      <c r="BM1099" s="6"/>
      <c r="BN1099" s="6" t="e">
        <f t="shared" si="91"/>
        <v>#DIV/0!</v>
      </c>
    </row>
    <row r="1100" spans="49:66" x14ac:dyDescent="0.3">
      <c r="AW1100">
        <f t="shared" si="90"/>
        <v>0</v>
      </c>
      <c r="AX1100">
        <v>1097</v>
      </c>
      <c r="AY1100" s="4">
        <f t="shared" si="88"/>
        <v>41803</v>
      </c>
      <c r="AZ1100" s="6" t="e">
        <f t="shared" si="89"/>
        <v>#DIV/0!</v>
      </c>
      <c r="BA1100" s="4">
        <v>41803</v>
      </c>
      <c r="BB1100" s="6">
        <v>1.0602720000000001</v>
      </c>
      <c r="BC1100" s="6">
        <v>1.0764359999999999</v>
      </c>
      <c r="BD1100" s="6">
        <v>1.15608</v>
      </c>
      <c r="BE1100" s="6"/>
      <c r="BF1100" s="6"/>
      <c r="BG1100" s="6"/>
      <c r="BH1100" s="6"/>
      <c r="BI1100" s="6"/>
      <c r="BJ1100" s="6"/>
      <c r="BK1100" s="6"/>
      <c r="BL1100" s="6"/>
      <c r="BM1100" s="6"/>
      <c r="BN1100" s="6" t="e">
        <f t="shared" si="91"/>
        <v>#DIV/0!</v>
      </c>
    </row>
    <row r="1101" spans="49:66" x14ac:dyDescent="0.3">
      <c r="AW1101">
        <f t="shared" si="90"/>
        <v>0</v>
      </c>
      <c r="AX1101">
        <v>1098</v>
      </c>
      <c r="AY1101" s="4">
        <f t="shared" si="88"/>
        <v>41806</v>
      </c>
      <c r="AZ1101" s="6" t="e">
        <f t="shared" si="89"/>
        <v>#DIV/0!</v>
      </c>
      <c r="BA1101" s="4">
        <v>41806</v>
      </c>
      <c r="BB1101" s="6">
        <v>0.71742899999999998</v>
      </c>
      <c r="BC1101" s="6">
        <v>0.60191799999999995</v>
      </c>
      <c r="BD1101" s="6">
        <v>0.71500799999999998</v>
      </c>
      <c r="BE1101" s="6"/>
      <c r="BF1101" s="6"/>
      <c r="BG1101" s="6"/>
      <c r="BH1101" s="6"/>
      <c r="BI1101" s="6"/>
      <c r="BJ1101" s="6"/>
      <c r="BK1101" s="6"/>
      <c r="BL1101" s="6"/>
      <c r="BM1101" s="6"/>
      <c r="BN1101" s="6" t="e">
        <f t="shared" si="91"/>
        <v>#DIV/0!</v>
      </c>
    </row>
    <row r="1102" spans="49:66" x14ac:dyDescent="0.3">
      <c r="AW1102">
        <f t="shared" si="90"/>
        <v>0</v>
      </c>
      <c r="AX1102">
        <v>1099</v>
      </c>
      <c r="AY1102" s="4">
        <f t="shared" si="88"/>
        <v>41807</v>
      </c>
      <c r="AZ1102" s="6" t="e">
        <f t="shared" si="89"/>
        <v>#DIV/0!</v>
      </c>
      <c r="BA1102" s="4">
        <v>41807</v>
      </c>
      <c r="BB1102" s="6">
        <v>-1.0119739999999999</v>
      </c>
      <c r="BC1102" s="6">
        <v>-0.910273</v>
      </c>
      <c r="BD1102" s="6">
        <v>-0.89811700000000005</v>
      </c>
      <c r="BE1102" s="6"/>
      <c r="BF1102" s="6"/>
      <c r="BG1102" s="6"/>
      <c r="BH1102" s="6"/>
      <c r="BI1102" s="6"/>
      <c r="BJ1102" s="6"/>
      <c r="BK1102" s="6"/>
      <c r="BL1102" s="6"/>
      <c r="BM1102" s="6"/>
      <c r="BN1102" s="6" t="e">
        <f t="shared" si="91"/>
        <v>#DIV/0!</v>
      </c>
    </row>
    <row r="1103" spans="49:66" x14ac:dyDescent="0.3">
      <c r="AW1103">
        <f t="shared" si="90"/>
        <v>0</v>
      </c>
      <c r="AX1103">
        <v>1100</v>
      </c>
      <c r="AY1103" s="4">
        <f t="shared" si="88"/>
        <v>41808</v>
      </c>
      <c r="AZ1103" s="6" t="e">
        <f t="shared" si="89"/>
        <v>#DIV/0!</v>
      </c>
      <c r="BA1103" s="4">
        <v>41808</v>
      </c>
      <c r="BB1103" s="6">
        <v>-0.43485800000000002</v>
      </c>
      <c r="BC1103" s="6">
        <v>-0.54764400000000002</v>
      </c>
      <c r="BD1103" s="6">
        <v>-0.75209899999999996</v>
      </c>
      <c r="BE1103" s="6"/>
      <c r="BF1103" s="6"/>
      <c r="BG1103" s="6"/>
      <c r="BH1103" s="6"/>
      <c r="BI1103" s="6"/>
      <c r="BJ1103" s="6"/>
      <c r="BK1103" s="6"/>
      <c r="BL1103" s="6"/>
      <c r="BM1103" s="6"/>
      <c r="BN1103" s="6" t="e">
        <f t="shared" si="91"/>
        <v>#DIV/0!</v>
      </c>
    </row>
    <row r="1104" spans="49:66" x14ac:dyDescent="0.3">
      <c r="AW1104">
        <f t="shared" si="90"/>
        <v>0</v>
      </c>
      <c r="AX1104">
        <v>1101</v>
      </c>
      <c r="AY1104" s="4">
        <f t="shared" si="88"/>
        <v>41809</v>
      </c>
      <c r="AZ1104" s="6" t="e">
        <f t="shared" si="89"/>
        <v>#DIV/0!</v>
      </c>
      <c r="BA1104" s="4">
        <v>41809</v>
      </c>
      <c r="BB1104" s="6">
        <v>-1.542977</v>
      </c>
      <c r="BC1104" s="6">
        <v>-2.6542859999999999</v>
      </c>
      <c r="BD1104" s="6">
        <v>-2.9607109999999999</v>
      </c>
      <c r="BE1104" s="6"/>
      <c r="BF1104" s="6"/>
      <c r="BG1104" s="6"/>
      <c r="BH1104" s="6"/>
      <c r="BI1104" s="6"/>
      <c r="BJ1104" s="6"/>
      <c r="BK1104" s="6"/>
      <c r="BL1104" s="6"/>
      <c r="BM1104" s="6"/>
      <c r="BN1104" s="6" t="e">
        <f t="shared" si="91"/>
        <v>#DIV/0!</v>
      </c>
    </row>
    <row r="1105" spans="49:66" x14ac:dyDescent="0.3">
      <c r="AW1105">
        <f t="shared" si="90"/>
        <v>0</v>
      </c>
      <c r="AX1105">
        <v>1102</v>
      </c>
      <c r="AY1105" s="4">
        <f t="shared" si="88"/>
        <v>41810</v>
      </c>
      <c r="AZ1105" s="6" t="e">
        <f t="shared" si="89"/>
        <v>#DIV/0!</v>
      </c>
      <c r="BA1105" s="4">
        <v>41810</v>
      </c>
      <c r="BB1105" s="6">
        <v>0.46179700000000001</v>
      </c>
      <c r="BC1105" s="6">
        <v>0.89592000000000005</v>
      </c>
      <c r="BD1105" s="6">
        <v>1.16015</v>
      </c>
      <c r="BE1105" s="6"/>
      <c r="BF1105" s="6"/>
      <c r="BG1105" s="6"/>
      <c r="BH1105" s="6"/>
      <c r="BI1105" s="6"/>
      <c r="BJ1105" s="6"/>
      <c r="BK1105" s="6"/>
      <c r="BL1105" s="6"/>
      <c r="BM1105" s="6"/>
      <c r="BN1105" s="6" t="e">
        <f t="shared" si="91"/>
        <v>#DIV/0!</v>
      </c>
    </row>
    <row r="1106" spans="49:66" x14ac:dyDescent="0.3">
      <c r="AW1106">
        <f t="shared" si="90"/>
        <v>0</v>
      </c>
      <c r="AX1106">
        <v>1103</v>
      </c>
      <c r="AY1106" s="4">
        <f t="shared" si="88"/>
        <v>41813</v>
      </c>
      <c r="AZ1106" s="6" t="e">
        <f t="shared" si="89"/>
        <v>#DIV/0!</v>
      </c>
      <c r="BA1106" s="4">
        <v>41813</v>
      </c>
      <c r="BB1106" s="6">
        <v>-0.122571</v>
      </c>
      <c r="BC1106" s="6">
        <v>0.70030599999999998</v>
      </c>
      <c r="BD1106" s="6">
        <v>1.3452459999999999</v>
      </c>
      <c r="BE1106" s="6"/>
      <c r="BF1106" s="6"/>
      <c r="BG1106" s="6"/>
      <c r="BH1106" s="6"/>
      <c r="BI1106" s="6"/>
      <c r="BJ1106" s="6"/>
      <c r="BK1106" s="6"/>
      <c r="BL1106" s="6"/>
      <c r="BM1106" s="6"/>
      <c r="BN1106" s="6" t="e">
        <f t="shared" si="91"/>
        <v>#DIV/0!</v>
      </c>
    </row>
    <row r="1107" spans="49:66" x14ac:dyDescent="0.3">
      <c r="AW1107">
        <f t="shared" si="90"/>
        <v>0</v>
      </c>
      <c r="AX1107">
        <v>1104</v>
      </c>
      <c r="AY1107" s="4">
        <f t="shared" si="88"/>
        <v>41814</v>
      </c>
      <c r="AZ1107" s="6" t="e">
        <f t="shared" si="89"/>
        <v>#DIV/0!</v>
      </c>
      <c r="BA1107" s="4">
        <v>41814</v>
      </c>
      <c r="BB1107" s="6">
        <v>0.50189499999999998</v>
      </c>
      <c r="BC1107" s="6">
        <v>0.61123499999999997</v>
      </c>
      <c r="BD1107" s="6">
        <v>0.77359500000000003</v>
      </c>
      <c r="BE1107" s="6"/>
      <c r="BF1107" s="6"/>
      <c r="BG1107" s="6"/>
      <c r="BH1107" s="6"/>
      <c r="BI1107" s="6"/>
      <c r="BJ1107" s="6"/>
      <c r="BK1107" s="6"/>
      <c r="BL1107" s="6"/>
      <c r="BM1107" s="6"/>
      <c r="BN1107" s="6" t="e">
        <f t="shared" si="91"/>
        <v>#DIV/0!</v>
      </c>
    </row>
    <row r="1108" spans="49:66" x14ac:dyDescent="0.3">
      <c r="AW1108">
        <f t="shared" si="90"/>
        <v>0</v>
      </c>
      <c r="AX1108">
        <v>1105</v>
      </c>
      <c r="AY1108" s="4">
        <f t="shared" si="88"/>
        <v>41815</v>
      </c>
      <c r="AZ1108" s="6" t="e">
        <f t="shared" si="89"/>
        <v>#DIV/0!</v>
      </c>
      <c r="BA1108" s="4">
        <v>41815</v>
      </c>
      <c r="BB1108" s="6">
        <v>-0.53384399999999999</v>
      </c>
      <c r="BC1108" s="6">
        <v>-0.65568300000000002</v>
      </c>
      <c r="BD1108" s="6">
        <v>-0.37830399999999997</v>
      </c>
      <c r="BE1108" s="6"/>
      <c r="BF1108" s="6"/>
      <c r="BG1108" s="6"/>
      <c r="BH1108" s="6"/>
      <c r="BI1108" s="6"/>
      <c r="BJ1108" s="6"/>
      <c r="BK1108" s="6"/>
      <c r="BL1108" s="6"/>
      <c r="BM1108" s="6"/>
      <c r="BN1108" s="6" t="e">
        <f t="shared" si="91"/>
        <v>#DIV/0!</v>
      </c>
    </row>
    <row r="1109" spans="49:66" x14ac:dyDescent="0.3">
      <c r="AW1109">
        <f t="shared" si="90"/>
        <v>0</v>
      </c>
      <c r="AX1109">
        <v>1106</v>
      </c>
      <c r="AY1109" s="4">
        <f t="shared" si="88"/>
        <v>41816</v>
      </c>
      <c r="AZ1109" s="6" t="e">
        <f t="shared" si="89"/>
        <v>#DIV/0!</v>
      </c>
      <c r="BA1109" s="4">
        <v>41816</v>
      </c>
      <c r="BB1109" s="6">
        <v>0.73615900000000001</v>
      </c>
      <c r="BC1109" s="6">
        <v>1.2564139999999999</v>
      </c>
      <c r="BD1109" s="6">
        <v>1.64367</v>
      </c>
      <c r="BE1109" s="6"/>
      <c r="BF1109" s="6"/>
      <c r="BG1109" s="6"/>
      <c r="BH1109" s="6"/>
      <c r="BI1109" s="6"/>
      <c r="BJ1109" s="6"/>
      <c r="BK1109" s="6"/>
      <c r="BL1109" s="6"/>
      <c r="BM1109" s="6"/>
      <c r="BN1109" s="6" t="e">
        <f t="shared" si="91"/>
        <v>#DIV/0!</v>
      </c>
    </row>
    <row r="1110" spans="49:66" x14ac:dyDescent="0.3">
      <c r="AW1110">
        <f t="shared" si="90"/>
        <v>0</v>
      </c>
      <c r="AX1110">
        <v>1107</v>
      </c>
      <c r="AY1110" s="4">
        <f t="shared" si="88"/>
        <v>41817</v>
      </c>
      <c r="AZ1110" s="6" t="e">
        <f t="shared" si="89"/>
        <v>#DIV/0!</v>
      </c>
      <c r="BA1110" s="4">
        <v>41817</v>
      </c>
      <c r="BB1110" s="6">
        <v>5.5E-2</v>
      </c>
      <c r="BC1110" s="6">
        <v>0.70878699999999994</v>
      </c>
      <c r="BD1110" s="6">
        <v>0.75350099999999998</v>
      </c>
      <c r="BE1110" s="6"/>
      <c r="BF1110" s="6"/>
      <c r="BG1110" s="6"/>
      <c r="BH1110" s="6"/>
      <c r="BI1110" s="6"/>
      <c r="BJ1110" s="6"/>
      <c r="BK1110" s="6"/>
      <c r="BL1110" s="6"/>
      <c r="BM1110" s="6"/>
      <c r="BN1110" s="6" t="e">
        <f t="shared" si="91"/>
        <v>#DIV/0!</v>
      </c>
    </row>
    <row r="1111" spans="49:66" x14ac:dyDescent="0.3">
      <c r="AW1111">
        <f t="shared" si="90"/>
        <v>0</v>
      </c>
      <c r="AX1111">
        <v>1108</v>
      </c>
      <c r="AY1111" s="4">
        <f t="shared" si="88"/>
        <v>41820</v>
      </c>
      <c r="AZ1111" s="6" t="e">
        <f t="shared" si="89"/>
        <v>#DIV/0!</v>
      </c>
      <c r="BA1111" s="4">
        <v>41820</v>
      </c>
      <c r="BB1111" s="6">
        <v>0.69108000000000003</v>
      </c>
      <c r="BC1111" s="6">
        <v>0.91481199999999996</v>
      </c>
      <c r="BD1111" s="6">
        <v>1.137141</v>
      </c>
      <c r="BE1111" s="6"/>
      <c r="BF1111" s="6"/>
      <c r="BG1111" s="6"/>
      <c r="BH1111" s="6"/>
      <c r="BI1111" s="6"/>
      <c r="BJ1111" s="6"/>
      <c r="BK1111" s="6"/>
      <c r="BL1111" s="6"/>
      <c r="BM1111" s="6"/>
      <c r="BN1111" s="6" t="e">
        <f t="shared" si="91"/>
        <v>#DIV/0!</v>
      </c>
    </row>
    <row r="1112" spans="49:66" x14ac:dyDescent="0.3">
      <c r="AW1112">
        <f t="shared" si="90"/>
        <v>0</v>
      </c>
      <c r="AX1112">
        <v>1109</v>
      </c>
      <c r="AY1112" s="4">
        <f t="shared" si="88"/>
        <v>41821</v>
      </c>
      <c r="AZ1112" s="6" t="e">
        <f t="shared" si="89"/>
        <v>#DIV/0!</v>
      </c>
      <c r="BA1112" s="4">
        <v>41821</v>
      </c>
      <c r="BB1112" s="6">
        <v>-2.5818000000000001E-2</v>
      </c>
      <c r="BC1112" s="6">
        <v>0.68340500000000004</v>
      </c>
      <c r="BD1112" s="6">
        <v>0.64169600000000004</v>
      </c>
      <c r="BE1112" s="6"/>
      <c r="BF1112" s="6"/>
      <c r="BG1112" s="6"/>
      <c r="BH1112" s="6"/>
      <c r="BI1112" s="6"/>
      <c r="BJ1112" s="6"/>
      <c r="BK1112" s="6"/>
      <c r="BL1112" s="6"/>
      <c r="BM1112" s="6"/>
      <c r="BN1112" s="6" t="e">
        <f t="shared" si="91"/>
        <v>#DIV/0!</v>
      </c>
    </row>
    <row r="1113" spans="49:66" x14ac:dyDescent="0.3">
      <c r="AW1113">
        <f t="shared" si="90"/>
        <v>0</v>
      </c>
      <c r="AX1113">
        <v>1110</v>
      </c>
      <c r="AY1113" s="4">
        <f t="shared" si="88"/>
        <v>41822</v>
      </c>
      <c r="AZ1113" s="6" t="e">
        <f t="shared" si="89"/>
        <v>#DIV/0!</v>
      </c>
      <c r="BA1113" s="4">
        <v>41822</v>
      </c>
      <c r="BB1113" s="6">
        <v>0.29142200000000001</v>
      </c>
      <c r="BC1113" s="6">
        <v>0.69802399999999998</v>
      </c>
      <c r="BD1113" s="6">
        <v>0.60603300000000004</v>
      </c>
      <c r="BE1113" s="6"/>
      <c r="BF1113" s="6"/>
      <c r="BG1113" s="6"/>
      <c r="BH1113" s="6"/>
      <c r="BI1113" s="6"/>
      <c r="BJ1113" s="6"/>
      <c r="BK1113" s="6"/>
      <c r="BL1113" s="6"/>
      <c r="BM1113" s="6"/>
      <c r="BN1113" s="6" t="e">
        <f t="shared" si="91"/>
        <v>#DIV/0!</v>
      </c>
    </row>
    <row r="1114" spans="49:66" x14ac:dyDescent="0.3">
      <c r="AW1114">
        <f t="shared" si="90"/>
        <v>0</v>
      </c>
      <c r="AX1114">
        <v>1111</v>
      </c>
      <c r="AY1114" s="4">
        <f t="shared" si="88"/>
        <v>41823</v>
      </c>
      <c r="AZ1114" s="6" t="e">
        <f t="shared" si="89"/>
        <v>#DIV/0!</v>
      </c>
      <c r="BA1114" s="4">
        <v>41823</v>
      </c>
      <c r="BB1114" s="6">
        <v>0.42955199999999999</v>
      </c>
      <c r="BC1114" s="6">
        <v>1.013668</v>
      </c>
      <c r="BD1114" s="6">
        <v>0.71143000000000001</v>
      </c>
      <c r="BE1114" s="6"/>
      <c r="BF1114" s="6"/>
      <c r="BG1114" s="6"/>
      <c r="BH1114" s="6"/>
      <c r="BI1114" s="6"/>
      <c r="BJ1114" s="6"/>
      <c r="BK1114" s="6"/>
      <c r="BL1114" s="6"/>
      <c r="BM1114" s="6"/>
      <c r="BN1114" s="6" t="e">
        <f t="shared" si="91"/>
        <v>#DIV/0!</v>
      </c>
    </row>
    <row r="1115" spans="49:66" x14ac:dyDescent="0.3">
      <c r="AW1115">
        <f t="shared" si="90"/>
        <v>0</v>
      </c>
      <c r="AX1115">
        <v>1112</v>
      </c>
      <c r="AY1115" s="4">
        <f t="shared" si="88"/>
        <v>41824</v>
      </c>
      <c r="AZ1115" s="6" t="e">
        <f t="shared" si="89"/>
        <v>#DIV/0!</v>
      </c>
      <c r="BA1115" s="4">
        <v>41824</v>
      </c>
      <c r="BB1115" s="6">
        <v>-6.8664000000000003E-2</v>
      </c>
      <c r="BC1115" s="6">
        <v>-0.375307</v>
      </c>
      <c r="BD1115" s="6">
        <v>-6.2841999999999995E-2</v>
      </c>
      <c r="BE1115" s="6"/>
      <c r="BF1115" s="6"/>
      <c r="BG1115" s="6"/>
      <c r="BH1115" s="6"/>
      <c r="BI1115" s="6"/>
      <c r="BJ1115" s="6"/>
      <c r="BK1115" s="6"/>
      <c r="BL1115" s="6"/>
      <c r="BM1115" s="6"/>
      <c r="BN1115" s="6" t="e">
        <f t="shared" si="91"/>
        <v>#DIV/0!</v>
      </c>
    </row>
    <row r="1116" spans="49:66" x14ac:dyDescent="0.3">
      <c r="AW1116">
        <f t="shared" si="90"/>
        <v>0</v>
      </c>
      <c r="AX1116">
        <v>1113</v>
      </c>
      <c r="AY1116" s="4">
        <f t="shared" si="88"/>
        <v>41827</v>
      </c>
      <c r="AZ1116" s="6" t="e">
        <f t="shared" si="89"/>
        <v>#DIV/0!</v>
      </c>
      <c r="BA1116" s="4">
        <v>41827</v>
      </c>
      <c r="BB1116" s="6">
        <v>-0.110433</v>
      </c>
      <c r="BC1116" s="6">
        <v>0.247892</v>
      </c>
      <c r="BD1116" s="6">
        <v>-0.13494500000000001</v>
      </c>
      <c r="BE1116" s="6"/>
      <c r="BF1116" s="6"/>
      <c r="BG1116" s="6"/>
      <c r="BH1116" s="6"/>
      <c r="BI1116" s="6"/>
      <c r="BJ1116" s="6"/>
      <c r="BK1116" s="6"/>
      <c r="BL1116" s="6"/>
      <c r="BM1116" s="6"/>
      <c r="BN1116" s="6" t="e">
        <f t="shared" si="91"/>
        <v>#DIV/0!</v>
      </c>
    </row>
    <row r="1117" spans="49:66" x14ac:dyDescent="0.3">
      <c r="AW1117">
        <f t="shared" si="90"/>
        <v>0</v>
      </c>
      <c r="AX1117">
        <v>1114</v>
      </c>
      <c r="AY1117" s="4">
        <f t="shared" si="88"/>
        <v>41828</v>
      </c>
      <c r="AZ1117" s="6" t="e">
        <f t="shared" si="89"/>
        <v>#DIV/0!</v>
      </c>
      <c r="BA1117" s="4">
        <v>41828</v>
      </c>
      <c r="BB1117" s="6">
        <v>0.19225400000000001</v>
      </c>
      <c r="BC1117" s="6">
        <v>0.62819999999999998</v>
      </c>
      <c r="BD1117" s="6">
        <v>0.88493599999999994</v>
      </c>
      <c r="BE1117" s="6"/>
      <c r="BF1117" s="6"/>
      <c r="BG1117" s="6"/>
      <c r="BH1117" s="6"/>
      <c r="BI1117" s="6"/>
      <c r="BJ1117" s="6"/>
      <c r="BK1117" s="6"/>
      <c r="BL1117" s="6"/>
      <c r="BM1117" s="6"/>
      <c r="BN1117" s="6" t="e">
        <f t="shared" si="91"/>
        <v>#DIV/0!</v>
      </c>
    </row>
    <row r="1118" spans="49:66" x14ac:dyDescent="0.3">
      <c r="AW1118">
        <f t="shared" si="90"/>
        <v>0</v>
      </c>
      <c r="AX1118">
        <v>1115</v>
      </c>
      <c r="AY1118" s="4">
        <f t="shared" si="88"/>
        <v>41829</v>
      </c>
      <c r="AZ1118" s="6" t="e">
        <f t="shared" si="89"/>
        <v>#DIV/0!</v>
      </c>
      <c r="BA1118" s="4">
        <v>41829</v>
      </c>
      <c r="BB1118" s="6">
        <v>-1.4567019999999999</v>
      </c>
      <c r="BC1118" s="6">
        <v>-1.4184939999999999</v>
      </c>
      <c r="BD1118" s="6">
        <v>-1.5461259999999999</v>
      </c>
      <c r="BE1118" s="6"/>
      <c r="BF1118" s="6"/>
      <c r="BG1118" s="6"/>
      <c r="BH1118" s="6"/>
      <c r="BI1118" s="6"/>
      <c r="BJ1118" s="6"/>
      <c r="BK1118" s="6"/>
      <c r="BL1118" s="6"/>
      <c r="BM1118" s="6"/>
      <c r="BN1118" s="6" t="e">
        <f t="shared" si="91"/>
        <v>#DIV/0!</v>
      </c>
    </row>
    <row r="1119" spans="49:66" x14ac:dyDescent="0.3">
      <c r="AW1119">
        <f t="shared" si="90"/>
        <v>0</v>
      </c>
      <c r="AX1119">
        <v>1116</v>
      </c>
      <c r="AY1119" s="4">
        <f t="shared" si="88"/>
        <v>41830</v>
      </c>
      <c r="AZ1119" s="6" t="e">
        <f t="shared" si="89"/>
        <v>#DIV/0!</v>
      </c>
      <c r="BA1119" s="4">
        <v>41830</v>
      </c>
      <c r="BB1119" s="6">
        <v>-0.27286100000000002</v>
      </c>
      <c r="BC1119" s="6">
        <v>-5.1729999999999996E-3</v>
      </c>
      <c r="BD1119" s="6">
        <v>-3.3014000000000002E-2</v>
      </c>
      <c r="BE1119" s="6"/>
      <c r="BF1119" s="6"/>
      <c r="BG1119" s="6"/>
      <c r="BH1119" s="6"/>
      <c r="BI1119" s="6"/>
      <c r="BJ1119" s="6"/>
      <c r="BK1119" s="6"/>
      <c r="BL1119" s="6"/>
      <c r="BM1119" s="6"/>
      <c r="BN1119" s="6" t="e">
        <f t="shared" si="91"/>
        <v>#DIV/0!</v>
      </c>
    </row>
    <row r="1120" spans="49:66" x14ac:dyDescent="0.3">
      <c r="AW1120">
        <f t="shared" si="90"/>
        <v>0</v>
      </c>
      <c r="AX1120">
        <v>1117</v>
      </c>
      <c r="AY1120" s="4">
        <f t="shared" si="88"/>
        <v>41831</v>
      </c>
      <c r="AZ1120" s="6" t="e">
        <f t="shared" si="89"/>
        <v>#DIV/0!</v>
      </c>
      <c r="BA1120" s="4">
        <v>41831</v>
      </c>
      <c r="BB1120" s="6">
        <v>0.240894</v>
      </c>
      <c r="BC1120" s="6">
        <v>1.19414</v>
      </c>
      <c r="BD1120" s="6">
        <v>0.61764399999999997</v>
      </c>
      <c r="BE1120" s="6"/>
      <c r="BF1120" s="6"/>
      <c r="BG1120" s="6"/>
      <c r="BH1120" s="6"/>
      <c r="BI1120" s="6"/>
      <c r="BJ1120" s="6"/>
      <c r="BK1120" s="6"/>
      <c r="BL1120" s="6"/>
      <c r="BM1120" s="6"/>
      <c r="BN1120" s="6" t="e">
        <f t="shared" si="91"/>
        <v>#DIV/0!</v>
      </c>
    </row>
    <row r="1121" spans="49:66" x14ac:dyDescent="0.3">
      <c r="AW1121">
        <f t="shared" si="90"/>
        <v>0</v>
      </c>
      <c r="AX1121">
        <v>1118</v>
      </c>
      <c r="AY1121" s="4">
        <f t="shared" si="88"/>
        <v>41834</v>
      </c>
      <c r="AZ1121" s="6" t="e">
        <f t="shared" si="89"/>
        <v>#DIV/0!</v>
      </c>
      <c r="BA1121" s="4">
        <v>41834</v>
      </c>
      <c r="BB1121" s="6">
        <v>1.105629</v>
      </c>
      <c r="BC1121" s="6">
        <v>1.515007</v>
      </c>
      <c r="BD1121" s="6">
        <v>1.1893260000000001</v>
      </c>
      <c r="BE1121" s="6"/>
      <c r="BF1121" s="6"/>
      <c r="BG1121" s="6"/>
      <c r="BH1121" s="6"/>
      <c r="BI1121" s="6"/>
      <c r="BJ1121" s="6"/>
      <c r="BK1121" s="6"/>
      <c r="BL1121" s="6"/>
      <c r="BM1121" s="6"/>
      <c r="BN1121" s="6" t="e">
        <f t="shared" si="91"/>
        <v>#DIV/0!</v>
      </c>
    </row>
    <row r="1122" spans="49:66" x14ac:dyDescent="0.3">
      <c r="AW1122">
        <f t="shared" si="90"/>
        <v>0</v>
      </c>
      <c r="AX1122">
        <v>1119</v>
      </c>
      <c r="AY1122" s="4">
        <f t="shared" si="88"/>
        <v>41835</v>
      </c>
      <c r="AZ1122" s="6" t="e">
        <f t="shared" si="89"/>
        <v>#DIV/0!</v>
      </c>
      <c r="BA1122" s="4">
        <v>41835</v>
      </c>
      <c r="BB1122" s="6">
        <v>0.148175</v>
      </c>
      <c r="BC1122" s="6">
        <v>5.6493000000000002E-2</v>
      </c>
      <c r="BD1122" s="6">
        <v>-0.64492400000000005</v>
      </c>
      <c r="BE1122" s="6"/>
      <c r="BF1122" s="6"/>
      <c r="BG1122" s="6"/>
      <c r="BH1122" s="6"/>
      <c r="BI1122" s="6"/>
      <c r="BJ1122" s="6"/>
      <c r="BK1122" s="6"/>
      <c r="BL1122" s="6"/>
      <c r="BM1122" s="6"/>
      <c r="BN1122" s="6" t="e">
        <f t="shared" si="91"/>
        <v>#DIV/0!</v>
      </c>
    </row>
    <row r="1123" spans="49:66" x14ac:dyDescent="0.3">
      <c r="AW1123">
        <f t="shared" si="90"/>
        <v>0</v>
      </c>
      <c r="AX1123">
        <v>1120</v>
      </c>
      <c r="AY1123" s="4">
        <f t="shared" si="88"/>
        <v>41836</v>
      </c>
      <c r="AZ1123" s="6" t="e">
        <f t="shared" si="89"/>
        <v>#DIV/0!</v>
      </c>
      <c r="BA1123" s="4">
        <v>41836</v>
      </c>
      <c r="BB1123" s="6">
        <v>-0.18887599999999999</v>
      </c>
      <c r="BC1123" s="6">
        <v>-0.75722299999999998</v>
      </c>
      <c r="BD1123" s="6">
        <v>-1.349335</v>
      </c>
      <c r="BE1123" s="6"/>
      <c r="BF1123" s="6"/>
      <c r="BG1123" s="6"/>
      <c r="BH1123" s="6"/>
      <c r="BI1123" s="6"/>
      <c r="BJ1123" s="6"/>
      <c r="BK1123" s="6"/>
      <c r="BL1123" s="6"/>
      <c r="BM1123" s="6"/>
      <c r="BN1123" s="6" t="e">
        <f t="shared" si="91"/>
        <v>#DIV/0!</v>
      </c>
    </row>
    <row r="1124" spans="49:66" x14ac:dyDescent="0.3">
      <c r="AW1124">
        <f t="shared" si="90"/>
        <v>0</v>
      </c>
      <c r="AX1124">
        <v>1121</v>
      </c>
      <c r="AY1124" s="4">
        <f t="shared" si="88"/>
        <v>41837</v>
      </c>
      <c r="AZ1124" s="6" t="e">
        <f t="shared" si="89"/>
        <v>#DIV/0!</v>
      </c>
      <c r="BA1124" s="4">
        <v>41837</v>
      </c>
      <c r="BB1124" s="6">
        <v>-0.63568999999999998</v>
      </c>
      <c r="BC1124" s="6">
        <v>-0.75524599999999997</v>
      </c>
      <c r="BD1124" s="6">
        <v>-0.356657</v>
      </c>
      <c r="BE1124" s="6"/>
      <c r="BF1124" s="6"/>
      <c r="BG1124" s="6"/>
      <c r="BH1124" s="6"/>
      <c r="BI1124" s="6"/>
      <c r="BJ1124" s="6"/>
      <c r="BK1124" s="6"/>
      <c r="BL1124" s="6"/>
      <c r="BM1124" s="6"/>
      <c r="BN1124" s="6" t="e">
        <f t="shared" si="91"/>
        <v>#DIV/0!</v>
      </c>
    </row>
    <row r="1125" spans="49:66" x14ac:dyDescent="0.3">
      <c r="AW1125">
        <f t="shared" si="90"/>
        <v>0</v>
      </c>
      <c r="AX1125">
        <v>1122</v>
      </c>
      <c r="AY1125" s="4">
        <f t="shared" si="88"/>
        <v>41838</v>
      </c>
      <c r="AZ1125" s="6" t="e">
        <f t="shared" si="89"/>
        <v>#DIV/0!</v>
      </c>
      <c r="BA1125" s="4">
        <v>41838</v>
      </c>
      <c r="BB1125" s="6">
        <v>0.328038</v>
      </c>
      <c r="BC1125" s="6">
        <v>0.27486500000000003</v>
      </c>
      <c r="BD1125" s="6">
        <v>5.8518000000000001E-2</v>
      </c>
      <c r="BE1125" s="6"/>
      <c r="BF1125" s="6"/>
      <c r="BG1125" s="6"/>
      <c r="BH1125" s="6"/>
      <c r="BI1125" s="6"/>
      <c r="BJ1125" s="6"/>
      <c r="BK1125" s="6"/>
      <c r="BL1125" s="6"/>
      <c r="BM1125" s="6"/>
      <c r="BN1125" s="6" t="e">
        <f t="shared" si="91"/>
        <v>#DIV/0!</v>
      </c>
    </row>
    <row r="1126" spans="49:66" x14ac:dyDescent="0.3">
      <c r="AW1126">
        <f t="shared" si="90"/>
        <v>0</v>
      </c>
      <c r="AX1126">
        <v>1123</v>
      </c>
      <c r="AY1126" s="4">
        <f t="shared" si="88"/>
        <v>41841</v>
      </c>
      <c r="AZ1126" s="6" t="e">
        <f t="shared" si="89"/>
        <v>#DIV/0!</v>
      </c>
      <c r="BA1126" s="4">
        <v>41841</v>
      </c>
      <c r="BB1126" s="6">
        <v>9.9392999999999995E-2</v>
      </c>
      <c r="BC1126" s="6">
        <v>-0.30374600000000002</v>
      </c>
      <c r="BD1126" s="6">
        <v>-0.25486900000000001</v>
      </c>
      <c r="BE1126" s="6"/>
      <c r="BF1126" s="6"/>
      <c r="BG1126" s="6"/>
      <c r="BH1126" s="6"/>
      <c r="BI1126" s="6"/>
      <c r="BJ1126" s="6"/>
      <c r="BK1126" s="6"/>
      <c r="BL1126" s="6"/>
      <c r="BM1126" s="6"/>
      <c r="BN1126" s="6" t="e">
        <f t="shared" si="91"/>
        <v>#DIV/0!</v>
      </c>
    </row>
    <row r="1127" spans="49:66" x14ac:dyDescent="0.3">
      <c r="AW1127">
        <f t="shared" si="90"/>
        <v>0</v>
      </c>
      <c r="AX1127">
        <v>1124</v>
      </c>
      <c r="AY1127" s="4">
        <f t="shared" si="88"/>
        <v>41842</v>
      </c>
      <c r="AZ1127" s="6" t="e">
        <f t="shared" si="89"/>
        <v>#DIV/0!</v>
      </c>
      <c r="BA1127" s="4">
        <v>41842</v>
      </c>
      <c r="BB1127" s="6">
        <v>1.218809</v>
      </c>
      <c r="BC1127" s="6">
        <v>1.3161989999999999</v>
      </c>
      <c r="BD1127" s="6">
        <v>1.3992340000000001</v>
      </c>
      <c r="BE1127" s="6"/>
      <c r="BF1127" s="6"/>
      <c r="BG1127" s="6"/>
      <c r="BH1127" s="6"/>
      <c r="BI1127" s="6"/>
      <c r="BJ1127" s="6"/>
      <c r="BK1127" s="6"/>
      <c r="BL1127" s="6"/>
      <c r="BM1127" s="6"/>
      <c r="BN1127" s="6" t="e">
        <f t="shared" si="91"/>
        <v>#DIV/0!</v>
      </c>
    </row>
    <row r="1128" spans="49:66" x14ac:dyDescent="0.3">
      <c r="AW1128">
        <f t="shared" si="90"/>
        <v>0</v>
      </c>
      <c r="AX1128">
        <v>1125</v>
      </c>
      <c r="AY1128" s="4">
        <f t="shared" si="88"/>
        <v>41843</v>
      </c>
      <c r="AZ1128" s="6" t="e">
        <f t="shared" si="89"/>
        <v>#DIV/0!</v>
      </c>
      <c r="BA1128" s="4">
        <v>41843</v>
      </c>
      <c r="BB1128" s="6">
        <v>0.23418600000000001</v>
      </c>
      <c r="BC1128" s="6">
        <v>-0.64102800000000004</v>
      </c>
      <c r="BD1128" s="6">
        <v>-1.393778</v>
      </c>
      <c r="BE1128" s="6"/>
      <c r="BF1128" s="6"/>
      <c r="BG1128" s="6"/>
      <c r="BH1128" s="6"/>
      <c r="BI1128" s="6"/>
      <c r="BJ1128" s="6"/>
      <c r="BK1128" s="6"/>
      <c r="BL1128" s="6"/>
      <c r="BM1128" s="6"/>
      <c r="BN1128" s="6" t="e">
        <f t="shared" si="91"/>
        <v>#DIV/0!</v>
      </c>
    </row>
    <row r="1129" spans="49:66" x14ac:dyDescent="0.3">
      <c r="AW1129">
        <f t="shared" si="90"/>
        <v>0</v>
      </c>
      <c r="AX1129">
        <v>1126</v>
      </c>
      <c r="AY1129" s="4">
        <f t="shared" si="88"/>
        <v>41844</v>
      </c>
      <c r="AZ1129" s="6" t="e">
        <f t="shared" si="89"/>
        <v>#DIV/0!</v>
      </c>
      <c r="BA1129" s="4">
        <v>41844</v>
      </c>
      <c r="BB1129" s="6">
        <v>1.782756</v>
      </c>
      <c r="BC1129" s="6">
        <v>-7.1233000000000005E-2</v>
      </c>
      <c r="BD1129" s="6">
        <v>-0.77475300000000002</v>
      </c>
      <c r="BE1129" s="6"/>
      <c r="BF1129" s="6"/>
      <c r="BG1129" s="6"/>
      <c r="BH1129" s="6"/>
      <c r="BI1129" s="6"/>
      <c r="BJ1129" s="6"/>
      <c r="BK1129" s="6"/>
      <c r="BL1129" s="6"/>
      <c r="BM1129" s="6"/>
      <c r="BN1129" s="6" t="e">
        <f t="shared" si="91"/>
        <v>#DIV/0!</v>
      </c>
    </row>
    <row r="1130" spans="49:66" x14ac:dyDescent="0.3">
      <c r="AW1130">
        <f t="shared" si="90"/>
        <v>0</v>
      </c>
      <c r="AX1130">
        <v>1127</v>
      </c>
      <c r="AY1130" s="4">
        <f t="shared" si="88"/>
        <v>41845</v>
      </c>
      <c r="AZ1130" s="6" t="e">
        <f t="shared" si="89"/>
        <v>#DIV/0!</v>
      </c>
      <c r="BA1130" s="4">
        <v>41845</v>
      </c>
      <c r="BB1130" s="6">
        <v>1.0477799999999999</v>
      </c>
      <c r="BC1130" s="6">
        <v>0.87755399999999995</v>
      </c>
      <c r="BD1130" s="6">
        <v>0.825353</v>
      </c>
      <c r="BE1130" s="6"/>
      <c r="BF1130" s="6"/>
      <c r="BG1130" s="6"/>
      <c r="BH1130" s="6"/>
      <c r="BI1130" s="6"/>
      <c r="BJ1130" s="6"/>
      <c r="BK1130" s="6"/>
      <c r="BL1130" s="6"/>
      <c r="BM1130" s="6"/>
      <c r="BN1130" s="6" t="e">
        <f t="shared" si="91"/>
        <v>#DIV/0!</v>
      </c>
    </row>
    <row r="1131" spans="49:66" x14ac:dyDescent="0.3">
      <c r="AW1131">
        <f t="shared" si="90"/>
        <v>0</v>
      </c>
      <c r="AX1131">
        <v>1128</v>
      </c>
      <c r="AY1131" s="4">
        <f t="shared" si="88"/>
        <v>41848</v>
      </c>
      <c r="AZ1131" s="6" t="e">
        <f t="shared" si="89"/>
        <v>#DIV/0!</v>
      </c>
      <c r="BA1131" s="4">
        <v>41848</v>
      </c>
      <c r="BB1131" s="6">
        <v>2.8066490000000002</v>
      </c>
      <c r="BC1131" s="6">
        <v>1.9211689999999999</v>
      </c>
      <c r="BD1131" s="6">
        <v>1.725606</v>
      </c>
      <c r="BE1131" s="6"/>
      <c r="BF1131" s="6"/>
      <c r="BG1131" s="6"/>
      <c r="BH1131" s="6"/>
      <c r="BI1131" s="6"/>
      <c r="BJ1131" s="6"/>
      <c r="BK1131" s="6"/>
      <c r="BL1131" s="6"/>
      <c r="BM1131" s="6"/>
      <c r="BN1131" s="6" t="e">
        <f t="shared" si="91"/>
        <v>#DIV/0!</v>
      </c>
    </row>
    <row r="1132" spans="49:66" x14ac:dyDescent="0.3">
      <c r="AW1132">
        <f t="shared" si="90"/>
        <v>0</v>
      </c>
      <c r="AX1132">
        <v>1129</v>
      </c>
      <c r="AY1132" s="4">
        <f t="shared" si="88"/>
        <v>41849</v>
      </c>
      <c r="AZ1132" s="6" t="e">
        <f t="shared" si="89"/>
        <v>#DIV/0!</v>
      </c>
      <c r="BA1132" s="4">
        <v>41849</v>
      </c>
      <c r="BB1132" s="6">
        <v>0.32152900000000001</v>
      </c>
      <c r="BC1132" s="6">
        <v>0.94734799999999997</v>
      </c>
      <c r="BD1132" s="6">
        <v>1.2465200000000001</v>
      </c>
      <c r="BE1132" s="6"/>
      <c r="BF1132" s="6"/>
      <c r="BG1132" s="6"/>
      <c r="BH1132" s="6"/>
      <c r="BI1132" s="6"/>
      <c r="BJ1132" s="6"/>
      <c r="BK1132" s="6"/>
      <c r="BL1132" s="6"/>
      <c r="BM1132" s="6"/>
      <c r="BN1132" s="6" t="e">
        <f t="shared" si="91"/>
        <v>#DIV/0!</v>
      </c>
    </row>
    <row r="1133" spans="49:66" x14ac:dyDescent="0.3">
      <c r="AW1133">
        <f t="shared" si="90"/>
        <v>0</v>
      </c>
      <c r="AX1133">
        <v>1130</v>
      </c>
      <c r="AY1133" s="4">
        <f t="shared" si="88"/>
        <v>41850</v>
      </c>
      <c r="AZ1133" s="6" t="e">
        <f t="shared" si="89"/>
        <v>#DIV/0!</v>
      </c>
      <c r="BA1133" s="4">
        <v>41850</v>
      </c>
      <c r="BB1133" s="6">
        <v>-0.401395</v>
      </c>
      <c r="BC1133" s="6">
        <v>0.165737</v>
      </c>
      <c r="BD1133" s="6">
        <v>0.83703099999999997</v>
      </c>
      <c r="BE1133" s="6"/>
      <c r="BF1133" s="6"/>
      <c r="BG1133" s="6"/>
      <c r="BH1133" s="6"/>
      <c r="BI1133" s="6"/>
      <c r="BJ1133" s="6"/>
      <c r="BK1133" s="6"/>
      <c r="BL1133" s="6"/>
      <c r="BM1133" s="6"/>
      <c r="BN1133" s="6" t="e">
        <f t="shared" si="91"/>
        <v>#DIV/0!</v>
      </c>
    </row>
    <row r="1134" spans="49:66" x14ac:dyDescent="0.3">
      <c r="AW1134">
        <f t="shared" si="90"/>
        <v>0</v>
      </c>
      <c r="AX1134">
        <v>1131</v>
      </c>
      <c r="AY1134" s="4">
        <f t="shared" si="88"/>
        <v>41851</v>
      </c>
      <c r="AZ1134" s="6" t="e">
        <f t="shared" si="89"/>
        <v>#DIV/0!</v>
      </c>
      <c r="BA1134" s="4">
        <v>41851</v>
      </c>
      <c r="BB1134" s="6">
        <v>1.2161869999999999</v>
      </c>
      <c r="BC1134" s="6">
        <v>1.001439</v>
      </c>
      <c r="BD1134" s="6">
        <v>0.52923699999999996</v>
      </c>
      <c r="BE1134" s="6"/>
      <c r="BF1134" s="6"/>
      <c r="BG1134" s="6"/>
      <c r="BH1134" s="6"/>
      <c r="BI1134" s="6"/>
      <c r="BJ1134" s="6"/>
      <c r="BK1134" s="6"/>
      <c r="BL1134" s="6"/>
      <c r="BM1134" s="6"/>
      <c r="BN1134" s="6" t="e">
        <f t="shared" si="91"/>
        <v>#DIV/0!</v>
      </c>
    </row>
    <row r="1135" spans="49:66" x14ac:dyDescent="0.3">
      <c r="AW1135">
        <f t="shared" si="90"/>
        <v>0</v>
      </c>
      <c r="AX1135">
        <v>1132</v>
      </c>
      <c r="AY1135" s="4">
        <f t="shared" si="88"/>
        <v>41852</v>
      </c>
      <c r="AZ1135" s="6" t="e">
        <f t="shared" si="89"/>
        <v>#DIV/0!</v>
      </c>
      <c r="BA1135" s="4">
        <v>41852</v>
      </c>
      <c r="BB1135" s="6">
        <v>-0.88709700000000002</v>
      </c>
      <c r="BC1135" s="6">
        <v>-1.0999650000000001</v>
      </c>
      <c r="BD1135" s="6">
        <v>-1.163818</v>
      </c>
      <c r="BE1135" s="6"/>
      <c r="BF1135" s="6"/>
      <c r="BG1135" s="6"/>
      <c r="BH1135" s="6"/>
      <c r="BI1135" s="6"/>
      <c r="BJ1135" s="6"/>
      <c r="BK1135" s="6"/>
      <c r="BL1135" s="6"/>
      <c r="BM1135" s="6"/>
      <c r="BN1135" s="6" t="e">
        <f t="shared" si="91"/>
        <v>#DIV/0!</v>
      </c>
    </row>
    <row r="1136" spans="49:66" x14ac:dyDescent="0.3">
      <c r="AW1136">
        <f t="shared" si="90"/>
        <v>0</v>
      </c>
      <c r="AX1136">
        <v>1133</v>
      </c>
      <c r="AY1136" s="4">
        <f t="shared" si="88"/>
        <v>41855</v>
      </c>
      <c r="AZ1136" s="6" t="e">
        <f t="shared" si="89"/>
        <v>#DIV/0!</v>
      </c>
      <c r="BA1136" s="4">
        <v>41855</v>
      </c>
      <c r="BB1136" s="6">
        <v>1.9841139999999999</v>
      </c>
      <c r="BC1136" s="6">
        <v>1.630034</v>
      </c>
      <c r="BD1136" s="6">
        <v>1.299099</v>
      </c>
      <c r="BE1136" s="6"/>
      <c r="BF1136" s="6"/>
      <c r="BG1136" s="6"/>
      <c r="BH1136" s="6"/>
      <c r="BI1136" s="6"/>
      <c r="BJ1136" s="6"/>
      <c r="BK1136" s="6"/>
      <c r="BL1136" s="6"/>
      <c r="BM1136" s="6"/>
      <c r="BN1136" s="6" t="e">
        <f t="shared" si="91"/>
        <v>#DIV/0!</v>
      </c>
    </row>
    <row r="1137" spans="49:66" x14ac:dyDescent="0.3">
      <c r="AW1137">
        <f t="shared" si="90"/>
        <v>0</v>
      </c>
      <c r="AX1137">
        <v>1134</v>
      </c>
      <c r="AY1137" s="4">
        <f t="shared" si="88"/>
        <v>41856</v>
      </c>
      <c r="AZ1137" s="6" t="e">
        <f t="shared" si="89"/>
        <v>#DIV/0!</v>
      </c>
      <c r="BA1137" s="4">
        <v>41856</v>
      </c>
      <c r="BB1137" s="6">
        <v>-0.26380500000000001</v>
      </c>
      <c r="BC1137" s="6">
        <v>0.49716700000000003</v>
      </c>
      <c r="BD1137" s="6">
        <v>0.94561899999999999</v>
      </c>
      <c r="BE1137" s="6"/>
      <c r="BF1137" s="6"/>
      <c r="BG1137" s="6"/>
      <c r="BH1137" s="6"/>
      <c r="BI1137" s="6"/>
      <c r="BJ1137" s="6"/>
      <c r="BK1137" s="6"/>
      <c r="BL1137" s="6"/>
      <c r="BM1137" s="6"/>
      <c r="BN1137" s="6" t="e">
        <f t="shared" si="91"/>
        <v>#DIV/0!</v>
      </c>
    </row>
    <row r="1138" spans="49:66" x14ac:dyDescent="0.3">
      <c r="AW1138">
        <f t="shared" si="90"/>
        <v>0</v>
      </c>
      <c r="AX1138">
        <v>1135</v>
      </c>
      <c r="AY1138" s="4">
        <f t="shared" si="88"/>
        <v>41857</v>
      </c>
      <c r="AZ1138" s="6" t="e">
        <f t="shared" si="89"/>
        <v>#DIV/0!</v>
      </c>
      <c r="BA1138" s="4">
        <v>41857</v>
      </c>
      <c r="BB1138" s="6">
        <v>-0.25880500000000001</v>
      </c>
      <c r="BC1138" s="6">
        <v>0.66232999999999997</v>
      </c>
      <c r="BD1138" s="6">
        <v>0.42847800000000003</v>
      </c>
      <c r="BE1138" s="6"/>
      <c r="BF1138" s="6"/>
      <c r="BG1138" s="6"/>
      <c r="BH1138" s="6"/>
      <c r="BI1138" s="6"/>
      <c r="BJ1138" s="6"/>
      <c r="BK1138" s="6"/>
      <c r="BL1138" s="6"/>
      <c r="BM1138" s="6"/>
      <c r="BN1138" s="6" t="e">
        <f t="shared" si="91"/>
        <v>#DIV/0!</v>
      </c>
    </row>
    <row r="1139" spans="49:66" x14ac:dyDescent="0.3">
      <c r="AW1139">
        <f t="shared" si="90"/>
        <v>0</v>
      </c>
      <c r="AX1139">
        <v>1136</v>
      </c>
      <c r="AY1139" s="4">
        <f t="shared" si="88"/>
        <v>41858</v>
      </c>
      <c r="AZ1139" s="6" t="e">
        <f t="shared" si="89"/>
        <v>#DIV/0!</v>
      </c>
      <c r="BA1139" s="4">
        <v>41858</v>
      </c>
      <c r="BB1139" s="6">
        <v>-1.513358</v>
      </c>
      <c r="BC1139" s="6">
        <v>-0.98209599999999997</v>
      </c>
      <c r="BD1139" s="6">
        <v>-0.65109700000000004</v>
      </c>
      <c r="BE1139" s="6"/>
      <c r="BF1139" s="6"/>
      <c r="BG1139" s="6"/>
      <c r="BH1139" s="6"/>
      <c r="BI1139" s="6"/>
      <c r="BJ1139" s="6"/>
      <c r="BK1139" s="6"/>
      <c r="BL1139" s="6"/>
      <c r="BM1139" s="6"/>
      <c r="BN1139" s="6" t="e">
        <f t="shared" si="91"/>
        <v>#DIV/0!</v>
      </c>
    </row>
    <row r="1140" spans="49:66" x14ac:dyDescent="0.3">
      <c r="AW1140">
        <f t="shared" si="90"/>
        <v>0</v>
      </c>
      <c r="AX1140">
        <v>1137</v>
      </c>
      <c r="AY1140" s="4">
        <f t="shared" si="88"/>
        <v>41859</v>
      </c>
      <c r="AZ1140" s="6" t="e">
        <f t="shared" si="89"/>
        <v>#DIV/0!</v>
      </c>
      <c r="BA1140" s="4">
        <v>41859</v>
      </c>
      <c r="BB1140" s="6">
        <v>0.15798400000000001</v>
      </c>
      <c r="BC1140" s="6">
        <v>0.59744399999999998</v>
      </c>
      <c r="BD1140" s="6">
        <v>0.92468700000000004</v>
      </c>
      <c r="BE1140" s="6"/>
      <c r="BF1140" s="6"/>
      <c r="BG1140" s="6"/>
      <c r="BH1140" s="6"/>
      <c r="BI1140" s="6"/>
      <c r="BJ1140" s="6"/>
      <c r="BK1140" s="6"/>
      <c r="BL1140" s="6"/>
      <c r="BM1140" s="6"/>
      <c r="BN1140" s="6" t="e">
        <f t="shared" si="91"/>
        <v>#DIV/0!</v>
      </c>
    </row>
    <row r="1141" spans="49:66" x14ac:dyDescent="0.3">
      <c r="AW1141">
        <f t="shared" si="90"/>
        <v>0</v>
      </c>
      <c r="AX1141">
        <v>1138</v>
      </c>
      <c r="AY1141" s="4">
        <f t="shared" si="88"/>
        <v>41862</v>
      </c>
      <c r="AZ1141" s="6" t="e">
        <f t="shared" si="89"/>
        <v>#DIV/0!</v>
      </c>
      <c r="BA1141" s="4">
        <v>41862</v>
      </c>
      <c r="BB1141" s="6">
        <v>1.467741</v>
      </c>
      <c r="BC1141" s="6">
        <v>1.514972</v>
      </c>
      <c r="BD1141" s="6">
        <v>1.5264869999999999</v>
      </c>
      <c r="BE1141" s="6"/>
      <c r="BF1141" s="6"/>
      <c r="BG1141" s="6"/>
      <c r="BH1141" s="6"/>
      <c r="BI1141" s="6"/>
      <c r="BJ1141" s="6"/>
      <c r="BK1141" s="6"/>
      <c r="BL1141" s="6"/>
      <c r="BM1141" s="6"/>
      <c r="BN1141" s="6" t="e">
        <f t="shared" si="91"/>
        <v>#DIV/0!</v>
      </c>
    </row>
    <row r="1142" spans="49:66" x14ac:dyDescent="0.3">
      <c r="AW1142">
        <f t="shared" si="90"/>
        <v>0</v>
      </c>
      <c r="AX1142">
        <v>1139</v>
      </c>
      <c r="AY1142" s="4">
        <f t="shared" si="88"/>
        <v>41863</v>
      </c>
      <c r="AZ1142" s="6" t="e">
        <f t="shared" si="89"/>
        <v>#DIV/0!</v>
      </c>
      <c r="BA1142" s="4">
        <v>41863</v>
      </c>
      <c r="BB1142" s="6">
        <v>-0.350773</v>
      </c>
      <c r="BC1142" s="6">
        <v>0.52062799999999998</v>
      </c>
      <c r="BD1142" s="6">
        <v>0.69298599999999999</v>
      </c>
      <c r="BE1142" s="6"/>
      <c r="BF1142" s="6"/>
      <c r="BG1142" s="6"/>
      <c r="BH1142" s="6"/>
      <c r="BI1142" s="6"/>
      <c r="BJ1142" s="6"/>
      <c r="BK1142" s="6"/>
      <c r="BL1142" s="6"/>
      <c r="BM1142" s="6"/>
      <c r="BN1142" s="6" t="e">
        <f t="shared" si="91"/>
        <v>#DIV/0!</v>
      </c>
    </row>
    <row r="1143" spans="49:66" x14ac:dyDescent="0.3">
      <c r="AW1143">
        <f t="shared" si="90"/>
        <v>0</v>
      </c>
      <c r="AX1143">
        <v>1140</v>
      </c>
      <c r="AY1143" s="4">
        <f t="shared" si="88"/>
        <v>41864</v>
      </c>
      <c r="AZ1143" s="6" t="e">
        <f t="shared" si="89"/>
        <v>#DIV/0!</v>
      </c>
      <c r="BA1143" s="4">
        <v>41864</v>
      </c>
      <c r="BB1143" s="6">
        <v>7.8445000000000001E-2</v>
      </c>
      <c r="BC1143" s="6">
        <v>4.5525000000000003E-2</v>
      </c>
      <c r="BD1143" s="6">
        <v>-2.7394000000000002E-2</v>
      </c>
      <c r="BE1143" s="6"/>
      <c r="BF1143" s="6"/>
      <c r="BG1143" s="6"/>
      <c r="BH1143" s="6"/>
      <c r="BI1143" s="6"/>
      <c r="BJ1143" s="6"/>
      <c r="BK1143" s="6"/>
      <c r="BL1143" s="6"/>
      <c r="BM1143" s="6"/>
      <c r="BN1143" s="6" t="e">
        <f t="shared" si="91"/>
        <v>#DIV/0!</v>
      </c>
    </row>
    <row r="1144" spans="49:66" x14ac:dyDescent="0.3">
      <c r="AW1144">
        <f t="shared" si="90"/>
        <v>0</v>
      </c>
      <c r="AX1144">
        <v>1141</v>
      </c>
      <c r="AY1144" s="4">
        <f t="shared" si="88"/>
        <v>41865</v>
      </c>
      <c r="AZ1144" s="6" t="e">
        <f t="shared" si="89"/>
        <v>#DIV/0!</v>
      </c>
      <c r="BA1144" s="4">
        <v>41865</v>
      </c>
      <c r="BB1144" s="6">
        <v>-0.97316499999999995</v>
      </c>
      <c r="BC1144" s="6">
        <v>-0.64303100000000002</v>
      </c>
      <c r="BD1144" s="6">
        <v>-0.33577400000000002</v>
      </c>
      <c r="BE1144" s="6"/>
      <c r="BF1144" s="6"/>
      <c r="BG1144" s="6"/>
      <c r="BH1144" s="6"/>
      <c r="BI1144" s="6"/>
      <c r="BJ1144" s="6"/>
      <c r="BK1144" s="6"/>
      <c r="BL1144" s="6"/>
      <c r="BM1144" s="6"/>
      <c r="BN1144" s="6" t="e">
        <f t="shared" si="91"/>
        <v>#DIV/0!</v>
      </c>
    </row>
    <row r="1145" spans="49:66" x14ac:dyDescent="0.3">
      <c r="AW1145">
        <f t="shared" si="90"/>
        <v>0</v>
      </c>
      <c r="AX1145">
        <v>1142</v>
      </c>
      <c r="AY1145" s="4">
        <f t="shared" si="88"/>
        <v>41866</v>
      </c>
      <c r="AZ1145" s="6" t="e">
        <f t="shared" si="89"/>
        <v>#DIV/0!</v>
      </c>
      <c r="BA1145" s="4">
        <v>41866</v>
      </c>
      <c r="BB1145" s="6">
        <v>1.0569599999999999</v>
      </c>
      <c r="BC1145" s="6">
        <v>1.146266</v>
      </c>
      <c r="BD1145" s="6">
        <v>1.0701339999999999</v>
      </c>
      <c r="BE1145" s="6"/>
      <c r="BF1145" s="6"/>
      <c r="BG1145" s="6"/>
      <c r="BH1145" s="6"/>
      <c r="BI1145" s="6"/>
      <c r="BJ1145" s="6"/>
      <c r="BK1145" s="6"/>
      <c r="BL1145" s="6"/>
      <c r="BM1145" s="6"/>
      <c r="BN1145" s="6" t="e">
        <f t="shared" si="91"/>
        <v>#DIV/0!</v>
      </c>
    </row>
    <row r="1146" spans="49:66" x14ac:dyDescent="0.3">
      <c r="AW1146">
        <f t="shared" si="90"/>
        <v>0</v>
      </c>
      <c r="AX1146">
        <v>1143</v>
      </c>
      <c r="AY1146" s="4">
        <f t="shared" si="88"/>
        <v>41869</v>
      </c>
      <c r="AZ1146" s="6" t="e">
        <f t="shared" si="89"/>
        <v>#DIV/0!</v>
      </c>
      <c r="BA1146" s="4">
        <v>41869</v>
      </c>
      <c r="BB1146" s="6">
        <v>0.58996800000000005</v>
      </c>
      <c r="BC1146" s="6">
        <v>1.354271</v>
      </c>
      <c r="BD1146" s="6">
        <v>1.6707000000000001</v>
      </c>
      <c r="BE1146" s="6"/>
      <c r="BF1146" s="6"/>
      <c r="BG1146" s="6"/>
      <c r="BH1146" s="6"/>
      <c r="BI1146" s="6"/>
      <c r="BJ1146" s="6"/>
      <c r="BK1146" s="6"/>
      <c r="BL1146" s="6"/>
      <c r="BM1146" s="6"/>
      <c r="BN1146" s="6" t="e">
        <f t="shared" si="91"/>
        <v>#DIV/0!</v>
      </c>
    </row>
    <row r="1147" spans="49:66" x14ac:dyDescent="0.3">
      <c r="AW1147">
        <f t="shared" si="90"/>
        <v>0</v>
      </c>
      <c r="AX1147">
        <v>1144</v>
      </c>
      <c r="AY1147" s="4">
        <f t="shared" si="88"/>
        <v>41870</v>
      </c>
      <c r="AZ1147" s="6" t="e">
        <f t="shared" si="89"/>
        <v>#DIV/0!</v>
      </c>
      <c r="BA1147" s="4">
        <v>41870</v>
      </c>
      <c r="BB1147" s="6">
        <v>8.6750000000000004E-3</v>
      </c>
      <c r="BC1147" s="6">
        <v>0.29873699999999997</v>
      </c>
      <c r="BD1147" s="6">
        <v>0.44272</v>
      </c>
      <c r="BE1147" s="6"/>
      <c r="BF1147" s="6"/>
      <c r="BG1147" s="6"/>
      <c r="BH1147" s="6"/>
      <c r="BI1147" s="6"/>
      <c r="BJ1147" s="6"/>
      <c r="BK1147" s="6"/>
      <c r="BL1147" s="6"/>
      <c r="BM1147" s="6"/>
      <c r="BN1147" s="6" t="e">
        <f t="shared" si="91"/>
        <v>#DIV/0!</v>
      </c>
    </row>
    <row r="1148" spans="49:66" x14ac:dyDescent="0.3">
      <c r="AW1148">
        <f t="shared" si="90"/>
        <v>0</v>
      </c>
      <c r="AX1148">
        <v>1145</v>
      </c>
      <c r="AY1148" s="4">
        <f t="shared" si="88"/>
        <v>41871</v>
      </c>
      <c r="AZ1148" s="6" t="e">
        <f t="shared" si="89"/>
        <v>#DIV/0!</v>
      </c>
      <c r="BA1148" s="4">
        <v>41871</v>
      </c>
      <c r="BB1148" s="6">
        <v>-0.36331999999999998</v>
      </c>
      <c r="BC1148" s="6">
        <v>1.0251E-2</v>
      </c>
      <c r="BD1148" s="6">
        <v>-0.215753</v>
      </c>
      <c r="BE1148" s="6"/>
      <c r="BF1148" s="6"/>
      <c r="BG1148" s="6"/>
      <c r="BH1148" s="6"/>
      <c r="BI1148" s="6"/>
      <c r="BJ1148" s="6"/>
      <c r="BK1148" s="6"/>
      <c r="BL1148" s="6"/>
      <c r="BM1148" s="6"/>
      <c r="BN1148" s="6" t="e">
        <f t="shared" si="91"/>
        <v>#DIV/0!</v>
      </c>
    </row>
    <row r="1149" spans="49:66" x14ac:dyDescent="0.3">
      <c r="AW1149">
        <f t="shared" si="90"/>
        <v>0</v>
      </c>
      <c r="AX1149">
        <v>1146</v>
      </c>
      <c r="AY1149" s="4">
        <f t="shared" si="88"/>
        <v>41872</v>
      </c>
      <c r="AZ1149" s="6" t="e">
        <f t="shared" si="89"/>
        <v>#DIV/0!</v>
      </c>
      <c r="BA1149" s="4">
        <v>41872</v>
      </c>
      <c r="BB1149" s="6">
        <v>-0.50275999999999998</v>
      </c>
      <c r="BC1149" s="6">
        <v>-4.3559E-2</v>
      </c>
      <c r="BD1149" s="6">
        <v>0.28843200000000002</v>
      </c>
      <c r="BE1149" s="6"/>
      <c r="BF1149" s="6"/>
      <c r="BG1149" s="6"/>
      <c r="BH1149" s="6"/>
      <c r="BI1149" s="6"/>
      <c r="BJ1149" s="6"/>
      <c r="BK1149" s="6"/>
      <c r="BL1149" s="6"/>
      <c r="BM1149" s="6"/>
      <c r="BN1149" s="6" t="e">
        <f t="shared" si="91"/>
        <v>#DIV/0!</v>
      </c>
    </row>
    <row r="1150" spans="49:66" x14ac:dyDescent="0.3">
      <c r="AW1150">
        <f t="shared" si="90"/>
        <v>0</v>
      </c>
      <c r="AX1150">
        <v>1147</v>
      </c>
      <c r="AY1150" s="4">
        <f t="shared" si="88"/>
        <v>41873</v>
      </c>
      <c r="AZ1150" s="6" t="e">
        <f t="shared" si="89"/>
        <v>#DIV/0!</v>
      </c>
      <c r="BA1150" s="4">
        <v>41873</v>
      </c>
      <c r="BB1150" s="6">
        <v>0.47233799999999998</v>
      </c>
      <c r="BC1150" s="6">
        <v>0.58530400000000005</v>
      </c>
      <c r="BD1150" s="6">
        <v>0.85859099999999999</v>
      </c>
      <c r="BE1150" s="6"/>
      <c r="BF1150" s="6"/>
      <c r="BG1150" s="6"/>
      <c r="BH1150" s="6"/>
      <c r="BI1150" s="6"/>
      <c r="BJ1150" s="6"/>
      <c r="BK1150" s="6"/>
      <c r="BL1150" s="6"/>
      <c r="BM1150" s="6"/>
      <c r="BN1150" s="6" t="e">
        <f t="shared" si="91"/>
        <v>#DIV/0!</v>
      </c>
    </row>
    <row r="1151" spans="49:66" x14ac:dyDescent="0.3">
      <c r="AW1151">
        <f t="shared" si="90"/>
        <v>0</v>
      </c>
      <c r="AX1151">
        <v>1148</v>
      </c>
      <c r="AY1151" s="4">
        <f t="shared" si="88"/>
        <v>41876</v>
      </c>
      <c r="AZ1151" s="6" t="e">
        <f t="shared" si="89"/>
        <v>#DIV/0!</v>
      </c>
      <c r="BA1151" s="4">
        <v>41876</v>
      </c>
      <c r="BB1151" s="6">
        <v>-0.95126999999999995</v>
      </c>
      <c r="BC1151" s="6">
        <v>-0.76541099999999995</v>
      </c>
      <c r="BD1151" s="6">
        <v>-0.71126599999999995</v>
      </c>
      <c r="BE1151" s="6"/>
      <c r="BF1151" s="6"/>
      <c r="BG1151" s="6"/>
      <c r="BH1151" s="6"/>
      <c r="BI1151" s="6"/>
      <c r="BJ1151" s="6"/>
      <c r="BK1151" s="6"/>
      <c r="BL1151" s="6"/>
      <c r="BM1151" s="6"/>
      <c r="BN1151" s="6" t="e">
        <f t="shared" si="91"/>
        <v>#DIV/0!</v>
      </c>
    </row>
    <row r="1152" spans="49:66" x14ac:dyDescent="0.3">
      <c r="AW1152">
        <f t="shared" si="90"/>
        <v>0</v>
      </c>
      <c r="AX1152">
        <v>1149</v>
      </c>
      <c r="AY1152" s="4">
        <f t="shared" si="88"/>
        <v>41877</v>
      </c>
      <c r="AZ1152" s="6" t="e">
        <f t="shared" si="89"/>
        <v>#DIV/0!</v>
      </c>
      <c r="BA1152" s="4">
        <v>41877</v>
      </c>
      <c r="BB1152" s="6">
        <v>-0.80119899999999999</v>
      </c>
      <c r="BC1152" s="6">
        <v>-1.7729330000000001</v>
      </c>
      <c r="BD1152" s="6">
        <v>-1.9730989999999999</v>
      </c>
      <c r="BE1152" s="6"/>
      <c r="BF1152" s="6"/>
      <c r="BG1152" s="6"/>
      <c r="BH1152" s="6"/>
      <c r="BI1152" s="6"/>
      <c r="BJ1152" s="6"/>
      <c r="BK1152" s="6"/>
      <c r="BL1152" s="6"/>
      <c r="BM1152" s="6"/>
      <c r="BN1152" s="6" t="e">
        <f t="shared" si="91"/>
        <v>#DIV/0!</v>
      </c>
    </row>
    <row r="1153" spans="49:66" x14ac:dyDescent="0.3">
      <c r="AW1153">
        <f t="shared" si="90"/>
        <v>0</v>
      </c>
      <c r="AX1153">
        <v>1150</v>
      </c>
      <c r="AY1153" s="4">
        <f t="shared" si="88"/>
        <v>41878</v>
      </c>
      <c r="AZ1153" s="6" t="e">
        <f t="shared" si="89"/>
        <v>#DIV/0!</v>
      </c>
      <c r="BA1153" s="4">
        <v>41878</v>
      </c>
      <c r="BB1153" s="6">
        <v>0.150726</v>
      </c>
      <c r="BC1153" s="6">
        <v>0.30910300000000002</v>
      </c>
      <c r="BD1153" s="6">
        <v>0.552535</v>
      </c>
      <c r="BE1153" s="6"/>
      <c r="BF1153" s="6"/>
      <c r="BG1153" s="6"/>
      <c r="BH1153" s="6"/>
      <c r="BI1153" s="6"/>
      <c r="BJ1153" s="6"/>
      <c r="BK1153" s="6"/>
      <c r="BL1153" s="6"/>
      <c r="BM1153" s="6"/>
      <c r="BN1153" s="6" t="e">
        <f t="shared" si="91"/>
        <v>#DIV/0!</v>
      </c>
    </row>
    <row r="1154" spans="49:66" x14ac:dyDescent="0.3">
      <c r="AW1154">
        <f t="shared" si="90"/>
        <v>0</v>
      </c>
      <c r="AX1154">
        <v>1151</v>
      </c>
      <c r="AY1154" s="4">
        <f t="shared" si="88"/>
        <v>41879</v>
      </c>
      <c r="AZ1154" s="6" t="e">
        <f t="shared" si="89"/>
        <v>#DIV/0!</v>
      </c>
      <c r="BA1154" s="4">
        <v>41879</v>
      </c>
      <c r="BB1154" s="6">
        <v>-0.70102399999999998</v>
      </c>
      <c r="BC1154" s="6">
        <v>-0.89835100000000001</v>
      </c>
      <c r="BD1154" s="6">
        <v>-0.86935099999999998</v>
      </c>
      <c r="BE1154" s="6"/>
      <c r="BF1154" s="6"/>
      <c r="BG1154" s="6"/>
      <c r="BH1154" s="6"/>
      <c r="BI1154" s="6"/>
      <c r="BJ1154" s="6"/>
      <c r="BK1154" s="6"/>
      <c r="BL1154" s="6"/>
      <c r="BM1154" s="6"/>
      <c r="BN1154" s="6" t="e">
        <f t="shared" si="91"/>
        <v>#DIV/0!</v>
      </c>
    </row>
    <row r="1155" spans="49:66" x14ac:dyDescent="0.3">
      <c r="AW1155">
        <f t="shared" si="90"/>
        <v>0</v>
      </c>
      <c r="AX1155">
        <v>1152</v>
      </c>
      <c r="AY1155" s="4">
        <f t="shared" si="88"/>
        <v>41880</v>
      </c>
      <c r="AZ1155" s="6" t="e">
        <f t="shared" si="89"/>
        <v>#DIV/0!</v>
      </c>
      <c r="BA1155" s="4">
        <v>41880</v>
      </c>
      <c r="BB1155" s="6">
        <v>1.168574</v>
      </c>
      <c r="BC1155" s="6">
        <v>1.058657</v>
      </c>
      <c r="BD1155" s="6">
        <v>1.151718</v>
      </c>
      <c r="BE1155" s="6"/>
      <c r="BF1155" s="6"/>
      <c r="BG1155" s="6"/>
      <c r="BH1155" s="6"/>
      <c r="BI1155" s="6"/>
      <c r="BJ1155" s="6"/>
      <c r="BK1155" s="6"/>
      <c r="BL1155" s="6"/>
      <c r="BM1155" s="6"/>
      <c r="BN1155" s="6" t="e">
        <f t="shared" si="91"/>
        <v>#DIV/0!</v>
      </c>
    </row>
    <row r="1156" spans="49:66" x14ac:dyDescent="0.3">
      <c r="AW1156">
        <f t="shared" si="90"/>
        <v>0</v>
      </c>
      <c r="AX1156">
        <v>1153</v>
      </c>
      <c r="AY1156" s="4">
        <f t="shared" si="88"/>
        <v>41883</v>
      </c>
      <c r="AZ1156" s="6" t="e">
        <f t="shared" si="89"/>
        <v>#DIV/0!</v>
      </c>
      <c r="BA1156" s="4">
        <v>41883</v>
      </c>
      <c r="BB1156" s="6">
        <v>0.72831100000000004</v>
      </c>
      <c r="BC1156" s="6">
        <v>1.7968649999999999</v>
      </c>
      <c r="BD1156" s="6">
        <v>1.8720650000000001</v>
      </c>
      <c r="BE1156" s="6"/>
      <c r="BF1156" s="6"/>
      <c r="BG1156" s="6"/>
      <c r="BH1156" s="6"/>
      <c r="BI1156" s="6"/>
      <c r="BJ1156" s="6"/>
      <c r="BK1156" s="6"/>
      <c r="BL1156" s="6"/>
      <c r="BM1156" s="6"/>
      <c r="BN1156" s="6" t="e">
        <f t="shared" si="91"/>
        <v>#DIV/0!</v>
      </c>
    </row>
    <row r="1157" spans="49:66" x14ac:dyDescent="0.3">
      <c r="AW1157">
        <f t="shared" si="90"/>
        <v>0</v>
      </c>
      <c r="AX1157">
        <v>1154</v>
      </c>
      <c r="AY1157" s="4">
        <f t="shared" ref="AY1157:AY1220" si="92">BA1157</f>
        <v>41884</v>
      </c>
      <c r="AZ1157" s="6" t="e">
        <f t="shared" ref="AZ1157:AZ1220" si="93">BN1157</f>
        <v>#DIV/0!</v>
      </c>
      <c r="BA1157" s="4">
        <v>41884</v>
      </c>
      <c r="BB1157" s="6">
        <v>1.3222419999999999</v>
      </c>
      <c r="BC1157" s="6">
        <v>1.523658</v>
      </c>
      <c r="BD1157" s="6">
        <v>1.4826600000000001</v>
      </c>
      <c r="BE1157" s="6"/>
      <c r="BF1157" s="6"/>
      <c r="BG1157" s="6"/>
      <c r="BH1157" s="6"/>
      <c r="BI1157" s="6"/>
      <c r="BJ1157" s="6"/>
      <c r="BK1157" s="6"/>
      <c r="BL1157" s="6"/>
      <c r="BM1157" s="6"/>
      <c r="BN1157" s="6" t="e">
        <f t="shared" si="91"/>
        <v>#DIV/0!</v>
      </c>
    </row>
    <row r="1158" spans="49:66" x14ac:dyDescent="0.3">
      <c r="AW1158">
        <f t="shared" ref="AW1158:AW1221" si="94">IF(AY1158&lt;=AY1157,1,0)</f>
        <v>0</v>
      </c>
      <c r="AX1158">
        <v>1155</v>
      </c>
      <c r="AY1158" s="4">
        <f t="shared" si="92"/>
        <v>41885</v>
      </c>
      <c r="AZ1158" s="6" t="e">
        <f t="shared" si="93"/>
        <v>#DIV/0!</v>
      </c>
      <c r="BA1158" s="4">
        <v>41885</v>
      </c>
      <c r="BB1158" s="6">
        <v>0.93770699999999996</v>
      </c>
      <c r="BC1158" s="6">
        <v>0.70883200000000002</v>
      </c>
      <c r="BD1158" s="6">
        <v>0.78620299999999999</v>
      </c>
      <c r="BE1158" s="6"/>
      <c r="BF1158" s="6"/>
      <c r="BG1158" s="6"/>
      <c r="BH1158" s="6"/>
      <c r="BI1158" s="6"/>
      <c r="BJ1158" s="6"/>
      <c r="BK1158" s="6"/>
      <c r="BL1158" s="6"/>
      <c r="BM1158" s="6"/>
      <c r="BN1158" s="6" t="e">
        <f t="shared" ref="BN1158:BN1221" si="95">(BM1158/BM1157-1)*100</f>
        <v>#DIV/0!</v>
      </c>
    </row>
    <row r="1159" spans="49:66" x14ac:dyDescent="0.3">
      <c r="AW1159">
        <f t="shared" si="94"/>
        <v>0</v>
      </c>
      <c r="AX1159">
        <v>1156</v>
      </c>
      <c r="AY1159" s="4">
        <f t="shared" si="92"/>
        <v>41886</v>
      </c>
      <c r="AZ1159" s="6" t="e">
        <f t="shared" si="93"/>
        <v>#DIV/0!</v>
      </c>
      <c r="BA1159" s="4">
        <v>41886</v>
      </c>
      <c r="BB1159" s="6">
        <v>0.72175900000000004</v>
      </c>
      <c r="BC1159" s="6">
        <v>0.85339100000000001</v>
      </c>
      <c r="BD1159" s="6">
        <v>0.98346100000000003</v>
      </c>
      <c r="BE1159" s="6"/>
      <c r="BF1159" s="6"/>
      <c r="BG1159" s="6"/>
      <c r="BH1159" s="6"/>
      <c r="BI1159" s="6"/>
      <c r="BJ1159" s="6"/>
      <c r="BK1159" s="6"/>
      <c r="BL1159" s="6"/>
      <c r="BM1159" s="6"/>
      <c r="BN1159" s="6" t="e">
        <f t="shared" si="95"/>
        <v>#DIV/0!</v>
      </c>
    </row>
    <row r="1160" spans="49:66" x14ac:dyDescent="0.3">
      <c r="AW1160">
        <f t="shared" si="94"/>
        <v>0</v>
      </c>
      <c r="AX1160">
        <v>1157</v>
      </c>
      <c r="AY1160" s="4">
        <f t="shared" si="92"/>
        <v>41887</v>
      </c>
      <c r="AZ1160" s="6" t="e">
        <f t="shared" si="93"/>
        <v>#DIV/0!</v>
      </c>
      <c r="BA1160" s="4">
        <v>41887</v>
      </c>
      <c r="BB1160" s="6">
        <v>0.94941799999999998</v>
      </c>
      <c r="BC1160" s="6">
        <v>0.399924</v>
      </c>
      <c r="BD1160" s="6">
        <v>0.32512400000000002</v>
      </c>
      <c r="BE1160" s="6"/>
      <c r="BF1160" s="6"/>
      <c r="BG1160" s="6"/>
      <c r="BH1160" s="6"/>
      <c r="BI1160" s="6"/>
      <c r="BJ1160" s="6"/>
      <c r="BK1160" s="6"/>
      <c r="BL1160" s="6"/>
      <c r="BM1160" s="6"/>
      <c r="BN1160" s="6" t="e">
        <f t="shared" si="95"/>
        <v>#DIV/0!</v>
      </c>
    </row>
    <row r="1161" spans="49:66" x14ac:dyDescent="0.3">
      <c r="AW1161">
        <f t="shared" si="94"/>
        <v>0</v>
      </c>
      <c r="AX1161">
        <v>1158</v>
      </c>
      <c r="AY1161" s="4">
        <f t="shared" si="92"/>
        <v>41891</v>
      </c>
      <c r="AZ1161" s="6" t="e">
        <f t="shared" si="93"/>
        <v>#DIV/0!</v>
      </c>
      <c r="BA1161" s="4">
        <v>41891</v>
      </c>
      <c r="BB1161" s="6">
        <v>-0.164744</v>
      </c>
      <c r="BC1161" s="6">
        <v>0.754853</v>
      </c>
      <c r="BD1161" s="6">
        <v>0.612425</v>
      </c>
      <c r="BE1161" s="6"/>
      <c r="BF1161" s="6"/>
      <c r="BG1161" s="6"/>
      <c r="BH1161" s="6"/>
      <c r="BI1161" s="6"/>
      <c r="BJ1161" s="6"/>
      <c r="BK1161" s="6"/>
      <c r="BL1161" s="6"/>
      <c r="BM1161" s="6"/>
      <c r="BN1161" s="6" t="e">
        <f t="shared" si="95"/>
        <v>#DIV/0!</v>
      </c>
    </row>
    <row r="1162" spans="49:66" x14ac:dyDescent="0.3">
      <c r="AW1162">
        <f t="shared" si="94"/>
        <v>0</v>
      </c>
      <c r="AX1162">
        <v>1159</v>
      </c>
      <c r="AY1162" s="4">
        <f t="shared" si="92"/>
        <v>41892</v>
      </c>
      <c r="AZ1162" s="6" t="e">
        <f t="shared" si="93"/>
        <v>#DIV/0!</v>
      </c>
      <c r="BA1162" s="4">
        <v>41892</v>
      </c>
      <c r="BB1162" s="6">
        <v>-0.52310100000000004</v>
      </c>
      <c r="BC1162" s="6">
        <v>0.174618</v>
      </c>
      <c r="BD1162" s="6">
        <v>0.68737199999999998</v>
      </c>
      <c r="BE1162" s="6"/>
      <c r="BF1162" s="6"/>
      <c r="BG1162" s="6"/>
      <c r="BH1162" s="6"/>
      <c r="BI1162" s="6"/>
      <c r="BJ1162" s="6"/>
      <c r="BK1162" s="6"/>
      <c r="BL1162" s="6"/>
      <c r="BM1162" s="6"/>
      <c r="BN1162" s="6" t="e">
        <f t="shared" si="95"/>
        <v>#DIV/0!</v>
      </c>
    </row>
    <row r="1163" spans="49:66" x14ac:dyDescent="0.3">
      <c r="AW1163">
        <f t="shared" si="94"/>
        <v>0</v>
      </c>
      <c r="AX1163">
        <v>1160</v>
      </c>
      <c r="AY1163" s="4">
        <f t="shared" si="92"/>
        <v>41893</v>
      </c>
      <c r="AZ1163" s="6" t="e">
        <f t="shared" si="93"/>
        <v>#DIV/0!</v>
      </c>
      <c r="BA1163" s="4">
        <v>41893</v>
      </c>
      <c r="BB1163" s="6">
        <v>-0.36913699999999999</v>
      </c>
      <c r="BC1163" s="6">
        <v>-0.105459</v>
      </c>
      <c r="BD1163" s="6">
        <v>-0.126745</v>
      </c>
      <c r="BE1163" s="6"/>
      <c r="BF1163" s="6"/>
      <c r="BG1163" s="6"/>
      <c r="BH1163" s="6"/>
      <c r="BI1163" s="6"/>
      <c r="BJ1163" s="6"/>
      <c r="BK1163" s="6"/>
      <c r="BL1163" s="6"/>
      <c r="BM1163" s="6"/>
      <c r="BN1163" s="6" t="e">
        <f t="shared" si="95"/>
        <v>#DIV/0!</v>
      </c>
    </row>
    <row r="1164" spans="49:66" x14ac:dyDescent="0.3">
      <c r="AW1164">
        <f t="shared" si="94"/>
        <v>0</v>
      </c>
      <c r="AX1164">
        <v>1161</v>
      </c>
      <c r="AY1164" s="4">
        <f t="shared" si="92"/>
        <v>41894</v>
      </c>
      <c r="AZ1164" s="6" t="e">
        <f t="shared" si="93"/>
        <v>#DIV/0!</v>
      </c>
      <c r="BA1164" s="4">
        <v>41894</v>
      </c>
      <c r="BB1164" s="6">
        <v>0.61499000000000004</v>
      </c>
      <c r="BC1164" s="6">
        <v>1.10537</v>
      </c>
      <c r="BD1164" s="6">
        <v>1.2447109999999999</v>
      </c>
      <c r="BE1164" s="6"/>
      <c r="BF1164" s="6"/>
      <c r="BG1164" s="6"/>
      <c r="BH1164" s="6"/>
      <c r="BI1164" s="6"/>
      <c r="BJ1164" s="6"/>
      <c r="BK1164" s="6"/>
      <c r="BL1164" s="6"/>
      <c r="BM1164" s="6"/>
      <c r="BN1164" s="6" t="e">
        <f t="shared" si="95"/>
        <v>#DIV/0!</v>
      </c>
    </row>
    <row r="1165" spans="49:66" x14ac:dyDescent="0.3">
      <c r="AW1165">
        <f t="shared" si="94"/>
        <v>0</v>
      </c>
      <c r="AX1165">
        <v>1162</v>
      </c>
      <c r="AY1165" s="4">
        <f t="shared" si="92"/>
        <v>41897</v>
      </c>
      <c r="AZ1165" s="6" t="e">
        <f t="shared" si="93"/>
        <v>#DIV/0!</v>
      </c>
      <c r="BA1165" s="4">
        <v>41897</v>
      </c>
      <c r="BB1165" s="6">
        <v>-4.7941999999999999E-2</v>
      </c>
      <c r="BC1165" s="6">
        <v>1.063833</v>
      </c>
      <c r="BD1165" s="6">
        <v>1.0252520000000001</v>
      </c>
      <c r="BE1165" s="6"/>
      <c r="BF1165" s="6"/>
      <c r="BG1165" s="6"/>
      <c r="BH1165" s="6"/>
      <c r="BI1165" s="6"/>
      <c r="BJ1165" s="6"/>
      <c r="BK1165" s="6"/>
      <c r="BL1165" s="6"/>
      <c r="BM1165" s="6"/>
      <c r="BN1165" s="6" t="e">
        <f t="shared" si="95"/>
        <v>#DIV/0!</v>
      </c>
    </row>
    <row r="1166" spans="49:66" x14ac:dyDescent="0.3">
      <c r="AW1166">
        <f t="shared" si="94"/>
        <v>0</v>
      </c>
      <c r="AX1166">
        <v>1163</v>
      </c>
      <c r="AY1166" s="4">
        <f t="shared" si="92"/>
        <v>41898</v>
      </c>
      <c r="AZ1166" s="6" t="e">
        <f t="shared" si="93"/>
        <v>#DIV/0!</v>
      </c>
      <c r="BA1166" s="4">
        <v>41898</v>
      </c>
      <c r="BB1166" s="6">
        <v>-1.9868790000000001</v>
      </c>
      <c r="BC1166" s="6">
        <v>-3.3698830000000002</v>
      </c>
      <c r="BD1166" s="6">
        <v>-3.4519009999999999</v>
      </c>
      <c r="BE1166" s="6"/>
      <c r="BF1166" s="6"/>
      <c r="BG1166" s="6"/>
      <c r="BH1166" s="6"/>
      <c r="BI1166" s="6"/>
      <c r="BJ1166" s="6"/>
      <c r="BK1166" s="6"/>
      <c r="BL1166" s="6"/>
      <c r="BM1166" s="6"/>
      <c r="BN1166" s="6" t="e">
        <f t="shared" si="95"/>
        <v>#DIV/0!</v>
      </c>
    </row>
    <row r="1167" spans="49:66" x14ac:dyDescent="0.3">
      <c r="AW1167">
        <f t="shared" si="94"/>
        <v>0</v>
      </c>
      <c r="AX1167">
        <v>1164</v>
      </c>
      <c r="AY1167" s="4">
        <f t="shared" si="92"/>
        <v>41899</v>
      </c>
      <c r="AZ1167" s="6" t="e">
        <f t="shared" si="93"/>
        <v>#DIV/0!</v>
      </c>
      <c r="BA1167" s="4">
        <v>41899</v>
      </c>
      <c r="BB1167" s="6">
        <v>0.525837</v>
      </c>
      <c r="BC1167" s="6">
        <v>0.87182400000000004</v>
      </c>
      <c r="BD1167" s="6">
        <v>0.70220499999999997</v>
      </c>
      <c r="BE1167" s="6"/>
      <c r="BF1167" s="6"/>
      <c r="BG1167" s="6"/>
      <c r="BH1167" s="6"/>
      <c r="BI1167" s="6"/>
      <c r="BJ1167" s="6"/>
      <c r="BK1167" s="6"/>
      <c r="BL1167" s="6"/>
      <c r="BM1167" s="6"/>
      <c r="BN1167" s="6" t="e">
        <f t="shared" si="95"/>
        <v>#DIV/0!</v>
      </c>
    </row>
    <row r="1168" spans="49:66" x14ac:dyDescent="0.3">
      <c r="AW1168">
        <f t="shared" si="94"/>
        <v>0</v>
      </c>
      <c r="AX1168">
        <v>1165</v>
      </c>
      <c r="AY1168" s="4">
        <f t="shared" si="92"/>
        <v>41900</v>
      </c>
      <c r="AZ1168" s="6" t="e">
        <f t="shared" si="93"/>
        <v>#DIV/0!</v>
      </c>
      <c r="BA1168" s="4">
        <v>41900</v>
      </c>
      <c r="BB1168" s="6">
        <v>0.30558099999999999</v>
      </c>
      <c r="BC1168" s="6">
        <v>0.703407</v>
      </c>
      <c r="BD1168" s="6">
        <v>0.79418299999999997</v>
      </c>
      <c r="BE1168" s="6"/>
      <c r="BF1168" s="6"/>
      <c r="BG1168" s="6"/>
      <c r="BH1168" s="6"/>
      <c r="BI1168" s="6"/>
      <c r="BJ1168" s="6"/>
      <c r="BK1168" s="6"/>
      <c r="BL1168" s="6"/>
      <c r="BM1168" s="6"/>
      <c r="BN1168" s="6" t="e">
        <f t="shared" si="95"/>
        <v>#DIV/0!</v>
      </c>
    </row>
    <row r="1169" spans="49:66" x14ac:dyDescent="0.3">
      <c r="AW1169">
        <f t="shared" si="94"/>
        <v>0</v>
      </c>
      <c r="AX1169">
        <v>1166</v>
      </c>
      <c r="AY1169" s="4">
        <f t="shared" si="92"/>
        <v>41901</v>
      </c>
      <c r="AZ1169" s="6" t="e">
        <f t="shared" si="93"/>
        <v>#DIV/0!</v>
      </c>
      <c r="BA1169" s="4">
        <v>41901</v>
      </c>
      <c r="BB1169" s="6">
        <v>0.68697799999999998</v>
      </c>
      <c r="BC1169" s="6">
        <v>0.84165999999999996</v>
      </c>
      <c r="BD1169" s="6">
        <v>1.1436109999999999</v>
      </c>
      <c r="BE1169" s="6"/>
      <c r="BF1169" s="6"/>
      <c r="BG1169" s="6"/>
      <c r="BH1169" s="6"/>
      <c r="BI1169" s="6"/>
      <c r="BJ1169" s="6"/>
      <c r="BK1169" s="6"/>
      <c r="BL1169" s="6"/>
      <c r="BM1169" s="6"/>
      <c r="BN1169" s="6" t="e">
        <f t="shared" si="95"/>
        <v>#DIV/0!</v>
      </c>
    </row>
    <row r="1170" spans="49:66" x14ac:dyDescent="0.3">
      <c r="AW1170">
        <f t="shared" si="94"/>
        <v>0</v>
      </c>
      <c r="AX1170">
        <v>1167</v>
      </c>
      <c r="AY1170" s="4">
        <f t="shared" si="92"/>
        <v>41904</v>
      </c>
      <c r="AZ1170" s="6" t="e">
        <f t="shared" si="93"/>
        <v>#DIV/0!</v>
      </c>
      <c r="BA1170" s="4">
        <v>41904</v>
      </c>
      <c r="BB1170" s="6">
        <v>-1.908741</v>
      </c>
      <c r="BC1170" s="6">
        <v>-1.355362</v>
      </c>
      <c r="BD1170" s="6">
        <v>-0.84174099999999996</v>
      </c>
      <c r="BE1170" s="6"/>
      <c r="BF1170" s="6"/>
      <c r="BG1170" s="6"/>
      <c r="BH1170" s="6"/>
      <c r="BI1170" s="6"/>
      <c r="BJ1170" s="6"/>
      <c r="BK1170" s="6"/>
      <c r="BL1170" s="6"/>
      <c r="BM1170" s="6"/>
      <c r="BN1170" s="6" t="e">
        <f t="shared" si="95"/>
        <v>#DIV/0!</v>
      </c>
    </row>
    <row r="1171" spans="49:66" x14ac:dyDescent="0.3">
      <c r="AW1171">
        <f t="shared" si="94"/>
        <v>0</v>
      </c>
      <c r="AX1171">
        <v>1168</v>
      </c>
      <c r="AY1171" s="4">
        <f t="shared" si="92"/>
        <v>41905</v>
      </c>
      <c r="AZ1171" s="6" t="e">
        <f t="shared" si="93"/>
        <v>#DIV/0!</v>
      </c>
      <c r="BA1171" s="4">
        <v>41905</v>
      </c>
      <c r="BB1171" s="6">
        <v>0.86350099999999996</v>
      </c>
      <c r="BC1171" s="6">
        <v>1.283342</v>
      </c>
      <c r="BD1171" s="6">
        <v>1.4514100000000001</v>
      </c>
      <c r="BE1171" s="6"/>
      <c r="BF1171" s="6"/>
      <c r="BG1171" s="6"/>
      <c r="BH1171" s="6"/>
      <c r="BI1171" s="6"/>
      <c r="BJ1171" s="6"/>
      <c r="BK1171" s="6"/>
      <c r="BL1171" s="6"/>
      <c r="BM1171" s="6"/>
      <c r="BN1171" s="6" t="e">
        <f t="shared" si="95"/>
        <v>#DIV/0!</v>
      </c>
    </row>
    <row r="1172" spans="49:66" x14ac:dyDescent="0.3">
      <c r="AW1172">
        <f t="shared" si="94"/>
        <v>0</v>
      </c>
      <c r="AX1172">
        <v>1169</v>
      </c>
      <c r="AY1172" s="4">
        <f t="shared" si="92"/>
        <v>41906</v>
      </c>
      <c r="AZ1172" s="6" t="e">
        <f t="shared" si="93"/>
        <v>#DIV/0!</v>
      </c>
      <c r="BA1172" s="4">
        <v>41906</v>
      </c>
      <c r="BB1172" s="6">
        <v>1.7671460000000001</v>
      </c>
      <c r="BC1172" s="6">
        <v>1.288008</v>
      </c>
      <c r="BD1172" s="6">
        <v>1.3374729999999999</v>
      </c>
      <c r="BE1172" s="6"/>
      <c r="BF1172" s="6"/>
      <c r="BG1172" s="6"/>
      <c r="BH1172" s="6"/>
      <c r="BI1172" s="6"/>
      <c r="BJ1172" s="6"/>
      <c r="BK1172" s="6"/>
      <c r="BL1172" s="6"/>
      <c r="BM1172" s="6"/>
      <c r="BN1172" s="6" t="e">
        <f t="shared" si="95"/>
        <v>#DIV/0!</v>
      </c>
    </row>
    <row r="1173" spans="49:66" x14ac:dyDescent="0.3">
      <c r="AW1173">
        <f t="shared" si="94"/>
        <v>0</v>
      </c>
      <c r="AX1173">
        <v>1170</v>
      </c>
      <c r="AY1173" s="4">
        <f t="shared" si="92"/>
        <v>41907</v>
      </c>
      <c r="AZ1173" s="6" t="e">
        <f t="shared" si="93"/>
        <v>#DIV/0!</v>
      </c>
      <c r="BA1173" s="4">
        <v>41907</v>
      </c>
      <c r="BB1173" s="6">
        <v>-0.200625</v>
      </c>
      <c r="BC1173" s="6">
        <v>-2.0246E-2</v>
      </c>
      <c r="BD1173" s="6">
        <v>9.5785999999999996E-2</v>
      </c>
      <c r="BE1173" s="6"/>
      <c r="BF1173" s="6"/>
      <c r="BG1173" s="6"/>
      <c r="BH1173" s="6"/>
      <c r="BI1173" s="6"/>
      <c r="BJ1173" s="6"/>
      <c r="BK1173" s="6"/>
      <c r="BL1173" s="6"/>
      <c r="BM1173" s="6"/>
      <c r="BN1173" s="6" t="e">
        <f t="shared" si="95"/>
        <v>#DIV/0!</v>
      </c>
    </row>
    <row r="1174" spans="49:66" x14ac:dyDescent="0.3">
      <c r="AW1174">
        <f t="shared" si="94"/>
        <v>0</v>
      </c>
      <c r="AX1174">
        <v>1171</v>
      </c>
      <c r="AY1174" s="4">
        <f t="shared" si="92"/>
        <v>41908</v>
      </c>
      <c r="AZ1174" s="6" t="e">
        <f t="shared" si="93"/>
        <v>#DIV/0!</v>
      </c>
      <c r="BA1174" s="4">
        <v>41908</v>
      </c>
      <c r="BB1174" s="6">
        <v>9.6839999999999999E-3</v>
      </c>
      <c r="BC1174" s="6">
        <v>0.31569799999999998</v>
      </c>
      <c r="BD1174" s="6">
        <v>0.42693700000000001</v>
      </c>
      <c r="BE1174" s="6"/>
      <c r="BF1174" s="6"/>
      <c r="BG1174" s="6"/>
      <c r="BH1174" s="6"/>
      <c r="BI1174" s="6"/>
      <c r="BJ1174" s="6"/>
      <c r="BK1174" s="6"/>
      <c r="BL1174" s="6"/>
      <c r="BM1174" s="6"/>
      <c r="BN1174" s="6" t="e">
        <f t="shared" si="95"/>
        <v>#DIV/0!</v>
      </c>
    </row>
    <row r="1175" spans="49:66" x14ac:dyDescent="0.3">
      <c r="AW1175">
        <f t="shared" si="94"/>
        <v>0</v>
      </c>
      <c r="AX1175">
        <v>1172</v>
      </c>
      <c r="AY1175" s="4">
        <f t="shared" si="92"/>
        <v>41911</v>
      </c>
      <c r="AZ1175" s="6" t="e">
        <f t="shared" si="93"/>
        <v>#DIV/0!</v>
      </c>
      <c r="BA1175" s="4">
        <v>41911</v>
      </c>
      <c r="BB1175" s="6">
        <v>0.43484299999999998</v>
      </c>
      <c r="BC1175" s="6">
        <v>0.98345000000000005</v>
      </c>
      <c r="BD1175" s="6">
        <v>1.0746830000000001</v>
      </c>
      <c r="BE1175" s="6"/>
      <c r="BF1175" s="6"/>
      <c r="BG1175" s="6"/>
      <c r="BH1175" s="6"/>
      <c r="BI1175" s="6"/>
      <c r="BJ1175" s="6"/>
      <c r="BK1175" s="6"/>
      <c r="BL1175" s="6"/>
      <c r="BM1175" s="6"/>
      <c r="BN1175" s="6" t="e">
        <f t="shared" si="95"/>
        <v>#DIV/0!</v>
      </c>
    </row>
    <row r="1176" spans="49:66" x14ac:dyDescent="0.3">
      <c r="AW1176">
        <f t="shared" si="94"/>
        <v>0</v>
      </c>
      <c r="AX1176">
        <v>1173</v>
      </c>
      <c r="AY1176" s="4">
        <f t="shared" si="92"/>
        <v>41912</v>
      </c>
      <c r="AZ1176" s="6" t="e">
        <f t="shared" si="93"/>
        <v>#DIV/0!</v>
      </c>
      <c r="BA1176" s="4">
        <v>41912</v>
      </c>
      <c r="BB1176" s="6">
        <v>0.13028000000000001</v>
      </c>
      <c r="BC1176" s="6">
        <v>0.79312199999999999</v>
      </c>
      <c r="BD1176" s="6">
        <v>0.77362299999999995</v>
      </c>
      <c r="BE1176" s="6"/>
      <c r="BF1176" s="6"/>
      <c r="BG1176" s="6"/>
      <c r="BH1176" s="6"/>
      <c r="BI1176" s="6"/>
      <c r="BJ1176" s="6"/>
      <c r="BK1176" s="6"/>
      <c r="BL1176" s="6"/>
      <c r="BM1176" s="6"/>
      <c r="BN1176" s="6" t="e">
        <f t="shared" si="95"/>
        <v>#DIV/0!</v>
      </c>
    </row>
    <row r="1177" spans="49:66" x14ac:dyDescent="0.3">
      <c r="AW1177">
        <f t="shared" si="94"/>
        <v>0</v>
      </c>
      <c r="AX1177">
        <v>1174</v>
      </c>
      <c r="AY1177" s="4">
        <f t="shared" si="92"/>
        <v>41920</v>
      </c>
      <c r="AZ1177" s="6" t="e">
        <f t="shared" si="93"/>
        <v>#DIV/0!</v>
      </c>
      <c r="BA1177" s="4">
        <v>41920</v>
      </c>
      <c r="BB1177" s="6">
        <v>1.117713</v>
      </c>
      <c r="BC1177" s="6">
        <v>1.574657</v>
      </c>
      <c r="BD1177" s="6">
        <v>1.4335580000000001</v>
      </c>
      <c r="BE1177" s="6"/>
      <c r="BF1177" s="6"/>
      <c r="BG1177" s="6"/>
      <c r="BH1177" s="6"/>
      <c r="BI1177" s="6"/>
      <c r="BJ1177" s="6"/>
      <c r="BK1177" s="6"/>
      <c r="BL1177" s="6"/>
      <c r="BM1177" s="6"/>
      <c r="BN1177" s="6" t="e">
        <f t="shared" si="95"/>
        <v>#DIV/0!</v>
      </c>
    </row>
    <row r="1178" spans="49:66" x14ac:dyDescent="0.3">
      <c r="AW1178">
        <f t="shared" si="94"/>
        <v>0</v>
      </c>
      <c r="AX1178">
        <v>1175</v>
      </c>
      <c r="AY1178" s="4">
        <f t="shared" si="92"/>
        <v>41921</v>
      </c>
      <c r="AZ1178" s="6" t="e">
        <f t="shared" si="93"/>
        <v>#DIV/0!</v>
      </c>
      <c r="BA1178" s="4">
        <v>41921</v>
      </c>
      <c r="BB1178" s="6">
        <v>0.144126</v>
      </c>
      <c r="BC1178" s="6">
        <v>0.209671</v>
      </c>
      <c r="BD1178" s="6">
        <v>0.37477300000000002</v>
      </c>
      <c r="BE1178" s="6"/>
      <c r="BF1178" s="6"/>
      <c r="BG1178" s="6"/>
      <c r="BH1178" s="6"/>
      <c r="BI1178" s="6"/>
      <c r="BJ1178" s="6"/>
      <c r="BK1178" s="6"/>
      <c r="BL1178" s="6"/>
      <c r="BM1178" s="6"/>
      <c r="BN1178" s="6" t="e">
        <f t="shared" si="95"/>
        <v>#DIV/0!</v>
      </c>
    </row>
    <row r="1179" spans="49:66" x14ac:dyDescent="0.3">
      <c r="AW1179">
        <f t="shared" si="94"/>
        <v>0</v>
      </c>
      <c r="AX1179">
        <v>1176</v>
      </c>
      <c r="AY1179" s="4">
        <f t="shared" si="92"/>
        <v>41922</v>
      </c>
      <c r="AZ1179" s="6" t="e">
        <f t="shared" si="93"/>
        <v>#DIV/0!</v>
      </c>
      <c r="BA1179" s="4">
        <v>41922</v>
      </c>
      <c r="BB1179" s="6">
        <v>-0.61105100000000001</v>
      </c>
      <c r="BC1179" s="6">
        <v>-0.442606</v>
      </c>
      <c r="BD1179" s="6">
        <v>-0.34118500000000002</v>
      </c>
      <c r="BE1179" s="6"/>
      <c r="BF1179" s="6"/>
      <c r="BG1179" s="6"/>
      <c r="BH1179" s="6"/>
      <c r="BI1179" s="6"/>
      <c r="BJ1179" s="6"/>
      <c r="BK1179" s="6"/>
      <c r="BL1179" s="6"/>
      <c r="BM1179" s="6"/>
      <c r="BN1179" s="6" t="e">
        <f t="shared" si="95"/>
        <v>#DIV/0!</v>
      </c>
    </row>
    <row r="1180" spans="49:66" x14ac:dyDescent="0.3">
      <c r="AW1180">
        <f t="shared" si="94"/>
        <v>0</v>
      </c>
      <c r="AX1180">
        <v>1177</v>
      </c>
      <c r="AY1180" s="4">
        <f t="shared" si="92"/>
        <v>41925</v>
      </c>
      <c r="AZ1180" s="6" t="e">
        <f t="shared" si="93"/>
        <v>#DIV/0!</v>
      </c>
      <c r="BA1180" s="4">
        <v>41925</v>
      </c>
      <c r="BB1180" s="6">
        <v>-0.48009800000000002</v>
      </c>
      <c r="BC1180" s="6">
        <v>1.6619999999999999E-2</v>
      </c>
      <c r="BD1180" s="6">
        <v>-4.9699999999999996E-3</v>
      </c>
      <c r="BE1180" s="6"/>
      <c r="BF1180" s="6"/>
      <c r="BG1180" s="6"/>
      <c r="BH1180" s="6"/>
      <c r="BI1180" s="6"/>
      <c r="BJ1180" s="6"/>
      <c r="BK1180" s="6"/>
      <c r="BL1180" s="6"/>
      <c r="BM1180" s="6"/>
      <c r="BN1180" s="6" t="e">
        <f t="shared" si="95"/>
        <v>#DIV/0!</v>
      </c>
    </row>
    <row r="1181" spans="49:66" x14ac:dyDescent="0.3">
      <c r="AW1181">
        <f t="shared" si="94"/>
        <v>0</v>
      </c>
      <c r="AX1181">
        <v>1178</v>
      </c>
      <c r="AY1181" s="4">
        <f t="shared" si="92"/>
        <v>41926</v>
      </c>
      <c r="AZ1181" s="6" t="e">
        <f t="shared" si="93"/>
        <v>#DIV/0!</v>
      </c>
      <c r="BA1181" s="4">
        <v>41926</v>
      </c>
      <c r="BB1181" s="6">
        <v>-0.34151500000000001</v>
      </c>
      <c r="BC1181" s="6">
        <v>-0.33311400000000002</v>
      </c>
      <c r="BD1181" s="6">
        <v>-0.20383899999999999</v>
      </c>
      <c r="BE1181" s="6"/>
      <c r="BF1181" s="6"/>
      <c r="BG1181" s="6"/>
      <c r="BH1181" s="6"/>
      <c r="BI1181" s="6"/>
      <c r="BJ1181" s="6"/>
      <c r="BK1181" s="6"/>
      <c r="BL1181" s="6"/>
      <c r="BM1181" s="6"/>
      <c r="BN1181" s="6" t="e">
        <f t="shared" si="95"/>
        <v>#DIV/0!</v>
      </c>
    </row>
    <row r="1182" spans="49:66" x14ac:dyDescent="0.3">
      <c r="AW1182">
        <f t="shared" si="94"/>
        <v>0</v>
      </c>
      <c r="AX1182">
        <v>1179</v>
      </c>
      <c r="AY1182" s="4">
        <f t="shared" si="92"/>
        <v>41927</v>
      </c>
      <c r="AZ1182" s="6" t="e">
        <f t="shared" si="93"/>
        <v>#DIV/0!</v>
      </c>
      <c r="BA1182" s="4">
        <v>41927</v>
      </c>
      <c r="BB1182" s="6">
        <v>0.70760500000000004</v>
      </c>
      <c r="BC1182" s="6">
        <v>0.43543399999999999</v>
      </c>
      <c r="BD1182" s="6">
        <v>0.30299799999999999</v>
      </c>
      <c r="BE1182" s="6"/>
      <c r="BF1182" s="6"/>
      <c r="BG1182" s="6"/>
      <c r="BH1182" s="6"/>
      <c r="BI1182" s="6"/>
      <c r="BJ1182" s="6"/>
      <c r="BK1182" s="6"/>
      <c r="BL1182" s="6"/>
      <c r="BM1182" s="6"/>
      <c r="BN1182" s="6" t="e">
        <f t="shared" si="95"/>
        <v>#DIV/0!</v>
      </c>
    </row>
    <row r="1183" spans="49:66" x14ac:dyDescent="0.3">
      <c r="AW1183">
        <f t="shared" si="94"/>
        <v>0</v>
      </c>
      <c r="AX1183">
        <v>1180</v>
      </c>
      <c r="AY1183" s="4">
        <f t="shared" si="92"/>
        <v>41928</v>
      </c>
      <c r="AZ1183" s="6" t="e">
        <f t="shared" si="93"/>
        <v>#DIV/0!</v>
      </c>
      <c r="BA1183" s="4">
        <v>41928</v>
      </c>
      <c r="BB1183" s="6">
        <v>-0.79058399999999995</v>
      </c>
      <c r="BC1183" s="6">
        <v>-1.633276</v>
      </c>
      <c r="BD1183" s="6">
        <v>-1.4150389999999999</v>
      </c>
      <c r="BE1183" s="6"/>
      <c r="BF1183" s="6"/>
      <c r="BG1183" s="6"/>
      <c r="BH1183" s="6"/>
      <c r="BI1183" s="6"/>
      <c r="BJ1183" s="6"/>
      <c r="BK1183" s="6"/>
      <c r="BL1183" s="6"/>
      <c r="BM1183" s="6"/>
      <c r="BN1183" s="6" t="e">
        <f t="shared" si="95"/>
        <v>#DIV/0!</v>
      </c>
    </row>
    <row r="1184" spans="49:66" x14ac:dyDescent="0.3">
      <c r="AW1184">
        <f t="shared" si="94"/>
        <v>0</v>
      </c>
      <c r="AX1184">
        <v>1181</v>
      </c>
      <c r="AY1184" s="4">
        <f t="shared" si="92"/>
        <v>41929</v>
      </c>
      <c r="AZ1184" s="6" t="e">
        <f t="shared" si="93"/>
        <v>#DIV/0!</v>
      </c>
      <c r="BA1184" s="4">
        <v>41929</v>
      </c>
      <c r="BB1184" s="6">
        <v>-0.108943</v>
      </c>
      <c r="BC1184" s="6">
        <v>-0.92763399999999996</v>
      </c>
      <c r="BD1184" s="6">
        <v>-1.2400199999999999</v>
      </c>
      <c r="BE1184" s="6"/>
      <c r="BF1184" s="6"/>
      <c r="BG1184" s="6"/>
      <c r="BH1184" s="6"/>
      <c r="BI1184" s="6"/>
      <c r="BJ1184" s="6"/>
      <c r="BK1184" s="6"/>
      <c r="BL1184" s="6"/>
      <c r="BM1184" s="6"/>
      <c r="BN1184" s="6" t="e">
        <f t="shared" si="95"/>
        <v>#DIV/0!</v>
      </c>
    </row>
    <row r="1185" spans="49:66" x14ac:dyDescent="0.3">
      <c r="AW1185">
        <f t="shared" si="94"/>
        <v>0</v>
      </c>
      <c r="AX1185">
        <v>1182</v>
      </c>
      <c r="AY1185" s="4">
        <f t="shared" si="92"/>
        <v>41932</v>
      </c>
      <c r="AZ1185" s="6" t="e">
        <f t="shared" si="93"/>
        <v>#DIV/0!</v>
      </c>
      <c r="BA1185" s="4">
        <v>41932</v>
      </c>
      <c r="BB1185" s="6">
        <v>0.53154900000000005</v>
      </c>
      <c r="BC1185" s="6">
        <v>1.407772</v>
      </c>
      <c r="BD1185" s="6">
        <v>1.5820639999999999</v>
      </c>
      <c r="BE1185" s="6"/>
      <c r="BF1185" s="6"/>
      <c r="BG1185" s="6"/>
      <c r="BH1185" s="6"/>
      <c r="BI1185" s="6"/>
      <c r="BJ1185" s="6"/>
      <c r="BK1185" s="6"/>
      <c r="BL1185" s="6"/>
      <c r="BM1185" s="6"/>
      <c r="BN1185" s="6" t="e">
        <f t="shared" si="95"/>
        <v>#DIV/0!</v>
      </c>
    </row>
    <row r="1186" spans="49:66" x14ac:dyDescent="0.3">
      <c r="AW1186">
        <f t="shared" si="94"/>
        <v>0</v>
      </c>
      <c r="AX1186">
        <v>1183</v>
      </c>
      <c r="AY1186" s="4">
        <f t="shared" si="92"/>
        <v>41933</v>
      </c>
      <c r="AZ1186" s="6" t="e">
        <f t="shared" si="93"/>
        <v>#DIV/0!</v>
      </c>
      <c r="BA1186" s="4">
        <v>41933</v>
      </c>
      <c r="BB1186" s="6">
        <v>-0.86853400000000003</v>
      </c>
      <c r="BC1186" s="6">
        <v>-0.91569400000000001</v>
      </c>
      <c r="BD1186" s="6">
        <v>-0.836978</v>
      </c>
      <c r="BE1186" s="6"/>
      <c r="BF1186" s="6"/>
      <c r="BG1186" s="6"/>
      <c r="BH1186" s="6"/>
      <c r="BI1186" s="6"/>
      <c r="BJ1186" s="6"/>
      <c r="BK1186" s="6"/>
      <c r="BL1186" s="6"/>
      <c r="BM1186" s="6"/>
      <c r="BN1186" s="6" t="e">
        <f t="shared" si="95"/>
        <v>#DIV/0!</v>
      </c>
    </row>
    <row r="1187" spans="49:66" x14ac:dyDescent="0.3">
      <c r="AW1187">
        <f t="shared" si="94"/>
        <v>0</v>
      </c>
      <c r="AX1187">
        <v>1184</v>
      </c>
      <c r="AY1187" s="4">
        <f t="shared" si="92"/>
        <v>41934</v>
      </c>
      <c r="AZ1187" s="6" t="e">
        <f t="shared" si="93"/>
        <v>#DIV/0!</v>
      </c>
      <c r="BA1187" s="4">
        <v>41934</v>
      </c>
      <c r="BB1187" s="6">
        <v>-0.60614999999999997</v>
      </c>
      <c r="BC1187" s="6">
        <v>-1.196042</v>
      </c>
      <c r="BD1187" s="6">
        <v>-1.2370620000000001</v>
      </c>
      <c r="BE1187" s="6"/>
      <c r="BF1187" s="6"/>
      <c r="BG1187" s="6"/>
      <c r="BH1187" s="6"/>
      <c r="BI1187" s="6"/>
      <c r="BJ1187" s="6"/>
      <c r="BK1187" s="6"/>
      <c r="BL1187" s="6"/>
      <c r="BM1187" s="6"/>
      <c r="BN1187" s="6" t="e">
        <f t="shared" si="95"/>
        <v>#DIV/0!</v>
      </c>
    </row>
    <row r="1188" spans="49:66" x14ac:dyDescent="0.3">
      <c r="AW1188">
        <f t="shared" si="94"/>
        <v>0</v>
      </c>
      <c r="AX1188">
        <v>1185</v>
      </c>
      <c r="AY1188" s="4">
        <f t="shared" si="92"/>
        <v>41935</v>
      </c>
      <c r="AZ1188" s="6" t="e">
        <f t="shared" si="93"/>
        <v>#DIV/0!</v>
      </c>
      <c r="BA1188" s="4">
        <v>41935</v>
      </c>
      <c r="BB1188" s="6">
        <v>-0.93874999999999997</v>
      </c>
      <c r="BC1188" s="6">
        <v>-1.4584269999999999</v>
      </c>
      <c r="BD1188" s="6">
        <v>-1.6097360000000001</v>
      </c>
      <c r="BE1188" s="6"/>
      <c r="BF1188" s="6"/>
      <c r="BG1188" s="6"/>
      <c r="BH1188" s="6"/>
      <c r="BI1188" s="6"/>
      <c r="BJ1188" s="6"/>
      <c r="BK1188" s="6"/>
      <c r="BL1188" s="6"/>
      <c r="BM1188" s="6"/>
      <c r="BN1188" s="6" t="e">
        <f t="shared" si="95"/>
        <v>#DIV/0!</v>
      </c>
    </row>
    <row r="1189" spans="49:66" x14ac:dyDescent="0.3">
      <c r="AW1189">
        <f t="shared" si="94"/>
        <v>0</v>
      </c>
      <c r="AX1189">
        <v>1186</v>
      </c>
      <c r="AY1189" s="4">
        <f t="shared" si="92"/>
        <v>41936</v>
      </c>
      <c r="AZ1189" s="6" t="e">
        <f t="shared" si="93"/>
        <v>#DIV/0!</v>
      </c>
      <c r="BA1189" s="4">
        <v>41936</v>
      </c>
      <c r="BB1189" s="6">
        <v>-0.21828600000000001</v>
      </c>
      <c r="BC1189" s="6">
        <v>0.40870800000000002</v>
      </c>
      <c r="BD1189" s="6">
        <v>0.19295200000000001</v>
      </c>
      <c r="BE1189" s="6"/>
      <c r="BF1189" s="6"/>
      <c r="BG1189" s="6"/>
      <c r="BH1189" s="6"/>
      <c r="BI1189" s="6"/>
      <c r="BJ1189" s="6"/>
      <c r="BK1189" s="6"/>
      <c r="BL1189" s="6"/>
      <c r="BM1189" s="6"/>
      <c r="BN1189" s="6" t="e">
        <f t="shared" si="95"/>
        <v>#DIV/0!</v>
      </c>
    </row>
    <row r="1190" spans="49:66" x14ac:dyDescent="0.3">
      <c r="AW1190">
        <f t="shared" si="94"/>
        <v>0</v>
      </c>
      <c r="AX1190">
        <v>1187</v>
      </c>
      <c r="AY1190" s="4">
        <f t="shared" si="92"/>
        <v>41939</v>
      </c>
      <c r="AZ1190" s="6" t="e">
        <f t="shared" si="93"/>
        <v>#DIV/0!</v>
      </c>
      <c r="BA1190" s="4">
        <v>41939</v>
      </c>
      <c r="BB1190" s="6">
        <v>-0.91496</v>
      </c>
      <c r="BC1190" s="6">
        <v>0.72993600000000003</v>
      </c>
      <c r="BD1190" s="6">
        <v>1.0924400000000001</v>
      </c>
      <c r="BE1190" s="6"/>
      <c r="BF1190" s="6"/>
      <c r="BG1190" s="6"/>
      <c r="BH1190" s="6"/>
      <c r="BI1190" s="6"/>
      <c r="BJ1190" s="6"/>
      <c r="BK1190" s="6"/>
      <c r="BL1190" s="6"/>
      <c r="BM1190" s="6"/>
      <c r="BN1190" s="6" t="e">
        <f t="shared" si="95"/>
        <v>#DIV/0!</v>
      </c>
    </row>
    <row r="1191" spans="49:66" x14ac:dyDescent="0.3">
      <c r="AW1191">
        <f t="shared" si="94"/>
        <v>0</v>
      </c>
      <c r="AX1191">
        <v>1188</v>
      </c>
      <c r="AY1191" s="4">
        <f t="shared" si="92"/>
        <v>41940</v>
      </c>
      <c r="AZ1191" s="6" t="e">
        <f t="shared" si="93"/>
        <v>#DIV/0!</v>
      </c>
      <c r="BA1191" s="4">
        <v>41940</v>
      </c>
      <c r="BB1191" s="6">
        <v>2.0187590000000002</v>
      </c>
      <c r="BC1191" s="6">
        <v>2.4001779999999999</v>
      </c>
      <c r="BD1191" s="6">
        <v>2.6109239999999998</v>
      </c>
      <c r="BE1191" s="6"/>
      <c r="BF1191" s="6"/>
      <c r="BG1191" s="6"/>
      <c r="BH1191" s="6"/>
      <c r="BI1191" s="6"/>
      <c r="BJ1191" s="6"/>
      <c r="BK1191" s="6"/>
      <c r="BL1191" s="6"/>
      <c r="BM1191" s="6"/>
      <c r="BN1191" s="6" t="e">
        <f t="shared" si="95"/>
        <v>#DIV/0!</v>
      </c>
    </row>
    <row r="1192" spans="49:66" x14ac:dyDescent="0.3">
      <c r="AW1192">
        <f t="shared" si="94"/>
        <v>0</v>
      </c>
      <c r="AX1192">
        <v>1189</v>
      </c>
      <c r="AY1192" s="4">
        <f t="shared" si="92"/>
        <v>41941</v>
      </c>
      <c r="AZ1192" s="6" t="e">
        <f t="shared" si="93"/>
        <v>#DIV/0!</v>
      </c>
      <c r="BA1192" s="4">
        <v>41941</v>
      </c>
      <c r="BB1192" s="6">
        <v>1.4371529999999999</v>
      </c>
      <c r="BC1192" s="6">
        <v>1.356358</v>
      </c>
      <c r="BD1192" s="6">
        <v>1.347038</v>
      </c>
      <c r="BE1192" s="6"/>
      <c r="BF1192" s="6"/>
      <c r="BG1192" s="6"/>
      <c r="BH1192" s="6"/>
      <c r="BI1192" s="6"/>
      <c r="BJ1192" s="6"/>
      <c r="BK1192" s="6"/>
      <c r="BL1192" s="6"/>
      <c r="BM1192" s="6"/>
      <c r="BN1192" s="6" t="e">
        <f t="shared" si="95"/>
        <v>#DIV/0!</v>
      </c>
    </row>
    <row r="1193" spans="49:66" x14ac:dyDescent="0.3">
      <c r="AW1193">
        <f t="shared" si="94"/>
        <v>0</v>
      </c>
      <c r="AX1193">
        <v>1190</v>
      </c>
      <c r="AY1193" s="4">
        <f t="shared" si="92"/>
        <v>41942</v>
      </c>
      <c r="AZ1193" s="6" t="e">
        <f t="shared" si="93"/>
        <v>#DIV/0!</v>
      </c>
      <c r="BA1193" s="4">
        <v>41942</v>
      </c>
      <c r="BB1193" s="6">
        <v>0.71555500000000005</v>
      </c>
      <c r="BC1193" s="6">
        <v>1.7528999999999999E-2</v>
      </c>
      <c r="BD1193" s="6">
        <v>-8.1819000000000003E-2</v>
      </c>
      <c r="BE1193" s="6"/>
      <c r="BF1193" s="6"/>
      <c r="BG1193" s="6"/>
      <c r="BH1193" s="6"/>
      <c r="BI1193" s="6"/>
      <c r="BJ1193" s="6"/>
      <c r="BK1193" s="6"/>
      <c r="BL1193" s="6"/>
      <c r="BM1193" s="6"/>
      <c r="BN1193" s="6" t="e">
        <f t="shared" si="95"/>
        <v>#DIV/0!</v>
      </c>
    </row>
    <row r="1194" spans="49:66" x14ac:dyDescent="0.3">
      <c r="AW1194">
        <f t="shared" si="94"/>
        <v>0</v>
      </c>
      <c r="AX1194">
        <v>1191</v>
      </c>
      <c r="AY1194" s="4">
        <f t="shared" si="92"/>
        <v>41943</v>
      </c>
      <c r="AZ1194" s="6" t="e">
        <f t="shared" si="93"/>
        <v>#DIV/0!</v>
      </c>
      <c r="BA1194" s="4">
        <v>41943</v>
      </c>
      <c r="BB1194" s="6">
        <v>1.595836</v>
      </c>
      <c r="BC1194" s="6">
        <v>-0.124463</v>
      </c>
      <c r="BD1194" s="6">
        <v>-0.52835900000000002</v>
      </c>
      <c r="BE1194" s="6"/>
      <c r="BF1194" s="6"/>
      <c r="BG1194" s="6"/>
      <c r="BH1194" s="6"/>
      <c r="BI1194" s="6"/>
      <c r="BJ1194" s="6"/>
      <c r="BK1194" s="6"/>
      <c r="BL1194" s="6"/>
      <c r="BM1194" s="6"/>
      <c r="BN1194" s="6" t="e">
        <f t="shared" si="95"/>
        <v>#DIV/0!</v>
      </c>
    </row>
    <row r="1195" spans="49:66" x14ac:dyDescent="0.3">
      <c r="AW1195">
        <f t="shared" si="94"/>
        <v>0</v>
      </c>
      <c r="AX1195">
        <v>1192</v>
      </c>
      <c r="AY1195" s="4">
        <f t="shared" si="92"/>
        <v>41946</v>
      </c>
      <c r="AZ1195" s="6" t="e">
        <f t="shared" si="93"/>
        <v>#DIV/0!</v>
      </c>
      <c r="BA1195" s="4">
        <v>41946</v>
      </c>
      <c r="BB1195" s="6">
        <v>0.16835900000000001</v>
      </c>
      <c r="BC1195" s="6">
        <v>0.84794400000000003</v>
      </c>
      <c r="BD1195" s="6">
        <v>1.085315</v>
      </c>
      <c r="BE1195" s="6"/>
      <c r="BF1195" s="6"/>
      <c r="BG1195" s="6"/>
      <c r="BH1195" s="6"/>
      <c r="BI1195" s="6"/>
      <c r="BJ1195" s="6"/>
      <c r="BK1195" s="6"/>
      <c r="BL1195" s="6"/>
      <c r="BM1195" s="6"/>
      <c r="BN1195" s="6" t="e">
        <f t="shared" si="95"/>
        <v>#DIV/0!</v>
      </c>
    </row>
    <row r="1196" spans="49:66" x14ac:dyDescent="0.3">
      <c r="AW1196">
        <f t="shared" si="94"/>
        <v>0</v>
      </c>
      <c r="AX1196">
        <v>1193</v>
      </c>
      <c r="AY1196" s="4">
        <f t="shared" si="92"/>
        <v>41947</v>
      </c>
      <c r="AZ1196" s="6" t="e">
        <f t="shared" si="93"/>
        <v>#DIV/0!</v>
      </c>
      <c r="BA1196" s="4">
        <v>41947</v>
      </c>
      <c r="BB1196" s="6">
        <v>2.4834999999999999E-2</v>
      </c>
      <c r="BC1196" s="6">
        <v>-0.50168100000000004</v>
      </c>
      <c r="BD1196" s="6">
        <v>-0.703905</v>
      </c>
      <c r="BE1196" s="6"/>
      <c r="BF1196" s="6"/>
      <c r="BG1196" s="6"/>
      <c r="BH1196" s="6"/>
      <c r="BI1196" s="6"/>
      <c r="BJ1196" s="6"/>
      <c r="BK1196" s="6"/>
      <c r="BL1196" s="6"/>
      <c r="BM1196" s="6"/>
      <c r="BN1196" s="6" t="e">
        <f t="shared" si="95"/>
        <v>#DIV/0!</v>
      </c>
    </row>
    <row r="1197" spans="49:66" x14ac:dyDescent="0.3">
      <c r="AW1197">
        <f t="shared" si="94"/>
        <v>0</v>
      </c>
      <c r="AX1197">
        <v>1194</v>
      </c>
      <c r="AY1197" s="4">
        <f t="shared" si="92"/>
        <v>41948</v>
      </c>
      <c r="AZ1197" s="6" t="e">
        <f t="shared" si="93"/>
        <v>#DIV/0!</v>
      </c>
      <c r="BA1197" s="4">
        <v>41948</v>
      </c>
      <c r="BB1197" s="6">
        <v>-0.38692100000000001</v>
      </c>
      <c r="BC1197" s="6">
        <v>-0.16042899999999999</v>
      </c>
      <c r="BD1197" s="6">
        <v>-7.3348999999999998E-2</v>
      </c>
      <c r="BE1197" s="6"/>
      <c r="BF1197" s="6"/>
      <c r="BG1197" s="6"/>
      <c r="BH1197" s="6"/>
      <c r="BI1197" s="6"/>
      <c r="BJ1197" s="6"/>
      <c r="BK1197" s="6"/>
      <c r="BL1197" s="6"/>
      <c r="BM1197" s="6"/>
      <c r="BN1197" s="6" t="e">
        <f t="shared" si="95"/>
        <v>#DIV/0!</v>
      </c>
    </row>
    <row r="1198" spans="49:66" x14ac:dyDescent="0.3">
      <c r="AW1198">
        <f t="shared" si="94"/>
        <v>0</v>
      </c>
      <c r="AX1198">
        <v>1195</v>
      </c>
      <c r="AY1198" s="4">
        <f t="shared" si="92"/>
        <v>41949</v>
      </c>
      <c r="AZ1198" s="6" t="e">
        <f t="shared" si="93"/>
        <v>#DIV/0!</v>
      </c>
      <c r="BA1198" s="4">
        <v>41949</v>
      </c>
      <c r="BB1198" s="6">
        <v>0.104616</v>
      </c>
      <c r="BC1198" s="6">
        <v>0.58863600000000005</v>
      </c>
      <c r="BD1198" s="6">
        <v>0.99477400000000005</v>
      </c>
      <c r="BE1198" s="6"/>
      <c r="BF1198" s="6"/>
      <c r="BG1198" s="6"/>
      <c r="BH1198" s="6"/>
      <c r="BI1198" s="6"/>
      <c r="BJ1198" s="6"/>
      <c r="BK1198" s="6"/>
      <c r="BL1198" s="6"/>
      <c r="BM1198" s="6"/>
      <c r="BN1198" s="6" t="e">
        <f t="shared" si="95"/>
        <v>#DIV/0!</v>
      </c>
    </row>
    <row r="1199" spans="49:66" x14ac:dyDescent="0.3">
      <c r="AW1199">
        <f t="shared" si="94"/>
        <v>0</v>
      </c>
      <c r="AX1199">
        <v>1196</v>
      </c>
      <c r="AY1199" s="4">
        <f t="shared" si="92"/>
        <v>41950</v>
      </c>
      <c r="AZ1199" s="6" t="e">
        <f t="shared" si="93"/>
        <v>#DIV/0!</v>
      </c>
      <c r="BA1199" s="4">
        <v>41950</v>
      </c>
      <c r="BB1199" s="6">
        <v>-0.15618099999999999</v>
      </c>
      <c r="BC1199" s="6">
        <v>-0.94715300000000002</v>
      </c>
      <c r="BD1199" s="6">
        <v>-0.97031500000000004</v>
      </c>
      <c r="BE1199" s="6"/>
      <c r="BF1199" s="6"/>
      <c r="BG1199" s="6"/>
      <c r="BH1199" s="6"/>
      <c r="BI1199" s="6"/>
      <c r="BJ1199" s="6"/>
      <c r="BK1199" s="6"/>
      <c r="BL1199" s="6"/>
      <c r="BM1199" s="6"/>
      <c r="BN1199" s="6" t="e">
        <f t="shared" si="95"/>
        <v>#DIV/0!</v>
      </c>
    </row>
    <row r="1200" spans="49:66" x14ac:dyDescent="0.3">
      <c r="AW1200">
        <f t="shared" si="94"/>
        <v>0</v>
      </c>
      <c r="AX1200">
        <v>1197</v>
      </c>
      <c r="AY1200" s="4">
        <f t="shared" si="92"/>
        <v>41953</v>
      </c>
      <c r="AZ1200" s="6" t="e">
        <f t="shared" si="93"/>
        <v>#DIV/0!</v>
      </c>
      <c r="BA1200" s="4">
        <v>41953</v>
      </c>
      <c r="BB1200" s="6">
        <v>2.5408919999999999</v>
      </c>
      <c r="BC1200" s="6">
        <v>1.0798319999999999</v>
      </c>
      <c r="BD1200" s="6">
        <v>0.296155</v>
      </c>
      <c r="BE1200" s="6"/>
      <c r="BF1200" s="6"/>
      <c r="BG1200" s="6"/>
      <c r="BH1200" s="6"/>
      <c r="BI1200" s="6"/>
      <c r="BJ1200" s="6"/>
      <c r="BK1200" s="6"/>
      <c r="BL1200" s="6"/>
      <c r="BM1200" s="6"/>
      <c r="BN1200" s="6" t="e">
        <f t="shared" si="95"/>
        <v>#DIV/0!</v>
      </c>
    </row>
    <row r="1201" spans="49:66" x14ac:dyDescent="0.3">
      <c r="AW1201">
        <f t="shared" si="94"/>
        <v>0</v>
      </c>
      <c r="AX1201">
        <v>1198</v>
      </c>
      <c r="AY1201" s="4">
        <f t="shared" si="92"/>
        <v>41954</v>
      </c>
      <c r="AZ1201" s="6" t="e">
        <f t="shared" si="93"/>
        <v>#DIV/0!</v>
      </c>
      <c r="BA1201" s="4">
        <v>41954</v>
      </c>
      <c r="BB1201" s="6">
        <v>-0.27742600000000001</v>
      </c>
      <c r="BC1201" s="6">
        <v>-2.9719929999999999</v>
      </c>
      <c r="BD1201" s="6">
        <v>-3.5796679999999999</v>
      </c>
      <c r="BE1201" s="6"/>
      <c r="BF1201" s="6"/>
      <c r="BG1201" s="6"/>
      <c r="BH1201" s="6"/>
      <c r="BI1201" s="6"/>
      <c r="BJ1201" s="6"/>
      <c r="BK1201" s="6"/>
      <c r="BL1201" s="6"/>
      <c r="BM1201" s="6"/>
      <c r="BN1201" s="6" t="e">
        <f t="shared" si="95"/>
        <v>#DIV/0!</v>
      </c>
    </row>
    <row r="1202" spans="49:66" x14ac:dyDescent="0.3">
      <c r="AW1202">
        <f t="shared" si="94"/>
        <v>0</v>
      </c>
      <c r="AX1202">
        <v>1199</v>
      </c>
      <c r="AY1202" s="4">
        <f t="shared" si="92"/>
        <v>41955</v>
      </c>
      <c r="AZ1202" s="6" t="e">
        <f t="shared" si="93"/>
        <v>#DIV/0!</v>
      </c>
      <c r="BA1202" s="4">
        <v>41955</v>
      </c>
      <c r="BB1202" s="6">
        <v>1.3955219999999999</v>
      </c>
      <c r="BC1202" s="6">
        <v>1.718823</v>
      </c>
      <c r="BD1202" s="6">
        <v>1.611389</v>
      </c>
      <c r="BE1202" s="6"/>
      <c r="BF1202" s="6"/>
      <c r="BG1202" s="6"/>
      <c r="BH1202" s="6"/>
      <c r="BI1202" s="6"/>
      <c r="BJ1202" s="6"/>
      <c r="BK1202" s="6"/>
      <c r="BL1202" s="6"/>
      <c r="BM1202" s="6"/>
      <c r="BN1202" s="6" t="e">
        <f t="shared" si="95"/>
        <v>#DIV/0!</v>
      </c>
    </row>
    <row r="1203" spans="49:66" x14ac:dyDescent="0.3">
      <c r="AW1203">
        <f t="shared" si="94"/>
        <v>0</v>
      </c>
      <c r="AX1203">
        <v>1200</v>
      </c>
      <c r="AY1203" s="4">
        <f t="shared" si="92"/>
        <v>41956</v>
      </c>
      <c r="AZ1203" s="6" t="e">
        <f t="shared" si="93"/>
        <v>#DIV/0!</v>
      </c>
      <c r="BA1203" s="4">
        <v>41956</v>
      </c>
      <c r="BB1203" s="6">
        <v>-0.56153500000000001</v>
      </c>
      <c r="BC1203" s="6">
        <v>-0.880355</v>
      </c>
      <c r="BD1203" s="6">
        <v>-1.5731219999999999</v>
      </c>
      <c r="BE1203" s="6"/>
      <c r="BF1203" s="6"/>
      <c r="BG1203" s="6"/>
      <c r="BH1203" s="6"/>
      <c r="BI1203" s="6"/>
      <c r="BJ1203" s="6"/>
      <c r="BK1203" s="6"/>
      <c r="BL1203" s="6"/>
      <c r="BM1203" s="6"/>
      <c r="BN1203" s="6" t="e">
        <f t="shared" si="95"/>
        <v>#DIV/0!</v>
      </c>
    </row>
    <row r="1204" spans="49:66" x14ac:dyDescent="0.3">
      <c r="AW1204">
        <f t="shared" si="94"/>
        <v>0</v>
      </c>
      <c r="AX1204">
        <v>1201</v>
      </c>
      <c r="AY1204" s="4">
        <f t="shared" si="92"/>
        <v>41957</v>
      </c>
      <c r="AZ1204" s="6" t="e">
        <f t="shared" si="93"/>
        <v>#DIV/0!</v>
      </c>
      <c r="BA1204" s="4">
        <v>41957</v>
      </c>
      <c r="BB1204" s="6">
        <v>5.2059000000000001E-2</v>
      </c>
      <c r="BC1204" s="6">
        <v>-0.24507899999999999</v>
      </c>
      <c r="BD1204" s="6">
        <v>-0.23799000000000001</v>
      </c>
      <c r="BE1204" s="6"/>
      <c r="BF1204" s="6"/>
      <c r="BG1204" s="6"/>
      <c r="BH1204" s="6"/>
      <c r="BI1204" s="6"/>
      <c r="BJ1204" s="6"/>
      <c r="BK1204" s="6"/>
      <c r="BL1204" s="6"/>
      <c r="BM1204" s="6"/>
      <c r="BN1204" s="6" t="e">
        <f t="shared" si="95"/>
        <v>#DIV/0!</v>
      </c>
    </row>
    <row r="1205" spans="49:66" x14ac:dyDescent="0.3">
      <c r="AW1205">
        <f t="shared" si="94"/>
        <v>0</v>
      </c>
      <c r="AX1205">
        <v>1202</v>
      </c>
      <c r="AY1205" s="4">
        <f t="shared" si="92"/>
        <v>41960</v>
      </c>
      <c r="AZ1205" s="6" t="e">
        <f t="shared" si="93"/>
        <v>#DIV/0!</v>
      </c>
      <c r="BA1205" s="4">
        <v>41960</v>
      </c>
      <c r="BB1205" s="6">
        <v>-0.54209600000000002</v>
      </c>
      <c r="BC1205" s="6">
        <v>0.99512999999999996</v>
      </c>
      <c r="BD1205" s="6">
        <v>1.520723</v>
      </c>
      <c r="BE1205" s="6"/>
      <c r="BF1205" s="6"/>
      <c r="BG1205" s="6"/>
      <c r="BH1205" s="6"/>
      <c r="BI1205" s="6"/>
      <c r="BJ1205" s="6"/>
      <c r="BK1205" s="6"/>
      <c r="BL1205" s="6"/>
      <c r="BM1205" s="6"/>
      <c r="BN1205" s="6" t="e">
        <f t="shared" si="95"/>
        <v>#DIV/0!</v>
      </c>
    </row>
    <row r="1206" spans="49:66" x14ac:dyDescent="0.3">
      <c r="AW1206">
        <f t="shared" si="94"/>
        <v>0</v>
      </c>
      <c r="AX1206">
        <v>1203</v>
      </c>
      <c r="AY1206" s="4">
        <f t="shared" si="92"/>
        <v>41961</v>
      </c>
      <c r="AZ1206" s="6" t="e">
        <f t="shared" si="93"/>
        <v>#DIV/0!</v>
      </c>
      <c r="BA1206" s="4">
        <v>41961</v>
      </c>
      <c r="BB1206" s="6">
        <v>-1.000545</v>
      </c>
      <c r="BC1206" s="6">
        <v>0.18523899999999999</v>
      </c>
      <c r="BD1206" s="6">
        <v>0.63415900000000003</v>
      </c>
      <c r="BE1206" s="6"/>
      <c r="BF1206" s="6"/>
      <c r="BG1206" s="6"/>
      <c r="BH1206" s="6"/>
      <c r="BI1206" s="6"/>
      <c r="BJ1206" s="6"/>
      <c r="BK1206" s="6"/>
      <c r="BL1206" s="6"/>
      <c r="BM1206" s="6"/>
      <c r="BN1206" s="6" t="e">
        <f t="shared" si="95"/>
        <v>#DIV/0!</v>
      </c>
    </row>
    <row r="1207" spans="49:66" x14ac:dyDescent="0.3">
      <c r="AW1207">
        <f t="shared" si="94"/>
        <v>0</v>
      </c>
      <c r="AX1207">
        <v>1204</v>
      </c>
      <c r="AY1207" s="4">
        <f t="shared" si="92"/>
        <v>41962</v>
      </c>
      <c r="AZ1207" s="6" t="e">
        <f t="shared" si="93"/>
        <v>#DIV/0!</v>
      </c>
      <c r="BA1207" s="4">
        <v>41962</v>
      </c>
      <c r="BB1207" s="6">
        <v>-0.16498699999999999</v>
      </c>
      <c r="BC1207" s="6">
        <v>0.351273</v>
      </c>
      <c r="BD1207" s="6">
        <v>0.88019899999999995</v>
      </c>
      <c r="BE1207" s="6"/>
      <c r="BF1207" s="6"/>
      <c r="BG1207" s="6"/>
      <c r="BH1207" s="6"/>
      <c r="BI1207" s="6"/>
      <c r="BJ1207" s="6"/>
      <c r="BK1207" s="6"/>
      <c r="BL1207" s="6"/>
      <c r="BM1207" s="6"/>
      <c r="BN1207" s="6" t="e">
        <f t="shared" si="95"/>
        <v>#DIV/0!</v>
      </c>
    </row>
    <row r="1208" spans="49:66" x14ac:dyDescent="0.3">
      <c r="AW1208">
        <f t="shared" si="94"/>
        <v>0</v>
      </c>
      <c r="AX1208">
        <v>1205</v>
      </c>
      <c r="AY1208" s="4">
        <f t="shared" si="92"/>
        <v>41963</v>
      </c>
      <c r="AZ1208" s="6" t="e">
        <f t="shared" si="93"/>
        <v>#DIV/0!</v>
      </c>
      <c r="BA1208" s="4">
        <v>41963</v>
      </c>
      <c r="BB1208" s="6">
        <v>-4.8869999999999999E-3</v>
      </c>
      <c r="BC1208" s="6">
        <v>-0.21012600000000001</v>
      </c>
      <c r="BD1208" s="6">
        <v>-0.123402</v>
      </c>
      <c r="BE1208" s="6"/>
      <c r="BF1208" s="6"/>
      <c r="BG1208" s="6"/>
      <c r="BH1208" s="6"/>
      <c r="BI1208" s="6"/>
      <c r="BJ1208" s="6"/>
      <c r="BK1208" s="6"/>
      <c r="BL1208" s="6"/>
      <c r="BM1208" s="6"/>
      <c r="BN1208" s="6" t="e">
        <f t="shared" si="95"/>
        <v>#DIV/0!</v>
      </c>
    </row>
    <row r="1209" spans="49:66" x14ac:dyDescent="0.3">
      <c r="AW1209">
        <f t="shared" si="94"/>
        <v>0</v>
      </c>
      <c r="AX1209">
        <v>1206</v>
      </c>
      <c r="AY1209" s="4">
        <f t="shared" si="92"/>
        <v>41964</v>
      </c>
      <c r="AZ1209" s="6" t="e">
        <f t="shared" si="93"/>
        <v>#DIV/0!</v>
      </c>
      <c r="BA1209" s="4">
        <v>41964</v>
      </c>
      <c r="BB1209" s="6">
        <v>1.827126</v>
      </c>
      <c r="BC1209" s="6">
        <v>1.1085659999999999</v>
      </c>
      <c r="BD1209" s="6">
        <v>0.886772</v>
      </c>
      <c r="BE1209" s="6"/>
      <c r="BF1209" s="6"/>
      <c r="BG1209" s="6"/>
      <c r="BH1209" s="6"/>
      <c r="BI1209" s="6"/>
      <c r="BJ1209" s="6"/>
      <c r="BK1209" s="6"/>
      <c r="BL1209" s="6"/>
      <c r="BM1209" s="6"/>
      <c r="BN1209" s="6" t="e">
        <f t="shared" si="95"/>
        <v>#DIV/0!</v>
      </c>
    </row>
    <row r="1210" spans="49:66" x14ac:dyDescent="0.3">
      <c r="AW1210">
        <f t="shared" si="94"/>
        <v>0</v>
      </c>
      <c r="AX1210">
        <v>1207</v>
      </c>
      <c r="AY1210" s="4">
        <f t="shared" si="92"/>
        <v>41967</v>
      </c>
      <c r="AZ1210" s="6" t="e">
        <f t="shared" si="93"/>
        <v>#DIV/0!</v>
      </c>
      <c r="BA1210" s="4">
        <v>41967</v>
      </c>
      <c r="BB1210" s="6">
        <v>2.5470929999999998</v>
      </c>
      <c r="BC1210" s="6">
        <v>1.6371709999999999</v>
      </c>
      <c r="BD1210" s="6">
        <v>0.83721999999999996</v>
      </c>
      <c r="BE1210" s="6"/>
      <c r="BF1210" s="6"/>
      <c r="BG1210" s="6"/>
      <c r="BH1210" s="6"/>
      <c r="BI1210" s="6"/>
      <c r="BJ1210" s="6"/>
      <c r="BK1210" s="6"/>
      <c r="BL1210" s="6"/>
      <c r="BM1210" s="6"/>
      <c r="BN1210" s="6" t="e">
        <f t="shared" si="95"/>
        <v>#DIV/0!</v>
      </c>
    </row>
    <row r="1211" spans="49:66" x14ac:dyDescent="0.3">
      <c r="AW1211">
        <f t="shared" si="94"/>
        <v>0</v>
      </c>
      <c r="AX1211">
        <v>1208</v>
      </c>
      <c r="AY1211" s="4">
        <f t="shared" si="92"/>
        <v>41968</v>
      </c>
      <c r="AZ1211" s="6" t="e">
        <f t="shared" si="93"/>
        <v>#DIV/0!</v>
      </c>
      <c r="BA1211" s="4">
        <v>41968</v>
      </c>
      <c r="BB1211" s="6">
        <v>1.3703080000000001</v>
      </c>
      <c r="BC1211" s="6">
        <v>1.503916</v>
      </c>
      <c r="BD1211" s="6">
        <v>1.5798289999999999</v>
      </c>
      <c r="BE1211" s="6"/>
      <c r="BF1211" s="6"/>
      <c r="BG1211" s="6"/>
      <c r="BH1211" s="6"/>
      <c r="BI1211" s="6"/>
      <c r="BJ1211" s="6"/>
      <c r="BK1211" s="6"/>
      <c r="BL1211" s="6"/>
      <c r="BM1211" s="6"/>
      <c r="BN1211" s="6" t="e">
        <f t="shared" si="95"/>
        <v>#DIV/0!</v>
      </c>
    </row>
    <row r="1212" spans="49:66" x14ac:dyDescent="0.3">
      <c r="AW1212">
        <f t="shared" si="94"/>
        <v>0</v>
      </c>
      <c r="AX1212">
        <v>1209</v>
      </c>
      <c r="AY1212" s="4">
        <f t="shared" si="92"/>
        <v>41969</v>
      </c>
      <c r="AZ1212" s="6" t="e">
        <f t="shared" si="93"/>
        <v>#DIV/0!</v>
      </c>
      <c r="BA1212" s="4">
        <v>41969</v>
      </c>
      <c r="BB1212" s="6">
        <v>1.394755</v>
      </c>
      <c r="BC1212" s="6">
        <v>0.48581600000000003</v>
      </c>
      <c r="BD1212" s="6">
        <v>0.66794500000000001</v>
      </c>
      <c r="BE1212" s="6"/>
      <c r="BF1212" s="6"/>
      <c r="BG1212" s="6"/>
      <c r="BH1212" s="6"/>
      <c r="BI1212" s="6"/>
      <c r="BJ1212" s="6"/>
      <c r="BK1212" s="6"/>
      <c r="BL1212" s="6"/>
      <c r="BM1212" s="6"/>
      <c r="BN1212" s="6" t="e">
        <f t="shared" si="95"/>
        <v>#DIV/0!</v>
      </c>
    </row>
    <row r="1213" spans="49:66" x14ac:dyDescent="0.3">
      <c r="AW1213">
        <f t="shared" si="94"/>
        <v>0</v>
      </c>
      <c r="AX1213">
        <v>1210</v>
      </c>
      <c r="AY1213" s="4">
        <f t="shared" si="92"/>
        <v>41970</v>
      </c>
      <c r="AZ1213" s="6" t="e">
        <f t="shared" si="93"/>
        <v>#DIV/0!</v>
      </c>
      <c r="BA1213" s="4">
        <v>41970</v>
      </c>
      <c r="BB1213" s="6">
        <v>1.1557759999999999</v>
      </c>
      <c r="BC1213" s="6">
        <v>0.713032</v>
      </c>
      <c r="BD1213" s="6">
        <v>0.58191400000000004</v>
      </c>
      <c r="BE1213" s="6"/>
      <c r="BF1213" s="6"/>
      <c r="BG1213" s="6"/>
      <c r="BH1213" s="6"/>
      <c r="BI1213" s="6"/>
      <c r="BJ1213" s="6"/>
      <c r="BK1213" s="6"/>
      <c r="BL1213" s="6"/>
      <c r="BM1213" s="6"/>
      <c r="BN1213" s="6" t="e">
        <f t="shared" si="95"/>
        <v>#DIV/0!</v>
      </c>
    </row>
    <row r="1214" spans="49:66" x14ac:dyDescent="0.3">
      <c r="AW1214">
        <f t="shared" si="94"/>
        <v>0</v>
      </c>
      <c r="AX1214">
        <v>1211</v>
      </c>
      <c r="AY1214" s="4">
        <f t="shared" si="92"/>
        <v>41971</v>
      </c>
      <c r="AZ1214" s="6" t="e">
        <f t="shared" si="93"/>
        <v>#DIV/0!</v>
      </c>
      <c r="BA1214" s="4">
        <v>41971</v>
      </c>
      <c r="BB1214" s="6">
        <v>1.97238</v>
      </c>
      <c r="BC1214" s="6">
        <v>-0.116579</v>
      </c>
      <c r="BD1214" s="6">
        <v>8.5297999999999999E-2</v>
      </c>
      <c r="BE1214" s="6"/>
      <c r="BF1214" s="6"/>
      <c r="BG1214" s="6"/>
      <c r="BH1214" s="6"/>
      <c r="BI1214" s="6"/>
      <c r="BJ1214" s="6"/>
      <c r="BK1214" s="6"/>
      <c r="BL1214" s="6"/>
      <c r="BM1214" s="6"/>
      <c r="BN1214" s="6" t="e">
        <f t="shared" si="95"/>
        <v>#DIV/0!</v>
      </c>
    </row>
    <row r="1215" spans="49:66" x14ac:dyDescent="0.3">
      <c r="AW1215">
        <f t="shared" si="94"/>
        <v>0</v>
      </c>
      <c r="AX1215">
        <v>1212</v>
      </c>
      <c r="AY1215" s="4">
        <f t="shared" si="92"/>
        <v>41974</v>
      </c>
      <c r="AZ1215" s="6" t="e">
        <f t="shared" si="93"/>
        <v>#DIV/0!</v>
      </c>
      <c r="BA1215" s="4">
        <v>41974</v>
      </c>
      <c r="BB1215" s="6">
        <v>0.391374</v>
      </c>
      <c r="BC1215" s="6">
        <v>-0.70783799999999997</v>
      </c>
      <c r="BD1215" s="6">
        <v>-1.3220529999999999</v>
      </c>
      <c r="BE1215" s="6"/>
      <c r="BF1215" s="6"/>
      <c r="BG1215" s="6"/>
      <c r="BH1215" s="6"/>
      <c r="BI1215" s="6"/>
      <c r="BJ1215" s="6"/>
      <c r="BK1215" s="6"/>
      <c r="BL1215" s="6"/>
      <c r="BM1215" s="6"/>
      <c r="BN1215" s="6" t="e">
        <f t="shared" si="95"/>
        <v>#DIV/0!</v>
      </c>
    </row>
    <row r="1216" spans="49:66" x14ac:dyDescent="0.3">
      <c r="AW1216">
        <f t="shared" si="94"/>
        <v>0</v>
      </c>
      <c r="AX1216">
        <v>1213</v>
      </c>
      <c r="AY1216" s="4">
        <f t="shared" si="92"/>
        <v>41975</v>
      </c>
      <c r="AZ1216" s="6" t="e">
        <f t="shared" si="93"/>
        <v>#DIV/0!</v>
      </c>
      <c r="BA1216" s="4">
        <v>41975</v>
      </c>
      <c r="BB1216" s="6">
        <v>3.6927279999999998</v>
      </c>
      <c r="BC1216" s="6">
        <v>1.334795</v>
      </c>
      <c r="BD1216" s="6">
        <v>1.018262</v>
      </c>
      <c r="BE1216" s="6"/>
      <c r="BF1216" s="6"/>
      <c r="BG1216" s="6"/>
      <c r="BH1216" s="6"/>
      <c r="BI1216" s="6"/>
      <c r="BJ1216" s="6"/>
      <c r="BK1216" s="6"/>
      <c r="BL1216" s="6"/>
      <c r="BM1216" s="6"/>
      <c r="BN1216" s="6" t="e">
        <f t="shared" si="95"/>
        <v>#DIV/0!</v>
      </c>
    </row>
    <row r="1217" spans="49:66" x14ac:dyDescent="0.3">
      <c r="AW1217">
        <f t="shared" si="94"/>
        <v>0</v>
      </c>
      <c r="AX1217">
        <v>1214</v>
      </c>
      <c r="AY1217" s="4">
        <f t="shared" si="92"/>
        <v>41976</v>
      </c>
      <c r="AZ1217" s="6" t="e">
        <f t="shared" si="93"/>
        <v>#DIV/0!</v>
      </c>
      <c r="BA1217" s="4">
        <v>41976</v>
      </c>
      <c r="BB1217" s="6">
        <v>1.491446</v>
      </c>
      <c r="BC1217" s="6">
        <v>1.1624099999999999</v>
      </c>
      <c r="BD1217" s="6">
        <v>0.87341100000000005</v>
      </c>
      <c r="BE1217" s="6"/>
      <c r="BF1217" s="6"/>
      <c r="BG1217" s="6"/>
      <c r="BH1217" s="6"/>
      <c r="BI1217" s="6"/>
      <c r="BJ1217" s="6"/>
      <c r="BK1217" s="6"/>
      <c r="BL1217" s="6"/>
      <c r="BM1217" s="6"/>
      <c r="BN1217" s="6" t="e">
        <f t="shared" si="95"/>
        <v>#DIV/0!</v>
      </c>
    </row>
    <row r="1218" spans="49:66" x14ac:dyDescent="0.3">
      <c r="AW1218">
        <f t="shared" si="94"/>
        <v>0</v>
      </c>
      <c r="AX1218">
        <v>1215</v>
      </c>
      <c r="AY1218" s="4">
        <f t="shared" si="92"/>
        <v>41977</v>
      </c>
      <c r="AZ1218" s="6" t="e">
        <f t="shared" si="93"/>
        <v>#DIV/0!</v>
      </c>
      <c r="BA1218" s="4">
        <v>41977</v>
      </c>
      <c r="BB1218" s="6">
        <v>4.6099319999999997</v>
      </c>
      <c r="BC1218" s="6">
        <v>2.115694</v>
      </c>
      <c r="BD1218" s="6">
        <v>1.402604</v>
      </c>
      <c r="BE1218" s="6"/>
      <c r="BF1218" s="6"/>
      <c r="BG1218" s="6"/>
      <c r="BH1218" s="6"/>
      <c r="BI1218" s="6"/>
      <c r="BJ1218" s="6"/>
      <c r="BK1218" s="6"/>
      <c r="BL1218" s="6"/>
      <c r="BM1218" s="6"/>
      <c r="BN1218" s="6" t="e">
        <f t="shared" si="95"/>
        <v>#DIV/0!</v>
      </c>
    </row>
    <row r="1219" spans="49:66" x14ac:dyDescent="0.3">
      <c r="AW1219">
        <f t="shared" si="94"/>
        <v>0</v>
      </c>
      <c r="AX1219">
        <v>1216</v>
      </c>
      <c r="AY1219" s="4">
        <f t="shared" si="92"/>
        <v>41978</v>
      </c>
      <c r="AZ1219" s="6" t="e">
        <f t="shared" si="93"/>
        <v>#DIV/0!</v>
      </c>
      <c r="BA1219" s="4">
        <v>41978</v>
      </c>
      <c r="BB1219" s="6">
        <v>0.66145900000000002</v>
      </c>
      <c r="BC1219" s="6">
        <v>-2.1656420000000001</v>
      </c>
      <c r="BD1219" s="6">
        <v>-2.1684480000000002</v>
      </c>
      <c r="BE1219" s="6"/>
      <c r="BF1219" s="6"/>
      <c r="BG1219" s="6"/>
      <c r="BH1219" s="6"/>
      <c r="BI1219" s="6"/>
      <c r="BJ1219" s="6"/>
      <c r="BK1219" s="6"/>
      <c r="BL1219" s="6"/>
      <c r="BM1219" s="6"/>
      <c r="BN1219" s="6" t="e">
        <f t="shared" si="95"/>
        <v>#DIV/0!</v>
      </c>
    </row>
    <row r="1220" spans="49:66" x14ac:dyDescent="0.3">
      <c r="AW1220">
        <f t="shared" si="94"/>
        <v>0</v>
      </c>
      <c r="AX1220">
        <v>1217</v>
      </c>
      <c r="AY1220" s="4">
        <f t="shared" si="92"/>
        <v>41981</v>
      </c>
      <c r="AZ1220" s="6" t="e">
        <f t="shared" si="93"/>
        <v>#DIV/0!</v>
      </c>
      <c r="BA1220" s="4">
        <v>41981</v>
      </c>
      <c r="BB1220" s="6">
        <v>4.0960229999999997</v>
      </c>
      <c r="BC1220" s="6">
        <v>1.4770080000000001</v>
      </c>
      <c r="BD1220" s="6">
        <v>-7.0844000000000004E-2</v>
      </c>
      <c r="BE1220" s="6"/>
      <c r="BF1220" s="6"/>
      <c r="BG1220" s="6"/>
      <c r="BH1220" s="6"/>
      <c r="BI1220" s="6"/>
      <c r="BJ1220" s="6"/>
      <c r="BK1220" s="6"/>
      <c r="BL1220" s="6"/>
      <c r="BM1220" s="6"/>
      <c r="BN1220" s="6" t="e">
        <f t="shared" si="95"/>
        <v>#DIV/0!</v>
      </c>
    </row>
    <row r="1221" spans="49:66" x14ac:dyDescent="0.3">
      <c r="AW1221">
        <f t="shared" si="94"/>
        <v>0</v>
      </c>
      <c r="AX1221">
        <v>1218</v>
      </c>
      <c r="AY1221" s="4">
        <f t="shared" ref="AY1221:AY1284" si="96">BA1221</f>
        <v>41982</v>
      </c>
      <c r="AZ1221" s="6" t="e">
        <f t="shared" ref="AZ1221:AZ1284" si="97">BN1221</f>
        <v>#DIV/0!</v>
      </c>
      <c r="BA1221" s="4">
        <v>41982</v>
      </c>
      <c r="BB1221" s="6">
        <v>-4.4873450000000004</v>
      </c>
      <c r="BC1221" s="6">
        <v>-4.0140599999999997</v>
      </c>
      <c r="BD1221" s="6">
        <v>-4.5860390000000004</v>
      </c>
      <c r="BE1221" s="6"/>
      <c r="BF1221" s="6"/>
      <c r="BG1221" s="6"/>
      <c r="BH1221" s="6"/>
      <c r="BI1221" s="6"/>
      <c r="BJ1221" s="6"/>
      <c r="BK1221" s="6"/>
      <c r="BL1221" s="6"/>
      <c r="BM1221" s="6"/>
      <c r="BN1221" s="6" t="e">
        <f t="shared" si="95"/>
        <v>#DIV/0!</v>
      </c>
    </row>
    <row r="1222" spans="49:66" x14ac:dyDescent="0.3">
      <c r="AW1222">
        <f t="shared" ref="AW1222:AW1285" si="98">IF(AY1222&lt;=AY1221,1,0)</f>
        <v>0</v>
      </c>
      <c r="AX1222">
        <v>1219</v>
      </c>
      <c r="AY1222" s="4">
        <f t="shared" si="96"/>
        <v>41983</v>
      </c>
      <c r="AZ1222" s="6" t="e">
        <f t="shared" si="97"/>
        <v>#DIV/0!</v>
      </c>
      <c r="BA1222" s="4">
        <v>41983</v>
      </c>
      <c r="BB1222" s="6">
        <v>3.6896110000000002</v>
      </c>
      <c r="BC1222" s="6">
        <v>3.4394040000000001</v>
      </c>
      <c r="BD1222" s="6">
        <v>3.3343739999999999</v>
      </c>
      <c r="BE1222" s="6"/>
      <c r="BF1222" s="6"/>
      <c r="BG1222" s="6"/>
      <c r="BH1222" s="6"/>
      <c r="BI1222" s="6"/>
      <c r="BJ1222" s="6"/>
      <c r="BK1222" s="6"/>
      <c r="BL1222" s="6"/>
      <c r="BM1222" s="6"/>
      <c r="BN1222" s="6" t="e">
        <f t="shared" ref="BN1222:BN1285" si="99">(BM1222/BM1221-1)*100</f>
        <v>#DIV/0!</v>
      </c>
    </row>
    <row r="1223" spans="49:66" x14ac:dyDescent="0.3">
      <c r="AW1223">
        <f t="shared" si="98"/>
        <v>0</v>
      </c>
      <c r="AX1223">
        <v>1220</v>
      </c>
      <c r="AY1223" s="4">
        <f t="shared" si="96"/>
        <v>41984</v>
      </c>
      <c r="AZ1223" s="6" t="e">
        <f t="shared" si="97"/>
        <v>#DIV/0!</v>
      </c>
      <c r="BA1223" s="4">
        <v>41984</v>
      </c>
      <c r="BB1223" s="6">
        <v>-1.196134</v>
      </c>
      <c r="BC1223" s="6">
        <v>1.4950600000000001</v>
      </c>
      <c r="BD1223" s="6">
        <v>1.5157670000000001</v>
      </c>
      <c r="BE1223" s="6"/>
      <c r="BF1223" s="6"/>
      <c r="BG1223" s="6"/>
      <c r="BH1223" s="6"/>
      <c r="BI1223" s="6"/>
      <c r="BJ1223" s="6"/>
      <c r="BK1223" s="6"/>
      <c r="BL1223" s="6"/>
      <c r="BM1223" s="6"/>
      <c r="BN1223" s="6" t="e">
        <f t="shared" si="99"/>
        <v>#DIV/0!</v>
      </c>
    </row>
    <row r="1224" spans="49:66" x14ac:dyDescent="0.3">
      <c r="AW1224">
        <f t="shared" si="98"/>
        <v>0</v>
      </c>
      <c r="AX1224">
        <v>1221</v>
      </c>
      <c r="AY1224" s="4">
        <f t="shared" si="96"/>
        <v>41985</v>
      </c>
      <c r="AZ1224" s="6" t="e">
        <f t="shared" si="97"/>
        <v>#DIV/0!</v>
      </c>
      <c r="BA1224" s="4">
        <v>41985</v>
      </c>
      <c r="BB1224" s="6">
        <v>0.32092199999999999</v>
      </c>
      <c r="BC1224" s="6">
        <v>0.71055800000000002</v>
      </c>
      <c r="BD1224" s="6">
        <v>1.2667489999999999</v>
      </c>
      <c r="BE1224" s="6"/>
      <c r="BF1224" s="6"/>
      <c r="BG1224" s="6"/>
      <c r="BH1224" s="6"/>
      <c r="BI1224" s="6"/>
      <c r="BJ1224" s="6"/>
      <c r="BK1224" s="6"/>
      <c r="BL1224" s="6"/>
      <c r="BM1224" s="6"/>
      <c r="BN1224" s="6" t="e">
        <f t="shared" si="99"/>
        <v>#DIV/0!</v>
      </c>
    </row>
    <row r="1225" spans="49:66" x14ac:dyDescent="0.3">
      <c r="AW1225">
        <f t="shared" si="98"/>
        <v>0</v>
      </c>
      <c r="AX1225">
        <v>1222</v>
      </c>
      <c r="AY1225" s="4">
        <f t="shared" si="96"/>
        <v>41988</v>
      </c>
      <c r="AZ1225" s="6" t="e">
        <f t="shared" si="97"/>
        <v>#DIV/0!</v>
      </c>
      <c r="BA1225" s="4">
        <v>41988</v>
      </c>
      <c r="BB1225" s="6">
        <v>0.75162200000000001</v>
      </c>
      <c r="BC1225" s="6">
        <v>1.645616</v>
      </c>
      <c r="BD1225" s="6">
        <v>1.7257709999999999</v>
      </c>
      <c r="BE1225" s="6"/>
      <c r="BF1225" s="6"/>
      <c r="BG1225" s="6"/>
      <c r="BH1225" s="6"/>
      <c r="BI1225" s="6"/>
      <c r="BJ1225" s="6"/>
      <c r="BK1225" s="6"/>
      <c r="BL1225" s="6"/>
      <c r="BM1225" s="6"/>
      <c r="BN1225" s="6" t="e">
        <f t="shared" si="99"/>
        <v>#DIV/0!</v>
      </c>
    </row>
    <row r="1226" spans="49:66" x14ac:dyDescent="0.3">
      <c r="AW1226">
        <f t="shared" si="98"/>
        <v>0</v>
      </c>
      <c r="AX1226">
        <v>1223</v>
      </c>
      <c r="AY1226" s="4">
        <f t="shared" si="96"/>
        <v>41989</v>
      </c>
      <c r="AZ1226" s="6" t="e">
        <f t="shared" si="97"/>
        <v>#DIV/0!</v>
      </c>
      <c r="BA1226" s="4">
        <v>41989</v>
      </c>
      <c r="BB1226" s="6">
        <v>2.6785169999999998</v>
      </c>
      <c r="BC1226" s="6">
        <v>0.41364000000000001</v>
      </c>
      <c r="BD1226" s="6">
        <v>-0.34378900000000001</v>
      </c>
      <c r="BE1226" s="6"/>
      <c r="BF1226" s="6"/>
      <c r="BG1226" s="6"/>
      <c r="BH1226" s="6"/>
      <c r="BI1226" s="6"/>
      <c r="BJ1226" s="6"/>
      <c r="BK1226" s="6"/>
      <c r="BL1226" s="6"/>
      <c r="BM1226" s="6"/>
      <c r="BN1226" s="6" t="e">
        <f t="shared" si="99"/>
        <v>#DIV/0!</v>
      </c>
    </row>
    <row r="1227" spans="49:66" x14ac:dyDescent="0.3">
      <c r="AW1227">
        <f t="shared" si="98"/>
        <v>0</v>
      </c>
      <c r="AX1227">
        <v>1224</v>
      </c>
      <c r="AY1227" s="4">
        <f t="shared" si="96"/>
        <v>41990</v>
      </c>
      <c r="AZ1227" s="6" t="e">
        <f t="shared" si="97"/>
        <v>#DIV/0!</v>
      </c>
      <c r="BA1227" s="4">
        <v>41990</v>
      </c>
      <c r="BB1227" s="6">
        <v>1.731427</v>
      </c>
      <c r="BC1227" s="6">
        <v>-0.88121499999999997</v>
      </c>
      <c r="BD1227" s="6">
        <v>-1.2680149999999999</v>
      </c>
      <c r="BE1227" s="6"/>
      <c r="BF1227" s="6"/>
      <c r="BG1227" s="6"/>
      <c r="BH1227" s="6"/>
      <c r="BI1227" s="6"/>
      <c r="BJ1227" s="6"/>
      <c r="BK1227" s="6"/>
      <c r="BL1227" s="6"/>
      <c r="BM1227" s="6"/>
      <c r="BN1227" s="6" t="e">
        <f t="shared" si="99"/>
        <v>#DIV/0!</v>
      </c>
    </row>
    <row r="1228" spans="49:66" x14ac:dyDescent="0.3">
      <c r="AW1228">
        <f t="shared" si="98"/>
        <v>0</v>
      </c>
      <c r="AX1228">
        <v>1225</v>
      </c>
      <c r="AY1228" s="4">
        <f t="shared" si="96"/>
        <v>41991</v>
      </c>
      <c r="AZ1228" s="6" t="e">
        <f t="shared" si="97"/>
        <v>#DIV/0!</v>
      </c>
      <c r="BA1228" s="4">
        <v>41991</v>
      </c>
      <c r="BB1228" s="6">
        <v>-0.43655899999999997</v>
      </c>
      <c r="BC1228" s="6">
        <v>1.3658E-2</v>
      </c>
      <c r="BD1228" s="6">
        <v>-0.156279</v>
      </c>
      <c r="BE1228" s="6"/>
      <c r="BF1228" s="6"/>
      <c r="BG1228" s="6"/>
      <c r="BH1228" s="6"/>
      <c r="BI1228" s="6"/>
      <c r="BJ1228" s="6"/>
      <c r="BK1228" s="6"/>
      <c r="BL1228" s="6"/>
      <c r="BM1228" s="6"/>
      <c r="BN1228" s="6" t="e">
        <f t="shared" si="99"/>
        <v>#DIV/0!</v>
      </c>
    </row>
    <row r="1229" spans="49:66" x14ac:dyDescent="0.3">
      <c r="AW1229">
        <f t="shared" si="98"/>
        <v>0</v>
      </c>
      <c r="AX1229">
        <v>1226</v>
      </c>
      <c r="AY1229" s="4">
        <f t="shared" si="96"/>
        <v>41992</v>
      </c>
      <c r="AZ1229" s="6" t="e">
        <f t="shared" si="97"/>
        <v>#DIV/0!</v>
      </c>
      <c r="BA1229" s="4">
        <v>41992</v>
      </c>
      <c r="BB1229" s="6">
        <v>1.112995</v>
      </c>
      <c r="BC1229" s="6">
        <v>-0.61034100000000002</v>
      </c>
      <c r="BD1229" s="6">
        <v>-1.5722499999999999</v>
      </c>
      <c r="BE1229" s="6"/>
      <c r="BF1229" s="6"/>
      <c r="BG1229" s="6"/>
      <c r="BH1229" s="6"/>
      <c r="BI1229" s="6"/>
      <c r="BJ1229" s="6"/>
      <c r="BK1229" s="6"/>
      <c r="BL1229" s="6"/>
      <c r="BM1229" s="6"/>
      <c r="BN1229" s="6" t="e">
        <f t="shared" si="99"/>
        <v>#DIV/0!</v>
      </c>
    </row>
    <row r="1230" spans="49:66" x14ac:dyDescent="0.3">
      <c r="AW1230">
        <f t="shared" si="98"/>
        <v>0</v>
      </c>
      <c r="AX1230">
        <v>1227</v>
      </c>
      <c r="AY1230" s="4">
        <f t="shared" si="96"/>
        <v>41995</v>
      </c>
      <c r="AZ1230" s="6" t="e">
        <f t="shared" si="97"/>
        <v>#DIV/0!</v>
      </c>
      <c r="BA1230" s="4">
        <v>41995</v>
      </c>
      <c r="BB1230" s="6">
        <v>0.33442</v>
      </c>
      <c r="BC1230" s="6">
        <v>-3.9628559999999999</v>
      </c>
      <c r="BD1230" s="6">
        <v>-4.9310020000000003</v>
      </c>
      <c r="BE1230" s="6"/>
      <c r="BF1230" s="6"/>
      <c r="BG1230" s="6"/>
      <c r="BH1230" s="6"/>
      <c r="BI1230" s="6"/>
      <c r="BJ1230" s="6"/>
      <c r="BK1230" s="6"/>
      <c r="BL1230" s="6"/>
      <c r="BM1230" s="6"/>
      <c r="BN1230" s="6" t="e">
        <f t="shared" si="99"/>
        <v>#DIV/0!</v>
      </c>
    </row>
    <row r="1231" spans="49:66" x14ac:dyDescent="0.3">
      <c r="AW1231">
        <f t="shared" si="98"/>
        <v>0</v>
      </c>
      <c r="AX1231">
        <v>1228</v>
      </c>
      <c r="AY1231" s="4">
        <f t="shared" si="96"/>
        <v>41996</v>
      </c>
      <c r="AZ1231" s="6" t="e">
        <f t="shared" si="97"/>
        <v>#DIV/0!</v>
      </c>
      <c r="BA1231" s="4">
        <v>41996</v>
      </c>
      <c r="BB1231" s="6">
        <v>-2.0491199999999998</v>
      </c>
      <c r="BC1231" s="6">
        <v>-2.1014629999999999</v>
      </c>
      <c r="BD1231" s="6">
        <v>-1.588346</v>
      </c>
      <c r="BE1231" s="6"/>
      <c r="BF1231" s="6"/>
      <c r="BG1231" s="6"/>
      <c r="BH1231" s="6"/>
      <c r="BI1231" s="6"/>
      <c r="BJ1231" s="6"/>
      <c r="BK1231" s="6"/>
      <c r="BL1231" s="6"/>
      <c r="BM1231" s="6"/>
      <c r="BN1231" s="6" t="e">
        <f t="shared" si="99"/>
        <v>#DIV/0!</v>
      </c>
    </row>
    <row r="1232" spans="49:66" x14ac:dyDescent="0.3">
      <c r="AW1232">
        <f t="shared" si="98"/>
        <v>0</v>
      </c>
      <c r="AX1232">
        <v>1229</v>
      </c>
      <c r="AY1232" s="4">
        <f t="shared" si="96"/>
        <v>41997</v>
      </c>
      <c r="AZ1232" s="6" t="e">
        <f t="shared" si="97"/>
        <v>#DIV/0!</v>
      </c>
      <c r="BA1232" s="4">
        <v>41997</v>
      </c>
      <c r="BB1232" s="6">
        <v>-2.843343</v>
      </c>
      <c r="BC1232" s="6">
        <v>1.321653</v>
      </c>
      <c r="BD1232" s="6">
        <v>2.1833640000000001</v>
      </c>
      <c r="BE1232" s="6"/>
      <c r="BF1232" s="6"/>
      <c r="BG1232" s="6"/>
      <c r="BH1232" s="6"/>
      <c r="BI1232" s="6"/>
      <c r="BJ1232" s="6"/>
      <c r="BK1232" s="6"/>
      <c r="BL1232" s="6"/>
      <c r="BM1232" s="6"/>
      <c r="BN1232" s="6" t="e">
        <f t="shared" si="99"/>
        <v>#DIV/0!</v>
      </c>
    </row>
    <row r="1233" spans="49:66" x14ac:dyDescent="0.3">
      <c r="AW1233">
        <f t="shared" si="98"/>
        <v>0</v>
      </c>
      <c r="AX1233">
        <v>1230</v>
      </c>
      <c r="AY1233" s="4">
        <f t="shared" si="96"/>
        <v>41998</v>
      </c>
      <c r="AZ1233" s="6" t="e">
        <f t="shared" si="97"/>
        <v>#DIV/0!</v>
      </c>
      <c r="BA1233" s="4">
        <v>41998</v>
      </c>
      <c r="BB1233" s="6">
        <v>3.251439</v>
      </c>
      <c r="BC1233" s="6">
        <v>1.9420550000000001</v>
      </c>
      <c r="BD1233" s="6">
        <v>1.0987709999999999</v>
      </c>
      <c r="BE1233" s="6"/>
      <c r="BF1233" s="6"/>
      <c r="BG1233" s="6"/>
      <c r="BH1233" s="6"/>
      <c r="BI1233" s="6"/>
      <c r="BJ1233" s="6"/>
      <c r="BK1233" s="6"/>
      <c r="BL1233" s="6"/>
      <c r="BM1233" s="6"/>
      <c r="BN1233" s="6" t="e">
        <f t="shared" si="99"/>
        <v>#DIV/0!</v>
      </c>
    </row>
    <row r="1234" spans="49:66" x14ac:dyDescent="0.3">
      <c r="AW1234">
        <f t="shared" si="98"/>
        <v>0</v>
      </c>
      <c r="AX1234">
        <v>1231</v>
      </c>
      <c r="AY1234" s="4">
        <f t="shared" si="96"/>
        <v>41999</v>
      </c>
      <c r="AZ1234" s="6" t="e">
        <f t="shared" si="97"/>
        <v>#DIV/0!</v>
      </c>
      <c r="BA1234" s="4">
        <v>41999</v>
      </c>
      <c r="BB1234" s="6">
        <v>3.3105289999999998</v>
      </c>
      <c r="BC1234" s="6">
        <v>1.0846739999999999</v>
      </c>
      <c r="BD1234" s="6">
        <v>0.18368799999999999</v>
      </c>
      <c r="BE1234" s="6"/>
      <c r="BF1234" s="6"/>
      <c r="BG1234" s="6"/>
      <c r="BH1234" s="6"/>
      <c r="BI1234" s="6"/>
      <c r="BJ1234" s="6"/>
      <c r="BK1234" s="6"/>
      <c r="BL1234" s="6"/>
      <c r="BM1234" s="6"/>
      <c r="BN1234" s="6" t="e">
        <f t="shared" si="99"/>
        <v>#DIV/0!</v>
      </c>
    </row>
    <row r="1235" spans="49:66" x14ac:dyDescent="0.3">
      <c r="AW1235">
        <f t="shared" si="98"/>
        <v>0</v>
      </c>
      <c r="AX1235">
        <v>1232</v>
      </c>
      <c r="AY1235" s="4">
        <f t="shared" si="96"/>
        <v>42002</v>
      </c>
      <c r="AZ1235" s="6" t="e">
        <f t="shared" si="97"/>
        <v>#DIV/0!</v>
      </c>
      <c r="BA1235" s="4">
        <v>42002</v>
      </c>
      <c r="BB1235" s="6">
        <v>0.279061</v>
      </c>
      <c r="BC1235" s="6">
        <v>-1.016348</v>
      </c>
      <c r="BD1235" s="6">
        <v>-2.164876</v>
      </c>
      <c r="BE1235" s="6"/>
      <c r="BF1235" s="6"/>
      <c r="BG1235" s="6"/>
      <c r="BH1235" s="6"/>
      <c r="BI1235" s="6"/>
      <c r="BJ1235" s="6"/>
      <c r="BK1235" s="6"/>
      <c r="BL1235" s="6"/>
      <c r="BM1235" s="6"/>
      <c r="BN1235" s="6" t="e">
        <f t="shared" si="99"/>
        <v>#DIV/0!</v>
      </c>
    </row>
    <row r="1236" spans="49:66" x14ac:dyDescent="0.3">
      <c r="AW1236">
        <f t="shared" si="98"/>
        <v>0</v>
      </c>
      <c r="AX1236">
        <v>1233</v>
      </c>
      <c r="AY1236" s="4">
        <f t="shared" si="96"/>
        <v>42003</v>
      </c>
      <c r="AZ1236" s="6" t="e">
        <f t="shared" si="97"/>
        <v>#DIV/0!</v>
      </c>
      <c r="BA1236" s="4">
        <v>42003</v>
      </c>
      <c r="BB1236" s="6">
        <v>6.0745E-2</v>
      </c>
      <c r="BC1236" s="6">
        <v>-1.7242599999999999</v>
      </c>
      <c r="BD1236" s="6">
        <v>-1.9075820000000001</v>
      </c>
      <c r="BE1236" s="6"/>
      <c r="BF1236" s="6"/>
      <c r="BG1236" s="6"/>
      <c r="BH1236" s="6"/>
      <c r="BI1236" s="6"/>
      <c r="BJ1236" s="6"/>
      <c r="BK1236" s="6"/>
      <c r="BL1236" s="6"/>
      <c r="BM1236" s="6"/>
      <c r="BN1236" s="6" t="e">
        <f t="shared" si="99"/>
        <v>#DIV/0!</v>
      </c>
    </row>
    <row r="1237" spans="49:66" x14ac:dyDescent="0.3">
      <c r="AW1237">
        <f t="shared" si="98"/>
        <v>0</v>
      </c>
      <c r="AX1237">
        <v>1234</v>
      </c>
      <c r="AY1237" s="4">
        <f t="shared" si="96"/>
        <v>42004</v>
      </c>
      <c r="AZ1237" s="6" t="e">
        <f t="shared" si="97"/>
        <v>#DIV/0!</v>
      </c>
      <c r="BA1237" s="4">
        <v>42004</v>
      </c>
      <c r="BB1237" s="6">
        <v>2.2024530000000002</v>
      </c>
      <c r="BC1237" s="6">
        <v>0.90290499999999996</v>
      </c>
      <c r="BD1237" s="6">
        <v>0.75023799999999996</v>
      </c>
      <c r="BE1237" s="6"/>
      <c r="BF1237" s="6"/>
      <c r="BG1237" s="6"/>
      <c r="BH1237" s="6"/>
      <c r="BI1237" s="6"/>
      <c r="BJ1237" s="6"/>
      <c r="BK1237" s="6"/>
      <c r="BL1237" s="6"/>
      <c r="BM1237" s="6"/>
      <c r="BN1237" s="6" t="e">
        <f t="shared" si="99"/>
        <v>#DIV/0!</v>
      </c>
    </row>
    <row r="1238" spans="49:66" x14ac:dyDescent="0.3">
      <c r="AW1238">
        <f t="shared" si="98"/>
        <v>0</v>
      </c>
      <c r="AX1238">
        <v>1235</v>
      </c>
      <c r="AY1238" s="4">
        <f t="shared" si="96"/>
        <v>42009</v>
      </c>
      <c r="AZ1238" s="6" t="e">
        <f t="shared" si="97"/>
        <v>#DIV/0!</v>
      </c>
      <c r="BA1238" s="4">
        <v>42009</v>
      </c>
      <c r="BB1238" s="6">
        <v>3.051641</v>
      </c>
      <c r="BC1238" s="6">
        <v>1.771709</v>
      </c>
      <c r="BD1238" s="6">
        <v>0.36942199999999997</v>
      </c>
      <c r="BE1238" s="6"/>
      <c r="BF1238" s="6"/>
      <c r="BG1238" s="6"/>
      <c r="BH1238" s="6"/>
      <c r="BI1238" s="6"/>
      <c r="BJ1238" s="6"/>
      <c r="BK1238" s="6"/>
      <c r="BL1238" s="6"/>
      <c r="BM1238" s="6"/>
      <c r="BN1238" s="6" t="e">
        <f t="shared" si="99"/>
        <v>#DIV/0!</v>
      </c>
    </row>
    <row r="1239" spans="49:66" x14ac:dyDescent="0.3">
      <c r="AW1239">
        <f t="shared" si="98"/>
        <v>0</v>
      </c>
      <c r="AX1239">
        <v>1236</v>
      </c>
      <c r="AY1239" s="4">
        <f t="shared" si="96"/>
        <v>42010</v>
      </c>
      <c r="AZ1239" s="6" t="e">
        <f t="shared" si="97"/>
        <v>#DIV/0!</v>
      </c>
      <c r="BA1239" s="4">
        <v>42010</v>
      </c>
      <c r="BB1239" s="6">
        <v>-1.3236E-2</v>
      </c>
      <c r="BC1239" s="6">
        <v>1.160177</v>
      </c>
      <c r="BD1239" s="6">
        <v>2.0266000000000002</v>
      </c>
      <c r="BE1239" s="6"/>
      <c r="BF1239" s="6"/>
      <c r="BG1239" s="6"/>
      <c r="BH1239" s="6"/>
      <c r="BI1239" s="6"/>
      <c r="BJ1239" s="6"/>
      <c r="BK1239" s="6"/>
      <c r="BL1239" s="6"/>
      <c r="BM1239" s="6"/>
      <c r="BN1239" s="6" t="e">
        <f t="shared" si="99"/>
        <v>#DIV/0!</v>
      </c>
    </row>
    <row r="1240" spans="49:66" x14ac:dyDescent="0.3">
      <c r="AW1240">
        <f t="shared" si="98"/>
        <v>0</v>
      </c>
      <c r="AX1240">
        <v>1237</v>
      </c>
      <c r="AY1240" s="4">
        <f t="shared" si="96"/>
        <v>42011</v>
      </c>
      <c r="AZ1240" s="6" t="e">
        <f t="shared" si="97"/>
        <v>#DIV/0!</v>
      </c>
      <c r="BA1240" s="4">
        <v>42011</v>
      </c>
      <c r="BB1240" s="6">
        <v>7.5006000000000003E-2</v>
      </c>
      <c r="BC1240" s="6">
        <v>0.152887</v>
      </c>
      <c r="BD1240" s="6">
        <v>-9.1098999999999999E-2</v>
      </c>
      <c r="BE1240" s="6"/>
      <c r="BF1240" s="6"/>
      <c r="BG1240" s="6"/>
      <c r="BH1240" s="6"/>
      <c r="BI1240" s="6"/>
      <c r="BJ1240" s="6"/>
      <c r="BK1240" s="6"/>
      <c r="BL1240" s="6"/>
      <c r="BM1240" s="6"/>
      <c r="BN1240" s="6" t="e">
        <f t="shared" si="99"/>
        <v>#DIV/0!</v>
      </c>
    </row>
    <row r="1241" spans="49:66" x14ac:dyDescent="0.3">
      <c r="AW1241">
        <f t="shared" si="98"/>
        <v>0</v>
      </c>
      <c r="AX1241">
        <v>1238</v>
      </c>
      <c r="AY1241" s="4">
        <f t="shared" si="96"/>
        <v>42012</v>
      </c>
      <c r="AZ1241" s="6" t="e">
        <f t="shared" si="97"/>
        <v>#DIV/0!</v>
      </c>
      <c r="BA1241" s="4">
        <v>42012</v>
      </c>
      <c r="BB1241" s="6">
        <v>-2.3198650000000001</v>
      </c>
      <c r="BC1241" s="6">
        <v>-0.80544899999999997</v>
      </c>
      <c r="BD1241" s="6">
        <v>-4.3102000000000001E-2</v>
      </c>
      <c r="BE1241" s="6"/>
      <c r="BF1241" s="6"/>
      <c r="BG1241" s="6"/>
      <c r="BH1241" s="6"/>
      <c r="BI1241" s="6"/>
      <c r="BJ1241" s="6"/>
      <c r="BK1241" s="6"/>
      <c r="BL1241" s="6"/>
      <c r="BM1241" s="6"/>
      <c r="BN1241" s="6" t="e">
        <f t="shared" si="99"/>
        <v>#DIV/0!</v>
      </c>
    </row>
    <row r="1242" spans="49:66" x14ac:dyDescent="0.3">
      <c r="AW1242">
        <f t="shared" si="98"/>
        <v>0</v>
      </c>
      <c r="AX1242">
        <v>1239</v>
      </c>
      <c r="AY1242" s="4">
        <f t="shared" si="96"/>
        <v>42013</v>
      </c>
      <c r="AZ1242" s="6" t="e">
        <f t="shared" si="97"/>
        <v>#DIV/0!</v>
      </c>
      <c r="BA1242" s="4">
        <v>42013</v>
      </c>
      <c r="BB1242" s="6">
        <v>-0.35220800000000002</v>
      </c>
      <c r="BC1242" s="6">
        <v>-0.64251999999999998</v>
      </c>
      <c r="BD1242" s="6">
        <v>-0.58563200000000004</v>
      </c>
      <c r="BE1242" s="6"/>
      <c r="BF1242" s="6"/>
      <c r="BG1242" s="6"/>
      <c r="BH1242" s="6"/>
      <c r="BI1242" s="6"/>
      <c r="BJ1242" s="6"/>
      <c r="BK1242" s="6"/>
      <c r="BL1242" s="6"/>
      <c r="BM1242" s="6"/>
      <c r="BN1242" s="6" t="e">
        <f t="shared" si="99"/>
        <v>#DIV/0!</v>
      </c>
    </row>
    <row r="1243" spans="49:66" x14ac:dyDescent="0.3">
      <c r="AW1243">
        <f t="shared" si="98"/>
        <v>0</v>
      </c>
      <c r="AX1243">
        <v>1240</v>
      </c>
      <c r="AY1243" s="4">
        <f t="shared" si="96"/>
        <v>42016</v>
      </c>
      <c r="AZ1243" s="6" t="e">
        <f t="shared" si="97"/>
        <v>#DIV/0!</v>
      </c>
      <c r="BA1243" s="4">
        <v>42016</v>
      </c>
      <c r="BB1243" s="6">
        <v>-0.934581</v>
      </c>
      <c r="BC1243" s="6">
        <v>-1.420525</v>
      </c>
      <c r="BD1243" s="6">
        <v>-1.0725990000000001</v>
      </c>
      <c r="BE1243" s="6"/>
      <c r="BF1243" s="6"/>
      <c r="BG1243" s="6"/>
      <c r="BH1243" s="6"/>
      <c r="BI1243" s="6"/>
      <c r="BJ1243" s="6"/>
      <c r="BK1243" s="6"/>
      <c r="BL1243" s="6"/>
      <c r="BM1243" s="6"/>
      <c r="BN1243" s="6" t="e">
        <f t="shared" si="99"/>
        <v>#DIV/0!</v>
      </c>
    </row>
    <row r="1244" spans="49:66" x14ac:dyDescent="0.3">
      <c r="AW1244">
        <f t="shared" si="98"/>
        <v>0</v>
      </c>
      <c r="AX1244">
        <v>1241</v>
      </c>
      <c r="AY1244" s="4">
        <f t="shared" si="96"/>
        <v>42017</v>
      </c>
      <c r="AZ1244" s="6" t="e">
        <f t="shared" si="97"/>
        <v>#DIV/0!</v>
      </c>
      <c r="BA1244" s="4">
        <v>42017</v>
      </c>
      <c r="BB1244" s="6">
        <v>1.3206000000000001E-2</v>
      </c>
      <c r="BC1244" s="6">
        <v>1.366598</v>
      </c>
      <c r="BD1244" s="6">
        <v>1.7292829999999999</v>
      </c>
      <c r="BE1244" s="6"/>
      <c r="BF1244" s="6"/>
      <c r="BG1244" s="6"/>
      <c r="BH1244" s="6"/>
      <c r="BI1244" s="6"/>
      <c r="BJ1244" s="6"/>
      <c r="BK1244" s="6"/>
      <c r="BL1244" s="6"/>
      <c r="BM1244" s="6"/>
      <c r="BN1244" s="6" t="e">
        <f t="shared" si="99"/>
        <v>#DIV/0!</v>
      </c>
    </row>
    <row r="1245" spans="49:66" x14ac:dyDescent="0.3">
      <c r="AW1245">
        <f t="shared" si="98"/>
        <v>0</v>
      </c>
      <c r="AX1245">
        <v>1242</v>
      </c>
      <c r="AY1245" s="4">
        <f t="shared" si="96"/>
        <v>42018</v>
      </c>
      <c r="AZ1245" s="6" t="e">
        <f t="shared" si="97"/>
        <v>#DIV/0!</v>
      </c>
      <c r="BA1245" s="4">
        <v>42018</v>
      </c>
      <c r="BB1245" s="6">
        <v>-0.33058799999999999</v>
      </c>
      <c r="BC1245" s="6">
        <v>-0.46905799999999997</v>
      </c>
      <c r="BD1245" s="6">
        <v>-0.45121600000000001</v>
      </c>
      <c r="BE1245" s="6"/>
      <c r="BF1245" s="6"/>
      <c r="BG1245" s="6"/>
      <c r="BH1245" s="6"/>
      <c r="BI1245" s="6"/>
      <c r="BJ1245" s="6"/>
      <c r="BK1245" s="6"/>
      <c r="BL1245" s="6"/>
      <c r="BM1245" s="6"/>
      <c r="BN1245" s="6" t="e">
        <f t="shared" si="99"/>
        <v>#DIV/0!</v>
      </c>
    </row>
    <row r="1246" spans="49:66" x14ac:dyDescent="0.3">
      <c r="AW1246">
        <f t="shared" si="98"/>
        <v>0</v>
      </c>
      <c r="AX1246">
        <v>1243</v>
      </c>
      <c r="AY1246" s="4">
        <f t="shared" si="96"/>
        <v>42019</v>
      </c>
      <c r="AZ1246" s="6" t="e">
        <f t="shared" si="97"/>
        <v>#DIV/0!</v>
      </c>
      <c r="BA1246" s="4">
        <v>42019</v>
      </c>
      <c r="BB1246" s="6">
        <v>2.9036469999999999</v>
      </c>
      <c r="BC1246" s="6">
        <v>1.2881670000000001</v>
      </c>
      <c r="BD1246" s="6">
        <v>0.47836200000000001</v>
      </c>
      <c r="BE1246" s="6"/>
      <c r="BF1246" s="6"/>
      <c r="BG1246" s="6"/>
      <c r="BH1246" s="6"/>
      <c r="BI1246" s="6"/>
      <c r="BJ1246" s="6"/>
      <c r="BK1246" s="6"/>
      <c r="BL1246" s="6"/>
      <c r="BM1246" s="6"/>
      <c r="BN1246" s="6" t="e">
        <f t="shared" si="99"/>
        <v>#DIV/0!</v>
      </c>
    </row>
    <row r="1247" spans="49:66" x14ac:dyDescent="0.3">
      <c r="AW1247">
        <f t="shared" si="98"/>
        <v>0</v>
      </c>
      <c r="AX1247">
        <v>1244</v>
      </c>
      <c r="AY1247" s="4">
        <f t="shared" si="96"/>
        <v>42020</v>
      </c>
      <c r="AZ1247" s="6" t="e">
        <f t="shared" si="97"/>
        <v>#DIV/0!</v>
      </c>
      <c r="BA1247" s="4">
        <v>42020</v>
      </c>
      <c r="BB1247" s="6">
        <v>0.86082000000000003</v>
      </c>
      <c r="BC1247" s="6">
        <v>1.3045420000000001</v>
      </c>
      <c r="BD1247" s="6">
        <v>1.352271</v>
      </c>
      <c r="BE1247" s="6"/>
      <c r="BF1247" s="6"/>
      <c r="BG1247" s="6"/>
      <c r="BH1247" s="6"/>
      <c r="BI1247" s="6"/>
      <c r="BJ1247" s="6"/>
      <c r="BK1247" s="6"/>
      <c r="BL1247" s="6"/>
      <c r="BM1247" s="6"/>
      <c r="BN1247" s="6" t="e">
        <f t="shared" si="99"/>
        <v>#DIV/0!</v>
      </c>
    </row>
    <row r="1248" spans="49:66" x14ac:dyDescent="0.3">
      <c r="AW1248">
        <f t="shared" si="98"/>
        <v>0</v>
      </c>
      <c r="AX1248">
        <v>1245</v>
      </c>
      <c r="AY1248" s="4">
        <f t="shared" si="96"/>
        <v>42023</v>
      </c>
      <c r="AZ1248" s="6" t="e">
        <f t="shared" si="97"/>
        <v>#DIV/0!</v>
      </c>
      <c r="BA1248" s="4">
        <v>42023</v>
      </c>
      <c r="BB1248" s="6">
        <v>-7.7023320000000002</v>
      </c>
      <c r="BC1248" s="6">
        <v>-4.3156280000000002</v>
      </c>
      <c r="BD1248" s="6">
        <v>-2.2838820000000002</v>
      </c>
      <c r="BE1248" s="6"/>
      <c r="BF1248" s="6"/>
      <c r="BG1248" s="6"/>
      <c r="BH1248" s="6"/>
      <c r="BI1248" s="6"/>
      <c r="BJ1248" s="6"/>
      <c r="BK1248" s="6"/>
      <c r="BL1248" s="6"/>
      <c r="BM1248" s="6"/>
      <c r="BN1248" s="6" t="e">
        <f t="shared" si="99"/>
        <v>#DIV/0!</v>
      </c>
    </row>
    <row r="1249" spans="49:66" x14ac:dyDescent="0.3">
      <c r="AW1249">
        <f t="shared" si="98"/>
        <v>0</v>
      </c>
      <c r="AX1249">
        <v>1246</v>
      </c>
      <c r="AY1249" s="4">
        <f t="shared" si="96"/>
        <v>42024</v>
      </c>
      <c r="AZ1249" s="6" t="e">
        <f t="shared" si="97"/>
        <v>#DIV/0!</v>
      </c>
      <c r="BA1249" s="4">
        <v>42024</v>
      </c>
      <c r="BB1249" s="6">
        <v>1.223997</v>
      </c>
      <c r="BC1249" s="6">
        <v>3.6089129999999998</v>
      </c>
      <c r="BD1249" s="6">
        <v>3.7213189999999998</v>
      </c>
      <c r="BE1249" s="6"/>
      <c r="BF1249" s="6"/>
      <c r="BG1249" s="6"/>
      <c r="BH1249" s="6"/>
      <c r="BI1249" s="6"/>
      <c r="BJ1249" s="6"/>
      <c r="BK1249" s="6"/>
      <c r="BL1249" s="6"/>
      <c r="BM1249" s="6"/>
      <c r="BN1249" s="6" t="e">
        <f t="shared" si="99"/>
        <v>#DIV/0!</v>
      </c>
    </row>
    <row r="1250" spans="49:66" x14ac:dyDescent="0.3">
      <c r="AW1250">
        <f t="shared" si="98"/>
        <v>0</v>
      </c>
      <c r="AX1250">
        <v>1247</v>
      </c>
      <c r="AY1250" s="4">
        <f t="shared" si="96"/>
        <v>42025</v>
      </c>
      <c r="AZ1250" s="6" t="e">
        <f t="shared" si="97"/>
        <v>#DIV/0!</v>
      </c>
      <c r="BA1250" s="4">
        <v>42025</v>
      </c>
      <c r="BB1250" s="6">
        <v>4.4950830000000002</v>
      </c>
      <c r="BC1250" s="6">
        <v>2.5432549999999998</v>
      </c>
      <c r="BD1250" s="6">
        <v>2.0373920000000001</v>
      </c>
      <c r="BE1250" s="6"/>
      <c r="BF1250" s="6"/>
      <c r="BG1250" s="6"/>
      <c r="BH1250" s="6"/>
      <c r="BI1250" s="6"/>
      <c r="BJ1250" s="6"/>
      <c r="BK1250" s="6"/>
      <c r="BL1250" s="6"/>
      <c r="BM1250" s="6"/>
      <c r="BN1250" s="6" t="e">
        <f t="shared" si="99"/>
        <v>#DIV/0!</v>
      </c>
    </row>
    <row r="1251" spans="49:66" x14ac:dyDescent="0.3">
      <c r="AW1251">
        <f t="shared" si="98"/>
        <v>0</v>
      </c>
      <c r="AX1251">
        <v>1248</v>
      </c>
      <c r="AY1251" s="4">
        <f t="shared" si="96"/>
        <v>42026</v>
      </c>
      <c r="AZ1251" s="6" t="e">
        <f t="shared" si="97"/>
        <v>#DIV/0!</v>
      </c>
      <c r="BA1251" s="4">
        <v>42026</v>
      </c>
      <c r="BB1251" s="6">
        <v>0.52771500000000005</v>
      </c>
      <c r="BC1251" s="6">
        <v>1.3981870000000001</v>
      </c>
      <c r="BD1251" s="6">
        <v>1.591513</v>
      </c>
      <c r="BE1251" s="6"/>
      <c r="BF1251" s="6"/>
      <c r="BG1251" s="6"/>
      <c r="BH1251" s="6"/>
      <c r="BI1251" s="6"/>
      <c r="BJ1251" s="6"/>
      <c r="BK1251" s="6"/>
      <c r="BL1251" s="6"/>
      <c r="BM1251" s="6"/>
      <c r="BN1251" s="6" t="e">
        <f t="shared" si="99"/>
        <v>#DIV/0!</v>
      </c>
    </row>
    <row r="1252" spans="49:66" x14ac:dyDescent="0.3">
      <c r="AW1252">
        <f t="shared" si="98"/>
        <v>0</v>
      </c>
      <c r="AX1252">
        <v>1249</v>
      </c>
      <c r="AY1252" s="4">
        <f t="shared" si="96"/>
        <v>42027</v>
      </c>
      <c r="AZ1252" s="6" t="e">
        <f t="shared" si="97"/>
        <v>#DIV/0!</v>
      </c>
      <c r="BA1252" s="4">
        <v>42027</v>
      </c>
      <c r="BB1252" s="6">
        <v>0.115455</v>
      </c>
      <c r="BC1252" s="6">
        <v>-0.99939299999999998</v>
      </c>
      <c r="BD1252" s="6">
        <v>-1.0134369999999999</v>
      </c>
      <c r="BE1252" s="6"/>
      <c r="BF1252" s="6"/>
      <c r="BG1252" s="6"/>
      <c r="BH1252" s="6"/>
      <c r="BI1252" s="6"/>
      <c r="BJ1252" s="6"/>
      <c r="BK1252" s="6"/>
      <c r="BL1252" s="6"/>
      <c r="BM1252" s="6"/>
      <c r="BN1252" s="6" t="e">
        <f t="shared" si="99"/>
        <v>#DIV/0!</v>
      </c>
    </row>
    <row r="1253" spans="49:66" x14ac:dyDescent="0.3">
      <c r="AW1253">
        <f t="shared" si="98"/>
        <v>0</v>
      </c>
      <c r="AX1253">
        <v>1250</v>
      </c>
      <c r="AY1253" s="4">
        <f t="shared" si="96"/>
        <v>42030</v>
      </c>
      <c r="AZ1253" s="6" t="e">
        <f t="shared" si="97"/>
        <v>#DIV/0!</v>
      </c>
      <c r="BA1253" s="4">
        <v>42030</v>
      </c>
      <c r="BB1253" s="6">
        <v>1.0149980000000001</v>
      </c>
      <c r="BC1253" s="6">
        <v>2.231201</v>
      </c>
      <c r="BD1253" s="6">
        <v>2.161543</v>
      </c>
      <c r="BE1253" s="6"/>
      <c r="BF1253" s="6"/>
      <c r="BG1253" s="6"/>
      <c r="BH1253" s="6"/>
      <c r="BI1253" s="6"/>
      <c r="BJ1253" s="6"/>
      <c r="BK1253" s="6"/>
      <c r="BL1253" s="6"/>
      <c r="BM1253" s="6"/>
      <c r="BN1253" s="6" t="e">
        <f t="shared" si="99"/>
        <v>#DIV/0!</v>
      </c>
    </row>
    <row r="1254" spans="49:66" x14ac:dyDescent="0.3">
      <c r="AW1254">
        <f t="shared" si="98"/>
        <v>0</v>
      </c>
      <c r="AX1254">
        <v>1251</v>
      </c>
      <c r="AY1254" s="4">
        <f t="shared" si="96"/>
        <v>42031</v>
      </c>
      <c r="AZ1254" s="6" t="e">
        <f t="shared" si="97"/>
        <v>#DIV/0!</v>
      </c>
      <c r="BA1254" s="4">
        <v>42031</v>
      </c>
      <c r="BB1254" s="6">
        <v>-0.91613500000000003</v>
      </c>
      <c r="BC1254" s="6">
        <v>0.25763200000000003</v>
      </c>
      <c r="BD1254" s="6">
        <v>0.77069100000000001</v>
      </c>
      <c r="BE1254" s="6"/>
      <c r="BF1254" s="6"/>
      <c r="BG1254" s="6"/>
      <c r="BH1254" s="6"/>
      <c r="BI1254" s="6"/>
      <c r="BJ1254" s="6"/>
      <c r="BK1254" s="6"/>
      <c r="BL1254" s="6"/>
      <c r="BM1254" s="6"/>
      <c r="BN1254" s="6" t="e">
        <f t="shared" si="99"/>
        <v>#DIV/0!</v>
      </c>
    </row>
    <row r="1255" spans="49:66" x14ac:dyDescent="0.3">
      <c r="AW1255">
        <f t="shared" si="98"/>
        <v>0</v>
      </c>
      <c r="AX1255">
        <v>1252</v>
      </c>
      <c r="AY1255" s="4">
        <f t="shared" si="96"/>
        <v>42032</v>
      </c>
      <c r="AZ1255" s="6" t="e">
        <f t="shared" si="97"/>
        <v>#DIV/0!</v>
      </c>
      <c r="BA1255" s="4">
        <v>42032</v>
      </c>
      <c r="BB1255" s="6">
        <v>-1.3876630000000001</v>
      </c>
      <c r="BC1255" s="6">
        <v>-0.58708099999999996</v>
      </c>
      <c r="BD1255" s="6">
        <v>-0.41145500000000002</v>
      </c>
      <c r="BE1255" s="6"/>
      <c r="BF1255" s="6"/>
      <c r="BG1255" s="6"/>
      <c r="BH1255" s="6"/>
      <c r="BI1255" s="6"/>
      <c r="BJ1255" s="6"/>
      <c r="BK1255" s="6"/>
      <c r="BL1255" s="6"/>
      <c r="BM1255" s="6"/>
      <c r="BN1255" s="6" t="e">
        <f t="shared" si="99"/>
        <v>#DIV/0!</v>
      </c>
    </row>
    <row r="1256" spans="49:66" x14ac:dyDescent="0.3">
      <c r="AW1256">
        <f t="shared" si="98"/>
        <v>0</v>
      </c>
      <c r="AX1256">
        <v>1253</v>
      </c>
      <c r="AY1256" s="4">
        <f t="shared" si="96"/>
        <v>42033</v>
      </c>
      <c r="AZ1256" s="6" t="e">
        <f t="shared" si="97"/>
        <v>#DIV/0!</v>
      </c>
      <c r="BA1256" s="4">
        <v>42033</v>
      </c>
      <c r="BB1256" s="6">
        <v>-1.234639</v>
      </c>
      <c r="BC1256" s="6">
        <v>-0.67446899999999999</v>
      </c>
      <c r="BD1256" s="6">
        <v>-0.61892199999999997</v>
      </c>
      <c r="BE1256" s="6"/>
      <c r="BF1256" s="6"/>
      <c r="BG1256" s="6"/>
      <c r="BH1256" s="6"/>
      <c r="BI1256" s="6"/>
      <c r="BJ1256" s="6"/>
      <c r="BK1256" s="6"/>
      <c r="BL1256" s="6"/>
      <c r="BM1256" s="6"/>
      <c r="BN1256" s="6" t="e">
        <f t="shared" si="99"/>
        <v>#DIV/0!</v>
      </c>
    </row>
    <row r="1257" spans="49:66" x14ac:dyDescent="0.3">
      <c r="AW1257">
        <f t="shared" si="98"/>
        <v>0</v>
      </c>
      <c r="AX1257">
        <v>1254</v>
      </c>
      <c r="AY1257" s="4">
        <f t="shared" si="96"/>
        <v>42034</v>
      </c>
      <c r="AZ1257" s="6" t="e">
        <f t="shared" si="97"/>
        <v>#DIV/0!</v>
      </c>
      <c r="BA1257" s="4">
        <v>42034</v>
      </c>
      <c r="BB1257" s="6">
        <v>-1.3615950000000001</v>
      </c>
      <c r="BC1257" s="6">
        <v>-1.2010970000000001</v>
      </c>
      <c r="BD1257" s="6">
        <v>-1.183516</v>
      </c>
      <c r="BE1257" s="6"/>
      <c r="BF1257" s="6"/>
      <c r="BG1257" s="6"/>
      <c r="BH1257" s="6"/>
      <c r="BI1257" s="6"/>
      <c r="BJ1257" s="6"/>
      <c r="BK1257" s="6"/>
      <c r="BL1257" s="6"/>
      <c r="BM1257" s="6"/>
      <c r="BN1257" s="6" t="e">
        <f t="shared" si="99"/>
        <v>#DIV/0!</v>
      </c>
    </row>
    <row r="1258" spans="49:66" x14ac:dyDescent="0.3">
      <c r="AW1258">
        <f t="shared" si="98"/>
        <v>0</v>
      </c>
      <c r="AX1258">
        <v>1255</v>
      </c>
      <c r="AY1258" s="4">
        <f t="shared" si="96"/>
        <v>42037</v>
      </c>
      <c r="AZ1258" s="6" t="e">
        <f t="shared" si="97"/>
        <v>#DIV/0!</v>
      </c>
      <c r="BA1258" s="4">
        <v>42037</v>
      </c>
      <c r="BB1258" s="6">
        <v>-2.341901</v>
      </c>
      <c r="BC1258" s="6">
        <v>-0.41434599999999999</v>
      </c>
      <c r="BD1258" s="6">
        <v>-0.163352</v>
      </c>
      <c r="BE1258" s="6"/>
      <c r="BF1258" s="6"/>
      <c r="BG1258" s="6"/>
      <c r="BH1258" s="6"/>
      <c r="BI1258" s="6"/>
      <c r="BJ1258" s="6"/>
      <c r="BK1258" s="6"/>
      <c r="BL1258" s="6"/>
      <c r="BM1258" s="6"/>
      <c r="BN1258" s="6" t="e">
        <f t="shared" si="99"/>
        <v>#DIV/0!</v>
      </c>
    </row>
    <row r="1259" spans="49:66" x14ac:dyDescent="0.3">
      <c r="AW1259">
        <f t="shared" si="98"/>
        <v>0</v>
      </c>
      <c r="AX1259">
        <v>1256</v>
      </c>
      <c r="AY1259" s="4">
        <f t="shared" si="96"/>
        <v>42038</v>
      </c>
      <c r="AZ1259" s="6" t="e">
        <f t="shared" si="97"/>
        <v>#DIV/0!</v>
      </c>
      <c r="BA1259" s="4">
        <v>42038</v>
      </c>
      <c r="BB1259" s="6">
        <v>2.489147</v>
      </c>
      <c r="BC1259" s="6">
        <v>1.7486219999999999</v>
      </c>
      <c r="BD1259" s="6">
        <v>1.815296</v>
      </c>
      <c r="BE1259" s="6"/>
      <c r="BF1259" s="6"/>
      <c r="BG1259" s="6"/>
      <c r="BH1259" s="6"/>
      <c r="BI1259" s="6"/>
      <c r="BJ1259" s="6"/>
      <c r="BK1259" s="6"/>
      <c r="BL1259" s="6"/>
      <c r="BM1259" s="6"/>
      <c r="BN1259" s="6" t="e">
        <f t="shared" si="99"/>
        <v>#DIV/0!</v>
      </c>
    </row>
    <row r="1260" spans="49:66" x14ac:dyDescent="0.3">
      <c r="AW1260">
        <f t="shared" si="98"/>
        <v>0</v>
      </c>
      <c r="AX1260">
        <v>1257</v>
      </c>
      <c r="AY1260" s="4">
        <f t="shared" si="96"/>
        <v>42039</v>
      </c>
      <c r="AZ1260" s="6" t="e">
        <f t="shared" si="97"/>
        <v>#DIV/0!</v>
      </c>
      <c r="BA1260" s="4">
        <v>42039</v>
      </c>
      <c r="BB1260" s="6">
        <v>-1.037893</v>
      </c>
      <c r="BC1260" s="6">
        <v>-0.41974800000000001</v>
      </c>
      <c r="BD1260" s="6">
        <v>-1.8197999999999999E-2</v>
      </c>
      <c r="BE1260" s="6"/>
      <c r="BF1260" s="6"/>
      <c r="BG1260" s="6"/>
      <c r="BH1260" s="6"/>
      <c r="BI1260" s="6"/>
      <c r="BJ1260" s="6"/>
      <c r="BK1260" s="6"/>
      <c r="BL1260" s="6"/>
      <c r="BM1260" s="6"/>
      <c r="BN1260" s="6" t="e">
        <f t="shared" si="99"/>
        <v>#DIV/0!</v>
      </c>
    </row>
    <row r="1261" spans="49:66" x14ac:dyDescent="0.3">
      <c r="AW1261">
        <f t="shared" si="98"/>
        <v>0</v>
      </c>
      <c r="AX1261">
        <v>1258</v>
      </c>
      <c r="AY1261" s="4">
        <f t="shared" si="96"/>
        <v>42040</v>
      </c>
      <c r="AZ1261" s="6" t="e">
        <f t="shared" si="97"/>
        <v>#DIV/0!</v>
      </c>
      <c r="BA1261" s="4">
        <v>42040</v>
      </c>
      <c r="BB1261" s="6">
        <v>-1.023644</v>
      </c>
      <c r="BC1261" s="6">
        <v>-0.51556100000000005</v>
      </c>
      <c r="BD1261" s="6">
        <v>1.1181999999999999E-2</v>
      </c>
      <c r="BE1261" s="6"/>
      <c r="BF1261" s="6"/>
      <c r="BG1261" s="6"/>
      <c r="BH1261" s="6"/>
      <c r="BI1261" s="6"/>
      <c r="BJ1261" s="6"/>
      <c r="BK1261" s="6"/>
      <c r="BL1261" s="6"/>
      <c r="BM1261" s="6"/>
      <c r="BN1261" s="6" t="e">
        <f t="shared" si="99"/>
        <v>#DIV/0!</v>
      </c>
    </row>
    <row r="1262" spans="49:66" x14ac:dyDescent="0.3">
      <c r="AW1262">
        <f t="shared" si="98"/>
        <v>0</v>
      </c>
      <c r="AX1262">
        <v>1259</v>
      </c>
      <c r="AY1262" s="4">
        <f t="shared" si="96"/>
        <v>42041</v>
      </c>
      <c r="AZ1262" s="6" t="e">
        <f t="shared" si="97"/>
        <v>#DIV/0!</v>
      </c>
      <c r="BA1262" s="4">
        <v>42041</v>
      </c>
      <c r="BB1262" s="6">
        <v>-1.6194500000000001</v>
      </c>
      <c r="BC1262" s="6">
        <v>-2.1122640000000001</v>
      </c>
      <c r="BD1262" s="6">
        <v>-1.9106019999999999</v>
      </c>
      <c r="BE1262" s="6"/>
      <c r="BF1262" s="6"/>
      <c r="BG1262" s="6"/>
      <c r="BH1262" s="6"/>
      <c r="BI1262" s="6"/>
      <c r="BJ1262" s="6"/>
      <c r="BK1262" s="6"/>
      <c r="BL1262" s="6"/>
      <c r="BM1262" s="6"/>
      <c r="BN1262" s="6" t="e">
        <f t="shared" si="99"/>
        <v>#DIV/0!</v>
      </c>
    </row>
    <row r="1263" spans="49:66" x14ac:dyDescent="0.3">
      <c r="AW1263">
        <f t="shared" si="98"/>
        <v>0</v>
      </c>
      <c r="AX1263">
        <v>1260</v>
      </c>
      <c r="AY1263" s="4">
        <f t="shared" si="96"/>
        <v>42044</v>
      </c>
      <c r="AZ1263" s="6" t="e">
        <f t="shared" si="97"/>
        <v>#DIV/0!</v>
      </c>
      <c r="BA1263" s="4">
        <v>42044</v>
      </c>
      <c r="BB1263" s="6">
        <v>1.0113749999999999</v>
      </c>
      <c r="BC1263" s="6">
        <v>-0.53861199999999998</v>
      </c>
      <c r="BD1263" s="6">
        <v>-0.79871899999999996</v>
      </c>
      <c r="BE1263" s="6"/>
      <c r="BF1263" s="6"/>
      <c r="BG1263" s="6"/>
      <c r="BH1263" s="6"/>
      <c r="BI1263" s="6"/>
      <c r="BJ1263" s="6"/>
      <c r="BK1263" s="6"/>
      <c r="BL1263" s="6"/>
      <c r="BM1263" s="6"/>
      <c r="BN1263" s="6" t="e">
        <f t="shared" si="99"/>
        <v>#DIV/0!</v>
      </c>
    </row>
    <row r="1264" spans="49:66" x14ac:dyDescent="0.3">
      <c r="AW1264">
        <f t="shared" si="98"/>
        <v>0</v>
      </c>
      <c r="AX1264">
        <v>1261</v>
      </c>
      <c r="AY1264" s="4">
        <f t="shared" si="96"/>
        <v>42045</v>
      </c>
      <c r="AZ1264" s="6" t="e">
        <f t="shared" si="97"/>
        <v>#DIV/0!</v>
      </c>
      <c r="BA1264" s="4">
        <v>42045</v>
      </c>
      <c r="BB1264" s="6">
        <v>1.8237730000000001</v>
      </c>
      <c r="BC1264" s="6">
        <v>1.3756649999999999</v>
      </c>
      <c r="BD1264" s="6">
        <v>1.2510159999999999</v>
      </c>
      <c r="BE1264" s="6"/>
      <c r="BF1264" s="6"/>
      <c r="BG1264" s="6"/>
      <c r="BH1264" s="6"/>
      <c r="BI1264" s="6"/>
      <c r="BJ1264" s="6"/>
      <c r="BK1264" s="6"/>
      <c r="BL1264" s="6"/>
      <c r="BM1264" s="6"/>
      <c r="BN1264" s="6" t="e">
        <f t="shared" si="99"/>
        <v>#DIV/0!</v>
      </c>
    </row>
    <row r="1265" spans="49:66" x14ac:dyDescent="0.3">
      <c r="AW1265">
        <f t="shared" si="98"/>
        <v>0</v>
      </c>
      <c r="AX1265">
        <v>1262</v>
      </c>
      <c r="AY1265" s="4">
        <f t="shared" si="96"/>
        <v>42046</v>
      </c>
      <c r="AZ1265" s="6" t="e">
        <f t="shared" si="97"/>
        <v>#DIV/0!</v>
      </c>
      <c r="BA1265" s="4">
        <v>42046</v>
      </c>
      <c r="BB1265" s="6">
        <v>0.79781199999999997</v>
      </c>
      <c r="BC1265" s="6">
        <v>1.0945210000000001</v>
      </c>
      <c r="BD1265" s="6">
        <v>1.368128</v>
      </c>
      <c r="BE1265" s="6"/>
      <c r="BF1265" s="6"/>
      <c r="BG1265" s="6"/>
      <c r="BH1265" s="6"/>
      <c r="BI1265" s="6"/>
      <c r="BJ1265" s="6"/>
      <c r="BK1265" s="6"/>
      <c r="BL1265" s="6"/>
      <c r="BM1265" s="6"/>
      <c r="BN1265" s="6" t="e">
        <f t="shared" si="99"/>
        <v>#DIV/0!</v>
      </c>
    </row>
    <row r="1266" spans="49:66" x14ac:dyDescent="0.3">
      <c r="AW1266">
        <f t="shared" si="98"/>
        <v>0</v>
      </c>
      <c r="AX1266">
        <v>1263</v>
      </c>
      <c r="AY1266" s="4">
        <f t="shared" si="96"/>
        <v>42047</v>
      </c>
      <c r="AZ1266" s="6" t="e">
        <f t="shared" si="97"/>
        <v>#DIV/0!</v>
      </c>
      <c r="BA1266" s="4">
        <v>42047</v>
      </c>
      <c r="BB1266" s="6">
        <v>0.25479600000000002</v>
      </c>
      <c r="BC1266" s="6">
        <v>0.70110799999999995</v>
      </c>
      <c r="BD1266" s="6">
        <v>0.877359</v>
      </c>
      <c r="BE1266" s="6"/>
      <c r="BF1266" s="6"/>
      <c r="BG1266" s="6"/>
      <c r="BH1266" s="6"/>
      <c r="BI1266" s="6"/>
      <c r="BJ1266" s="6"/>
      <c r="BK1266" s="6"/>
      <c r="BL1266" s="6"/>
      <c r="BM1266" s="6"/>
      <c r="BN1266" s="6" t="e">
        <f t="shared" si="99"/>
        <v>#DIV/0!</v>
      </c>
    </row>
    <row r="1267" spans="49:66" x14ac:dyDescent="0.3">
      <c r="AW1267">
        <f t="shared" si="98"/>
        <v>0</v>
      </c>
      <c r="AX1267">
        <v>1264</v>
      </c>
      <c r="AY1267" s="4">
        <f t="shared" si="96"/>
        <v>42048</v>
      </c>
      <c r="AZ1267" s="6" t="e">
        <f t="shared" si="97"/>
        <v>#DIV/0!</v>
      </c>
      <c r="BA1267" s="4">
        <v>42048</v>
      </c>
      <c r="BB1267" s="6">
        <v>0.78289200000000003</v>
      </c>
      <c r="BC1267" s="6">
        <v>1.5477160000000001</v>
      </c>
      <c r="BD1267" s="6">
        <v>1.6711830000000001</v>
      </c>
      <c r="BE1267" s="6"/>
      <c r="BF1267" s="6"/>
      <c r="BG1267" s="6"/>
      <c r="BH1267" s="6"/>
      <c r="BI1267" s="6"/>
      <c r="BJ1267" s="6"/>
      <c r="BK1267" s="6"/>
      <c r="BL1267" s="6"/>
      <c r="BM1267" s="6"/>
      <c r="BN1267" s="6" t="e">
        <f t="shared" si="99"/>
        <v>#DIV/0!</v>
      </c>
    </row>
    <row r="1268" spans="49:66" x14ac:dyDescent="0.3">
      <c r="AW1268">
        <f t="shared" si="98"/>
        <v>0</v>
      </c>
      <c r="AX1268">
        <v>1265</v>
      </c>
      <c r="AY1268" s="4">
        <f t="shared" si="96"/>
        <v>42051</v>
      </c>
      <c r="AZ1268" s="6" t="e">
        <f t="shared" si="97"/>
        <v>#DIV/0!</v>
      </c>
      <c r="BA1268" s="4">
        <v>42051</v>
      </c>
      <c r="BB1268" s="6">
        <v>0.854653</v>
      </c>
      <c r="BC1268" s="6">
        <v>1.7409650000000001</v>
      </c>
      <c r="BD1268" s="6">
        <v>2.1927279999999998</v>
      </c>
      <c r="BE1268" s="6"/>
      <c r="BF1268" s="6"/>
      <c r="BG1268" s="6"/>
      <c r="BH1268" s="6"/>
      <c r="BI1268" s="6"/>
      <c r="BJ1268" s="6"/>
      <c r="BK1268" s="6"/>
      <c r="BL1268" s="6"/>
      <c r="BM1268" s="6"/>
      <c r="BN1268" s="6" t="e">
        <f t="shared" si="99"/>
        <v>#DIV/0!</v>
      </c>
    </row>
    <row r="1269" spans="49:66" x14ac:dyDescent="0.3">
      <c r="AW1269">
        <f t="shared" si="98"/>
        <v>0</v>
      </c>
      <c r="AX1269">
        <v>1266</v>
      </c>
      <c r="AY1269" s="4">
        <f t="shared" si="96"/>
        <v>42052</v>
      </c>
      <c r="AZ1269" s="6" t="e">
        <f t="shared" si="97"/>
        <v>#DIV/0!</v>
      </c>
      <c r="BA1269" s="4">
        <v>42052</v>
      </c>
      <c r="BB1269" s="6">
        <v>0.65263899999999997</v>
      </c>
      <c r="BC1269" s="6">
        <v>0.70506000000000002</v>
      </c>
      <c r="BD1269" s="6">
        <v>0.78606799999999999</v>
      </c>
      <c r="BE1269" s="6"/>
      <c r="BF1269" s="6"/>
      <c r="BG1269" s="6"/>
      <c r="BH1269" s="6"/>
      <c r="BI1269" s="6"/>
      <c r="BJ1269" s="6"/>
      <c r="BK1269" s="6"/>
      <c r="BL1269" s="6"/>
      <c r="BM1269" s="6"/>
      <c r="BN1269" s="6" t="e">
        <f t="shared" si="99"/>
        <v>#DIV/0!</v>
      </c>
    </row>
    <row r="1270" spans="49:66" x14ac:dyDescent="0.3">
      <c r="AW1270">
        <f t="shared" si="98"/>
        <v>0</v>
      </c>
      <c r="AX1270">
        <v>1267</v>
      </c>
      <c r="AY1270" s="4">
        <f t="shared" si="96"/>
        <v>42060</v>
      </c>
      <c r="AZ1270" s="6" t="e">
        <f t="shared" si="97"/>
        <v>#DIV/0!</v>
      </c>
      <c r="BA1270" s="4">
        <v>42060</v>
      </c>
      <c r="BB1270" s="6">
        <v>-1.2376210000000001</v>
      </c>
      <c r="BC1270" s="6">
        <v>-7.7143000000000003E-2</v>
      </c>
      <c r="BD1270" s="6">
        <v>-0.21920100000000001</v>
      </c>
      <c r="BE1270" s="6"/>
      <c r="BF1270" s="6"/>
      <c r="BG1270" s="6"/>
      <c r="BH1270" s="6"/>
      <c r="BI1270" s="6"/>
      <c r="BJ1270" s="6"/>
      <c r="BK1270" s="6"/>
      <c r="BL1270" s="6"/>
      <c r="BM1270" s="6"/>
      <c r="BN1270" s="6" t="e">
        <f t="shared" si="99"/>
        <v>#DIV/0!</v>
      </c>
    </row>
    <row r="1271" spans="49:66" x14ac:dyDescent="0.3">
      <c r="AW1271">
        <f t="shared" si="98"/>
        <v>0</v>
      </c>
      <c r="AX1271">
        <v>1268</v>
      </c>
      <c r="AY1271" s="4">
        <f t="shared" si="96"/>
        <v>42061</v>
      </c>
      <c r="AZ1271" s="6" t="e">
        <f t="shared" si="97"/>
        <v>#DIV/0!</v>
      </c>
      <c r="BA1271" s="4">
        <v>42061</v>
      </c>
      <c r="BB1271" s="6">
        <v>2.5171839999999999</v>
      </c>
      <c r="BC1271" s="6">
        <v>1.0669360000000001</v>
      </c>
      <c r="BD1271" s="6">
        <v>0.57965699999999998</v>
      </c>
      <c r="BE1271" s="6"/>
      <c r="BF1271" s="6"/>
      <c r="BG1271" s="6"/>
      <c r="BH1271" s="6"/>
      <c r="BI1271" s="6"/>
      <c r="BJ1271" s="6"/>
      <c r="BK1271" s="6"/>
      <c r="BL1271" s="6"/>
      <c r="BM1271" s="6"/>
      <c r="BN1271" s="6" t="e">
        <f t="shared" si="99"/>
        <v>#DIV/0!</v>
      </c>
    </row>
    <row r="1272" spans="49:66" x14ac:dyDescent="0.3">
      <c r="AW1272">
        <f t="shared" si="98"/>
        <v>0</v>
      </c>
      <c r="AX1272">
        <v>1269</v>
      </c>
      <c r="AY1272" s="4">
        <f t="shared" si="96"/>
        <v>42062</v>
      </c>
      <c r="AZ1272" s="6" t="e">
        <f t="shared" si="97"/>
        <v>#DIV/0!</v>
      </c>
      <c r="BA1272" s="4">
        <v>42062</v>
      </c>
      <c r="BB1272" s="6">
        <v>0.18360799999999999</v>
      </c>
      <c r="BC1272" s="6">
        <v>0.81925700000000001</v>
      </c>
      <c r="BD1272" s="6">
        <v>1.3714170000000001</v>
      </c>
      <c r="BE1272" s="6"/>
      <c r="BF1272" s="6"/>
      <c r="BG1272" s="6"/>
      <c r="BH1272" s="6"/>
      <c r="BI1272" s="6"/>
      <c r="BJ1272" s="6"/>
      <c r="BK1272" s="6"/>
      <c r="BL1272" s="6"/>
      <c r="BM1272" s="6"/>
      <c r="BN1272" s="6" t="e">
        <f t="shared" si="99"/>
        <v>#DIV/0!</v>
      </c>
    </row>
    <row r="1273" spans="49:66" x14ac:dyDescent="0.3">
      <c r="AW1273">
        <f t="shared" si="98"/>
        <v>0</v>
      </c>
      <c r="AX1273">
        <v>1270</v>
      </c>
      <c r="AY1273" s="4">
        <f t="shared" si="96"/>
        <v>42065</v>
      </c>
      <c r="AZ1273" s="6" t="e">
        <f t="shared" si="97"/>
        <v>#DIV/0!</v>
      </c>
      <c r="BA1273" s="4">
        <v>42065</v>
      </c>
      <c r="BB1273" s="6">
        <v>0.79550100000000001</v>
      </c>
      <c r="BC1273" s="6">
        <v>2.0159470000000002</v>
      </c>
      <c r="BD1273" s="6">
        <v>2.4613800000000001</v>
      </c>
      <c r="BE1273" s="6"/>
      <c r="BF1273" s="6"/>
      <c r="BG1273" s="6"/>
      <c r="BH1273" s="6"/>
      <c r="BI1273" s="6"/>
      <c r="BJ1273" s="6"/>
      <c r="BK1273" s="6"/>
      <c r="BL1273" s="6"/>
      <c r="BM1273" s="6"/>
      <c r="BN1273" s="6" t="e">
        <f t="shared" si="99"/>
        <v>#DIV/0!</v>
      </c>
    </row>
    <row r="1274" spans="49:66" x14ac:dyDescent="0.3">
      <c r="AW1274">
        <f t="shared" si="98"/>
        <v>0</v>
      </c>
      <c r="AX1274">
        <v>1271</v>
      </c>
      <c r="AY1274" s="4">
        <f t="shared" si="96"/>
        <v>42066</v>
      </c>
      <c r="AZ1274" s="6" t="e">
        <f t="shared" si="97"/>
        <v>#DIV/0!</v>
      </c>
      <c r="BA1274" s="4">
        <v>42066</v>
      </c>
      <c r="BB1274" s="6">
        <v>-2.5925609999999999</v>
      </c>
      <c r="BC1274" s="6">
        <v>-0.344246</v>
      </c>
      <c r="BD1274" s="6">
        <v>-0.48607</v>
      </c>
      <c r="BE1274" s="6"/>
      <c r="BF1274" s="6"/>
      <c r="BG1274" s="6"/>
      <c r="BH1274" s="6"/>
      <c r="BI1274" s="6"/>
      <c r="BJ1274" s="6"/>
      <c r="BK1274" s="6"/>
      <c r="BL1274" s="6"/>
      <c r="BM1274" s="6"/>
      <c r="BN1274" s="6" t="e">
        <f t="shared" si="99"/>
        <v>#DIV/0!</v>
      </c>
    </row>
    <row r="1275" spans="49:66" x14ac:dyDescent="0.3">
      <c r="AW1275">
        <f t="shared" si="98"/>
        <v>0</v>
      </c>
      <c r="AX1275">
        <v>1272</v>
      </c>
      <c r="AY1275" s="4">
        <f t="shared" si="96"/>
        <v>42067</v>
      </c>
      <c r="AZ1275" s="6" t="e">
        <f t="shared" si="97"/>
        <v>#DIV/0!</v>
      </c>
      <c r="BA1275" s="4">
        <v>42067</v>
      </c>
      <c r="BB1275" s="6">
        <v>0.65343899999999999</v>
      </c>
      <c r="BC1275" s="6">
        <v>1.499757</v>
      </c>
      <c r="BD1275" s="6">
        <v>1.7704489999999999</v>
      </c>
      <c r="BE1275" s="6"/>
      <c r="BF1275" s="6"/>
      <c r="BG1275" s="6"/>
      <c r="BH1275" s="6"/>
      <c r="BI1275" s="6"/>
      <c r="BJ1275" s="6"/>
      <c r="BK1275" s="6"/>
      <c r="BL1275" s="6"/>
      <c r="BM1275" s="6"/>
      <c r="BN1275" s="6" t="e">
        <f t="shared" si="99"/>
        <v>#DIV/0!</v>
      </c>
    </row>
    <row r="1276" spans="49:66" x14ac:dyDescent="0.3">
      <c r="AW1276">
        <f t="shared" si="98"/>
        <v>0</v>
      </c>
      <c r="AX1276">
        <v>1273</v>
      </c>
      <c r="AY1276" s="4">
        <f t="shared" si="96"/>
        <v>42068</v>
      </c>
      <c r="AZ1276" s="6" t="e">
        <f t="shared" si="97"/>
        <v>#DIV/0!</v>
      </c>
      <c r="BA1276" s="4">
        <v>42068</v>
      </c>
      <c r="BB1276" s="6">
        <v>-0.97648599999999997</v>
      </c>
      <c r="BC1276" s="6">
        <v>-2.3074000000000001E-2</v>
      </c>
      <c r="BD1276" s="6">
        <v>0.53800899999999996</v>
      </c>
      <c r="BE1276" s="6"/>
      <c r="BF1276" s="6"/>
      <c r="BG1276" s="6"/>
      <c r="BH1276" s="6"/>
      <c r="BI1276" s="6"/>
      <c r="BJ1276" s="6"/>
      <c r="BK1276" s="6"/>
      <c r="BL1276" s="6"/>
      <c r="BM1276" s="6"/>
      <c r="BN1276" s="6" t="e">
        <f t="shared" si="99"/>
        <v>#DIV/0!</v>
      </c>
    </row>
    <row r="1277" spans="49:66" x14ac:dyDescent="0.3">
      <c r="AW1277">
        <f t="shared" si="98"/>
        <v>0</v>
      </c>
      <c r="AX1277">
        <v>1274</v>
      </c>
      <c r="AY1277" s="4">
        <f t="shared" si="96"/>
        <v>42069</v>
      </c>
      <c r="AZ1277" s="6" t="e">
        <f t="shared" si="97"/>
        <v>#DIV/0!</v>
      </c>
      <c r="BA1277" s="4">
        <v>42069</v>
      </c>
      <c r="BB1277" s="6">
        <v>-0.50978999999999997</v>
      </c>
      <c r="BC1277" s="6">
        <v>-1.22342</v>
      </c>
      <c r="BD1277" s="6">
        <v>-1.5099100000000001</v>
      </c>
      <c r="BE1277" s="6"/>
      <c r="BF1277" s="6"/>
      <c r="BG1277" s="6"/>
      <c r="BH1277" s="6"/>
      <c r="BI1277" s="6"/>
      <c r="BJ1277" s="6"/>
      <c r="BK1277" s="6"/>
      <c r="BL1277" s="6"/>
      <c r="BM1277" s="6"/>
      <c r="BN1277" s="6" t="e">
        <f t="shared" si="99"/>
        <v>#DIV/0!</v>
      </c>
    </row>
    <row r="1278" spans="49:66" x14ac:dyDescent="0.3">
      <c r="AW1278">
        <f t="shared" si="98"/>
        <v>0</v>
      </c>
      <c r="AX1278">
        <v>1275</v>
      </c>
      <c r="AY1278" s="4">
        <f t="shared" si="96"/>
        <v>42072</v>
      </c>
      <c r="AZ1278" s="6" t="e">
        <f t="shared" si="97"/>
        <v>#DIV/0!</v>
      </c>
      <c r="BA1278" s="4">
        <v>42072</v>
      </c>
      <c r="BB1278" s="6">
        <v>1.702736</v>
      </c>
      <c r="BC1278" s="6">
        <v>1.2915319999999999</v>
      </c>
      <c r="BD1278" s="6">
        <v>1.5318320000000001</v>
      </c>
      <c r="BE1278" s="6"/>
      <c r="BF1278" s="6"/>
      <c r="BG1278" s="6"/>
      <c r="BH1278" s="6"/>
      <c r="BI1278" s="6"/>
      <c r="BJ1278" s="6"/>
      <c r="BK1278" s="6"/>
      <c r="BL1278" s="6"/>
      <c r="BM1278" s="6"/>
      <c r="BN1278" s="6" t="e">
        <f t="shared" si="99"/>
        <v>#DIV/0!</v>
      </c>
    </row>
    <row r="1279" spans="49:66" x14ac:dyDescent="0.3">
      <c r="AW1279">
        <f t="shared" si="98"/>
        <v>0</v>
      </c>
      <c r="AX1279">
        <v>1276</v>
      </c>
      <c r="AY1279" s="4">
        <f t="shared" si="96"/>
        <v>42073</v>
      </c>
      <c r="AZ1279" s="6" t="e">
        <f t="shared" si="97"/>
        <v>#DIV/0!</v>
      </c>
      <c r="BA1279" s="4">
        <v>42073</v>
      </c>
      <c r="BB1279" s="6">
        <v>-0.48446</v>
      </c>
      <c r="BC1279" s="6">
        <v>1.034233</v>
      </c>
      <c r="BD1279" s="6">
        <v>1.5523800000000001</v>
      </c>
      <c r="BE1279" s="6"/>
      <c r="BF1279" s="6"/>
      <c r="BG1279" s="6"/>
      <c r="BH1279" s="6"/>
      <c r="BI1279" s="6"/>
      <c r="BJ1279" s="6"/>
      <c r="BK1279" s="6"/>
      <c r="BL1279" s="6"/>
      <c r="BM1279" s="6"/>
      <c r="BN1279" s="6" t="e">
        <f t="shared" si="99"/>
        <v>#DIV/0!</v>
      </c>
    </row>
    <row r="1280" spans="49:66" x14ac:dyDescent="0.3">
      <c r="AW1280">
        <f t="shared" si="98"/>
        <v>0</v>
      </c>
      <c r="AX1280">
        <v>1277</v>
      </c>
      <c r="AY1280" s="4">
        <f t="shared" si="96"/>
        <v>42074</v>
      </c>
      <c r="AZ1280" s="6" t="e">
        <f t="shared" si="97"/>
        <v>#DIV/0!</v>
      </c>
      <c r="BA1280" s="4">
        <v>42074</v>
      </c>
      <c r="BB1280" s="6">
        <v>0.11481</v>
      </c>
      <c r="BC1280" s="6">
        <v>-0.21657000000000001</v>
      </c>
      <c r="BD1280" s="6">
        <v>-2.2339999999999999E-3</v>
      </c>
      <c r="BE1280" s="6"/>
      <c r="BF1280" s="6"/>
      <c r="BG1280" s="6"/>
      <c r="BH1280" s="6"/>
      <c r="BI1280" s="6"/>
      <c r="BJ1280" s="6"/>
      <c r="BK1280" s="6"/>
      <c r="BL1280" s="6"/>
      <c r="BM1280" s="6"/>
      <c r="BN1280" s="6" t="e">
        <f t="shared" si="99"/>
        <v>#DIV/0!</v>
      </c>
    </row>
    <row r="1281" spans="49:66" x14ac:dyDescent="0.3">
      <c r="AW1281">
        <f t="shared" si="98"/>
        <v>0</v>
      </c>
      <c r="AX1281">
        <v>1278</v>
      </c>
      <c r="AY1281" s="4">
        <f t="shared" si="96"/>
        <v>42075</v>
      </c>
      <c r="AZ1281" s="6" t="e">
        <f t="shared" si="97"/>
        <v>#DIV/0!</v>
      </c>
      <c r="BA1281" s="4">
        <v>42075</v>
      </c>
      <c r="BB1281" s="6">
        <v>1.934687</v>
      </c>
      <c r="BC1281" s="6">
        <v>-4.3989E-2</v>
      </c>
      <c r="BD1281" s="6">
        <v>-0.68549899999999997</v>
      </c>
      <c r="BE1281" s="6"/>
      <c r="BF1281" s="6"/>
      <c r="BG1281" s="6"/>
      <c r="BH1281" s="6"/>
      <c r="BI1281" s="6"/>
      <c r="BJ1281" s="6"/>
      <c r="BK1281" s="6"/>
      <c r="BL1281" s="6"/>
      <c r="BM1281" s="6"/>
      <c r="BN1281" s="6" t="e">
        <f t="shared" si="99"/>
        <v>#DIV/0!</v>
      </c>
    </row>
    <row r="1282" spans="49:66" x14ac:dyDescent="0.3">
      <c r="AW1282">
        <f t="shared" si="98"/>
        <v>0</v>
      </c>
      <c r="AX1282">
        <v>1279</v>
      </c>
      <c r="AY1282" s="4">
        <f t="shared" si="96"/>
        <v>42076</v>
      </c>
      <c r="AZ1282" s="6" t="e">
        <f t="shared" si="97"/>
        <v>#DIV/0!</v>
      </c>
      <c r="BA1282" s="4">
        <v>42076</v>
      </c>
      <c r="BB1282" s="6">
        <v>0.69062299999999999</v>
      </c>
      <c r="BC1282" s="6">
        <v>1.1092249999999999</v>
      </c>
      <c r="BD1282" s="6">
        <v>1.7952090000000001</v>
      </c>
      <c r="BE1282" s="6"/>
      <c r="BF1282" s="6"/>
      <c r="BG1282" s="6"/>
      <c r="BH1282" s="6"/>
      <c r="BI1282" s="6"/>
      <c r="BJ1282" s="6"/>
      <c r="BK1282" s="6"/>
      <c r="BL1282" s="6"/>
      <c r="BM1282" s="6"/>
      <c r="BN1282" s="6" t="e">
        <f t="shared" si="99"/>
        <v>#DIV/0!</v>
      </c>
    </row>
    <row r="1283" spans="49:66" x14ac:dyDescent="0.3">
      <c r="AW1283">
        <f t="shared" si="98"/>
        <v>0</v>
      </c>
      <c r="AX1283">
        <v>1280</v>
      </c>
      <c r="AY1283" s="4">
        <f t="shared" si="96"/>
        <v>42079</v>
      </c>
      <c r="AZ1283" s="6" t="e">
        <f t="shared" si="97"/>
        <v>#DIV/0!</v>
      </c>
      <c r="BA1283" s="4">
        <v>42079</v>
      </c>
      <c r="BB1283" s="6">
        <v>2.4329010000000002</v>
      </c>
      <c r="BC1283" s="6">
        <v>2.9573700000000001</v>
      </c>
      <c r="BD1283" s="6">
        <v>3.3207810000000002</v>
      </c>
      <c r="BE1283" s="6"/>
      <c r="BF1283" s="6"/>
      <c r="BG1283" s="6"/>
      <c r="BH1283" s="6"/>
      <c r="BI1283" s="6"/>
      <c r="BJ1283" s="6"/>
      <c r="BK1283" s="6"/>
      <c r="BL1283" s="6"/>
      <c r="BM1283" s="6"/>
      <c r="BN1283" s="6" t="e">
        <f t="shared" si="99"/>
        <v>#DIV/0!</v>
      </c>
    </row>
    <row r="1284" spans="49:66" x14ac:dyDescent="0.3">
      <c r="AW1284">
        <f t="shared" si="98"/>
        <v>0</v>
      </c>
      <c r="AX1284">
        <v>1281</v>
      </c>
      <c r="AY1284" s="4">
        <f t="shared" si="96"/>
        <v>42080</v>
      </c>
      <c r="AZ1284" s="6" t="e">
        <f t="shared" si="97"/>
        <v>#DIV/0!</v>
      </c>
      <c r="BA1284" s="4">
        <v>42080</v>
      </c>
      <c r="BB1284" s="6">
        <v>1.3884399999999999</v>
      </c>
      <c r="BC1284" s="6">
        <v>1.5542830000000001</v>
      </c>
      <c r="BD1284" s="6">
        <v>1.1372370000000001</v>
      </c>
      <c r="BE1284" s="6"/>
      <c r="BF1284" s="6"/>
      <c r="BG1284" s="6"/>
      <c r="BH1284" s="6"/>
      <c r="BI1284" s="6"/>
      <c r="BJ1284" s="6"/>
      <c r="BK1284" s="6"/>
      <c r="BL1284" s="6"/>
      <c r="BM1284" s="6"/>
      <c r="BN1284" s="6" t="e">
        <f t="shared" si="99"/>
        <v>#DIV/0!</v>
      </c>
    </row>
    <row r="1285" spans="49:66" x14ac:dyDescent="0.3">
      <c r="AW1285">
        <f t="shared" si="98"/>
        <v>0</v>
      </c>
      <c r="AX1285">
        <v>1282</v>
      </c>
      <c r="AY1285" s="4">
        <f t="shared" ref="AY1285:AY1348" si="100">BA1285</f>
        <v>42081</v>
      </c>
      <c r="AZ1285" s="6" t="e">
        <f t="shared" ref="AZ1285:AZ1348" si="101">BN1285</f>
        <v>#DIV/0!</v>
      </c>
      <c r="BA1285" s="4">
        <v>42081</v>
      </c>
      <c r="BB1285" s="6">
        <v>2.367051</v>
      </c>
      <c r="BC1285" s="6">
        <v>1.6623319999999999</v>
      </c>
      <c r="BD1285" s="6">
        <v>1.9730160000000001</v>
      </c>
      <c r="BE1285" s="6"/>
      <c r="BF1285" s="6"/>
      <c r="BG1285" s="6"/>
      <c r="BH1285" s="6"/>
      <c r="BI1285" s="6"/>
      <c r="BJ1285" s="6"/>
      <c r="BK1285" s="6"/>
      <c r="BL1285" s="6"/>
      <c r="BM1285" s="6"/>
      <c r="BN1285" s="6" t="e">
        <f t="shared" si="99"/>
        <v>#DIV/0!</v>
      </c>
    </row>
    <row r="1286" spans="49:66" x14ac:dyDescent="0.3">
      <c r="AW1286">
        <f t="shared" ref="AW1286:AW1349" si="102">IF(AY1286&lt;=AY1285,1,0)</f>
        <v>0</v>
      </c>
      <c r="AX1286">
        <v>1283</v>
      </c>
      <c r="AY1286" s="4">
        <f t="shared" si="100"/>
        <v>42082</v>
      </c>
      <c r="AZ1286" s="6" t="e">
        <f t="shared" si="101"/>
        <v>#DIV/0!</v>
      </c>
      <c r="BA1286" s="4">
        <v>42082</v>
      </c>
      <c r="BB1286" s="6">
        <v>-0.16422</v>
      </c>
      <c r="BC1286" s="6">
        <v>0.80847899999999995</v>
      </c>
      <c r="BD1286" s="6">
        <v>0.80571000000000004</v>
      </c>
      <c r="BE1286" s="6"/>
      <c r="BF1286" s="6"/>
      <c r="BG1286" s="6"/>
      <c r="BH1286" s="6"/>
      <c r="BI1286" s="6"/>
      <c r="BJ1286" s="6"/>
      <c r="BK1286" s="6"/>
      <c r="BL1286" s="6"/>
      <c r="BM1286" s="6"/>
      <c r="BN1286" s="6" t="e">
        <f t="shared" ref="BN1286:BN1349" si="103">(BM1286/BM1285-1)*100</f>
        <v>#DIV/0!</v>
      </c>
    </row>
    <row r="1287" spans="49:66" x14ac:dyDescent="0.3">
      <c r="AW1287">
        <f t="shared" si="102"/>
        <v>0</v>
      </c>
      <c r="AX1287">
        <v>1284</v>
      </c>
      <c r="AY1287" s="4">
        <f t="shared" si="100"/>
        <v>42083</v>
      </c>
      <c r="AZ1287" s="6" t="e">
        <f t="shared" si="101"/>
        <v>#DIV/0!</v>
      </c>
      <c r="BA1287" s="4">
        <v>42083</v>
      </c>
      <c r="BB1287" s="6">
        <v>1.3760049999999999</v>
      </c>
      <c r="BC1287" s="6">
        <v>1.0089840000000001</v>
      </c>
      <c r="BD1287" s="6">
        <v>1.243881</v>
      </c>
      <c r="BE1287" s="6"/>
      <c r="BF1287" s="6"/>
      <c r="BG1287" s="6"/>
      <c r="BH1287" s="6"/>
      <c r="BI1287" s="6"/>
      <c r="BJ1287" s="6"/>
      <c r="BK1287" s="6"/>
      <c r="BL1287" s="6"/>
      <c r="BM1287" s="6"/>
      <c r="BN1287" s="6" t="e">
        <f t="shared" si="103"/>
        <v>#DIV/0!</v>
      </c>
    </row>
    <row r="1288" spans="49:66" x14ac:dyDescent="0.3">
      <c r="AW1288">
        <f t="shared" si="102"/>
        <v>0</v>
      </c>
      <c r="AX1288">
        <v>1285</v>
      </c>
      <c r="AY1288" s="4">
        <f t="shared" si="100"/>
        <v>42086</v>
      </c>
      <c r="AZ1288" s="6" t="e">
        <f t="shared" si="101"/>
        <v>#DIV/0!</v>
      </c>
      <c r="BA1288" s="4">
        <v>42086</v>
      </c>
      <c r="BB1288" s="6">
        <v>2.0420159999999998</v>
      </c>
      <c r="BC1288" s="6">
        <v>2.4267919999999998</v>
      </c>
      <c r="BD1288" s="6">
        <v>2.9043990000000002</v>
      </c>
      <c r="BE1288" s="6"/>
      <c r="BF1288" s="6"/>
      <c r="BG1288" s="6"/>
      <c r="BH1288" s="6"/>
      <c r="BI1288" s="6"/>
      <c r="BJ1288" s="6"/>
      <c r="BK1288" s="6"/>
      <c r="BL1288" s="6"/>
      <c r="BM1288" s="6"/>
      <c r="BN1288" s="6" t="e">
        <f t="shared" si="103"/>
        <v>#DIV/0!</v>
      </c>
    </row>
    <row r="1289" spans="49:66" x14ac:dyDescent="0.3">
      <c r="AW1289">
        <f t="shared" si="102"/>
        <v>0</v>
      </c>
      <c r="AX1289">
        <v>1286</v>
      </c>
      <c r="AY1289" s="4">
        <f t="shared" si="100"/>
        <v>42087</v>
      </c>
      <c r="AZ1289" s="6" t="e">
        <f t="shared" si="101"/>
        <v>#DIV/0!</v>
      </c>
      <c r="BA1289" s="4">
        <v>42087</v>
      </c>
      <c r="BB1289" s="6">
        <v>2.4798000000000001E-2</v>
      </c>
      <c r="BC1289" s="6">
        <v>0.412831</v>
      </c>
      <c r="BD1289" s="6">
        <v>1.109043</v>
      </c>
      <c r="BE1289" s="6"/>
      <c r="BF1289" s="6"/>
      <c r="BG1289" s="6"/>
      <c r="BH1289" s="6"/>
      <c r="BI1289" s="6"/>
      <c r="BJ1289" s="6"/>
      <c r="BK1289" s="6"/>
      <c r="BL1289" s="6"/>
      <c r="BM1289" s="6"/>
      <c r="BN1289" s="6" t="e">
        <f t="shared" si="103"/>
        <v>#DIV/0!</v>
      </c>
    </row>
    <row r="1290" spans="49:66" x14ac:dyDescent="0.3">
      <c r="AW1290">
        <f t="shared" si="102"/>
        <v>0</v>
      </c>
      <c r="AX1290">
        <v>1287</v>
      </c>
      <c r="AY1290" s="4">
        <f t="shared" si="100"/>
        <v>42088</v>
      </c>
      <c r="AZ1290" s="6" t="e">
        <f t="shared" si="101"/>
        <v>#DIV/0!</v>
      </c>
      <c r="BA1290" s="4">
        <v>42088</v>
      </c>
      <c r="BB1290" s="6">
        <v>-0.82138500000000003</v>
      </c>
      <c r="BC1290" s="6">
        <v>1.1176219999999999</v>
      </c>
      <c r="BD1290" s="6">
        <v>1.4965139999999999</v>
      </c>
      <c r="BE1290" s="6"/>
      <c r="BF1290" s="6"/>
      <c r="BG1290" s="6"/>
      <c r="BH1290" s="6"/>
      <c r="BI1290" s="6"/>
      <c r="BJ1290" s="6"/>
      <c r="BK1290" s="6"/>
      <c r="BL1290" s="6"/>
      <c r="BM1290" s="6"/>
      <c r="BN1290" s="6" t="e">
        <f t="shared" si="103"/>
        <v>#DIV/0!</v>
      </c>
    </row>
    <row r="1291" spans="49:66" x14ac:dyDescent="0.3">
      <c r="AW1291">
        <f t="shared" si="102"/>
        <v>0</v>
      </c>
      <c r="AX1291">
        <v>1288</v>
      </c>
      <c r="AY1291" s="4">
        <f t="shared" si="100"/>
        <v>42089</v>
      </c>
      <c r="AZ1291" s="6" t="e">
        <f t="shared" si="101"/>
        <v>#DIV/0!</v>
      </c>
      <c r="BA1291" s="4">
        <v>42089</v>
      </c>
      <c r="BB1291" s="6">
        <v>0.24329899999999999</v>
      </c>
      <c r="BC1291" s="6">
        <v>-0.70787199999999995</v>
      </c>
      <c r="BD1291" s="6">
        <v>-1.9697979999999999</v>
      </c>
      <c r="BE1291" s="6"/>
      <c r="BF1291" s="6"/>
      <c r="BG1291" s="6"/>
      <c r="BH1291" s="6"/>
      <c r="BI1291" s="6"/>
      <c r="BJ1291" s="6"/>
      <c r="BK1291" s="6"/>
      <c r="BL1291" s="6"/>
      <c r="BM1291" s="6"/>
      <c r="BN1291" s="6" t="e">
        <f t="shared" si="103"/>
        <v>#DIV/0!</v>
      </c>
    </row>
    <row r="1292" spans="49:66" x14ac:dyDescent="0.3">
      <c r="AW1292">
        <f t="shared" si="102"/>
        <v>0</v>
      </c>
      <c r="AX1292">
        <v>1289</v>
      </c>
      <c r="AY1292" s="4">
        <f t="shared" si="100"/>
        <v>42090</v>
      </c>
      <c r="AZ1292" s="6" t="e">
        <f t="shared" si="101"/>
        <v>#DIV/0!</v>
      </c>
      <c r="BA1292" s="4">
        <v>42090</v>
      </c>
      <c r="BB1292" s="6">
        <v>0.54931700000000006</v>
      </c>
      <c r="BC1292" s="6">
        <v>1.1521479999999999</v>
      </c>
      <c r="BD1292" s="6">
        <v>1.1429229999999999</v>
      </c>
      <c r="BE1292" s="6"/>
      <c r="BF1292" s="6"/>
      <c r="BG1292" s="6"/>
      <c r="BH1292" s="6"/>
      <c r="BI1292" s="6"/>
      <c r="BJ1292" s="6"/>
      <c r="BK1292" s="6"/>
      <c r="BL1292" s="6"/>
      <c r="BM1292" s="6"/>
      <c r="BN1292" s="6" t="e">
        <f t="shared" si="103"/>
        <v>#DIV/0!</v>
      </c>
    </row>
    <row r="1293" spans="49:66" x14ac:dyDescent="0.3">
      <c r="AW1293">
        <f t="shared" si="102"/>
        <v>0</v>
      </c>
      <c r="AX1293">
        <v>1290</v>
      </c>
      <c r="AY1293" s="4">
        <f t="shared" si="100"/>
        <v>42093</v>
      </c>
      <c r="AZ1293" s="6" t="e">
        <f t="shared" si="101"/>
        <v>#DIV/0!</v>
      </c>
      <c r="BA1293" s="4">
        <v>42093</v>
      </c>
      <c r="BB1293" s="6">
        <v>2.9327770000000002</v>
      </c>
      <c r="BC1293" s="6">
        <v>1.2514350000000001</v>
      </c>
      <c r="BD1293" s="6">
        <v>0.102511</v>
      </c>
      <c r="BE1293" s="6"/>
      <c r="BF1293" s="6"/>
      <c r="BG1293" s="6"/>
      <c r="BH1293" s="6"/>
      <c r="BI1293" s="6"/>
      <c r="BJ1293" s="6"/>
      <c r="BK1293" s="6"/>
      <c r="BL1293" s="6"/>
      <c r="BM1293" s="6"/>
      <c r="BN1293" s="6" t="e">
        <f t="shared" si="103"/>
        <v>#DIV/0!</v>
      </c>
    </row>
    <row r="1294" spans="49:66" x14ac:dyDescent="0.3">
      <c r="AW1294">
        <f t="shared" si="102"/>
        <v>0</v>
      </c>
      <c r="AX1294">
        <v>1291</v>
      </c>
      <c r="AY1294" s="4">
        <f t="shared" si="100"/>
        <v>42094</v>
      </c>
      <c r="AZ1294" s="6" t="e">
        <f t="shared" si="101"/>
        <v>#DIV/0!</v>
      </c>
      <c r="BA1294" s="4">
        <v>42094</v>
      </c>
      <c r="BB1294" s="6">
        <v>-0.90441300000000002</v>
      </c>
      <c r="BC1294" s="6">
        <v>0.104989</v>
      </c>
      <c r="BD1294" s="6">
        <v>0.70555599999999996</v>
      </c>
      <c r="BE1294" s="6"/>
      <c r="BF1294" s="6"/>
      <c r="BG1294" s="6"/>
      <c r="BH1294" s="6"/>
      <c r="BI1294" s="6"/>
      <c r="BJ1294" s="6"/>
      <c r="BK1294" s="6"/>
      <c r="BL1294" s="6"/>
      <c r="BM1294" s="6"/>
      <c r="BN1294" s="6" t="e">
        <f t="shared" si="103"/>
        <v>#DIV/0!</v>
      </c>
    </row>
    <row r="1295" spans="49:66" x14ac:dyDescent="0.3">
      <c r="AW1295">
        <f t="shared" si="102"/>
        <v>0</v>
      </c>
      <c r="AX1295">
        <v>1292</v>
      </c>
      <c r="AY1295" s="4">
        <f t="shared" si="100"/>
        <v>42095</v>
      </c>
      <c r="AZ1295" s="6" t="e">
        <f t="shared" si="101"/>
        <v>#DIV/0!</v>
      </c>
      <c r="BA1295" s="4">
        <v>42095</v>
      </c>
      <c r="BB1295" s="6">
        <v>1.794306</v>
      </c>
      <c r="BC1295" s="6">
        <v>2.380071</v>
      </c>
      <c r="BD1295" s="6">
        <v>2.590465</v>
      </c>
      <c r="BE1295" s="6"/>
      <c r="BF1295" s="6"/>
      <c r="BG1295" s="6"/>
      <c r="BH1295" s="6"/>
      <c r="BI1295" s="6"/>
      <c r="BJ1295" s="6"/>
      <c r="BK1295" s="6"/>
      <c r="BL1295" s="6"/>
      <c r="BM1295" s="6"/>
      <c r="BN1295" s="6" t="e">
        <f t="shared" si="103"/>
        <v>#DIV/0!</v>
      </c>
    </row>
    <row r="1296" spans="49:66" x14ac:dyDescent="0.3">
      <c r="AW1296">
        <f t="shared" si="102"/>
        <v>0</v>
      </c>
      <c r="AX1296">
        <v>1293</v>
      </c>
      <c r="AY1296" s="4">
        <f t="shared" si="100"/>
        <v>42096</v>
      </c>
      <c r="AZ1296" s="6" t="e">
        <f t="shared" si="101"/>
        <v>#DIV/0!</v>
      </c>
      <c r="BA1296" s="4">
        <v>42096</v>
      </c>
      <c r="BB1296" s="6">
        <v>2.1363E-2</v>
      </c>
      <c r="BC1296" s="6">
        <v>1.8168580000000001</v>
      </c>
      <c r="BD1296" s="6">
        <v>2.5515859999999999</v>
      </c>
      <c r="BE1296" s="6"/>
      <c r="BF1296" s="6"/>
      <c r="BG1296" s="6"/>
      <c r="BH1296" s="6"/>
      <c r="BI1296" s="6"/>
      <c r="BJ1296" s="6"/>
      <c r="BK1296" s="6"/>
      <c r="BL1296" s="6"/>
      <c r="BM1296" s="6"/>
      <c r="BN1296" s="6" t="e">
        <f t="shared" si="103"/>
        <v>#DIV/0!</v>
      </c>
    </row>
    <row r="1297" spans="49:66" x14ac:dyDescent="0.3">
      <c r="AW1297">
        <f t="shared" si="102"/>
        <v>0</v>
      </c>
      <c r="AX1297">
        <v>1294</v>
      </c>
      <c r="AY1297" s="4">
        <f t="shared" si="100"/>
        <v>42097</v>
      </c>
      <c r="AZ1297" s="6" t="e">
        <f t="shared" si="101"/>
        <v>#DIV/0!</v>
      </c>
      <c r="BA1297" s="4">
        <v>42097</v>
      </c>
      <c r="BB1297" s="6">
        <v>1.109442</v>
      </c>
      <c r="BC1297" s="6">
        <v>1.565501</v>
      </c>
      <c r="BD1297" s="6">
        <v>1.9608890000000001</v>
      </c>
      <c r="BE1297" s="6"/>
      <c r="BF1297" s="6"/>
      <c r="BG1297" s="6"/>
      <c r="BH1297" s="6"/>
      <c r="BI1297" s="6"/>
      <c r="BJ1297" s="6"/>
      <c r="BK1297" s="6"/>
      <c r="BL1297" s="6"/>
      <c r="BM1297" s="6"/>
      <c r="BN1297" s="6" t="e">
        <f t="shared" si="103"/>
        <v>#DIV/0!</v>
      </c>
    </row>
    <row r="1298" spans="49:66" x14ac:dyDescent="0.3">
      <c r="AW1298">
        <f t="shared" si="102"/>
        <v>0</v>
      </c>
      <c r="AX1298">
        <v>1295</v>
      </c>
      <c r="AY1298" s="4">
        <f t="shared" si="100"/>
        <v>42101</v>
      </c>
      <c r="AZ1298" s="6" t="e">
        <f t="shared" si="101"/>
        <v>#DIV/0!</v>
      </c>
      <c r="BA1298" s="4">
        <v>42101</v>
      </c>
      <c r="BB1298" s="6">
        <v>2.14615</v>
      </c>
      <c r="BC1298" s="6">
        <v>2.3997099999999998</v>
      </c>
      <c r="BD1298" s="6">
        <v>1.927138</v>
      </c>
      <c r="BE1298" s="6"/>
      <c r="BF1298" s="6"/>
      <c r="BG1298" s="6"/>
      <c r="BH1298" s="6"/>
      <c r="BI1298" s="6"/>
      <c r="BJ1298" s="6"/>
      <c r="BK1298" s="6"/>
      <c r="BL1298" s="6"/>
      <c r="BM1298" s="6"/>
      <c r="BN1298" s="6" t="e">
        <f t="shared" si="103"/>
        <v>#DIV/0!</v>
      </c>
    </row>
    <row r="1299" spans="49:66" x14ac:dyDescent="0.3">
      <c r="AW1299">
        <f t="shared" si="102"/>
        <v>0</v>
      </c>
      <c r="AX1299">
        <v>1296</v>
      </c>
      <c r="AY1299" s="4">
        <f t="shared" si="100"/>
        <v>42102</v>
      </c>
      <c r="AZ1299" s="6" t="e">
        <f t="shared" si="101"/>
        <v>#DIV/0!</v>
      </c>
      <c r="BA1299" s="4">
        <v>42102</v>
      </c>
      <c r="BB1299" s="6">
        <v>0.83940400000000004</v>
      </c>
      <c r="BC1299" s="6">
        <v>-0.70310300000000003</v>
      </c>
      <c r="BD1299" s="6">
        <v>-1.5116780000000001</v>
      </c>
      <c r="BE1299" s="6"/>
      <c r="BF1299" s="6"/>
      <c r="BG1299" s="6"/>
      <c r="BH1299" s="6"/>
      <c r="BI1299" s="6"/>
      <c r="BJ1299" s="6"/>
      <c r="BK1299" s="6"/>
      <c r="BL1299" s="6"/>
      <c r="BM1299" s="6"/>
      <c r="BN1299" s="6" t="e">
        <f t="shared" si="103"/>
        <v>#DIV/0!</v>
      </c>
    </row>
    <row r="1300" spans="49:66" x14ac:dyDescent="0.3">
      <c r="AW1300">
        <f t="shared" si="102"/>
        <v>0</v>
      </c>
      <c r="AX1300">
        <v>1297</v>
      </c>
      <c r="AY1300" s="4">
        <f t="shared" si="100"/>
        <v>42103</v>
      </c>
      <c r="AZ1300" s="6" t="e">
        <f t="shared" si="101"/>
        <v>#DIV/0!</v>
      </c>
      <c r="BA1300" s="4">
        <v>42103</v>
      </c>
      <c r="BB1300" s="6">
        <v>-0.78367200000000004</v>
      </c>
      <c r="BC1300" s="6">
        <v>-0.79208500000000004</v>
      </c>
      <c r="BD1300" s="6">
        <v>-0.908806</v>
      </c>
      <c r="BE1300" s="6"/>
      <c r="BF1300" s="6"/>
      <c r="BG1300" s="6"/>
      <c r="BH1300" s="6"/>
      <c r="BI1300" s="6"/>
      <c r="BJ1300" s="6"/>
      <c r="BK1300" s="6"/>
      <c r="BL1300" s="6"/>
      <c r="BM1300" s="6"/>
      <c r="BN1300" s="6" t="e">
        <f t="shared" si="103"/>
        <v>#DIV/0!</v>
      </c>
    </row>
    <row r="1301" spans="49:66" x14ac:dyDescent="0.3">
      <c r="AW1301">
        <f t="shared" si="102"/>
        <v>0</v>
      </c>
      <c r="AX1301">
        <v>1298</v>
      </c>
      <c r="AY1301" s="4">
        <f t="shared" si="100"/>
        <v>42104</v>
      </c>
      <c r="AZ1301" s="6" t="e">
        <f t="shared" si="101"/>
        <v>#DIV/0!</v>
      </c>
      <c r="BA1301" s="4">
        <v>42104</v>
      </c>
      <c r="BB1301" s="6">
        <v>1.9304399999999999</v>
      </c>
      <c r="BC1301" s="6">
        <v>2.6598760000000001</v>
      </c>
      <c r="BD1301" s="6">
        <v>2.4626730000000001</v>
      </c>
      <c r="BE1301" s="6"/>
      <c r="BF1301" s="6"/>
      <c r="BG1301" s="6"/>
      <c r="BH1301" s="6"/>
      <c r="BI1301" s="6"/>
      <c r="BJ1301" s="6"/>
      <c r="BK1301" s="6"/>
      <c r="BL1301" s="6"/>
      <c r="BM1301" s="6"/>
      <c r="BN1301" s="6" t="e">
        <f t="shared" si="103"/>
        <v>#DIV/0!</v>
      </c>
    </row>
    <row r="1302" spans="49:66" x14ac:dyDescent="0.3">
      <c r="AW1302">
        <f t="shared" si="102"/>
        <v>0</v>
      </c>
      <c r="AX1302">
        <v>1299</v>
      </c>
      <c r="AY1302" s="4">
        <f t="shared" si="100"/>
        <v>42107</v>
      </c>
      <c r="AZ1302" s="6" t="e">
        <f t="shared" si="101"/>
        <v>#DIV/0!</v>
      </c>
      <c r="BA1302" s="4">
        <v>42107</v>
      </c>
      <c r="BB1302" s="6">
        <v>1.7644949999999999</v>
      </c>
      <c r="BC1302" s="6">
        <v>2.1466289999999999</v>
      </c>
      <c r="BD1302" s="6">
        <v>2.220688</v>
      </c>
      <c r="BE1302" s="6"/>
      <c r="BF1302" s="6"/>
      <c r="BG1302" s="6"/>
      <c r="BH1302" s="6"/>
      <c r="BI1302" s="6"/>
      <c r="BJ1302" s="6"/>
      <c r="BK1302" s="6"/>
      <c r="BL1302" s="6"/>
      <c r="BM1302" s="6"/>
      <c r="BN1302" s="6" t="e">
        <f t="shared" si="103"/>
        <v>#DIV/0!</v>
      </c>
    </row>
    <row r="1303" spans="49:66" x14ac:dyDescent="0.3">
      <c r="AW1303">
        <f t="shared" si="102"/>
        <v>0</v>
      </c>
      <c r="AX1303">
        <v>1300</v>
      </c>
      <c r="AY1303" s="4">
        <f t="shared" si="100"/>
        <v>42108</v>
      </c>
      <c r="AZ1303" s="6" t="e">
        <f t="shared" si="101"/>
        <v>#DIV/0!</v>
      </c>
      <c r="BA1303" s="4">
        <v>42108</v>
      </c>
      <c r="BB1303" s="6">
        <v>0.38703300000000002</v>
      </c>
      <c r="BC1303" s="6">
        <v>-3.6119999999999999E-2</v>
      </c>
      <c r="BD1303" s="6">
        <v>0.16778799999999999</v>
      </c>
      <c r="BE1303" s="6"/>
      <c r="BF1303" s="6"/>
      <c r="BG1303" s="6"/>
      <c r="BH1303" s="6"/>
      <c r="BI1303" s="6"/>
      <c r="BJ1303" s="6"/>
      <c r="BK1303" s="6"/>
      <c r="BL1303" s="6"/>
      <c r="BM1303" s="6"/>
      <c r="BN1303" s="6" t="e">
        <f t="shared" si="103"/>
        <v>#DIV/0!</v>
      </c>
    </row>
    <row r="1304" spans="49:66" x14ac:dyDescent="0.3">
      <c r="AW1304">
        <f t="shared" si="102"/>
        <v>0</v>
      </c>
      <c r="AX1304">
        <v>1301</v>
      </c>
      <c r="AY1304" s="4">
        <f t="shared" si="100"/>
        <v>42109</v>
      </c>
      <c r="AZ1304" s="6" t="e">
        <f t="shared" si="101"/>
        <v>#DIV/0!</v>
      </c>
      <c r="BA1304" s="4">
        <v>42109</v>
      </c>
      <c r="BB1304" s="6">
        <v>-1.299428</v>
      </c>
      <c r="BC1304" s="6">
        <v>-3.906571</v>
      </c>
      <c r="BD1304" s="6">
        <v>-3.9559259999999998</v>
      </c>
      <c r="BE1304" s="6"/>
      <c r="BF1304" s="6"/>
      <c r="BG1304" s="6"/>
      <c r="BH1304" s="6"/>
      <c r="BI1304" s="6"/>
      <c r="BJ1304" s="6"/>
      <c r="BK1304" s="6"/>
      <c r="BL1304" s="6"/>
      <c r="BM1304" s="6"/>
      <c r="BN1304" s="6" t="e">
        <f t="shared" si="103"/>
        <v>#DIV/0!</v>
      </c>
    </row>
    <row r="1305" spans="49:66" x14ac:dyDescent="0.3">
      <c r="AW1305">
        <f t="shared" si="102"/>
        <v>0</v>
      </c>
      <c r="AX1305">
        <v>1302</v>
      </c>
      <c r="AY1305" s="4">
        <f t="shared" si="100"/>
        <v>42110</v>
      </c>
      <c r="AZ1305" s="6" t="e">
        <f t="shared" si="101"/>
        <v>#DIV/0!</v>
      </c>
      <c r="BA1305" s="4">
        <v>42110</v>
      </c>
      <c r="BB1305" s="6">
        <v>3.0369269999999999</v>
      </c>
      <c r="BC1305" s="6">
        <v>1.4013139999999999</v>
      </c>
      <c r="BD1305" s="6">
        <v>1.0652680000000001</v>
      </c>
      <c r="BE1305" s="6"/>
      <c r="BF1305" s="6"/>
      <c r="BG1305" s="6"/>
      <c r="BH1305" s="6"/>
      <c r="BI1305" s="6"/>
      <c r="BJ1305" s="6"/>
      <c r="BK1305" s="6"/>
      <c r="BL1305" s="6"/>
      <c r="BM1305" s="6"/>
      <c r="BN1305" s="6" t="e">
        <f t="shared" si="103"/>
        <v>#DIV/0!</v>
      </c>
    </row>
    <row r="1306" spans="49:66" x14ac:dyDescent="0.3">
      <c r="AW1306">
        <f t="shared" si="102"/>
        <v>0</v>
      </c>
      <c r="AX1306">
        <v>1303</v>
      </c>
      <c r="AY1306" s="4">
        <f t="shared" si="100"/>
        <v>42111</v>
      </c>
      <c r="AZ1306" s="6" t="e">
        <f t="shared" si="101"/>
        <v>#DIV/0!</v>
      </c>
      <c r="BA1306" s="4">
        <v>42111</v>
      </c>
      <c r="BB1306" s="6">
        <v>1.829825</v>
      </c>
      <c r="BC1306" s="6">
        <v>0.86793799999999999</v>
      </c>
      <c r="BD1306" s="6">
        <v>0.27174199999999998</v>
      </c>
      <c r="BE1306" s="6"/>
      <c r="BF1306" s="6"/>
      <c r="BG1306" s="6"/>
      <c r="BH1306" s="6"/>
      <c r="BI1306" s="6"/>
      <c r="BJ1306" s="6"/>
      <c r="BK1306" s="6"/>
      <c r="BL1306" s="6"/>
      <c r="BM1306" s="6"/>
      <c r="BN1306" s="6" t="e">
        <f t="shared" si="103"/>
        <v>#DIV/0!</v>
      </c>
    </row>
    <row r="1307" spans="49:66" x14ac:dyDescent="0.3">
      <c r="AW1307">
        <f t="shared" si="102"/>
        <v>0</v>
      </c>
      <c r="AX1307">
        <v>1304</v>
      </c>
      <c r="AY1307" s="4">
        <f t="shared" si="100"/>
        <v>42114</v>
      </c>
      <c r="AZ1307" s="6" t="e">
        <f t="shared" si="101"/>
        <v>#DIV/0!</v>
      </c>
      <c r="BA1307" s="4">
        <v>42114</v>
      </c>
      <c r="BB1307" s="6">
        <v>-1.6147689999999999</v>
      </c>
      <c r="BC1307" s="6">
        <v>-1.7649820000000001</v>
      </c>
      <c r="BD1307" s="6">
        <v>-2.2375609999999999</v>
      </c>
      <c r="BE1307" s="6"/>
      <c r="BF1307" s="6"/>
      <c r="BG1307" s="6"/>
      <c r="BH1307" s="6"/>
      <c r="BI1307" s="6"/>
      <c r="BJ1307" s="6"/>
      <c r="BK1307" s="6"/>
      <c r="BL1307" s="6"/>
      <c r="BM1307" s="6"/>
      <c r="BN1307" s="6" t="e">
        <f t="shared" si="103"/>
        <v>#DIV/0!</v>
      </c>
    </row>
    <row r="1308" spans="49:66" x14ac:dyDescent="0.3">
      <c r="AW1308">
        <f t="shared" si="102"/>
        <v>0</v>
      </c>
      <c r="AX1308">
        <v>1305</v>
      </c>
      <c r="AY1308" s="4">
        <f t="shared" si="100"/>
        <v>42115</v>
      </c>
      <c r="AZ1308" s="6" t="e">
        <f t="shared" si="101"/>
        <v>#DIV/0!</v>
      </c>
      <c r="BA1308" s="4">
        <v>42115</v>
      </c>
      <c r="BB1308" s="6">
        <v>2.150525</v>
      </c>
      <c r="BC1308" s="6">
        <v>3.479457</v>
      </c>
      <c r="BD1308" s="6">
        <v>3.8780420000000002</v>
      </c>
      <c r="BE1308" s="6"/>
      <c r="BF1308" s="6"/>
      <c r="BG1308" s="6"/>
      <c r="BH1308" s="6"/>
      <c r="BI1308" s="6"/>
      <c r="BJ1308" s="6"/>
      <c r="BK1308" s="6"/>
      <c r="BL1308" s="6"/>
      <c r="BM1308" s="6"/>
      <c r="BN1308" s="6" t="e">
        <f t="shared" si="103"/>
        <v>#DIV/0!</v>
      </c>
    </row>
    <row r="1309" spans="49:66" x14ac:dyDescent="0.3">
      <c r="AW1309">
        <f t="shared" si="102"/>
        <v>0</v>
      </c>
      <c r="AX1309">
        <v>1306</v>
      </c>
      <c r="AY1309" s="4">
        <f t="shared" si="100"/>
        <v>42116</v>
      </c>
      <c r="AZ1309" s="6" t="e">
        <f t="shared" si="101"/>
        <v>#DIV/0!</v>
      </c>
      <c r="BA1309" s="4">
        <v>42116</v>
      </c>
      <c r="BB1309" s="6">
        <v>2.6119439999999998</v>
      </c>
      <c r="BC1309" s="6">
        <v>2.5976599999999999</v>
      </c>
      <c r="BD1309" s="6">
        <v>2.8705539999999998</v>
      </c>
      <c r="BE1309" s="6"/>
      <c r="BF1309" s="6"/>
      <c r="BG1309" s="6"/>
      <c r="BH1309" s="6"/>
      <c r="BI1309" s="6"/>
      <c r="BJ1309" s="6"/>
      <c r="BK1309" s="6"/>
      <c r="BL1309" s="6"/>
      <c r="BM1309" s="6"/>
      <c r="BN1309" s="6" t="e">
        <f t="shared" si="103"/>
        <v>#DIV/0!</v>
      </c>
    </row>
    <row r="1310" spans="49:66" x14ac:dyDescent="0.3">
      <c r="AW1310">
        <f t="shared" si="102"/>
        <v>0</v>
      </c>
      <c r="AX1310">
        <v>1307</v>
      </c>
      <c r="AY1310" s="4">
        <f t="shared" si="100"/>
        <v>42117</v>
      </c>
      <c r="AZ1310" s="6" t="e">
        <f t="shared" si="101"/>
        <v>#DIV/0!</v>
      </c>
      <c r="BA1310" s="4">
        <v>42117</v>
      </c>
      <c r="BB1310" s="6">
        <v>2.2744E-2</v>
      </c>
      <c r="BC1310" s="6">
        <v>1.0485580000000001</v>
      </c>
      <c r="BD1310" s="6">
        <v>1.1006009999999999</v>
      </c>
      <c r="BE1310" s="6"/>
      <c r="BF1310" s="6"/>
      <c r="BG1310" s="6"/>
      <c r="BH1310" s="6"/>
      <c r="BI1310" s="6"/>
      <c r="BJ1310" s="6"/>
      <c r="BK1310" s="6"/>
      <c r="BL1310" s="6"/>
      <c r="BM1310" s="6"/>
      <c r="BN1310" s="6" t="e">
        <f t="shared" si="103"/>
        <v>#DIV/0!</v>
      </c>
    </row>
    <row r="1311" spans="49:66" x14ac:dyDescent="0.3">
      <c r="AW1311">
        <f t="shared" si="102"/>
        <v>0</v>
      </c>
      <c r="AX1311">
        <v>1308</v>
      </c>
      <c r="AY1311" s="4">
        <f t="shared" si="100"/>
        <v>42118</v>
      </c>
      <c r="AZ1311" s="6" t="e">
        <f t="shared" si="101"/>
        <v>#DIV/0!</v>
      </c>
      <c r="BA1311" s="4">
        <v>42118</v>
      </c>
      <c r="BB1311" s="6">
        <v>-0.80683099999999996</v>
      </c>
      <c r="BC1311" s="6">
        <v>9.9778000000000006E-2</v>
      </c>
      <c r="BD1311" s="6">
        <v>0.18445800000000001</v>
      </c>
      <c r="BE1311" s="6"/>
      <c r="BF1311" s="6"/>
      <c r="BG1311" s="6"/>
      <c r="BH1311" s="6"/>
      <c r="BI1311" s="6"/>
      <c r="BJ1311" s="6"/>
      <c r="BK1311" s="6"/>
      <c r="BL1311" s="6"/>
      <c r="BM1311" s="6"/>
      <c r="BN1311" s="6" t="e">
        <f t="shared" si="103"/>
        <v>#DIV/0!</v>
      </c>
    </row>
    <row r="1312" spans="49:66" x14ac:dyDescent="0.3">
      <c r="AW1312">
        <f t="shared" si="102"/>
        <v>0</v>
      </c>
      <c r="AX1312">
        <v>1309</v>
      </c>
      <c r="AY1312" s="4">
        <f t="shared" si="100"/>
        <v>42121</v>
      </c>
      <c r="AZ1312" s="6" t="e">
        <f t="shared" si="101"/>
        <v>#DIV/0!</v>
      </c>
      <c r="BA1312" s="4">
        <v>42121</v>
      </c>
      <c r="BB1312" s="6">
        <v>2.2317459999999998</v>
      </c>
      <c r="BC1312" s="6">
        <v>1.1155710000000001</v>
      </c>
      <c r="BD1312" s="6">
        <v>0.50365899999999997</v>
      </c>
      <c r="BE1312" s="6"/>
      <c r="BF1312" s="6"/>
      <c r="BG1312" s="6"/>
      <c r="BH1312" s="6"/>
      <c r="BI1312" s="6"/>
      <c r="BJ1312" s="6"/>
      <c r="BK1312" s="6"/>
      <c r="BL1312" s="6"/>
      <c r="BM1312" s="6"/>
      <c r="BN1312" s="6" t="e">
        <f t="shared" si="103"/>
        <v>#DIV/0!</v>
      </c>
    </row>
    <row r="1313" spans="49:66" x14ac:dyDescent="0.3">
      <c r="AW1313">
        <f t="shared" si="102"/>
        <v>0</v>
      </c>
      <c r="AX1313">
        <v>1310</v>
      </c>
      <c r="AY1313" s="4">
        <f t="shared" si="100"/>
        <v>42122</v>
      </c>
      <c r="AZ1313" s="6" t="e">
        <f t="shared" si="101"/>
        <v>#DIV/0!</v>
      </c>
      <c r="BA1313" s="4">
        <v>42122</v>
      </c>
      <c r="BB1313" s="6">
        <v>-1.3672329999999999</v>
      </c>
      <c r="BC1313" s="6">
        <v>-2.8959540000000001</v>
      </c>
      <c r="BD1313" s="6">
        <v>-3.2138599999999999</v>
      </c>
      <c r="BE1313" s="6"/>
      <c r="BF1313" s="6"/>
      <c r="BG1313" s="6"/>
      <c r="BH1313" s="6"/>
      <c r="BI1313" s="6"/>
      <c r="BJ1313" s="6"/>
      <c r="BK1313" s="6"/>
      <c r="BL1313" s="6"/>
      <c r="BM1313" s="6"/>
      <c r="BN1313" s="6" t="e">
        <f t="shared" si="103"/>
        <v>#DIV/0!</v>
      </c>
    </row>
    <row r="1314" spans="49:66" x14ac:dyDescent="0.3">
      <c r="AW1314">
        <f t="shared" si="102"/>
        <v>0</v>
      </c>
      <c r="AX1314">
        <v>1311</v>
      </c>
      <c r="AY1314" s="4">
        <f t="shared" si="100"/>
        <v>42123</v>
      </c>
      <c r="AZ1314" s="6" t="e">
        <f t="shared" si="101"/>
        <v>#DIV/0!</v>
      </c>
      <c r="BA1314" s="4">
        <v>42123</v>
      </c>
      <c r="BB1314" s="6">
        <v>0.68464700000000001</v>
      </c>
      <c r="BC1314" s="6">
        <v>1.9569510000000001</v>
      </c>
      <c r="BD1314" s="6">
        <v>2.6351529999999999</v>
      </c>
      <c r="BE1314" s="6"/>
      <c r="BF1314" s="6"/>
      <c r="BG1314" s="6"/>
      <c r="BH1314" s="6"/>
      <c r="BI1314" s="6"/>
      <c r="BJ1314" s="6"/>
      <c r="BK1314" s="6"/>
      <c r="BL1314" s="6"/>
      <c r="BM1314" s="6"/>
      <c r="BN1314" s="6" t="e">
        <f t="shared" si="103"/>
        <v>#DIV/0!</v>
      </c>
    </row>
    <row r="1315" spans="49:66" x14ac:dyDescent="0.3">
      <c r="AW1315">
        <f t="shared" si="102"/>
        <v>0</v>
      </c>
      <c r="AX1315">
        <v>1312</v>
      </c>
      <c r="AY1315" s="4">
        <f t="shared" si="100"/>
        <v>42124</v>
      </c>
      <c r="AZ1315" s="6" t="e">
        <f t="shared" si="101"/>
        <v>#DIV/0!</v>
      </c>
      <c r="BA1315" s="4">
        <v>42124</v>
      </c>
      <c r="BB1315" s="6">
        <v>-0.51190500000000005</v>
      </c>
      <c r="BC1315" s="6">
        <v>0.49142999999999998</v>
      </c>
      <c r="BD1315" s="6">
        <v>0.72313400000000005</v>
      </c>
      <c r="BE1315" s="6"/>
      <c r="BF1315" s="6"/>
      <c r="BG1315" s="6"/>
      <c r="BH1315" s="6"/>
      <c r="BI1315" s="6"/>
      <c r="BJ1315" s="6"/>
      <c r="BK1315" s="6"/>
      <c r="BL1315" s="6"/>
      <c r="BM1315" s="6"/>
      <c r="BN1315" s="6" t="e">
        <f t="shared" si="103"/>
        <v>#DIV/0!</v>
      </c>
    </row>
    <row r="1316" spans="49:66" x14ac:dyDescent="0.3">
      <c r="AW1316">
        <f t="shared" si="102"/>
        <v>0</v>
      </c>
      <c r="AX1316">
        <v>1313</v>
      </c>
      <c r="AY1316" s="4">
        <f t="shared" si="100"/>
        <v>42128</v>
      </c>
      <c r="AZ1316" s="6" t="e">
        <f t="shared" si="101"/>
        <v>#DIV/0!</v>
      </c>
      <c r="BA1316" s="4">
        <v>42128</v>
      </c>
      <c r="BB1316" s="6">
        <v>0.79696599999999995</v>
      </c>
      <c r="BC1316" s="6">
        <v>0.48181299999999999</v>
      </c>
      <c r="BD1316" s="6">
        <v>0.88050799999999996</v>
      </c>
      <c r="BE1316" s="6"/>
      <c r="BF1316" s="6"/>
      <c r="BG1316" s="6"/>
      <c r="BH1316" s="6"/>
      <c r="BI1316" s="6"/>
      <c r="BJ1316" s="6"/>
      <c r="BK1316" s="6"/>
      <c r="BL1316" s="6"/>
      <c r="BM1316" s="6"/>
      <c r="BN1316" s="6" t="e">
        <f t="shared" si="103"/>
        <v>#DIV/0!</v>
      </c>
    </row>
    <row r="1317" spans="49:66" x14ac:dyDescent="0.3">
      <c r="AW1317">
        <f t="shared" si="102"/>
        <v>0</v>
      </c>
      <c r="AX1317">
        <v>1314</v>
      </c>
      <c r="AY1317" s="4">
        <f t="shared" si="100"/>
        <v>42129</v>
      </c>
      <c r="AZ1317" s="6" t="e">
        <f t="shared" si="101"/>
        <v>#DIV/0!</v>
      </c>
      <c r="BA1317" s="4">
        <v>42129</v>
      </c>
      <c r="BB1317" s="6">
        <v>-3.9873500000000002</v>
      </c>
      <c r="BC1317" s="6">
        <v>-3.6559270000000001</v>
      </c>
      <c r="BD1317" s="6">
        <v>-2.5594610000000002</v>
      </c>
      <c r="BE1317" s="6"/>
      <c r="BF1317" s="6"/>
      <c r="BG1317" s="6"/>
      <c r="BH1317" s="6"/>
      <c r="BI1317" s="6"/>
      <c r="BJ1317" s="6"/>
      <c r="BK1317" s="6"/>
      <c r="BL1317" s="6"/>
      <c r="BM1317" s="6"/>
      <c r="BN1317" s="6" t="e">
        <f t="shared" si="103"/>
        <v>#DIV/0!</v>
      </c>
    </row>
    <row r="1318" spans="49:66" x14ac:dyDescent="0.3">
      <c r="AW1318">
        <f t="shared" si="102"/>
        <v>0</v>
      </c>
      <c r="AX1318">
        <v>1315</v>
      </c>
      <c r="AY1318" s="4">
        <f t="shared" si="100"/>
        <v>42130</v>
      </c>
      <c r="AZ1318" s="6" t="e">
        <f t="shared" si="101"/>
        <v>#DIV/0!</v>
      </c>
      <c r="BA1318" s="4">
        <v>42130</v>
      </c>
      <c r="BB1318" s="6">
        <v>-0.94652000000000003</v>
      </c>
      <c r="BC1318" s="6">
        <v>-1.418955</v>
      </c>
      <c r="BD1318" s="6">
        <v>-0.33254800000000001</v>
      </c>
      <c r="BE1318" s="6"/>
      <c r="BF1318" s="6"/>
      <c r="BG1318" s="6"/>
      <c r="BH1318" s="6"/>
      <c r="BI1318" s="6"/>
      <c r="BJ1318" s="6"/>
      <c r="BK1318" s="6"/>
      <c r="BL1318" s="6"/>
      <c r="BM1318" s="6"/>
      <c r="BN1318" s="6" t="e">
        <f t="shared" si="103"/>
        <v>#DIV/0!</v>
      </c>
    </row>
    <row r="1319" spans="49:66" x14ac:dyDescent="0.3">
      <c r="AW1319">
        <f t="shared" si="102"/>
        <v>0</v>
      </c>
      <c r="AX1319">
        <v>1316</v>
      </c>
      <c r="AY1319" s="4">
        <f t="shared" si="100"/>
        <v>42131</v>
      </c>
      <c r="AZ1319" s="6" t="e">
        <f t="shared" si="101"/>
        <v>#DIV/0!</v>
      </c>
      <c r="BA1319" s="4">
        <v>42131</v>
      </c>
      <c r="BB1319" s="6">
        <v>-1.8280700000000001</v>
      </c>
      <c r="BC1319" s="6">
        <v>-2.2209699999999999</v>
      </c>
      <c r="BD1319" s="6">
        <v>-1.6791970000000001</v>
      </c>
      <c r="BE1319" s="6"/>
      <c r="BF1319" s="6"/>
      <c r="BG1319" s="6"/>
      <c r="BH1319" s="6"/>
      <c r="BI1319" s="6"/>
      <c r="BJ1319" s="6"/>
      <c r="BK1319" s="6"/>
      <c r="BL1319" s="6"/>
      <c r="BM1319" s="6"/>
      <c r="BN1319" s="6" t="e">
        <f t="shared" si="103"/>
        <v>#DIV/0!</v>
      </c>
    </row>
    <row r="1320" spans="49:66" x14ac:dyDescent="0.3">
      <c r="AW1320">
        <f t="shared" si="102"/>
        <v>0</v>
      </c>
      <c r="AX1320">
        <v>1317</v>
      </c>
      <c r="AY1320" s="4">
        <f t="shared" si="100"/>
        <v>42132</v>
      </c>
      <c r="AZ1320" s="6" t="e">
        <f t="shared" si="101"/>
        <v>#DIV/0!</v>
      </c>
      <c r="BA1320" s="4">
        <v>42132</v>
      </c>
      <c r="BB1320" s="6">
        <v>1.9756880000000001</v>
      </c>
      <c r="BC1320" s="6">
        <v>3.768151</v>
      </c>
      <c r="BD1320" s="6">
        <v>4.7710359999999996</v>
      </c>
      <c r="BE1320" s="6"/>
      <c r="BF1320" s="6"/>
      <c r="BG1320" s="6"/>
      <c r="BH1320" s="6"/>
      <c r="BI1320" s="6"/>
      <c r="BJ1320" s="6"/>
      <c r="BK1320" s="6"/>
      <c r="BL1320" s="6"/>
      <c r="BM1320" s="6"/>
      <c r="BN1320" s="6" t="e">
        <f t="shared" si="103"/>
        <v>#DIV/0!</v>
      </c>
    </row>
    <row r="1321" spans="49:66" x14ac:dyDescent="0.3">
      <c r="AW1321">
        <f t="shared" si="102"/>
        <v>0</v>
      </c>
      <c r="AX1321">
        <v>1318</v>
      </c>
      <c r="AY1321" s="4">
        <f t="shared" si="100"/>
        <v>42135</v>
      </c>
      <c r="AZ1321" s="6" t="e">
        <f t="shared" si="101"/>
        <v>#DIV/0!</v>
      </c>
      <c r="BA1321" s="4">
        <v>42135</v>
      </c>
      <c r="BB1321" s="6">
        <v>2.898558</v>
      </c>
      <c r="BC1321" s="6">
        <v>4.3520580000000004</v>
      </c>
      <c r="BD1321" s="6">
        <v>4.8396109999999997</v>
      </c>
      <c r="BE1321" s="6"/>
      <c r="BF1321" s="6"/>
      <c r="BG1321" s="6"/>
      <c r="BH1321" s="6"/>
      <c r="BI1321" s="6"/>
      <c r="BJ1321" s="6"/>
      <c r="BK1321" s="6"/>
      <c r="BL1321" s="6"/>
      <c r="BM1321" s="6"/>
      <c r="BN1321" s="6" t="e">
        <f t="shared" si="103"/>
        <v>#DIV/0!</v>
      </c>
    </row>
    <row r="1322" spans="49:66" x14ac:dyDescent="0.3">
      <c r="AW1322">
        <f t="shared" si="102"/>
        <v>0</v>
      </c>
      <c r="AX1322">
        <v>1319</v>
      </c>
      <c r="AY1322" s="4">
        <f t="shared" si="100"/>
        <v>42136</v>
      </c>
      <c r="AZ1322" s="6" t="e">
        <f t="shared" si="101"/>
        <v>#DIV/0!</v>
      </c>
      <c r="BA1322" s="4">
        <v>42136</v>
      </c>
      <c r="BB1322" s="6">
        <v>1.212847</v>
      </c>
      <c r="BC1322" s="6">
        <v>2.1904089999999998</v>
      </c>
      <c r="BD1322" s="6">
        <v>2.5976590000000002</v>
      </c>
      <c r="BE1322" s="6"/>
      <c r="BF1322" s="6"/>
      <c r="BG1322" s="6"/>
      <c r="BH1322" s="6"/>
      <c r="BI1322" s="6"/>
      <c r="BJ1322" s="6"/>
      <c r="BK1322" s="6"/>
      <c r="BL1322" s="6"/>
      <c r="BM1322" s="6"/>
      <c r="BN1322" s="6" t="e">
        <f t="shared" si="103"/>
        <v>#DIV/0!</v>
      </c>
    </row>
    <row r="1323" spans="49:66" x14ac:dyDescent="0.3">
      <c r="AW1323">
        <f t="shared" si="102"/>
        <v>0</v>
      </c>
      <c r="AX1323">
        <v>1320</v>
      </c>
      <c r="AY1323" s="4">
        <f t="shared" si="100"/>
        <v>42137</v>
      </c>
      <c r="AZ1323" s="6" t="e">
        <f t="shared" si="101"/>
        <v>#DIV/0!</v>
      </c>
      <c r="BA1323" s="4">
        <v>42137</v>
      </c>
      <c r="BB1323" s="6">
        <v>-0.61054200000000003</v>
      </c>
      <c r="BC1323" s="6">
        <v>0.90617300000000001</v>
      </c>
      <c r="BD1323" s="6">
        <v>0.77700400000000003</v>
      </c>
      <c r="BE1323" s="6"/>
      <c r="BF1323" s="6"/>
      <c r="BG1323" s="6"/>
      <c r="BH1323" s="6"/>
      <c r="BI1323" s="6"/>
      <c r="BJ1323" s="6"/>
      <c r="BK1323" s="6"/>
      <c r="BL1323" s="6"/>
      <c r="BM1323" s="6"/>
      <c r="BN1323" s="6" t="e">
        <f t="shared" si="103"/>
        <v>#DIV/0!</v>
      </c>
    </row>
    <row r="1324" spans="49:66" x14ac:dyDescent="0.3">
      <c r="AW1324">
        <f t="shared" si="102"/>
        <v>0</v>
      </c>
      <c r="AX1324">
        <v>1321</v>
      </c>
      <c r="AY1324" s="4">
        <f t="shared" si="100"/>
        <v>42138</v>
      </c>
      <c r="AZ1324" s="6" t="e">
        <f t="shared" si="101"/>
        <v>#DIV/0!</v>
      </c>
      <c r="BA1324" s="4">
        <v>42138</v>
      </c>
      <c r="BB1324" s="6">
        <v>-0.37423400000000001</v>
      </c>
      <c r="BC1324" s="6">
        <v>-0.130721</v>
      </c>
      <c r="BD1324" s="6">
        <v>0.66263799999999995</v>
      </c>
      <c r="BE1324" s="6"/>
      <c r="BF1324" s="6"/>
      <c r="BG1324" s="6"/>
      <c r="BH1324" s="6"/>
      <c r="BI1324" s="6"/>
      <c r="BJ1324" s="6"/>
      <c r="BK1324" s="6"/>
      <c r="BL1324" s="6"/>
      <c r="BM1324" s="6"/>
      <c r="BN1324" s="6" t="e">
        <f t="shared" si="103"/>
        <v>#DIV/0!</v>
      </c>
    </row>
    <row r="1325" spans="49:66" x14ac:dyDescent="0.3">
      <c r="AW1325">
        <f t="shared" si="102"/>
        <v>0</v>
      </c>
      <c r="AX1325">
        <v>1322</v>
      </c>
      <c r="AY1325" s="4">
        <f t="shared" si="100"/>
        <v>42139</v>
      </c>
      <c r="AZ1325" s="6" t="e">
        <f t="shared" si="101"/>
        <v>#DIV/0!</v>
      </c>
      <c r="BA1325" s="4">
        <v>42139</v>
      </c>
      <c r="BB1325" s="6">
        <v>-1.7722169999999999</v>
      </c>
      <c r="BC1325" s="6">
        <v>-0.80001</v>
      </c>
      <c r="BD1325" s="6">
        <v>6.0921999999999997E-2</v>
      </c>
      <c r="BE1325" s="6"/>
      <c r="BF1325" s="6"/>
      <c r="BG1325" s="6"/>
      <c r="BH1325" s="6"/>
      <c r="BI1325" s="6"/>
      <c r="BJ1325" s="6"/>
      <c r="BK1325" s="6"/>
      <c r="BL1325" s="6"/>
      <c r="BM1325" s="6"/>
      <c r="BN1325" s="6" t="e">
        <f t="shared" si="103"/>
        <v>#DIV/0!</v>
      </c>
    </row>
    <row r="1326" spans="49:66" x14ac:dyDescent="0.3">
      <c r="AW1326">
        <f t="shared" si="102"/>
        <v>0</v>
      </c>
      <c r="AX1326">
        <v>1323</v>
      </c>
      <c r="AY1326" s="4">
        <f t="shared" si="100"/>
        <v>42142</v>
      </c>
      <c r="AZ1326" s="6" t="e">
        <f t="shared" si="101"/>
        <v>#DIV/0!</v>
      </c>
      <c r="BA1326" s="4">
        <v>42142</v>
      </c>
      <c r="BB1326" s="6">
        <v>-0.916736</v>
      </c>
      <c r="BC1326" s="6">
        <v>1.8381799999999999</v>
      </c>
      <c r="BD1326" s="6">
        <v>2.8913530000000001</v>
      </c>
      <c r="BE1326" s="6"/>
      <c r="BF1326" s="6"/>
      <c r="BG1326" s="6"/>
      <c r="BH1326" s="6"/>
      <c r="BI1326" s="6"/>
      <c r="BJ1326" s="6"/>
      <c r="BK1326" s="6"/>
      <c r="BL1326" s="6"/>
      <c r="BM1326" s="6"/>
      <c r="BN1326" s="6" t="e">
        <f t="shared" si="103"/>
        <v>#DIV/0!</v>
      </c>
    </row>
    <row r="1327" spans="49:66" x14ac:dyDescent="0.3">
      <c r="AW1327">
        <f t="shared" si="102"/>
        <v>0</v>
      </c>
      <c r="AX1327">
        <v>1324</v>
      </c>
      <c r="AY1327" s="4">
        <f t="shared" si="100"/>
        <v>42143</v>
      </c>
      <c r="AZ1327" s="6" t="e">
        <f t="shared" si="101"/>
        <v>#DIV/0!</v>
      </c>
      <c r="BA1327" s="4">
        <v>42143</v>
      </c>
      <c r="BB1327" s="6">
        <v>3.411524</v>
      </c>
      <c r="BC1327" s="6">
        <v>2.4848170000000001</v>
      </c>
      <c r="BD1327" s="6">
        <v>2.5045310000000001</v>
      </c>
      <c r="BE1327" s="6"/>
      <c r="BF1327" s="6"/>
      <c r="BG1327" s="6"/>
      <c r="BH1327" s="6"/>
      <c r="BI1327" s="6"/>
      <c r="BJ1327" s="6"/>
      <c r="BK1327" s="6"/>
      <c r="BL1327" s="6"/>
      <c r="BM1327" s="6"/>
      <c r="BN1327" s="6" t="e">
        <f t="shared" si="103"/>
        <v>#DIV/0!</v>
      </c>
    </row>
    <row r="1328" spans="49:66" x14ac:dyDescent="0.3">
      <c r="AW1328">
        <f t="shared" si="102"/>
        <v>0</v>
      </c>
      <c r="AX1328">
        <v>1325</v>
      </c>
      <c r="AY1328" s="4">
        <f t="shared" si="100"/>
        <v>42144</v>
      </c>
      <c r="AZ1328" s="6" t="e">
        <f t="shared" si="101"/>
        <v>#DIV/0!</v>
      </c>
      <c r="BA1328" s="4">
        <v>42144</v>
      </c>
      <c r="BB1328" s="6">
        <v>0.50086399999999998</v>
      </c>
      <c r="BC1328" s="6">
        <v>1.6712419999999999</v>
      </c>
      <c r="BD1328" s="6">
        <v>2.544171</v>
      </c>
      <c r="BE1328" s="6"/>
      <c r="BF1328" s="6"/>
      <c r="BG1328" s="6"/>
      <c r="BH1328" s="6"/>
      <c r="BI1328" s="6"/>
      <c r="BJ1328" s="6"/>
      <c r="BK1328" s="6"/>
      <c r="BL1328" s="6"/>
      <c r="BM1328" s="6"/>
      <c r="BN1328" s="6" t="e">
        <f t="shared" si="103"/>
        <v>#DIV/0!</v>
      </c>
    </row>
    <row r="1329" spans="49:66" x14ac:dyDescent="0.3">
      <c r="AW1329">
        <f t="shared" si="102"/>
        <v>0</v>
      </c>
      <c r="AX1329">
        <v>1326</v>
      </c>
      <c r="AY1329" s="4">
        <f t="shared" si="100"/>
        <v>42145</v>
      </c>
      <c r="AZ1329" s="6" t="e">
        <f t="shared" si="101"/>
        <v>#DIV/0!</v>
      </c>
      <c r="BA1329" s="4">
        <v>42145</v>
      </c>
      <c r="BB1329" s="6">
        <v>1.809852</v>
      </c>
      <c r="BC1329" s="6">
        <v>3.685241</v>
      </c>
      <c r="BD1329" s="6">
        <v>3.7394180000000001</v>
      </c>
      <c r="BE1329" s="6"/>
      <c r="BF1329" s="6"/>
      <c r="BG1329" s="6"/>
      <c r="BH1329" s="6"/>
      <c r="BI1329" s="6"/>
      <c r="BJ1329" s="6"/>
      <c r="BK1329" s="6"/>
      <c r="BL1329" s="6"/>
      <c r="BM1329" s="6"/>
      <c r="BN1329" s="6" t="e">
        <f t="shared" si="103"/>
        <v>#DIV/0!</v>
      </c>
    </row>
    <row r="1330" spans="49:66" x14ac:dyDescent="0.3">
      <c r="AW1330">
        <f t="shared" si="102"/>
        <v>0</v>
      </c>
      <c r="AX1330">
        <v>1327</v>
      </c>
      <c r="AY1330" s="4">
        <f t="shared" si="100"/>
        <v>42146</v>
      </c>
      <c r="AZ1330" s="6" t="e">
        <f t="shared" si="101"/>
        <v>#DIV/0!</v>
      </c>
      <c r="BA1330" s="4">
        <v>42146</v>
      </c>
      <c r="BB1330" s="6">
        <v>2.2796850000000002</v>
      </c>
      <c r="BC1330" s="6">
        <v>1.6524000000000001</v>
      </c>
      <c r="BD1330" s="6">
        <v>0.80438299999999996</v>
      </c>
      <c r="BE1330" s="6"/>
      <c r="BF1330" s="6"/>
      <c r="BG1330" s="6"/>
      <c r="BH1330" s="6"/>
      <c r="BI1330" s="6"/>
      <c r="BJ1330" s="6"/>
      <c r="BK1330" s="6"/>
      <c r="BL1330" s="6"/>
      <c r="BM1330" s="6"/>
      <c r="BN1330" s="6" t="e">
        <f t="shared" si="103"/>
        <v>#DIV/0!</v>
      </c>
    </row>
    <row r="1331" spans="49:66" x14ac:dyDescent="0.3">
      <c r="AW1331">
        <f t="shared" si="102"/>
        <v>0</v>
      </c>
      <c r="AX1331">
        <v>1328</v>
      </c>
      <c r="AY1331" s="4">
        <f t="shared" si="100"/>
        <v>42149</v>
      </c>
      <c r="AZ1331" s="6" t="e">
        <f t="shared" si="101"/>
        <v>#DIV/0!</v>
      </c>
      <c r="BA1331" s="4">
        <v>42149</v>
      </c>
      <c r="BB1331" s="6">
        <v>2.992324</v>
      </c>
      <c r="BC1331" s="6">
        <v>2.6786089999999998</v>
      </c>
      <c r="BD1331" s="6">
        <v>1.5021329999999999</v>
      </c>
      <c r="BE1331" s="6"/>
      <c r="BF1331" s="6"/>
      <c r="BG1331" s="6"/>
      <c r="BH1331" s="6"/>
      <c r="BI1331" s="6"/>
      <c r="BJ1331" s="6"/>
      <c r="BK1331" s="6"/>
      <c r="BL1331" s="6"/>
      <c r="BM1331" s="6"/>
      <c r="BN1331" s="6" t="e">
        <f t="shared" si="103"/>
        <v>#DIV/0!</v>
      </c>
    </row>
    <row r="1332" spans="49:66" x14ac:dyDescent="0.3">
      <c r="AW1332">
        <f t="shared" si="102"/>
        <v>0</v>
      </c>
      <c r="AX1332">
        <v>1329</v>
      </c>
      <c r="AY1332" s="4">
        <f t="shared" si="100"/>
        <v>42150</v>
      </c>
      <c r="AZ1332" s="6" t="e">
        <f t="shared" si="101"/>
        <v>#DIV/0!</v>
      </c>
      <c r="BA1332" s="4">
        <v>42150</v>
      </c>
      <c r="BB1332" s="6">
        <v>1.9496640000000001</v>
      </c>
      <c r="BC1332" s="6">
        <v>3.3215840000000001</v>
      </c>
      <c r="BD1332" s="6">
        <v>4.0646469999999999</v>
      </c>
      <c r="BE1332" s="6"/>
      <c r="BF1332" s="6"/>
      <c r="BG1332" s="6"/>
      <c r="BH1332" s="6"/>
      <c r="BI1332" s="6"/>
      <c r="BJ1332" s="6"/>
      <c r="BK1332" s="6"/>
      <c r="BL1332" s="6"/>
      <c r="BM1332" s="6"/>
      <c r="BN1332" s="6" t="e">
        <f t="shared" si="103"/>
        <v>#DIV/0!</v>
      </c>
    </row>
    <row r="1333" spans="49:66" x14ac:dyDescent="0.3">
      <c r="AW1333">
        <f t="shared" si="102"/>
        <v>0</v>
      </c>
      <c r="AX1333">
        <v>1330</v>
      </c>
      <c r="AY1333" s="4">
        <f t="shared" si="100"/>
        <v>42151</v>
      </c>
      <c r="AZ1333" s="6" t="e">
        <f t="shared" si="101"/>
        <v>#DIV/0!</v>
      </c>
      <c r="BA1333" s="4">
        <v>42151</v>
      </c>
      <c r="BB1333" s="6">
        <v>-0.33630100000000002</v>
      </c>
      <c r="BC1333" s="6">
        <v>1.193031</v>
      </c>
      <c r="BD1333" s="6">
        <v>1.3524050000000001</v>
      </c>
      <c r="BE1333" s="6"/>
      <c r="BF1333" s="6"/>
      <c r="BG1333" s="6"/>
      <c r="BH1333" s="6"/>
      <c r="BI1333" s="6"/>
      <c r="BJ1333" s="6"/>
      <c r="BK1333" s="6"/>
      <c r="BL1333" s="6"/>
      <c r="BM1333" s="6"/>
      <c r="BN1333" s="6" t="e">
        <f t="shared" si="103"/>
        <v>#DIV/0!</v>
      </c>
    </row>
    <row r="1334" spans="49:66" x14ac:dyDescent="0.3">
      <c r="AW1334">
        <f t="shared" si="102"/>
        <v>0</v>
      </c>
      <c r="AX1334">
        <v>1331</v>
      </c>
      <c r="AY1334" s="4">
        <f t="shared" si="100"/>
        <v>42152</v>
      </c>
      <c r="AZ1334" s="6" t="e">
        <f t="shared" si="101"/>
        <v>#DIV/0!</v>
      </c>
      <c r="BA1334" s="4">
        <v>42152</v>
      </c>
      <c r="BB1334" s="6">
        <v>-6.7052290000000001</v>
      </c>
      <c r="BC1334" s="6">
        <v>-5.9911940000000001</v>
      </c>
      <c r="BD1334" s="6">
        <v>-5.6216249999999999</v>
      </c>
      <c r="BE1334" s="6"/>
      <c r="BF1334" s="6"/>
      <c r="BG1334" s="6"/>
      <c r="BH1334" s="6"/>
      <c r="BI1334" s="6"/>
      <c r="BJ1334" s="6"/>
      <c r="BK1334" s="6"/>
      <c r="BL1334" s="6"/>
      <c r="BM1334" s="6"/>
      <c r="BN1334" s="6" t="e">
        <f t="shared" si="103"/>
        <v>#DIV/0!</v>
      </c>
    </row>
    <row r="1335" spans="49:66" x14ac:dyDescent="0.3">
      <c r="AW1335">
        <f t="shared" si="102"/>
        <v>0</v>
      </c>
      <c r="AX1335">
        <v>1332</v>
      </c>
      <c r="AY1335" s="4">
        <f t="shared" si="100"/>
        <v>42153</v>
      </c>
      <c r="AZ1335" s="6" t="e">
        <f t="shared" si="101"/>
        <v>#DIV/0!</v>
      </c>
      <c r="BA1335" s="4">
        <v>42153</v>
      </c>
      <c r="BB1335" s="6">
        <v>0.141125</v>
      </c>
      <c r="BC1335" s="6">
        <v>0.99733300000000003</v>
      </c>
      <c r="BD1335" s="6">
        <v>1.624309</v>
      </c>
      <c r="BE1335" s="6"/>
      <c r="BF1335" s="6"/>
      <c r="BG1335" s="6"/>
      <c r="BH1335" s="6"/>
      <c r="BI1335" s="6"/>
      <c r="BJ1335" s="6"/>
      <c r="BK1335" s="6"/>
      <c r="BL1335" s="6"/>
      <c r="BM1335" s="6"/>
      <c r="BN1335" s="6" t="e">
        <f t="shared" si="103"/>
        <v>#DIV/0!</v>
      </c>
    </row>
    <row r="1336" spans="49:66" x14ac:dyDescent="0.3">
      <c r="AW1336">
        <f t="shared" si="102"/>
        <v>0</v>
      </c>
      <c r="AX1336">
        <v>1333</v>
      </c>
      <c r="AY1336" s="4">
        <f t="shared" si="100"/>
        <v>42156</v>
      </c>
      <c r="AZ1336" s="6" t="e">
        <f t="shared" si="101"/>
        <v>#DIV/0!</v>
      </c>
      <c r="BA1336" s="4">
        <v>42156</v>
      </c>
      <c r="BB1336" s="6">
        <v>4.8617710000000001</v>
      </c>
      <c r="BC1336" s="6">
        <v>5.2319969999999998</v>
      </c>
      <c r="BD1336" s="6">
        <v>5.0967169999999999</v>
      </c>
      <c r="BE1336" s="6"/>
      <c r="BF1336" s="6"/>
      <c r="BG1336" s="6"/>
      <c r="BH1336" s="6"/>
      <c r="BI1336" s="6"/>
      <c r="BJ1336" s="6"/>
      <c r="BK1336" s="6"/>
      <c r="BL1336" s="6"/>
      <c r="BM1336" s="6"/>
      <c r="BN1336" s="6" t="e">
        <f t="shared" si="103"/>
        <v>#DIV/0!</v>
      </c>
    </row>
    <row r="1337" spans="49:66" x14ac:dyDescent="0.3">
      <c r="AW1337">
        <f t="shared" si="102"/>
        <v>0</v>
      </c>
      <c r="AX1337">
        <v>1334</v>
      </c>
      <c r="AY1337" s="4">
        <f t="shared" si="100"/>
        <v>42157</v>
      </c>
      <c r="AZ1337" s="6" t="e">
        <f t="shared" si="101"/>
        <v>#DIV/0!</v>
      </c>
      <c r="BA1337" s="4">
        <v>42157</v>
      </c>
      <c r="BB1337" s="6">
        <v>1.6880999999999999</v>
      </c>
      <c r="BC1337" s="6">
        <v>3.7955589999999999</v>
      </c>
      <c r="BD1337" s="6">
        <v>4.2739229999999999</v>
      </c>
      <c r="BE1337" s="6"/>
      <c r="BF1337" s="6"/>
      <c r="BG1337" s="6"/>
      <c r="BH1337" s="6"/>
      <c r="BI1337" s="6"/>
      <c r="BJ1337" s="6"/>
      <c r="BK1337" s="6"/>
      <c r="BL1337" s="6"/>
      <c r="BM1337" s="6"/>
      <c r="BN1337" s="6" t="e">
        <f t="shared" si="103"/>
        <v>#DIV/0!</v>
      </c>
    </row>
    <row r="1338" spans="49:66" x14ac:dyDescent="0.3">
      <c r="AW1338">
        <f t="shared" si="102"/>
        <v>0</v>
      </c>
      <c r="AX1338">
        <v>1335</v>
      </c>
      <c r="AY1338" s="4">
        <f t="shared" si="100"/>
        <v>42158</v>
      </c>
      <c r="AZ1338" s="6" t="e">
        <f t="shared" si="101"/>
        <v>#DIV/0!</v>
      </c>
      <c r="BA1338" s="4">
        <v>42158</v>
      </c>
      <c r="BB1338" s="6">
        <v>-0.35413499999999998</v>
      </c>
      <c r="BC1338" s="6">
        <v>0.85969700000000004</v>
      </c>
      <c r="BD1338" s="6">
        <v>0.56233</v>
      </c>
      <c r="BE1338" s="6"/>
      <c r="BF1338" s="6"/>
      <c r="BG1338" s="6"/>
      <c r="BH1338" s="6"/>
      <c r="BI1338" s="6"/>
      <c r="BJ1338" s="6"/>
      <c r="BK1338" s="6"/>
      <c r="BL1338" s="6"/>
      <c r="BM1338" s="6"/>
      <c r="BN1338" s="6" t="e">
        <f t="shared" si="103"/>
        <v>#DIV/0!</v>
      </c>
    </row>
    <row r="1339" spans="49:66" x14ac:dyDescent="0.3">
      <c r="AW1339">
        <f t="shared" si="102"/>
        <v>0</v>
      </c>
      <c r="AX1339">
        <v>1336</v>
      </c>
      <c r="AY1339" s="4">
        <f t="shared" si="100"/>
        <v>42159</v>
      </c>
      <c r="AZ1339" s="6" t="e">
        <f t="shared" si="101"/>
        <v>#DIV/0!</v>
      </c>
      <c r="BA1339" s="4">
        <v>42159</v>
      </c>
      <c r="BB1339" s="6">
        <v>0.73540099999999997</v>
      </c>
      <c r="BC1339" s="6">
        <v>-0.13278699999999999</v>
      </c>
      <c r="BD1339" s="6">
        <v>-0.33399299999999998</v>
      </c>
      <c r="BE1339" s="6"/>
      <c r="BF1339" s="6"/>
      <c r="BG1339" s="6"/>
      <c r="BH1339" s="6"/>
      <c r="BI1339" s="6"/>
      <c r="BJ1339" s="6"/>
      <c r="BK1339" s="6"/>
      <c r="BL1339" s="6"/>
      <c r="BM1339" s="6"/>
      <c r="BN1339" s="6" t="e">
        <f t="shared" si="103"/>
        <v>#DIV/0!</v>
      </c>
    </row>
    <row r="1340" spans="49:66" x14ac:dyDescent="0.3">
      <c r="AW1340">
        <f t="shared" si="102"/>
        <v>0</v>
      </c>
      <c r="AX1340">
        <v>1337</v>
      </c>
      <c r="AY1340" s="4">
        <f t="shared" si="100"/>
        <v>42160</v>
      </c>
      <c r="AZ1340" s="6" t="e">
        <f t="shared" si="101"/>
        <v>#DIV/0!</v>
      </c>
      <c r="BA1340" s="4">
        <v>42160</v>
      </c>
      <c r="BB1340" s="6">
        <v>0.94831200000000004</v>
      </c>
      <c r="BC1340" s="6">
        <v>1.6334090000000001</v>
      </c>
      <c r="BD1340" s="6">
        <v>1.0979369999999999</v>
      </c>
      <c r="BE1340" s="6"/>
      <c r="BF1340" s="6"/>
      <c r="BG1340" s="6"/>
      <c r="BH1340" s="6"/>
      <c r="BI1340" s="6"/>
      <c r="BJ1340" s="6"/>
      <c r="BK1340" s="6"/>
      <c r="BL1340" s="6"/>
      <c r="BM1340" s="6"/>
      <c r="BN1340" s="6" t="e">
        <f t="shared" si="103"/>
        <v>#DIV/0!</v>
      </c>
    </row>
    <row r="1341" spans="49:66" x14ac:dyDescent="0.3">
      <c r="AW1341">
        <f t="shared" si="102"/>
        <v>0</v>
      </c>
      <c r="AX1341">
        <v>1338</v>
      </c>
      <c r="AY1341" s="4">
        <f t="shared" si="100"/>
        <v>42163</v>
      </c>
      <c r="AZ1341" s="6" t="e">
        <f t="shared" si="101"/>
        <v>#DIV/0!</v>
      </c>
      <c r="BA1341" s="4">
        <v>42163</v>
      </c>
      <c r="BB1341" s="6">
        <v>2.3553730000000002</v>
      </c>
      <c r="BC1341" s="6">
        <v>-1.0193350000000001</v>
      </c>
      <c r="BD1341" s="6">
        <v>-2.5302519999999999</v>
      </c>
      <c r="BE1341" s="6"/>
      <c r="BF1341" s="6"/>
      <c r="BG1341" s="6"/>
      <c r="BH1341" s="6"/>
      <c r="BI1341" s="6"/>
      <c r="BJ1341" s="6"/>
      <c r="BK1341" s="6"/>
      <c r="BL1341" s="6"/>
      <c r="BM1341" s="6"/>
      <c r="BN1341" s="6" t="e">
        <f t="shared" si="103"/>
        <v>#DIV/0!</v>
      </c>
    </row>
    <row r="1342" spans="49:66" x14ac:dyDescent="0.3">
      <c r="AW1342">
        <f t="shared" si="102"/>
        <v>0</v>
      </c>
      <c r="AX1342">
        <v>1339</v>
      </c>
      <c r="AY1342" s="4">
        <f t="shared" si="100"/>
        <v>42164</v>
      </c>
      <c r="AZ1342" s="6" t="e">
        <f t="shared" si="101"/>
        <v>#DIV/0!</v>
      </c>
      <c r="BA1342" s="4">
        <v>42164</v>
      </c>
      <c r="BB1342" s="6">
        <v>-0.67784299999999997</v>
      </c>
      <c r="BC1342" s="6">
        <v>-0.15574399999999999</v>
      </c>
      <c r="BD1342" s="6">
        <v>4.6100000000000002E-2</v>
      </c>
      <c r="BE1342" s="6"/>
      <c r="BF1342" s="6"/>
      <c r="BG1342" s="6"/>
      <c r="BH1342" s="6"/>
      <c r="BI1342" s="6"/>
      <c r="BJ1342" s="6"/>
      <c r="BK1342" s="6"/>
      <c r="BL1342" s="6"/>
      <c r="BM1342" s="6"/>
      <c r="BN1342" s="6" t="e">
        <f t="shared" si="103"/>
        <v>#DIV/0!</v>
      </c>
    </row>
    <row r="1343" spans="49:66" x14ac:dyDescent="0.3">
      <c r="AW1343">
        <f t="shared" si="102"/>
        <v>0</v>
      </c>
      <c r="AX1343">
        <v>1340</v>
      </c>
      <c r="AY1343" s="4">
        <f t="shared" si="100"/>
        <v>42165</v>
      </c>
      <c r="AZ1343" s="6" t="e">
        <f t="shared" si="101"/>
        <v>#DIV/0!</v>
      </c>
      <c r="BA1343" s="4">
        <v>42165</v>
      </c>
      <c r="BB1343" s="6">
        <v>-0.15701100000000001</v>
      </c>
      <c r="BC1343" s="6">
        <v>1.764321</v>
      </c>
      <c r="BD1343" s="6">
        <v>2.5207380000000001</v>
      </c>
      <c r="BE1343" s="6"/>
      <c r="BF1343" s="6"/>
      <c r="BG1343" s="6"/>
      <c r="BH1343" s="6"/>
      <c r="BI1343" s="6"/>
      <c r="BJ1343" s="6"/>
      <c r="BK1343" s="6"/>
      <c r="BL1343" s="6"/>
      <c r="BM1343" s="6"/>
      <c r="BN1343" s="6" t="e">
        <f t="shared" si="103"/>
        <v>#DIV/0!</v>
      </c>
    </row>
    <row r="1344" spans="49:66" x14ac:dyDescent="0.3">
      <c r="AW1344">
        <f t="shared" si="102"/>
        <v>0</v>
      </c>
      <c r="AX1344">
        <v>1341</v>
      </c>
      <c r="AY1344" s="4">
        <f t="shared" si="100"/>
        <v>42166</v>
      </c>
      <c r="AZ1344" s="6" t="e">
        <f t="shared" si="101"/>
        <v>#DIV/0!</v>
      </c>
      <c r="BA1344" s="4">
        <v>42166</v>
      </c>
      <c r="BB1344" s="6">
        <v>-4.7502999999999997E-2</v>
      </c>
      <c r="BC1344" s="6">
        <v>1.4117999999999999</v>
      </c>
      <c r="BD1344" s="6">
        <v>2.1233179999999998</v>
      </c>
      <c r="BE1344" s="6"/>
      <c r="BF1344" s="6"/>
      <c r="BG1344" s="6"/>
      <c r="BH1344" s="6"/>
      <c r="BI1344" s="6"/>
      <c r="BJ1344" s="6"/>
      <c r="BK1344" s="6"/>
      <c r="BL1344" s="6"/>
      <c r="BM1344" s="6"/>
      <c r="BN1344" s="6" t="e">
        <f t="shared" si="103"/>
        <v>#DIV/0!</v>
      </c>
    </row>
    <row r="1345" spans="49:66" x14ac:dyDescent="0.3">
      <c r="AW1345">
        <f t="shared" si="102"/>
        <v>0</v>
      </c>
      <c r="AX1345">
        <v>1342</v>
      </c>
      <c r="AY1345" s="4">
        <f t="shared" si="100"/>
        <v>42167</v>
      </c>
      <c r="AZ1345" s="6" t="e">
        <f t="shared" si="101"/>
        <v>#DIV/0!</v>
      </c>
      <c r="BA1345" s="4">
        <v>42167</v>
      </c>
      <c r="BB1345" s="6">
        <v>0.53754100000000005</v>
      </c>
      <c r="BC1345" s="6">
        <v>1.5800890000000001</v>
      </c>
      <c r="BD1345" s="6">
        <v>1.607823</v>
      </c>
      <c r="BE1345" s="6"/>
      <c r="BF1345" s="6"/>
      <c r="BG1345" s="6"/>
      <c r="BH1345" s="6"/>
      <c r="BI1345" s="6"/>
      <c r="BJ1345" s="6"/>
      <c r="BK1345" s="6"/>
      <c r="BL1345" s="6"/>
      <c r="BM1345" s="6"/>
      <c r="BN1345" s="6" t="e">
        <f t="shared" si="103"/>
        <v>#DIV/0!</v>
      </c>
    </row>
    <row r="1346" spans="49:66" x14ac:dyDescent="0.3">
      <c r="AW1346">
        <f t="shared" si="102"/>
        <v>0</v>
      </c>
      <c r="AX1346">
        <v>1343</v>
      </c>
      <c r="AY1346" s="4">
        <f t="shared" si="100"/>
        <v>42170</v>
      </c>
      <c r="AZ1346" s="6" t="e">
        <f t="shared" si="101"/>
        <v>#DIV/0!</v>
      </c>
      <c r="BA1346" s="4">
        <v>42170</v>
      </c>
      <c r="BB1346" s="6">
        <v>-2.1358229999999998</v>
      </c>
      <c r="BC1346" s="6">
        <v>-1.8448</v>
      </c>
      <c r="BD1346" s="6">
        <v>-1.9895620000000001</v>
      </c>
      <c r="BE1346" s="6"/>
      <c r="BF1346" s="6"/>
      <c r="BG1346" s="6"/>
      <c r="BH1346" s="6"/>
      <c r="BI1346" s="6"/>
      <c r="BJ1346" s="6"/>
      <c r="BK1346" s="6"/>
      <c r="BL1346" s="6"/>
      <c r="BM1346" s="6"/>
      <c r="BN1346" s="6" t="e">
        <f t="shared" si="103"/>
        <v>#DIV/0!</v>
      </c>
    </row>
    <row r="1347" spans="49:66" x14ac:dyDescent="0.3">
      <c r="AW1347">
        <f t="shared" si="102"/>
        <v>0</v>
      </c>
      <c r="AX1347">
        <v>1344</v>
      </c>
      <c r="AY1347" s="4">
        <f t="shared" si="100"/>
        <v>42171</v>
      </c>
      <c r="AZ1347" s="6" t="e">
        <f t="shared" si="101"/>
        <v>#DIV/0!</v>
      </c>
      <c r="BA1347" s="4">
        <v>42171</v>
      </c>
      <c r="BB1347" s="6">
        <v>-2.9944519999999999</v>
      </c>
      <c r="BC1347" s="6">
        <v>-3.9977100000000001</v>
      </c>
      <c r="BD1347" s="6">
        <v>-4.117254</v>
      </c>
      <c r="BE1347" s="6"/>
      <c r="BF1347" s="6"/>
      <c r="BG1347" s="6"/>
      <c r="BH1347" s="6"/>
      <c r="BI1347" s="6"/>
      <c r="BJ1347" s="6"/>
      <c r="BK1347" s="6"/>
      <c r="BL1347" s="6"/>
      <c r="BM1347" s="6"/>
      <c r="BN1347" s="6" t="e">
        <f t="shared" si="103"/>
        <v>#DIV/0!</v>
      </c>
    </row>
    <row r="1348" spans="49:66" x14ac:dyDescent="0.3">
      <c r="AW1348">
        <f t="shared" si="102"/>
        <v>0</v>
      </c>
      <c r="AX1348">
        <v>1345</v>
      </c>
      <c r="AY1348" s="4">
        <f t="shared" si="100"/>
        <v>42172</v>
      </c>
      <c r="AZ1348" s="6" t="e">
        <f t="shared" si="101"/>
        <v>#DIV/0!</v>
      </c>
      <c r="BA1348" s="4">
        <v>42172</v>
      </c>
      <c r="BB1348" s="6">
        <v>1.461246</v>
      </c>
      <c r="BC1348" s="6">
        <v>2.028613</v>
      </c>
      <c r="BD1348" s="6">
        <v>2.163427</v>
      </c>
      <c r="BE1348" s="6"/>
      <c r="BF1348" s="6"/>
      <c r="BG1348" s="6"/>
      <c r="BH1348" s="6"/>
      <c r="BI1348" s="6"/>
      <c r="BJ1348" s="6"/>
      <c r="BK1348" s="6"/>
      <c r="BL1348" s="6"/>
      <c r="BM1348" s="6"/>
      <c r="BN1348" s="6" t="e">
        <f t="shared" si="103"/>
        <v>#DIV/0!</v>
      </c>
    </row>
    <row r="1349" spans="49:66" x14ac:dyDescent="0.3">
      <c r="AW1349">
        <f t="shared" si="102"/>
        <v>0</v>
      </c>
      <c r="AX1349">
        <v>1346</v>
      </c>
      <c r="AY1349" s="4">
        <f t="shared" ref="AY1349:AY1412" si="104">BA1349</f>
        <v>42173</v>
      </c>
      <c r="AZ1349" s="6" t="e">
        <f t="shared" ref="AZ1349:AZ1412" si="105">BN1349</f>
        <v>#DIV/0!</v>
      </c>
      <c r="BA1349" s="4">
        <v>42173</v>
      </c>
      <c r="BB1349" s="6">
        <v>-4.0530929999999996</v>
      </c>
      <c r="BC1349" s="6">
        <v>-3.3256640000000002</v>
      </c>
      <c r="BD1349" s="6">
        <v>-3.2837369999999999</v>
      </c>
      <c r="BE1349" s="6"/>
      <c r="BF1349" s="6"/>
      <c r="BG1349" s="6"/>
      <c r="BH1349" s="6"/>
      <c r="BI1349" s="6"/>
      <c r="BJ1349" s="6"/>
      <c r="BK1349" s="6"/>
      <c r="BL1349" s="6"/>
      <c r="BM1349" s="6"/>
      <c r="BN1349" s="6" t="e">
        <f t="shared" si="103"/>
        <v>#DIV/0!</v>
      </c>
    </row>
    <row r="1350" spans="49:66" x14ac:dyDescent="0.3">
      <c r="AW1350">
        <f t="shared" ref="AW1350:AW1413" si="106">IF(AY1350&lt;=AY1349,1,0)</f>
        <v>0</v>
      </c>
      <c r="AX1350">
        <v>1347</v>
      </c>
      <c r="AY1350" s="4">
        <f t="shared" si="104"/>
        <v>42174</v>
      </c>
      <c r="AZ1350" s="6" t="e">
        <f t="shared" si="105"/>
        <v>#DIV/0!</v>
      </c>
      <c r="BA1350" s="4">
        <v>42174</v>
      </c>
      <c r="BB1350" s="6">
        <v>-5.9526310000000002</v>
      </c>
      <c r="BC1350" s="6">
        <v>-6.9326720000000002</v>
      </c>
      <c r="BD1350" s="6">
        <v>-6.5270929999999998</v>
      </c>
      <c r="BE1350" s="6"/>
      <c r="BF1350" s="6"/>
      <c r="BG1350" s="6"/>
      <c r="BH1350" s="6"/>
      <c r="BI1350" s="6"/>
      <c r="BJ1350" s="6"/>
      <c r="BK1350" s="6"/>
      <c r="BL1350" s="6"/>
      <c r="BM1350" s="6"/>
      <c r="BN1350" s="6" t="e">
        <f t="shared" ref="BN1350:BN1413" si="107">(BM1350/BM1349-1)*100</f>
        <v>#DIV/0!</v>
      </c>
    </row>
    <row r="1351" spans="49:66" x14ac:dyDescent="0.3">
      <c r="AW1351">
        <f t="shared" si="106"/>
        <v>0</v>
      </c>
      <c r="AX1351">
        <v>1348</v>
      </c>
      <c r="AY1351" s="4">
        <f t="shared" si="104"/>
        <v>42178</v>
      </c>
      <c r="AZ1351" s="6" t="e">
        <f t="shared" si="105"/>
        <v>#DIV/0!</v>
      </c>
      <c r="BA1351" s="4">
        <v>42178</v>
      </c>
      <c r="BB1351" s="6">
        <v>3.2140879999999998</v>
      </c>
      <c r="BC1351" s="6">
        <v>0.59552499999999997</v>
      </c>
      <c r="BD1351" s="6">
        <v>0.171239</v>
      </c>
      <c r="BE1351" s="6"/>
      <c r="BF1351" s="6"/>
      <c r="BG1351" s="6"/>
      <c r="BH1351" s="6"/>
      <c r="BI1351" s="6"/>
      <c r="BJ1351" s="6"/>
      <c r="BK1351" s="6"/>
      <c r="BL1351" s="6"/>
      <c r="BM1351" s="6"/>
      <c r="BN1351" s="6" t="e">
        <f t="shared" si="107"/>
        <v>#DIV/0!</v>
      </c>
    </row>
    <row r="1352" spans="49:66" x14ac:dyDescent="0.3">
      <c r="AW1352">
        <f t="shared" si="106"/>
        <v>0</v>
      </c>
      <c r="AX1352">
        <v>1349</v>
      </c>
      <c r="AY1352" s="4">
        <f t="shared" si="104"/>
        <v>42179</v>
      </c>
      <c r="AZ1352" s="6" t="e">
        <f t="shared" si="105"/>
        <v>#DIV/0!</v>
      </c>
      <c r="BA1352" s="4">
        <v>42179</v>
      </c>
      <c r="BB1352" s="6">
        <v>1.964766</v>
      </c>
      <c r="BC1352" s="6">
        <v>2.1971159999999998</v>
      </c>
      <c r="BD1352" s="6">
        <v>2.044727</v>
      </c>
      <c r="BE1352" s="6"/>
      <c r="BF1352" s="6"/>
      <c r="BG1352" s="6"/>
      <c r="BH1352" s="6"/>
      <c r="BI1352" s="6"/>
      <c r="BJ1352" s="6"/>
      <c r="BK1352" s="6"/>
      <c r="BL1352" s="6"/>
      <c r="BM1352" s="6"/>
      <c r="BN1352" s="6" t="e">
        <f t="shared" si="107"/>
        <v>#DIV/0!</v>
      </c>
    </row>
    <row r="1353" spans="49:66" x14ac:dyDescent="0.3">
      <c r="AW1353">
        <f t="shared" si="106"/>
        <v>0</v>
      </c>
      <c r="AX1353">
        <v>1350</v>
      </c>
      <c r="AY1353" s="4">
        <f t="shared" si="104"/>
        <v>42180</v>
      </c>
      <c r="AZ1353" s="6" t="e">
        <f t="shared" si="105"/>
        <v>#DIV/0!</v>
      </c>
      <c r="BA1353" s="4">
        <v>42180</v>
      </c>
      <c r="BB1353" s="6">
        <v>-3.5574940000000002</v>
      </c>
      <c r="BC1353" s="6">
        <v>-3.5209980000000001</v>
      </c>
      <c r="BD1353" s="6">
        <v>-4.1559660000000003</v>
      </c>
      <c r="BE1353" s="6"/>
      <c r="BF1353" s="6"/>
      <c r="BG1353" s="6"/>
      <c r="BH1353" s="6"/>
      <c r="BI1353" s="6"/>
      <c r="BJ1353" s="6"/>
      <c r="BK1353" s="6"/>
      <c r="BL1353" s="6"/>
      <c r="BM1353" s="6"/>
      <c r="BN1353" s="6" t="e">
        <f t="shared" si="107"/>
        <v>#DIV/0!</v>
      </c>
    </row>
    <row r="1354" spans="49:66" x14ac:dyDescent="0.3">
      <c r="AW1354">
        <f t="shared" si="106"/>
        <v>0</v>
      </c>
      <c r="AX1354">
        <v>1351</v>
      </c>
      <c r="AY1354" s="4">
        <f t="shared" si="104"/>
        <v>42181</v>
      </c>
      <c r="AZ1354" s="6" t="e">
        <f t="shared" si="105"/>
        <v>#DIV/0!</v>
      </c>
      <c r="BA1354" s="4">
        <v>42181</v>
      </c>
      <c r="BB1354" s="6">
        <v>-7.8682660000000002</v>
      </c>
      <c r="BC1354" s="6">
        <v>-8.3588760000000004</v>
      </c>
      <c r="BD1354" s="6">
        <v>-8.0696820000000002</v>
      </c>
      <c r="BE1354" s="6"/>
      <c r="BF1354" s="6"/>
      <c r="BG1354" s="6"/>
      <c r="BH1354" s="6"/>
      <c r="BI1354" s="6"/>
      <c r="BJ1354" s="6"/>
      <c r="BK1354" s="6"/>
      <c r="BL1354" s="6"/>
      <c r="BM1354" s="6"/>
      <c r="BN1354" s="6" t="e">
        <f t="shared" si="107"/>
        <v>#DIV/0!</v>
      </c>
    </row>
    <row r="1355" spans="49:66" x14ac:dyDescent="0.3">
      <c r="AW1355">
        <f t="shared" si="106"/>
        <v>0</v>
      </c>
      <c r="AX1355">
        <v>1352</v>
      </c>
      <c r="AY1355" s="4">
        <f t="shared" si="104"/>
        <v>42184</v>
      </c>
      <c r="AZ1355" s="6" t="e">
        <f t="shared" si="105"/>
        <v>#DIV/0!</v>
      </c>
      <c r="BA1355" s="4">
        <v>42184</v>
      </c>
      <c r="BB1355" s="6">
        <v>-3.3357839999999999</v>
      </c>
      <c r="BC1355" s="6">
        <v>-6.5368709999999997</v>
      </c>
      <c r="BD1355" s="6">
        <v>-7.0302749999999996</v>
      </c>
      <c r="BE1355" s="6"/>
      <c r="BF1355" s="6"/>
      <c r="BG1355" s="6"/>
      <c r="BH1355" s="6"/>
      <c r="BI1355" s="6"/>
      <c r="BJ1355" s="6"/>
      <c r="BK1355" s="6"/>
      <c r="BL1355" s="6"/>
      <c r="BM1355" s="6"/>
      <c r="BN1355" s="6" t="e">
        <f t="shared" si="107"/>
        <v>#DIV/0!</v>
      </c>
    </row>
    <row r="1356" spans="49:66" x14ac:dyDescent="0.3">
      <c r="AW1356">
        <f t="shared" si="106"/>
        <v>0</v>
      </c>
      <c r="AX1356">
        <v>1353</v>
      </c>
      <c r="AY1356" s="4">
        <f t="shared" si="104"/>
        <v>42185</v>
      </c>
      <c r="AZ1356" s="6" t="e">
        <f t="shared" si="105"/>
        <v>#DIV/0!</v>
      </c>
      <c r="BA1356" s="4">
        <v>42185</v>
      </c>
      <c r="BB1356" s="6">
        <v>6.7146780000000001</v>
      </c>
      <c r="BC1356" s="6">
        <v>4.9663469999999998</v>
      </c>
      <c r="BD1356" s="6">
        <v>4.3593130000000002</v>
      </c>
      <c r="BE1356" s="6"/>
      <c r="BF1356" s="6"/>
      <c r="BG1356" s="6"/>
      <c r="BH1356" s="6"/>
      <c r="BI1356" s="6"/>
      <c r="BJ1356" s="6"/>
      <c r="BK1356" s="6"/>
      <c r="BL1356" s="6"/>
      <c r="BM1356" s="6"/>
      <c r="BN1356" s="6" t="e">
        <f t="shared" si="107"/>
        <v>#DIV/0!</v>
      </c>
    </row>
    <row r="1357" spans="49:66" x14ac:dyDescent="0.3">
      <c r="AW1357">
        <f t="shared" si="106"/>
        <v>0</v>
      </c>
      <c r="AX1357">
        <v>1354</v>
      </c>
      <c r="AY1357" s="4">
        <f t="shared" si="104"/>
        <v>42186</v>
      </c>
      <c r="AZ1357" s="6" t="e">
        <f t="shared" si="105"/>
        <v>#DIV/0!</v>
      </c>
      <c r="BA1357" s="4">
        <v>42186</v>
      </c>
      <c r="BB1357" s="6">
        <v>-4.9178790000000001</v>
      </c>
      <c r="BC1357" s="6">
        <v>-5.5480510000000001</v>
      </c>
      <c r="BD1357" s="6">
        <v>-5.6887340000000002</v>
      </c>
      <c r="BE1357" s="6"/>
      <c r="BF1357" s="6"/>
      <c r="BG1357" s="6"/>
      <c r="BH1357" s="6"/>
      <c r="BI1357" s="6"/>
      <c r="BJ1357" s="6"/>
      <c r="BK1357" s="6"/>
      <c r="BL1357" s="6"/>
      <c r="BM1357" s="6"/>
      <c r="BN1357" s="6" t="e">
        <f t="shared" si="107"/>
        <v>#DIV/0!</v>
      </c>
    </row>
    <row r="1358" spans="49:66" x14ac:dyDescent="0.3">
      <c r="AW1358">
        <f t="shared" si="106"/>
        <v>0</v>
      </c>
      <c r="AX1358">
        <v>1355</v>
      </c>
      <c r="AY1358" s="4">
        <f t="shared" si="104"/>
        <v>42187</v>
      </c>
      <c r="AZ1358" s="6" t="e">
        <f t="shared" si="105"/>
        <v>#DIV/0!</v>
      </c>
      <c r="BA1358" s="4">
        <v>42187</v>
      </c>
      <c r="BB1358" s="6">
        <v>-3.4099270000000002</v>
      </c>
      <c r="BC1358" s="6">
        <v>-6.8570180000000001</v>
      </c>
      <c r="BD1358" s="6">
        <v>-6.8162070000000003</v>
      </c>
      <c r="BE1358" s="6"/>
      <c r="BF1358" s="6"/>
      <c r="BG1358" s="6"/>
      <c r="BH1358" s="6"/>
      <c r="BI1358" s="6"/>
      <c r="BJ1358" s="6"/>
      <c r="BK1358" s="6"/>
      <c r="BL1358" s="6"/>
      <c r="BM1358" s="6"/>
      <c r="BN1358" s="6" t="e">
        <f t="shared" si="107"/>
        <v>#DIV/0!</v>
      </c>
    </row>
    <row r="1359" spans="49:66" x14ac:dyDescent="0.3">
      <c r="AW1359">
        <f t="shared" si="106"/>
        <v>0</v>
      </c>
      <c r="AX1359">
        <v>1356</v>
      </c>
      <c r="AY1359" s="4">
        <f t="shared" si="104"/>
        <v>42188</v>
      </c>
      <c r="AZ1359" s="6" t="e">
        <f t="shared" si="105"/>
        <v>#DIV/0!</v>
      </c>
      <c r="BA1359" s="4">
        <v>42188</v>
      </c>
      <c r="BB1359" s="6">
        <v>-5.4060230000000002</v>
      </c>
      <c r="BC1359" s="6">
        <v>-6.1213290000000002</v>
      </c>
      <c r="BD1359" s="6">
        <v>-6.4347479999999999</v>
      </c>
      <c r="BE1359" s="6"/>
      <c r="BF1359" s="6"/>
      <c r="BG1359" s="6"/>
      <c r="BH1359" s="6"/>
      <c r="BI1359" s="6"/>
      <c r="BJ1359" s="6"/>
      <c r="BK1359" s="6"/>
      <c r="BL1359" s="6"/>
      <c r="BM1359" s="6"/>
      <c r="BN1359" s="6" t="e">
        <f t="shared" si="107"/>
        <v>#DIV/0!</v>
      </c>
    </row>
    <row r="1360" spans="49:66" x14ac:dyDescent="0.3">
      <c r="AW1360">
        <f t="shared" si="106"/>
        <v>0</v>
      </c>
      <c r="AX1360">
        <v>1357</v>
      </c>
      <c r="AY1360" s="4">
        <f t="shared" si="104"/>
        <v>42191</v>
      </c>
      <c r="AZ1360" s="6" t="e">
        <f t="shared" si="105"/>
        <v>#DIV/0!</v>
      </c>
      <c r="BA1360" s="4">
        <v>42191</v>
      </c>
      <c r="BB1360" s="6">
        <v>2.8981599999999998</v>
      </c>
      <c r="BC1360" s="6">
        <v>-1.624528</v>
      </c>
      <c r="BD1360" s="6">
        <v>-5.3406849999999997</v>
      </c>
      <c r="BE1360" s="6"/>
      <c r="BF1360" s="6"/>
      <c r="BG1360" s="6"/>
      <c r="BH1360" s="6"/>
      <c r="BI1360" s="6"/>
      <c r="BJ1360" s="6"/>
      <c r="BK1360" s="6"/>
      <c r="BL1360" s="6"/>
      <c r="BM1360" s="6"/>
      <c r="BN1360" s="6" t="e">
        <f t="shared" si="107"/>
        <v>#DIV/0!</v>
      </c>
    </row>
    <row r="1361" spans="49:66" x14ac:dyDescent="0.3">
      <c r="AW1361">
        <f t="shared" si="106"/>
        <v>0</v>
      </c>
      <c r="AX1361">
        <v>1358</v>
      </c>
      <c r="AY1361" s="4">
        <f t="shared" si="104"/>
        <v>42192</v>
      </c>
      <c r="AZ1361" s="6" t="e">
        <f t="shared" si="105"/>
        <v>#DIV/0!</v>
      </c>
      <c r="BA1361" s="4">
        <v>42192</v>
      </c>
      <c r="BB1361" s="6">
        <v>-1.764008</v>
      </c>
      <c r="BC1361" s="6">
        <v>-6.5294740000000004</v>
      </c>
      <c r="BD1361" s="6">
        <v>-5.6754860000000003</v>
      </c>
      <c r="BE1361" s="6"/>
      <c r="BF1361" s="6"/>
      <c r="BG1361" s="6"/>
      <c r="BH1361" s="6"/>
      <c r="BI1361" s="6"/>
      <c r="BJ1361" s="6"/>
      <c r="BK1361" s="6"/>
      <c r="BL1361" s="6"/>
      <c r="BM1361" s="6"/>
      <c r="BN1361" s="6" t="e">
        <f t="shared" si="107"/>
        <v>#DIV/0!</v>
      </c>
    </row>
    <row r="1362" spans="49:66" x14ac:dyDescent="0.3">
      <c r="AW1362">
        <f t="shared" si="106"/>
        <v>0</v>
      </c>
      <c r="AX1362">
        <v>1359</v>
      </c>
      <c r="AY1362" s="4">
        <f t="shared" si="104"/>
        <v>42193</v>
      </c>
      <c r="AZ1362" s="6" t="e">
        <f t="shared" si="105"/>
        <v>#DIV/0!</v>
      </c>
      <c r="BA1362" s="4">
        <v>42193</v>
      </c>
      <c r="BB1362" s="6">
        <v>-6.7455410000000002</v>
      </c>
      <c r="BC1362" s="6">
        <v>-2.3826740000000002</v>
      </c>
      <c r="BD1362" s="6">
        <v>-2.8903479999999999</v>
      </c>
      <c r="BE1362" s="6"/>
      <c r="BF1362" s="6"/>
      <c r="BG1362" s="6"/>
      <c r="BH1362" s="6"/>
      <c r="BI1362" s="6"/>
      <c r="BJ1362" s="6"/>
      <c r="BK1362" s="6"/>
      <c r="BL1362" s="6"/>
      <c r="BM1362" s="6"/>
      <c r="BN1362" s="6" t="e">
        <f t="shared" si="107"/>
        <v>#DIV/0!</v>
      </c>
    </row>
    <row r="1363" spans="49:66" x14ac:dyDescent="0.3">
      <c r="AW1363">
        <f t="shared" si="106"/>
        <v>0</v>
      </c>
      <c r="AX1363">
        <v>1360</v>
      </c>
      <c r="AY1363" s="4">
        <f t="shared" si="104"/>
        <v>42194</v>
      </c>
      <c r="AZ1363" s="6" t="e">
        <f t="shared" si="105"/>
        <v>#DIV/0!</v>
      </c>
      <c r="BA1363" s="4">
        <v>42194</v>
      </c>
      <c r="BB1363" s="6">
        <v>6.4042149999999998</v>
      </c>
      <c r="BC1363" s="6">
        <v>4.4526120000000002</v>
      </c>
      <c r="BD1363" s="6">
        <v>2.8870230000000001</v>
      </c>
      <c r="BE1363" s="6"/>
      <c r="BF1363" s="6"/>
      <c r="BG1363" s="6"/>
      <c r="BH1363" s="6"/>
      <c r="BI1363" s="6"/>
      <c r="BJ1363" s="6"/>
      <c r="BK1363" s="6"/>
      <c r="BL1363" s="6"/>
      <c r="BM1363" s="6"/>
      <c r="BN1363" s="6" t="e">
        <f t="shared" si="107"/>
        <v>#DIV/0!</v>
      </c>
    </row>
    <row r="1364" spans="49:66" x14ac:dyDescent="0.3">
      <c r="AW1364">
        <f t="shared" si="106"/>
        <v>0</v>
      </c>
      <c r="AX1364">
        <v>1361</v>
      </c>
      <c r="AY1364" s="4">
        <f t="shared" si="104"/>
        <v>42195</v>
      </c>
      <c r="AZ1364" s="6" t="e">
        <f t="shared" si="105"/>
        <v>#DIV/0!</v>
      </c>
      <c r="BA1364" s="4">
        <v>42195</v>
      </c>
      <c r="BB1364" s="6">
        <v>5.3604370000000001</v>
      </c>
      <c r="BC1364" s="6">
        <v>5.0524190000000004</v>
      </c>
      <c r="BD1364" s="6">
        <v>3.2506979999999999</v>
      </c>
      <c r="BE1364" s="6"/>
      <c r="BF1364" s="6"/>
      <c r="BG1364" s="6"/>
      <c r="BH1364" s="6"/>
      <c r="BI1364" s="6"/>
      <c r="BJ1364" s="6"/>
      <c r="BK1364" s="6"/>
      <c r="BL1364" s="6"/>
      <c r="BM1364" s="6"/>
      <c r="BN1364" s="6" t="e">
        <f t="shared" si="107"/>
        <v>#DIV/0!</v>
      </c>
    </row>
    <row r="1365" spans="49:66" x14ac:dyDescent="0.3">
      <c r="AW1365">
        <f t="shared" si="106"/>
        <v>0</v>
      </c>
      <c r="AX1365">
        <v>1362</v>
      </c>
      <c r="AY1365" s="4">
        <f t="shared" si="104"/>
        <v>42198</v>
      </c>
      <c r="AZ1365" s="6" t="e">
        <f t="shared" si="105"/>
        <v>#DIV/0!</v>
      </c>
      <c r="BA1365" s="4">
        <v>42198</v>
      </c>
      <c r="BB1365" s="6">
        <v>2.5631089999999999</v>
      </c>
      <c r="BC1365" s="6">
        <v>6.2231100000000001</v>
      </c>
      <c r="BD1365" s="6">
        <v>4.7827339999999996</v>
      </c>
      <c r="BE1365" s="6"/>
      <c r="BF1365" s="6"/>
      <c r="BG1365" s="6"/>
      <c r="BH1365" s="6"/>
      <c r="BI1365" s="6"/>
      <c r="BJ1365" s="6"/>
      <c r="BK1365" s="6"/>
      <c r="BL1365" s="6"/>
      <c r="BM1365" s="6"/>
      <c r="BN1365" s="6" t="e">
        <f t="shared" si="107"/>
        <v>#DIV/0!</v>
      </c>
    </row>
    <row r="1366" spans="49:66" x14ac:dyDescent="0.3">
      <c r="AW1366">
        <f t="shared" si="106"/>
        <v>0</v>
      </c>
      <c r="AX1366">
        <v>1363</v>
      </c>
      <c r="AY1366" s="4">
        <f t="shared" si="104"/>
        <v>42199</v>
      </c>
      <c r="AZ1366" s="6" t="e">
        <f t="shared" si="105"/>
        <v>#DIV/0!</v>
      </c>
      <c r="BA1366" s="4">
        <v>42199</v>
      </c>
      <c r="BB1366" s="6">
        <v>-2.366269</v>
      </c>
      <c r="BC1366" s="6">
        <v>2.1235710000000001</v>
      </c>
      <c r="BD1366" s="6">
        <v>3.3834569999999999</v>
      </c>
      <c r="BE1366" s="6"/>
      <c r="BF1366" s="6"/>
      <c r="BG1366" s="6"/>
      <c r="BH1366" s="6"/>
      <c r="BI1366" s="6"/>
      <c r="BJ1366" s="6"/>
      <c r="BK1366" s="6"/>
      <c r="BL1366" s="6"/>
      <c r="BM1366" s="6"/>
      <c r="BN1366" s="6" t="e">
        <f t="shared" si="107"/>
        <v>#DIV/0!</v>
      </c>
    </row>
    <row r="1367" spans="49:66" x14ac:dyDescent="0.3">
      <c r="AW1367">
        <f t="shared" si="106"/>
        <v>0</v>
      </c>
      <c r="AX1367">
        <v>1364</v>
      </c>
      <c r="AY1367" s="4">
        <f t="shared" si="104"/>
        <v>42200</v>
      </c>
      <c r="AZ1367" s="6" t="e">
        <f t="shared" si="105"/>
        <v>#DIV/0!</v>
      </c>
      <c r="BA1367" s="4">
        <v>42200</v>
      </c>
      <c r="BB1367" s="6">
        <v>-3.535628</v>
      </c>
      <c r="BC1367" s="6">
        <v>-5.7737569999999998</v>
      </c>
      <c r="BD1367" s="6">
        <v>-4.2327769999999996</v>
      </c>
      <c r="BE1367" s="6"/>
      <c r="BF1367" s="6"/>
      <c r="BG1367" s="6"/>
      <c r="BH1367" s="6"/>
      <c r="BI1367" s="6"/>
      <c r="BJ1367" s="6"/>
      <c r="BK1367" s="6"/>
      <c r="BL1367" s="6"/>
      <c r="BM1367" s="6"/>
      <c r="BN1367" s="6" t="e">
        <f t="shared" si="107"/>
        <v>#DIV/0!</v>
      </c>
    </row>
    <row r="1368" spans="49:66" x14ac:dyDescent="0.3">
      <c r="AW1368">
        <f t="shared" si="106"/>
        <v>0</v>
      </c>
      <c r="AX1368">
        <v>1365</v>
      </c>
      <c r="AY1368" s="4">
        <f t="shared" si="104"/>
        <v>42201</v>
      </c>
      <c r="AZ1368" s="6" t="e">
        <f t="shared" si="105"/>
        <v>#DIV/0!</v>
      </c>
      <c r="BA1368" s="4">
        <v>42201</v>
      </c>
      <c r="BB1368" s="6">
        <v>0.77133499999999999</v>
      </c>
      <c r="BC1368" s="6">
        <v>2.3424320000000001</v>
      </c>
      <c r="BD1368" s="6">
        <v>1.099459</v>
      </c>
      <c r="BE1368" s="6"/>
      <c r="BF1368" s="6"/>
      <c r="BG1368" s="6"/>
      <c r="BH1368" s="6"/>
      <c r="BI1368" s="6"/>
      <c r="BJ1368" s="6"/>
      <c r="BK1368" s="6"/>
      <c r="BL1368" s="6"/>
      <c r="BM1368" s="6"/>
      <c r="BN1368" s="6" t="e">
        <f t="shared" si="107"/>
        <v>#DIV/0!</v>
      </c>
    </row>
    <row r="1369" spans="49:66" x14ac:dyDescent="0.3">
      <c r="AW1369">
        <f t="shared" si="106"/>
        <v>0</v>
      </c>
      <c r="AX1369">
        <v>1366</v>
      </c>
      <c r="AY1369" s="4">
        <f t="shared" si="104"/>
        <v>42202</v>
      </c>
      <c r="AZ1369" s="6" t="e">
        <f t="shared" si="105"/>
        <v>#DIV/0!</v>
      </c>
      <c r="BA1369" s="4">
        <v>42202</v>
      </c>
      <c r="BB1369" s="6">
        <v>3.856052</v>
      </c>
      <c r="BC1369" s="6">
        <v>5.4882160000000004</v>
      </c>
      <c r="BD1369" s="6">
        <v>5.5305559999999998</v>
      </c>
      <c r="BE1369" s="6"/>
      <c r="BF1369" s="6"/>
      <c r="BG1369" s="6"/>
      <c r="BH1369" s="6"/>
      <c r="BI1369" s="6"/>
      <c r="BJ1369" s="6"/>
      <c r="BK1369" s="6"/>
      <c r="BL1369" s="6"/>
      <c r="BM1369" s="6"/>
      <c r="BN1369" s="6" t="e">
        <f t="shared" si="107"/>
        <v>#DIV/0!</v>
      </c>
    </row>
    <row r="1370" spans="49:66" x14ac:dyDescent="0.3">
      <c r="AW1370">
        <f t="shared" si="106"/>
        <v>0</v>
      </c>
      <c r="AX1370">
        <v>1367</v>
      </c>
      <c r="AY1370" s="4">
        <f t="shared" si="104"/>
        <v>42205</v>
      </c>
      <c r="AZ1370" s="6" t="e">
        <f t="shared" si="105"/>
        <v>#DIV/0!</v>
      </c>
      <c r="BA1370" s="4">
        <v>42205</v>
      </c>
      <c r="BB1370" s="6">
        <v>0.21959300000000001</v>
      </c>
      <c r="BC1370" s="6">
        <v>1.5234909999999999</v>
      </c>
      <c r="BD1370" s="6">
        <v>3.1301730000000001</v>
      </c>
      <c r="BE1370" s="6"/>
      <c r="BF1370" s="6"/>
      <c r="BG1370" s="6"/>
      <c r="BH1370" s="6"/>
      <c r="BI1370" s="6"/>
      <c r="BJ1370" s="6"/>
      <c r="BK1370" s="6"/>
      <c r="BL1370" s="6"/>
      <c r="BM1370" s="6"/>
      <c r="BN1370" s="6" t="e">
        <f t="shared" si="107"/>
        <v>#DIV/0!</v>
      </c>
    </row>
    <row r="1371" spans="49:66" x14ac:dyDescent="0.3">
      <c r="AW1371">
        <f t="shared" si="106"/>
        <v>0</v>
      </c>
      <c r="AX1371">
        <v>1368</v>
      </c>
      <c r="AY1371" s="4">
        <f t="shared" si="104"/>
        <v>42206</v>
      </c>
      <c r="AZ1371" s="6" t="e">
        <f t="shared" si="105"/>
        <v>#DIV/0!</v>
      </c>
      <c r="BA1371" s="4">
        <v>42206</v>
      </c>
      <c r="BB1371" s="6">
        <v>0.129637</v>
      </c>
      <c r="BC1371" s="6">
        <v>1.2809360000000001</v>
      </c>
      <c r="BD1371" s="6">
        <v>2.266038</v>
      </c>
      <c r="BE1371" s="6"/>
      <c r="BF1371" s="6"/>
      <c r="BG1371" s="6"/>
      <c r="BH1371" s="6"/>
      <c r="BI1371" s="6"/>
      <c r="BJ1371" s="6"/>
      <c r="BK1371" s="6"/>
      <c r="BL1371" s="6"/>
      <c r="BM1371" s="6"/>
      <c r="BN1371" s="6" t="e">
        <f t="shared" si="107"/>
        <v>#DIV/0!</v>
      </c>
    </row>
    <row r="1372" spans="49:66" x14ac:dyDescent="0.3">
      <c r="AW1372">
        <f t="shared" si="106"/>
        <v>0</v>
      </c>
      <c r="AX1372">
        <v>1369</v>
      </c>
      <c r="AY1372" s="4">
        <f t="shared" si="104"/>
        <v>42207</v>
      </c>
      <c r="AZ1372" s="6" t="e">
        <f t="shared" si="105"/>
        <v>#DIV/0!</v>
      </c>
      <c r="BA1372" s="4">
        <v>42207</v>
      </c>
      <c r="BB1372" s="6">
        <v>-0.21232100000000001</v>
      </c>
      <c r="BC1372" s="6">
        <v>1.213724</v>
      </c>
      <c r="BD1372" s="6">
        <v>1.6493279999999999</v>
      </c>
      <c r="BE1372" s="6"/>
      <c r="BF1372" s="6"/>
      <c r="BG1372" s="6"/>
      <c r="BH1372" s="6"/>
      <c r="BI1372" s="6"/>
      <c r="BJ1372" s="6"/>
      <c r="BK1372" s="6"/>
      <c r="BL1372" s="6"/>
      <c r="BM1372" s="6"/>
      <c r="BN1372" s="6" t="e">
        <f t="shared" si="107"/>
        <v>#DIV/0!</v>
      </c>
    </row>
    <row r="1373" spans="49:66" x14ac:dyDescent="0.3">
      <c r="AW1373">
        <f t="shared" si="106"/>
        <v>0</v>
      </c>
      <c r="AX1373">
        <v>1370</v>
      </c>
      <c r="AY1373" s="4">
        <f t="shared" si="104"/>
        <v>42208</v>
      </c>
      <c r="AZ1373" s="6" t="e">
        <f t="shared" si="105"/>
        <v>#DIV/0!</v>
      </c>
      <c r="BA1373" s="4">
        <v>42208</v>
      </c>
      <c r="BB1373" s="6">
        <v>2.2526099999999998</v>
      </c>
      <c r="BC1373" s="6">
        <v>2.7854320000000001</v>
      </c>
      <c r="BD1373" s="6">
        <v>3.1710159999999998</v>
      </c>
      <c r="BE1373" s="6"/>
      <c r="BF1373" s="6"/>
      <c r="BG1373" s="6"/>
      <c r="BH1373" s="6"/>
      <c r="BI1373" s="6"/>
      <c r="BJ1373" s="6"/>
      <c r="BK1373" s="6"/>
      <c r="BL1373" s="6"/>
      <c r="BM1373" s="6"/>
      <c r="BN1373" s="6" t="e">
        <f t="shared" si="107"/>
        <v>#DIV/0!</v>
      </c>
    </row>
    <row r="1374" spans="49:66" x14ac:dyDescent="0.3">
      <c r="AW1374">
        <f t="shared" si="106"/>
        <v>0</v>
      </c>
      <c r="AX1374">
        <v>1371</v>
      </c>
      <c r="AY1374" s="4">
        <f t="shared" si="104"/>
        <v>42209</v>
      </c>
      <c r="AZ1374" s="6" t="e">
        <f t="shared" si="105"/>
        <v>#DIV/0!</v>
      </c>
      <c r="BA1374" s="4">
        <v>42209</v>
      </c>
      <c r="BB1374" s="6">
        <v>-1.753228</v>
      </c>
      <c r="BC1374" s="6">
        <v>-1.484064</v>
      </c>
      <c r="BD1374" s="6">
        <v>-0.98048199999999996</v>
      </c>
      <c r="BE1374" s="6"/>
      <c r="BF1374" s="6"/>
      <c r="BG1374" s="6"/>
      <c r="BH1374" s="6"/>
      <c r="BI1374" s="6"/>
      <c r="BJ1374" s="6"/>
      <c r="BK1374" s="6"/>
      <c r="BL1374" s="6"/>
      <c r="BM1374" s="6"/>
      <c r="BN1374" s="6" t="e">
        <f t="shared" si="107"/>
        <v>#DIV/0!</v>
      </c>
    </row>
    <row r="1375" spans="49:66" x14ac:dyDescent="0.3">
      <c r="AW1375">
        <f t="shared" si="106"/>
        <v>0</v>
      </c>
      <c r="AX1375">
        <v>1372</v>
      </c>
      <c r="AY1375" s="4">
        <f t="shared" si="104"/>
        <v>42212</v>
      </c>
      <c r="AZ1375" s="6" t="e">
        <f t="shared" si="105"/>
        <v>#DIV/0!</v>
      </c>
      <c r="BA1375" s="4">
        <v>42212</v>
      </c>
      <c r="BB1375" s="6">
        <v>-8.5613849999999996</v>
      </c>
      <c r="BC1375" s="6">
        <v>-7.4882790000000004</v>
      </c>
      <c r="BD1375" s="6">
        <v>-6.9877200000000004</v>
      </c>
      <c r="BE1375" s="6"/>
      <c r="BF1375" s="6"/>
      <c r="BG1375" s="6"/>
      <c r="BH1375" s="6"/>
      <c r="BI1375" s="6"/>
      <c r="BJ1375" s="6"/>
      <c r="BK1375" s="6"/>
      <c r="BL1375" s="6"/>
      <c r="BM1375" s="6"/>
      <c r="BN1375" s="6" t="e">
        <f t="shared" si="107"/>
        <v>#DIV/0!</v>
      </c>
    </row>
    <row r="1376" spans="49:66" x14ac:dyDescent="0.3">
      <c r="AW1376">
        <f t="shared" si="106"/>
        <v>0</v>
      </c>
      <c r="AX1376">
        <v>1373</v>
      </c>
      <c r="AY1376" s="4">
        <f t="shared" si="104"/>
        <v>42213</v>
      </c>
      <c r="AZ1376" s="6" t="e">
        <f t="shared" si="105"/>
        <v>#DIV/0!</v>
      </c>
      <c r="BA1376" s="4">
        <v>42213</v>
      </c>
      <c r="BB1376" s="6">
        <v>-0.20003499999999999</v>
      </c>
      <c r="BC1376" s="6">
        <v>-1.8521639999999999</v>
      </c>
      <c r="BD1376" s="6">
        <v>-4.4756119999999999</v>
      </c>
      <c r="BE1376" s="6"/>
      <c r="BF1376" s="6"/>
      <c r="BG1376" s="6"/>
      <c r="BH1376" s="6"/>
      <c r="BI1376" s="6"/>
      <c r="BJ1376" s="6"/>
      <c r="BK1376" s="6"/>
      <c r="BL1376" s="6"/>
      <c r="BM1376" s="6"/>
      <c r="BN1376" s="6" t="e">
        <f t="shared" si="107"/>
        <v>#DIV/0!</v>
      </c>
    </row>
    <row r="1377" spans="49:66" x14ac:dyDescent="0.3">
      <c r="AW1377">
        <f t="shared" si="106"/>
        <v>0</v>
      </c>
      <c r="AX1377">
        <v>1374</v>
      </c>
      <c r="AY1377" s="4">
        <f t="shared" si="104"/>
        <v>42214</v>
      </c>
      <c r="AZ1377" s="6" t="e">
        <f t="shared" si="105"/>
        <v>#DIV/0!</v>
      </c>
      <c r="BA1377" s="4">
        <v>42214</v>
      </c>
      <c r="BB1377" s="6">
        <v>3.129982</v>
      </c>
      <c r="BC1377" s="6">
        <v>4.8756139999999997</v>
      </c>
      <c r="BD1377" s="6">
        <v>4.7680400000000001</v>
      </c>
      <c r="BE1377" s="6"/>
      <c r="BF1377" s="6"/>
      <c r="BG1377" s="6"/>
      <c r="BH1377" s="6"/>
      <c r="BI1377" s="6"/>
      <c r="BJ1377" s="6"/>
      <c r="BK1377" s="6"/>
      <c r="BL1377" s="6"/>
      <c r="BM1377" s="6"/>
      <c r="BN1377" s="6" t="e">
        <f t="shared" si="107"/>
        <v>#DIV/0!</v>
      </c>
    </row>
    <row r="1378" spans="49:66" x14ac:dyDescent="0.3">
      <c r="AW1378">
        <f t="shared" si="106"/>
        <v>0</v>
      </c>
      <c r="AX1378">
        <v>1375</v>
      </c>
      <c r="AY1378" s="4">
        <f t="shared" si="104"/>
        <v>42215</v>
      </c>
      <c r="AZ1378" s="6" t="e">
        <f t="shared" si="105"/>
        <v>#DIV/0!</v>
      </c>
      <c r="BA1378" s="4">
        <v>42215</v>
      </c>
      <c r="BB1378" s="6">
        <v>-2.9250940000000001</v>
      </c>
      <c r="BC1378" s="6">
        <v>-2.7698040000000002</v>
      </c>
      <c r="BD1378" s="6">
        <v>-2.7397610000000001</v>
      </c>
      <c r="BE1378" s="6"/>
      <c r="BF1378" s="6"/>
      <c r="BG1378" s="6"/>
      <c r="BH1378" s="6"/>
      <c r="BI1378" s="6"/>
      <c r="BJ1378" s="6"/>
      <c r="BK1378" s="6"/>
      <c r="BL1378" s="6"/>
      <c r="BM1378" s="6"/>
      <c r="BN1378" s="6" t="e">
        <f t="shared" si="107"/>
        <v>#DIV/0!</v>
      </c>
    </row>
    <row r="1379" spans="49:66" x14ac:dyDescent="0.3">
      <c r="AW1379">
        <f t="shared" si="106"/>
        <v>0</v>
      </c>
      <c r="AX1379">
        <v>1376</v>
      </c>
      <c r="AY1379" s="4">
        <f t="shared" si="104"/>
        <v>42216</v>
      </c>
      <c r="AZ1379" s="6" t="e">
        <f t="shared" si="105"/>
        <v>#DIV/0!</v>
      </c>
      <c r="BA1379" s="4">
        <v>42216</v>
      </c>
      <c r="BB1379" s="6">
        <v>3.3744999999999997E-2</v>
      </c>
      <c r="BC1379" s="6">
        <v>-0.94248200000000004</v>
      </c>
      <c r="BD1379" s="6">
        <v>-2.5060720000000001</v>
      </c>
      <c r="BE1379" s="6"/>
      <c r="BF1379" s="6"/>
      <c r="BG1379" s="6"/>
      <c r="BH1379" s="6"/>
      <c r="BI1379" s="6"/>
      <c r="BJ1379" s="6"/>
      <c r="BK1379" s="6"/>
      <c r="BL1379" s="6"/>
      <c r="BM1379" s="6"/>
      <c r="BN1379" s="6" t="e">
        <f t="shared" si="107"/>
        <v>#DIV/0!</v>
      </c>
    </row>
    <row r="1380" spans="49:66" x14ac:dyDescent="0.3">
      <c r="AW1380">
        <f t="shared" si="106"/>
        <v>0</v>
      </c>
      <c r="AX1380">
        <v>1377</v>
      </c>
      <c r="AY1380" s="4">
        <f t="shared" si="104"/>
        <v>42219</v>
      </c>
      <c r="AZ1380" s="6" t="e">
        <f t="shared" si="105"/>
        <v>#DIV/0!</v>
      </c>
      <c r="BA1380" s="4">
        <v>42219</v>
      </c>
      <c r="BB1380" s="6">
        <v>0.32845400000000002</v>
      </c>
      <c r="BC1380" s="6">
        <v>-2.418196</v>
      </c>
      <c r="BD1380" s="6">
        <v>-5.4213149999999999</v>
      </c>
      <c r="BE1380" s="6"/>
      <c r="BF1380" s="6"/>
      <c r="BG1380" s="6"/>
      <c r="BH1380" s="6"/>
      <c r="BI1380" s="6"/>
      <c r="BJ1380" s="6"/>
      <c r="BK1380" s="6"/>
      <c r="BL1380" s="6"/>
      <c r="BM1380" s="6"/>
      <c r="BN1380" s="6" t="e">
        <f t="shared" si="107"/>
        <v>#DIV/0!</v>
      </c>
    </row>
    <row r="1381" spans="49:66" x14ac:dyDescent="0.3">
      <c r="AW1381">
        <f t="shared" si="106"/>
        <v>0</v>
      </c>
      <c r="AX1381">
        <v>1378</v>
      </c>
      <c r="AY1381" s="4">
        <f t="shared" si="104"/>
        <v>42220</v>
      </c>
      <c r="AZ1381" s="6" t="e">
        <f t="shared" si="105"/>
        <v>#DIV/0!</v>
      </c>
      <c r="BA1381" s="4">
        <v>42220</v>
      </c>
      <c r="BB1381" s="6">
        <v>3.1055809999999999</v>
      </c>
      <c r="BC1381" s="6">
        <v>5.3299599999999998</v>
      </c>
      <c r="BD1381" s="6">
        <v>6.2087630000000003</v>
      </c>
      <c r="BE1381" s="6"/>
      <c r="BF1381" s="6"/>
      <c r="BG1381" s="6"/>
      <c r="BH1381" s="6"/>
      <c r="BI1381" s="6"/>
      <c r="BJ1381" s="6"/>
      <c r="BK1381" s="6"/>
      <c r="BL1381" s="6"/>
      <c r="BM1381" s="6"/>
      <c r="BN1381" s="6" t="e">
        <f t="shared" si="107"/>
        <v>#DIV/0!</v>
      </c>
    </row>
    <row r="1382" spans="49:66" x14ac:dyDescent="0.3">
      <c r="AW1382">
        <f t="shared" si="106"/>
        <v>0</v>
      </c>
      <c r="AX1382">
        <v>1379</v>
      </c>
      <c r="AY1382" s="4">
        <f t="shared" si="104"/>
        <v>42221</v>
      </c>
      <c r="AZ1382" s="6" t="e">
        <f t="shared" si="105"/>
        <v>#DIV/0!</v>
      </c>
      <c r="BA1382" s="4">
        <v>42221</v>
      </c>
      <c r="BB1382" s="6">
        <v>-2.058065</v>
      </c>
      <c r="BC1382" s="6">
        <v>-1.293836</v>
      </c>
      <c r="BD1382" s="6">
        <v>-0.26266400000000001</v>
      </c>
      <c r="BE1382" s="6"/>
      <c r="BF1382" s="6"/>
      <c r="BG1382" s="6"/>
      <c r="BH1382" s="6"/>
      <c r="BI1382" s="6"/>
      <c r="BJ1382" s="6"/>
      <c r="BK1382" s="6"/>
      <c r="BL1382" s="6"/>
      <c r="BM1382" s="6"/>
      <c r="BN1382" s="6" t="e">
        <f t="shared" si="107"/>
        <v>#DIV/0!</v>
      </c>
    </row>
    <row r="1383" spans="49:66" x14ac:dyDescent="0.3">
      <c r="AW1383">
        <f t="shared" si="106"/>
        <v>0</v>
      </c>
      <c r="AX1383">
        <v>1380</v>
      </c>
      <c r="AY1383" s="4">
        <f t="shared" si="104"/>
        <v>42222</v>
      </c>
      <c r="AZ1383" s="6" t="e">
        <f t="shared" si="105"/>
        <v>#DIV/0!</v>
      </c>
      <c r="BA1383" s="4">
        <v>42222</v>
      </c>
      <c r="BB1383" s="6">
        <v>-0.90636399999999995</v>
      </c>
      <c r="BC1383" s="6">
        <v>-0.603491</v>
      </c>
      <c r="BD1383" s="6">
        <v>-0.124838</v>
      </c>
      <c r="BE1383" s="6"/>
      <c r="BF1383" s="6"/>
      <c r="BG1383" s="6"/>
      <c r="BH1383" s="6"/>
      <c r="BI1383" s="6"/>
      <c r="BJ1383" s="6"/>
      <c r="BK1383" s="6"/>
      <c r="BL1383" s="6"/>
      <c r="BM1383" s="6"/>
      <c r="BN1383" s="6" t="e">
        <f t="shared" si="107"/>
        <v>#DIV/0!</v>
      </c>
    </row>
    <row r="1384" spans="49:66" x14ac:dyDescent="0.3">
      <c r="AW1384">
        <f t="shared" si="106"/>
        <v>0</v>
      </c>
      <c r="AX1384">
        <v>1381</v>
      </c>
      <c r="AY1384" s="4">
        <f t="shared" si="104"/>
        <v>42223</v>
      </c>
      <c r="AZ1384" s="6" t="e">
        <f t="shared" si="105"/>
        <v>#DIV/0!</v>
      </c>
      <c r="BA1384" s="4">
        <v>42223</v>
      </c>
      <c r="BB1384" s="6">
        <v>1.959711</v>
      </c>
      <c r="BC1384" s="6">
        <v>2.8399649999999999</v>
      </c>
      <c r="BD1384" s="6">
        <v>3.854962</v>
      </c>
      <c r="BE1384" s="6"/>
      <c r="BF1384" s="6"/>
      <c r="BG1384" s="6"/>
      <c r="BH1384" s="6"/>
      <c r="BI1384" s="6"/>
      <c r="BJ1384" s="6"/>
      <c r="BK1384" s="6"/>
      <c r="BL1384" s="6"/>
      <c r="BM1384" s="6"/>
      <c r="BN1384" s="6" t="e">
        <f t="shared" si="107"/>
        <v>#DIV/0!</v>
      </c>
    </row>
    <row r="1385" spans="49:66" x14ac:dyDescent="0.3">
      <c r="AW1385">
        <f t="shared" si="106"/>
        <v>0</v>
      </c>
      <c r="AX1385">
        <v>1382</v>
      </c>
      <c r="AY1385" s="4">
        <f t="shared" si="104"/>
        <v>42226</v>
      </c>
      <c r="AZ1385" s="6" t="e">
        <f t="shared" si="105"/>
        <v>#DIV/0!</v>
      </c>
      <c r="BA1385" s="4">
        <v>42226</v>
      </c>
      <c r="BB1385" s="6">
        <v>4.5411390000000003</v>
      </c>
      <c r="BC1385" s="6">
        <v>4.7516829999999999</v>
      </c>
      <c r="BD1385" s="6">
        <v>5.1413529999999996</v>
      </c>
      <c r="BE1385" s="6"/>
      <c r="BF1385" s="6"/>
      <c r="BG1385" s="6"/>
      <c r="BH1385" s="6"/>
      <c r="BI1385" s="6"/>
      <c r="BJ1385" s="6"/>
      <c r="BK1385" s="6"/>
      <c r="BL1385" s="6"/>
      <c r="BM1385" s="6"/>
      <c r="BN1385" s="6" t="e">
        <f t="shared" si="107"/>
        <v>#DIV/0!</v>
      </c>
    </row>
    <row r="1386" spans="49:66" x14ac:dyDescent="0.3">
      <c r="AW1386">
        <f t="shared" si="106"/>
        <v>0</v>
      </c>
      <c r="AX1386">
        <v>1383</v>
      </c>
      <c r="AY1386" s="4">
        <f t="shared" si="104"/>
        <v>42227</v>
      </c>
      <c r="AZ1386" s="6" t="e">
        <f t="shared" si="105"/>
        <v>#DIV/0!</v>
      </c>
      <c r="BA1386" s="4">
        <v>42227</v>
      </c>
      <c r="BB1386" s="6">
        <v>-0.43324699999999999</v>
      </c>
      <c r="BC1386" s="6">
        <v>0.491309</v>
      </c>
      <c r="BD1386" s="6">
        <v>0.751857</v>
      </c>
      <c r="BE1386" s="6"/>
      <c r="BF1386" s="6"/>
      <c r="BG1386" s="6"/>
      <c r="BH1386" s="6"/>
      <c r="BI1386" s="6"/>
      <c r="BJ1386" s="6"/>
      <c r="BK1386" s="6"/>
      <c r="BL1386" s="6"/>
      <c r="BM1386" s="6"/>
      <c r="BN1386" s="6" t="e">
        <f t="shared" si="107"/>
        <v>#DIV/0!</v>
      </c>
    </row>
    <row r="1387" spans="49:66" x14ac:dyDescent="0.3">
      <c r="AW1387">
        <f t="shared" si="106"/>
        <v>0</v>
      </c>
      <c r="AX1387">
        <v>1384</v>
      </c>
      <c r="AY1387" s="4">
        <f t="shared" si="104"/>
        <v>42228</v>
      </c>
      <c r="AZ1387" s="6" t="e">
        <f t="shared" si="105"/>
        <v>#DIV/0!</v>
      </c>
      <c r="BA1387" s="4">
        <v>42228</v>
      </c>
      <c r="BB1387" s="6">
        <v>-1.2428600000000001</v>
      </c>
      <c r="BC1387" s="6">
        <v>-1.173524</v>
      </c>
      <c r="BD1387" s="6">
        <v>-1.455471</v>
      </c>
      <c r="BE1387" s="6"/>
      <c r="BF1387" s="6"/>
      <c r="BG1387" s="6"/>
      <c r="BH1387" s="6"/>
      <c r="BI1387" s="6"/>
      <c r="BJ1387" s="6"/>
      <c r="BK1387" s="6"/>
      <c r="BL1387" s="6"/>
      <c r="BM1387" s="6"/>
      <c r="BN1387" s="6" t="e">
        <f t="shared" si="107"/>
        <v>#DIV/0!</v>
      </c>
    </row>
    <row r="1388" spans="49:66" x14ac:dyDescent="0.3">
      <c r="AW1388">
        <f t="shared" si="106"/>
        <v>0</v>
      </c>
      <c r="AX1388">
        <v>1385</v>
      </c>
      <c r="AY1388" s="4">
        <f t="shared" si="104"/>
        <v>42229</v>
      </c>
      <c r="AZ1388" s="6" t="e">
        <f t="shared" si="105"/>
        <v>#DIV/0!</v>
      </c>
      <c r="BA1388" s="4">
        <v>42229</v>
      </c>
      <c r="BB1388" s="6">
        <v>1.4774640000000001</v>
      </c>
      <c r="BC1388" s="6">
        <v>2.3762509999999999</v>
      </c>
      <c r="BD1388" s="6">
        <v>3.026805</v>
      </c>
      <c r="BE1388" s="6"/>
      <c r="BF1388" s="6"/>
      <c r="BG1388" s="6"/>
      <c r="BH1388" s="6"/>
      <c r="BI1388" s="6"/>
      <c r="BJ1388" s="6"/>
      <c r="BK1388" s="6"/>
      <c r="BL1388" s="6"/>
      <c r="BM1388" s="6"/>
      <c r="BN1388" s="6" t="e">
        <f t="shared" si="107"/>
        <v>#DIV/0!</v>
      </c>
    </row>
    <row r="1389" spans="49:66" x14ac:dyDescent="0.3">
      <c r="AW1389">
        <f t="shared" si="106"/>
        <v>0</v>
      </c>
      <c r="AX1389">
        <v>1386</v>
      </c>
      <c r="AY1389" s="4">
        <f t="shared" si="104"/>
        <v>42230</v>
      </c>
      <c r="AZ1389" s="6" t="e">
        <f t="shared" si="105"/>
        <v>#DIV/0!</v>
      </c>
      <c r="BA1389" s="4">
        <v>42230</v>
      </c>
      <c r="BB1389" s="6">
        <v>-4.7184999999999998E-2</v>
      </c>
      <c r="BC1389" s="6">
        <v>1.064084</v>
      </c>
      <c r="BD1389" s="6">
        <v>0.67116600000000004</v>
      </c>
      <c r="BE1389" s="6"/>
      <c r="BF1389" s="6"/>
      <c r="BG1389" s="6"/>
      <c r="BH1389" s="6"/>
      <c r="BI1389" s="6"/>
      <c r="BJ1389" s="6"/>
      <c r="BK1389" s="6"/>
      <c r="BL1389" s="6"/>
      <c r="BM1389" s="6"/>
      <c r="BN1389" s="6" t="e">
        <f t="shared" si="107"/>
        <v>#DIV/0!</v>
      </c>
    </row>
    <row r="1390" spans="49:66" x14ac:dyDescent="0.3">
      <c r="AW1390">
        <f t="shared" si="106"/>
        <v>0</v>
      </c>
      <c r="AX1390">
        <v>1387</v>
      </c>
      <c r="AY1390" s="4">
        <f t="shared" si="104"/>
        <v>42233</v>
      </c>
      <c r="AZ1390" s="6" t="e">
        <f t="shared" si="105"/>
        <v>#DIV/0!</v>
      </c>
      <c r="BA1390" s="4">
        <v>42233</v>
      </c>
      <c r="BB1390" s="6">
        <v>0.106347</v>
      </c>
      <c r="BC1390" s="6">
        <v>2.2632919999999999</v>
      </c>
      <c r="BD1390" s="6">
        <v>1.784106</v>
      </c>
      <c r="BE1390" s="6"/>
      <c r="BF1390" s="6"/>
      <c r="BG1390" s="6"/>
      <c r="BH1390" s="6"/>
      <c r="BI1390" s="6"/>
      <c r="BJ1390" s="6"/>
      <c r="BK1390" s="6"/>
      <c r="BL1390" s="6"/>
      <c r="BM1390" s="6"/>
      <c r="BN1390" s="6" t="e">
        <f t="shared" si="107"/>
        <v>#DIV/0!</v>
      </c>
    </row>
    <row r="1391" spans="49:66" x14ac:dyDescent="0.3">
      <c r="AW1391">
        <f t="shared" si="106"/>
        <v>0</v>
      </c>
      <c r="AX1391">
        <v>1388</v>
      </c>
      <c r="AY1391" s="4">
        <f t="shared" si="104"/>
        <v>42234</v>
      </c>
      <c r="AZ1391" s="6" t="e">
        <f t="shared" si="105"/>
        <v>#DIV/0!</v>
      </c>
      <c r="BA1391" s="4">
        <v>42234</v>
      </c>
      <c r="BB1391" s="6">
        <v>-6.1909720000000004</v>
      </c>
      <c r="BC1391" s="6">
        <v>-7.4733999999999998</v>
      </c>
      <c r="BD1391" s="6">
        <v>-7.161054</v>
      </c>
      <c r="BE1391" s="6"/>
      <c r="BF1391" s="6"/>
      <c r="BG1391" s="6"/>
      <c r="BH1391" s="6"/>
      <c r="BI1391" s="6"/>
      <c r="BJ1391" s="6"/>
      <c r="BK1391" s="6"/>
      <c r="BL1391" s="6"/>
      <c r="BM1391" s="6"/>
      <c r="BN1391" s="6" t="e">
        <f t="shared" si="107"/>
        <v>#DIV/0!</v>
      </c>
    </row>
    <row r="1392" spans="49:66" x14ac:dyDescent="0.3">
      <c r="AW1392">
        <f t="shared" si="106"/>
        <v>0</v>
      </c>
      <c r="AX1392">
        <v>1389</v>
      </c>
      <c r="AY1392" s="4">
        <f t="shared" si="104"/>
        <v>42235</v>
      </c>
      <c r="AZ1392" s="6" t="e">
        <f t="shared" si="105"/>
        <v>#DIV/0!</v>
      </c>
      <c r="BA1392" s="4">
        <v>42235</v>
      </c>
      <c r="BB1392" s="6">
        <v>1.5873710000000001</v>
      </c>
      <c r="BC1392" s="6">
        <v>2.2020360000000001</v>
      </c>
      <c r="BD1392" s="6">
        <v>2.5608930000000001</v>
      </c>
      <c r="BE1392" s="6"/>
      <c r="BF1392" s="6"/>
      <c r="BG1392" s="6"/>
      <c r="BH1392" s="6"/>
      <c r="BI1392" s="6"/>
      <c r="BJ1392" s="6"/>
      <c r="BK1392" s="6"/>
      <c r="BL1392" s="6"/>
      <c r="BM1392" s="6"/>
      <c r="BN1392" s="6" t="e">
        <f t="shared" si="107"/>
        <v>#DIV/0!</v>
      </c>
    </row>
    <row r="1393" spans="49:66" x14ac:dyDescent="0.3">
      <c r="AW1393">
        <f t="shared" si="106"/>
        <v>0</v>
      </c>
      <c r="AX1393">
        <v>1390</v>
      </c>
      <c r="AY1393" s="4">
        <f t="shared" si="104"/>
        <v>42236</v>
      </c>
      <c r="AZ1393" s="6" t="e">
        <f t="shared" si="105"/>
        <v>#DIV/0!</v>
      </c>
      <c r="BA1393" s="4">
        <v>42236</v>
      </c>
      <c r="BB1393" s="6">
        <v>-3.2083699999999999</v>
      </c>
      <c r="BC1393" s="6">
        <v>-3.4944470000000001</v>
      </c>
      <c r="BD1393" s="6">
        <v>-3.160955</v>
      </c>
      <c r="BE1393" s="6"/>
      <c r="BF1393" s="6"/>
      <c r="BG1393" s="6"/>
      <c r="BH1393" s="6"/>
      <c r="BI1393" s="6"/>
      <c r="BJ1393" s="6"/>
      <c r="BK1393" s="6"/>
      <c r="BL1393" s="6"/>
      <c r="BM1393" s="6"/>
      <c r="BN1393" s="6" t="e">
        <f t="shared" si="107"/>
        <v>#DIV/0!</v>
      </c>
    </row>
    <row r="1394" spans="49:66" x14ac:dyDescent="0.3">
      <c r="AW1394">
        <f t="shared" si="106"/>
        <v>0</v>
      </c>
      <c r="AX1394">
        <v>1391</v>
      </c>
      <c r="AY1394" s="4">
        <f t="shared" si="104"/>
        <v>42237</v>
      </c>
      <c r="AZ1394" s="6" t="e">
        <f t="shared" si="105"/>
        <v>#DIV/0!</v>
      </c>
      <c r="BA1394" s="4">
        <v>42237</v>
      </c>
      <c r="BB1394" s="6">
        <v>-4.5705280000000004</v>
      </c>
      <c r="BC1394" s="6">
        <v>-5.4240459999999997</v>
      </c>
      <c r="BD1394" s="6">
        <v>-5.4596179999999999</v>
      </c>
      <c r="BE1394" s="6"/>
      <c r="BF1394" s="6"/>
      <c r="BG1394" s="6"/>
      <c r="BH1394" s="6"/>
      <c r="BI1394" s="6"/>
      <c r="BJ1394" s="6"/>
      <c r="BK1394" s="6"/>
      <c r="BL1394" s="6"/>
      <c r="BM1394" s="6"/>
      <c r="BN1394" s="6" t="e">
        <f t="shared" si="107"/>
        <v>#DIV/0!</v>
      </c>
    </row>
    <row r="1395" spans="49:66" x14ac:dyDescent="0.3">
      <c r="AW1395">
        <f t="shared" si="106"/>
        <v>0</v>
      </c>
      <c r="AX1395">
        <v>1392</v>
      </c>
      <c r="AY1395" s="4">
        <f t="shared" si="104"/>
        <v>42240</v>
      </c>
      <c r="AZ1395" s="6" t="e">
        <f t="shared" si="105"/>
        <v>#DIV/0!</v>
      </c>
      <c r="BA1395" s="4">
        <v>42240</v>
      </c>
      <c r="BB1395" s="6">
        <v>-8.7476939999999992</v>
      </c>
      <c r="BC1395" s="6">
        <v>-7.9695479999999996</v>
      </c>
      <c r="BD1395" s="6">
        <v>-7.6174939999999998</v>
      </c>
      <c r="BE1395" s="6"/>
      <c r="BF1395" s="6"/>
      <c r="BG1395" s="6"/>
      <c r="BH1395" s="6"/>
      <c r="BI1395" s="6"/>
      <c r="BJ1395" s="6"/>
      <c r="BK1395" s="6"/>
      <c r="BL1395" s="6"/>
      <c r="BM1395" s="6"/>
      <c r="BN1395" s="6" t="e">
        <f t="shared" si="107"/>
        <v>#DIV/0!</v>
      </c>
    </row>
    <row r="1396" spans="49:66" x14ac:dyDescent="0.3">
      <c r="AW1396">
        <f t="shared" si="106"/>
        <v>0</v>
      </c>
      <c r="AX1396">
        <v>1393</v>
      </c>
      <c r="AY1396" s="4">
        <f t="shared" si="104"/>
        <v>42241</v>
      </c>
      <c r="AZ1396" s="6" t="e">
        <f t="shared" si="105"/>
        <v>#DIV/0!</v>
      </c>
      <c r="BA1396" s="4">
        <v>42241</v>
      </c>
      <c r="BB1396" s="6">
        <v>-7.1013640000000002</v>
      </c>
      <c r="BC1396" s="6">
        <v>-7.4901900000000001</v>
      </c>
      <c r="BD1396" s="6">
        <v>-7.3425599999999998</v>
      </c>
      <c r="BE1396" s="6"/>
      <c r="BF1396" s="6"/>
      <c r="BG1396" s="6"/>
      <c r="BH1396" s="6"/>
      <c r="BI1396" s="6"/>
      <c r="BJ1396" s="6"/>
      <c r="BK1396" s="6"/>
      <c r="BL1396" s="6"/>
      <c r="BM1396" s="6"/>
      <c r="BN1396" s="6" t="e">
        <f t="shared" si="107"/>
        <v>#DIV/0!</v>
      </c>
    </row>
    <row r="1397" spans="49:66" x14ac:dyDescent="0.3">
      <c r="AW1397">
        <f t="shared" si="106"/>
        <v>0</v>
      </c>
      <c r="AX1397">
        <v>1394</v>
      </c>
      <c r="AY1397" s="4">
        <f t="shared" si="104"/>
        <v>42242</v>
      </c>
      <c r="AZ1397" s="6" t="e">
        <f t="shared" si="105"/>
        <v>#DIV/0!</v>
      </c>
      <c r="BA1397" s="4">
        <v>42242</v>
      </c>
      <c r="BB1397" s="6">
        <v>-0.56638200000000005</v>
      </c>
      <c r="BC1397" s="6">
        <v>-3.7474259999999999</v>
      </c>
      <c r="BD1397" s="6">
        <v>-4.292351</v>
      </c>
      <c r="BE1397" s="6"/>
      <c r="BF1397" s="6"/>
      <c r="BG1397" s="6"/>
      <c r="BH1397" s="6"/>
      <c r="BI1397" s="6"/>
      <c r="BJ1397" s="6"/>
      <c r="BK1397" s="6"/>
      <c r="BL1397" s="6"/>
      <c r="BM1397" s="6"/>
      <c r="BN1397" s="6" t="e">
        <f t="shared" si="107"/>
        <v>#DIV/0!</v>
      </c>
    </row>
    <row r="1398" spans="49:66" x14ac:dyDescent="0.3">
      <c r="AW1398">
        <f t="shared" si="106"/>
        <v>0</v>
      </c>
      <c r="AX1398">
        <v>1395</v>
      </c>
      <c r="AY1398" s="4">
        <f t="shared" si="104"/>
        <v>42243</v>
      </c>
      <c r="AZ1398" s="6" t="e">
        <f t="shared" si="105"/>
        <v>#DIV/0!</v>
      </c>
      <c r="BA1398" s="4">
        <v>42243</v>
      </c>
      <c r="BB1398" s="6">
        <v>5.9472509999999996</v>
      </c>
      <c r="BC1398" s="6">
        <v>3.486869</v>
      </c>
      <c r="BD1398" s="6">
        <v>3.3107319999999998</v>
      </c>
      <c r="BE1398" s="6"/>
      <c r="BF1398" s="6"/>
      <c r="BG1398" s="6"/>
      <c r="BH1398" s="6"/>
      <c r="BI1398" s="6"/>
      <c r="BJ1398" s="6"/>
      <c r="BK1398" s="6"/>
      <c r="BL1398" s="6"/>
      <c r="BM1398" s="6"/>
      <c r="BN1398" s="6" t="e">
        <f t="shared" si="107"/>
        <v>#DIV/0!</v>
      </c>
    </row>
    <row r="1399" spans="49:66" x14ac:dyDescent="0.3">
      <c r="AW1399">
        <f t="shared" si="106"/>
        <v>0</v>
      </c>
      <c r="AX1399">
        <v>1396</v>
      </c>
      <c r="AY1399" s="4">
        <f t="shared" si="104"/>
        <v>42244</v>
      </c>
      <c r="AZ1399" s="6" t="e">
        <f t="shared" si="105"/>
        <v>#DIV/0!</v>
      </c>
      <c r="BA1399" s="4">
        <v>42244</v>
      </c>
      <c r="BB1399" s="6">
        <v>4.2627649999999999</v>
      </c>
      <c r="BC1399" s="6">
        <v>5.991879</v>
      </c>
      <c r="BD1399" s="6">
        <v>6.1258509999999999</v>
      </c>
      <c r="BE1399" s="6"/>
      <c r="BF1399" s="6"/>
      <c r="BG1399" s="6"/>
      <c r="BH1399" s="6"/>
      <c r="BI1399" s="6"/>
      <c r="BJ1399" s="6"/>
      <c r="BK1399" s="6"/>
      <c r="BL1399" s="6"/>
      <c r="BM1399" s="6"/>
      <c r="BN1399" s="6" t="e">
        <f t="shared" si="107"/>
        <v>#DIV/0!</v>
      </c>
    </row>
    <row r="1400" spans="49:66" x14ac:dyDescent="0.3">
      <c r="AW1400">
        <f t="shared" si="106"/>
        <v>0</v>
      </c>
      <c r="AX1400">
        <v>1397</v>
      </c>
      <c r="AY1400" s="4">
        <f t="shared" si="104"/>
        <v>42247</v>
      </c>
      <c r="AZ1400" s="6" t="e">
        <f t="shared" si="105"/>
        <v>#DIV/0!</v>
      </c>
      <c r="BA1400" s="4">
        <v>42247</v>
      </c>
      <c r="BB1400" s="6">
        <v>0.72553900000000004</v>
      </c>
      <c r="BC1400" s="6">
        <v>-3.8226680000000002</v>
      </c>
      <c r="BD1400" s="6">
        <v>-3.8750079999999998</v>
      </c>
      <c r="BE1400" s="6"/>
      <c r="BF1400" s="6"/>
      <c r="BG1400" s="6"/>
      <c r="BH1400" s="6"/>
      <c r="BI1400" s="6"/>
      <c r="BJ1400" s="6"/>
      <c r="BK1400" s="6"/>
      <c r="BL1400" s="6"/>
      <c r="BM1400" s="6"/>
      <c r="BN1400" s="6" t="e">
        <f t="shared" si="107"/>
        <v>#DIV/0!</v>
      </c>
    </row>
    <row r="1401" spans="49:66" x14ac:dyDescent="0.3">
      <c r="AW1401">
        <f t="shared" si="106"/>
        <v>0</v>
      </c>
      <c r="AX1401">
        <v>1398</v>
      </c>
      <c r="AY1401" s="4">
        <f t="shared" si="104"/>
        <v>42248</v>
      </c>
      <c r="AZ1401" s="6" t="e">
        <f t="shared" si="105"/>
        <v>#DIV/0!</v>
      </c>
      <c r="BA1401" s="4">
        <v>42248</v>
      </c>
      <c r="BB1401" s="6">
        <v>-0.13227800000000001</v>
      </c>
      <c r="BC1401" s="6">
        <v>-6.2617520000000004</v>
      </c>
      <c r="BD1401" s="6">
        <v>-6.4036679999999997</v>
      </c>
      <c r="BE1401" s="6"/>
      <c r="BF1401" s="6"/>
      <c r="BG1401" s="6"/>
      <c r="BH1401" s="6"/>
      <c r="BI1401" s="6"/>
      <c r="BJ1401" s="6"/>
      <c r="BK1401" s="6"/>
      <c r="BL1401" s="6"/>
      <c r="BM1401" s="6"/>
      <c r="BN1401" s="6" t="e">
        <f t="shared" si="107"/>
        <v>#DIV/0!</v>
      </c>
    </row>
    <row r="1402" spans="49:66" x14ac:dyDescent="0.3">
      <c r="AW1402">
        <f t="shared" si="106"/>
        <v>0</v>
      </c>
      <c r="AX1402">
        <v>1399</v>
      </c>
      <c r="AY1402" s="4">
        <f t="shared" si="104"/>
        <v>42249</v>
      </c>
      <c r="AZ1402" s="6" t="e">
        <f t="shared" si="105"/>
        <v>#DIV/0!</v>
      </c>
      <c r="BA1402" s="4">
        <v>42249</v>
      </c>
      <c r="BB1402" s="6">
        <v>0.111511</v>
      </c>
      <c r="BC1402" s="6">
        <v>-0.75623799999999997</v>
      </c>
      <c r="BD1402" s="6">
        <v>-4.1843050000000002</v>
      </c>
      <c r="BE1402" s="6"/>
      <c r="BF1402" s="6"/>
      <c r="BG1402" s="6"/>
      <c r="BH1402" s="6"/>
      <c r="BI1402" s="6"/>
      <c r="BJ1402" s="6"/>
      <c r="BK1402" s="6"/>
      <c r="BL1402" s="6"/>
      <c r="BM1402" s="6"/>
      <c r="BN1402" s="6" t="e">
        <f t="shared" si="107"/>
        <v>#DIV/0!</v>
      </c>
    </row>
    <row r="1403" spans="49:66" x14ac:dyDescent="0.3">
      <c r="AW1403">
        <f t="shared" si="106"/>
        <v>0</v>
      </c>
      <c r="AX1403">
        <v>1400</v>
      </c>
      <c r="AY1403" s="4">
        <f t="shared" si="104"/>
        <v>42254</v>
      </c>
      <c r="AZ1403" s="6" t="e">
        <f t="shared" si="105"/>
        <v>#DIV/0!</v>
      </c>
      <c r="BA1403" s="4">
        <v>42254</v>
      </c>
      <c r="BB1403" s="6">
        <v>-3.4269919999999998</v>
      </c>
      <c r="BC1403" s="6">
        <v>0.34304800000000002</v>
      </c>
      <c r="BD1403" s="6">
        <v>2.2650640000000002</v>
      </c>
      <c r="BE1403" s="6"/>
      <c r="BF1403" s="6"/>
      <c r="BG1403" s="6"/>
      <c r="BH1403" s="6"/>
      <c r="BI1403" s="6"/>
      <c r="BJ1403" s="6"/>
      <c r="BK1403" s="6"/>
      <c r="BL1403" s="6"/>
      <c r="BM1403" s="6"/>
      <c r="BN1403" s="6" t="e">
        <f t="shared" si="107"/>
        <v>#DIV/0!</v>
      </c>
    </row>
    <row r="1404" spans="49:66" x14ac:dyDescent="0.3">
      <c r="AW1404">
        <f t="shared" si="106"/>
        <v>0</v>
      </c>
      <c r="AX1404">
        <v>1401</v>
      </c>
      <c r="AY1404" s="4">
        <f t="shared" si="104"/>
        <v>42255</v>
      </c>
      <c r="AZ1404" s="6" t="e">
        <f t="shared" si="105"/>
        <v>#DIV/0!</v>
      </c>
      <c r="BA1404" s="4">
        <v>42255</v>
      </c>
      <c r="BB1404" s="6">
        <v>2.5700259999999999</v>
      </c>
      <c r="BC1404" s="6">
        <v>3.7648959999999998</v>
      </c>
      <c r="BD1404" s="6">
        <v>4.9377190000000004</v>
      </c>
      <c r="BE1404" s="6"/>
      <c r="BF1404" s="6"/>
      <c r="BG1404" s="6"/>
      <c r="BH1404" s="6"/>
      <c r="BI1404" s="6"/>
      <c r="BJ1404" s="6"/>
      <c r="BK1404" s="6"/>
      <c r="BL1404" s="6"/>
      <c r="BM1404" s="6"/>
      <c r="BN1404" s="6" t="e">
        <f t="shared" si="107"/>
        <v>#DIV/0!</v>
      </c>
    </row>
    <row r="1405" spans="49:66" x14ac:dyDescent="0.3">
      <c r="AW1405">
        <f t="shared" si="106"/>
        <v>0</v>
      </c>
      <c r="AX1405">
        <v>1402</v>
      </c>
      <c r="AY1405" s="4">
        <f t="shared" si="104"/>
        <v>42256</v>
      </c>
      <c r="AZ1405" s="6" t="e">
        <f t="shared" si="105"/>
        <v>#DIV/0!</v>
      </c>
      <c r="BA1405" s="4">
        <v>42256</v>
      </c>
      <c r="BB1405" s="6">
        <v>1.9580580000000001</v>
      </c>
      <c r="BC1405" s="6">
        <v>2.7632330000000001</v>
      </c>
      <c r="BD1405" s="6">
        <v>3.9891269999999999</v>
      </c>
      <c r="BE1405" s="6"/>
      <c r="BF1405" s="6"/>
      <c r="BG1405" s="6"/>
      <c r="BH1405" s="6"/>
      <c r="BI1405" s="6"/>
      <c r="BJ1405" s="6"/>
      <c r="BK1405" s="6"/>
      <c r="BL1405" s="6"/>
      <c r="BM1405" s="6"/>
      <c r="BN1405" s="6" t="e">
        <f t="shared" si="107"/>
        <v>#DIV/0!</v>
      </c>
    </row>
    <row r="1406" spans="49:66" x14ac:dyDescent="0.3">
      <c r="AW1406">
        <f t="shared" si="106"/>
        <v>0</v>
      </c>
      <c r="AX1406">
        <v>1403</v>
      </c>
      <c r="AY1406" s="4">
        <f t="shared" si="104"/>
        <v>42257</v>
      </c>
      <c r="AZ1406" s="6" t="e">
        <f t="shared" si="105"/>
        <v>#DIV/0!</v>
      </c>
      <c r="BA1406" s="4">
        <v>42257</v>
      </c>
      <c r="BB1406" s="6">
        <v>-1.228027</v>
      </c>
      <c r="BC1406" s="6">
        <v>-1.689784</v>
      </c>
      <c r="BD1406" s="6">
        <v>-1.4293499999999999</v>
      </c>
      <c r="BE1406" s="6"/>
      <c r="BF1406" s="6"/>
      <c r="BG1406" s="6"/>
      <c r="BH1406" s="6"/>
      <c r="BI1406" s="6"/>
      <c r="BJ1406" s="6"/>
      <c r="BK1406" s="6"/>
      <c r="BL1406" s="6"/>
      <c r="BM1406" s="6"/>
      <c r="BN1406" s="6" t="e">
        <f t="shared" si="107"/>
        <v>#DIV/0!</v>
      </c>
    </row>
    <row r="1407" spans="49:66" x14ac:dyDescent="0.3">
      <c r="AW1407">
        <f t="shared" si="106"/>
        <v>0</v>
      </c>
      <c r="AX1407">
        <v>1404</v>
      </c>
      <c r="AY1407" s="4">
        <f t="shared" si="104"/>
        <v>42258</v>
      </c>
      <c r="AZ1407" s="6" t="e">
        <f t="shared" si="105"/>
        <v>#DIV/0!</v>
      </c>
      <c r="BA1407" s="4">
        <v>42258</v>
      </c>
      <c r="BB1407" s="6">
        <v>-0.30895</v>
      </c>
      <c r="BC1407" s="6">
        <v>0.82309399999999999</v>
      </c>
      <c r="BD1407" s="6">
        <v>1.391516</v>
      </c>
      <c r="BE1407" s="6"/>
      <c r="BF1407" s="6"/>
      <c r="BG1407" s="6"/>
      <c r="BH1407" s="6"/>
      <c r="BI1407" s="6"/>
      <c r="BJ1407" s="6"/>
      <c r="BK1407" s="6"/>
      <c r="BL1407" s="6"/>
      <c r="BM1407" s="6"/>
      <c r="BN1407" s="6" t="e">
        <f t="shared" si="107"/>
        <v>#DIV/0!</v>
      </c>
    </row>
    <row r="1408" spans="49:66" x14ac:dyDescent="0.3">
      <c r="AW1408">
        <f t="shared" si="106"/>
        <v>0</v>
      </c>
      <c r="AX1408">
        <v>1405</v>
      </c>
      <c r="AY1408" s="4">
        <f t="shared" si="104"/>
        <v>42261</v>
      </c>
      <c r="AZ1408" s="6" t="e">
        <f t="shared" si="105"/>
        <v>#DIV/0!</v>
      </c>
      <c r="BA1408" s="4">
        <v>42261</v>
      </c>
      <c r="BB1408" s="6">
        <v>-1.973481</v>
      </c>
      <c r="BC1408" s="6">
        <v>-6.8305389999999999</v>
      </c>
      <c r="BD1408" s="6">
        <v>-6.7885419999999996</v>
      </c>
      <c r="BE1408" s="6"/>
      <c r="BF1408" s="6"/>
      <c r="BG1408" s="6"/>
      <c r="BH1408" s="6"/>
      <c r="BI1408" s="6"/>
      <c r="BJ1408" s="6"/>
      <c r="BK1408" s="6"/>
      <c r="BL1408" s="6"/>
      <c r="BM1408" s="6"/>
      <c r="BN1408" s="6" t="e">
        <f t="shared" si="107"/>
        <v>#DIV/0!</v>
      </c>
    </row>
    <row r="1409" spans="49:66" x14ac:dyDescent="0.3">
      <c r="AW1409">
        <f t="shared" si="106"/>
        <v>0</v>
      </c>
      <c r="AX1409">
        <v>1406</v>
      </c>
      <c r="AY1409" s="4">
        <f t="shared" si="104"/>
        <v>42262</v>
      </c>
      <c r="AZ1409" s="6" t="e">
        <f t="shared" si="105"/>
        <v>#DIV/0!</v>
      </c>
      <c r="BA1409" s="4">
        <v>42262</v>
      </c>
      <c r="BB1409" s="6">
        <v>-3.9285160000000001</v>
      </c>
      <c r="BC1409" s="6">
        <v>-5.6491300000000004</v>
      </c>
      <c r="BD1409" s="6">
        <v>-5.0915590000000002</v>
      </c>
      <c r="BE1409" s="6"/>
      <c r="BF1409" s="6"/>
      <c r="BG1409" s="6"/>
      <c r="BH1409" s="6"/>
      <c r="BI1409" s="6"/>
      <c r="BJ1409" s="6"/>
      <c r="BK1409" s="6"/>
      <c r="BL1409" s="6"/>
      <c r="BM1409" s="6"/>
      <c r="BN1409" s="6" t="e">
        <f t="shared" si="107"/>
        <v>#DIV/0!</v>
      </c>
    </row>
    <row r="1410" spans="49:66" x14ac:dyDescent="0.3">
      <c r="AW1410">
        <f t="shared" si="106"/>
        <v>0</v>
      </c>
      <c r="AX1410">
        <v>1407</v>
      </c>
      <c r="AY1410" s="4">
        <f t="shared" si="104"/>
        <v>42263</v>
      </c>
      <c r="AZ1410" s="6" t="e">
        <f t="shared" si="105"/>
        <v>#DIV/0!</v>
      </c>
      <c r="BA1410" s="4">
        <v>42263</v>
      </c>
      <c r="BB1410" s="6">
        <v>4.9811209999999999</v>
      </c>
      <c r="BC1410" s="6">
        <v>6.6013460000000004</v>
      </c>
      <c r="BD1410" s="6">
        <v>6.619993</v>
      </c>
      <c r="BE1410" s="6"/>
      <c r="BF1410" s="6"/>
      <c r="BG1410" s="6"/>
      <c r="BH1410" s="6"/>
      <c r="BI1410" s="6"/>
      <c r="BJ1410" s="6"/>
      <c r="BK1410" s="6"/>
      <c r="BL1410" s="6"/>
      <c r="BM1410" s="6"/>
      <c r="BN1410" s="6" t="e">
        <f t="shared" si="107"/>
        <v>#DIV/0!</v>
      </c>
    </row>
    <row r="1411" spans="49:66" x14ac:dyDescent="0.3">
      <c r="AW1411">
        <f t="shared" si="106"/>
        <v>0</v>
      </c>
      <c r="AX1411">
        <v>1408</v>
      </c>
      <c r="AY1411" s="4">
        <f t="shared" si="104"/>
        <v>42264</v>
      </c>
      <c r="AZ1411" s="6" t="e">
        <f t="shared" si="105"/>
        <v>#DIV/0!</v>
      </c>
      <c r="BA1411" s="4">
        <v>42264</v>
      </c>
      <c r="BB1411" s="6">
        <v>-2.1832690000000001</v>
      </c>
      <c r="BC1411" s="6">
        <v>-1.96271</v>
      </c>
      <c r="BD1411" s="6">
        <v>-0.95955400000000002</v>
      </c>
      <c r="BE1411" s="6"/>
      <c r="BF1411" s="6"/>
      <c r="BG1411" s="6"/>
      <c r="BH1411" s="6"/>
      <c r="BI1411" s="6"/>
      <c r="BJ1411" s="6"/>
      <c r="BK1411" s="6"/>
      <c r="BL1411" s="6"/>
      <c r="BM1411" s="6"/>
      <c r="BN1411" s="6" t="e">
        <f t="shared" si="107"/>
        <v>#DIV/0!</v>
      </c>
    </row>
    <row r="1412" spans="49:66" x14ac:dyDescent="0.3">
      <c r="AW1412">
        <f t="shared" si="106"/>
        <v>0</v>
      </c>
      <c r="AX1412">
        <v>1409</v>
      </c>
      <c r="AY1412" s="4">
        <f t="shared" si="104"/>
        <v>42265</v>
      </c>
      <c r="AZ1412" s="6" t="e">
        <f t="shared" si="105"/>
        <v>#DIV/0!</v>
      </c>
      <c r="BA1412" s="4">
        <v>42265</v>
      </c>
      <c r="BB1412" s="6">
        <v>0.44098300000000001</v>
      </c>
      <c r="BC1412" s="6">
        <v>1.1981139999999999</v>
      </c>
      <c r="BD1412" s="6">
        <v>1.7172210000000001</v>
      </c>
      <c r="BE1412" s="6"/>
      <c r="BF1412" s="6"/>
      <c r="BG1412" s="6"/>
      <c r="BH1412" s="6"/>
      <c r="BI1412" s="6"/>
      <c r="BJ1412" s="6"/>
      <c r="BK1412" s="6"/>
      <c r="BL1412" s="6"/>
      <c r="BM1412" s="6"/>
      <c r="BN1412" s="6" t="e">
        <f t="shared" si="107"/>
        <v>#DIV/0!</v>
      </c>
    </row>
    <row r="1413" spans="49:66" x14ac:dyDescent="0.3">
      <c r="AW1413">
        <f t="shared" si="106"/>
        <v>0</v>
      </c>
      <c r="AX1413">
        <v>1410</v>
      </c>
      <c r="AY1413" s="4">
        <f t="shared" ref="AY1413:AY1476" si="108">BA1413</f>
        <v>42268</v>
      </c>
      <c r="AZ1413" s="6" t="e">
        <f t="shared" ref="AZ1413:AZ1476" si="109">BN1413</f>
        <v>#DIV/0!</v>
      </c>
      <c r="BA1413" s="4">
        <v>42268</v>
      </c>
      <c r="BB1413" s="6">
        <v>1.7523439999999999</v>
      </c>
      <c r="BC1413" s="6">
        <v>3.5375529999999999</v>
      </c>
      <c r="BD1413" s="6">
        <v>3.8601580000000002</v>
      </c>
      <c r="BE1413" s="6"/>
      <c r="BF1413" s="6"/>
      <c r="BG1413" s="6"/>
      <c r="BH1413" s="6"/>
      <c r="BI1413" s="6"/>
      <c r="BJ1413" s="6"/>
      <c r="BK1413" s="6"/>
      <c r="BL1413" s="6"/>
      <c r="BM1413" s="6"/>
      <c r="BN1413" s="6" t="e">
        <f t="shared" si="107"/>
        <v>#DIV/0!</v>
      </c>
    </row>
    <row r="1414" spans="49:66" x14ac:dyDescent="0.3">
      <c r="AW1414">
        <f t="shared" ref="AW1414:AW1477" si="110">IF(AY1414&lt;=AY1413,1,0)</f>
        <v>0</v>
      </c>
      <c r="AX1414">
        <v>1411</v>
      </c>
      <c r="AY1414" s="4">
        <f t="shared" si="108"/>
        <v>42269</v>
      </c>
      <c r="AZ1414" s="6" t="e">
        <f t="shared" si="109"/>
        <v>#DIV/0!</v>
      </c>
      <c r="BA1414" s="4">
        <v>42269</v>
      </c>
      <c r="BB1414" s="6">
        <v>0.93050200000000005</v>
      </c>
      <c r="BC1414" s="6">
        <v>0.72773299999999996</v>
      </c>
      <c r="BD1414" s="6">
        <v>0.41986699999999999</v>
      </c>
      <c r="BE1414" s="6"/>
      <c r="BF1414" s="6"/>
      <c r="BG1414" s="6"/>
      <c r="BH1414" s="6"/>
      <c r="BI1414" s="6"/>
      <c r="BJ1414" s="6"/>
      <c r="BK1414" s="6"/>
      <c r="BL1414" s="6"/>
      <c r="BM1414" s="6"/>
      <c r="BN1414" s="6" t="e">
        <f t="shared" ref="BN1414:BN1477" si="111">(BM1414/BM1413-1)*100</f>
        <v>#DIV/0!</v>
      </c>
    </row>
    <row r="1415" spans="49:66" x14ac:dyDescent="0.3">
      <c r="AW1415">
        <f t="shared" si="110"/>
        <v>0</v>
      </c>
      <c r="AX1415">
        <v>1412</v>
      </c>
      <c r="AY1415" s="4">
        <f t="shared" si="108"/>
        <v>42270</v>
      </c>
      <c r="AZ1415" s="6" t="e">
        <f t="shared" si="109"/>
        <v>#DIV/0!</v>
      </c>
      <c r="BA1415" s="4">
        <v>42270</v>
      </c>
      <c r="BB1415" s="6">
        <v>-2.2761849999999999</v>
      </c>
      <c r="BC1415" s="6">
        <v>-1.132879</v>
      </c>
      <c r="BD1415" s="6">
        <v>-0.72034900000000002</v>
      </c>
      <c r="BE1415" s="6"/>
      <c r="BF1415" s="6"/>
      <c r="BG1415" s="6"/>
      <c r="BH1415" s="6"/>
      <c r="BI1415" s="6"/>
      <c r="BJ1415" s="6"/>
      <c r="BK1415" s="6"/>
      <c r="BL1415" s="6"/>
      <c r="BM1415" s="6"/>
      <c r="BN1415" s="6" t="e">
        <f t="shared" si="111"/>
        <v>#DIV/0!</v>
      </c>
    </row>
    <row r="1416" spans="49:66" x14ac:dyDescent="0.3">
      <c r="AW1416">
        <f t="shared" si="110"/>
        <v>0</v>
      </c>
      <c r="AX1416">
        <v>1413</v>
      </c>
      <c r="AY1416" s="4">
        <f t="shared" si="108"/>
        <v>42271</v>
      </c>
      <c r="AZ1416" s="6" t="e">
        <f t="shared" si="109"/>
        <v>#DIV/0!</v>
      </c>
      <c r="BA1416" s="4">
        <v>42271</v>
      </c>
      <c r="BB1416" s="6">
        <v>0.67335</v>
      </c>
      <c r="BC1416" s="6">
        <v>1.454061</v>
      </c>
      <c r="BD1416" s="6">
        <v>1.338929</v>
      </c>
      <c r="BE1416" s="6"/>
      <c r="BF1416" s="6"/>
      <c r="BG1416" s="6"/>
      <c r="BH1416" s="6"/>
      <c r="BI1416" s="6"/>
      <c r="BJ1416" s="6"/>
      <c r="BK1416" s="6"/>
      <c r="BL1416" s="6"/>
      <c r="BM1416" s="6"/>
      <c r="BN1416" s="6" t="e">
        <f t="shared" si="111"/>
        <v>#DIV/0!</v>
      </c>
    </row>
    <row r="1417" spans="49:66" x14ac:dyDescent="0.3">
      <c r="AW1417">
        <f t="shared" si="110"/>
        <v>0</v>
      </c>
      <c r="AX1417">
        <v>1414</v>
      </c>
      <c r="AY1417" s="4">
        <f t="shared" si="108"/>
        <v>42272</v>
      </c>
      <c r="AZ1417" s="6" t="e">
        <f t="shared" si="109"/>
        <v>#DIV/0!</v>
      </c>
      <c r="BA1417" s="4">
        <v>42272</v>
      </c>
      <c r="BB1417" s="6">
        <v>-1.6148469999999999</v>
      </c>
      <c r="BC1417" s="6">
        <v>-3.2736360000000002</v>
      </c>
      <c r="BD1417" s="6">
        <v>-3.640536</v>
      </c>
      <c r="BE1417" s="6"/>
      <c r="BF1417" s="6"/>
      <c r="BG1417" s="6"/>
      <c r="BH1417" s="6"/>
      <c r="BI1417" s="6"/>
      <c r="BJ1417" s="6"/>
      <c r="BK1417" s="6"/>
      <c r="BL1417" s="6"/>
      <c r="BM1417" s="6"/>
      <c r="BN1417" s="6" t="e">
        <f t="shared" si="111"/>
        <v>#DIV/0!</v>
      </c>
    </row>
    <row r="1418" spans="49:66" x14ac:dyDescent="0.3">
      <c r="AW1418">
        <f t="shared" si="110"/>
        <v>0</v>
      </c>
      <c r="AX1418">
        <v>1415</v>
      </c>
      <c r="AY1418" s="4">
        <f t="shared" si="108"/>
        <v>42275</v>
      </c>
      <c r="AZ1418" s="6" t="e">
        <f t="shared" si="109"/>
        <v>#DIV/0!</v>
      </c>
      <c r="BA1418" s="4">
        <v>42275</v>
      </c>
      <c r="BB1418" s="6">
        <v>0.33419399999999999</v>
      </c>
      <c r="BC1418" s="6">
        <v>1.8223389999999999</v>
      </c>
      <c r="BD1418" s="6">
        <v>2.6104720000000001</v>
      </c>
      <c r="BE1418" s="6"/>
      <c r="BF1418" s="6"/>
      <c r="BG1418" s="6"/>
      <c r="BH1418" s="6"/>
      <c r="BI1418" s="6"/>
      <c r="BJ1418" s="6"/>
      <c r="BK1418" s="6"/>
      <c r="BL1418" s="6"/>
      <c r="BM1418" s="6"/>
      <c r="BN1418" s="6" t="e">
        <f t="shared" si="111"/>
        <v>#DIV/0!</v>
      </c>
    </row>
    <row r="1419" spans="49:66" x14ac:dyDescent="0.3">
      <c r="AW1419">
        <f t="shared" si="110"/>
        <v>0</v>
      </c>
      <c r="AX1419">
        <v>1416</v>
      </c>
      <c r="AY1419" s="4">
        <f t="shared" si="108"/>
        <v>42276</v>
      </c>
      <c r="AZ1419" s="6" t="e">
        <f t="shared" si="109"/>
        <v>#DIV/0!</v>
      </c>
      <c r="BA1419" s="4">
        <v>42276</v>
      </c>
      <c r="BB1419" s="6">
        <v>-1.9704870000000001</v>
      </c>
      <c r="BC1419" s="6">
        <v>-1.866425</v>
      </c>
      <c r="BD1419" s="6">
        <v>-1.517171</v>
      </c>
      <c r="BE1419" s="6"/>
      <c r="BF1419" s="6"/>
      <c r="BG1419" s="6"/>
      <c r="BH1419" s="6"/>
      <c r="BI1419" s="6"/>
      <c r="BJ1419" s="6"/>
      <c r="BK1419" s="6"/>
      <c r="BL1419" s="6"/>
      <c r="BM1419" s="6"/>
      <c r="BN1419" s="6" t="e">
        <f t="shared" si="111"/>
        <v>#DIV/0!</v>
      </c>
    </row>
    <row r="1420" spans="49:66" x14ac:dyDescent="0.3">
      <c r="AW1420">
        <f t="shared" si="110"/>
        <v>0</v>
      </c>
      <c r="AX1420">
        <v>1417</v>
      </c>
      <c r="AY1420" s="4">
        <f t="shared" si="108"/>
        <v>42277</v>
      </c>
      <c r="AZ1420" s="6" t="e">
        <f t="shared" si="109"/>
        <v>#DIV/0!</v>
      </c>
      <c r="BA1420" s="4">
        <v>42277</v>
      </c>
      <c r="BB1420" s="6">
        <v>0.75791799999999998</v>
      </c>
      <c r="BC1420" s="6">
        <v>0.32966699999999999</v>
      </c>
      <c r="BD1420" s="6">
        <v>8.8489999999999999E-2</v>
      </c>
      <c r="BE1420" s="6"/>
      <c r="BF1420" s="6"/>
      <c r="BG1420" s="6"/>
      <c r="BH1420" s="6"/>
      <c r="BI1420" s="6"/>
      <c r="BJ1420" s="6"/>
      <c r="BK1420" s="6"/>
      <c r="BL1420" s="6"/>
      <c r="BM1420" s="6"/>
      <c r="BN1420" s="6" t="e">
        <f t="shared" si="111"/>
        <v>#DIV/0!</v>
      </c>
    </row>
    <row r="1421" spans="49:66" x14ac:dyDescent="0.3">
      <c r="AW1421">
        <f t="shared" si="110"/>
        <v>0</v>
      </c>
      <c r="AX1421">
        <v>1418</v>
      </c>
      <c r="AY1421" s="4">
        <f t="shared" si="108"/>
        <v>42285</v>
      </c>
      <c r="AZ1421" s="6" t="e">
        <f t="shared" si="109"/>
        <v>#DIV/0!</v>
      </c>
      <c r="BA1421" s="4">
        <v>42285</v>
      </c>
      <c r="BB1421" s="6">
        <v>2.9202629999999998</v>
      </c>
      <c r="BC1421" s="6">
        <v>4.0623129999999996</v>
      </c>
      <c r="BD1421" s="6">
        <v>4.254537</v>
      </c>
      <c r="BE1421" s="6"/>
      <c r="BF1421" s="6"/>
      <c r="BG1421" s="6"/>
      <c r="BH1421" s="6"/>
      <c r="BI1421" s="6"/>
      <c r="BJ1421" s="6"/>
      <c r="BK1421" s="6"/>
      <c r="BL1421" s="6"/>
      <c r="BM1421" s="6"/>
      <c r="BN1421" s="6" t="e">
        <f t="shared" si="111"/>
        <v>#DIV/0!</v>
      </c>
    </row>
    <row r="1422" spans="49:66" x14ac:dyDescent="0.3">
      <c r="AW1422">
        <f t="shared" si="110"/>
        <v>0</v>
      </c>
      <c r="AX1422">
        <v>1419</v>
      </c>
      <c r="AY1422" s="4">
        <f t="shared" si="108"/>
        <v>42286</v>
      </c>
      <c r="AZ1422" s="6" t="e">
        <f t="shared" si="109"/>
        <v>#DIV/0!</v>
      </c>
      <c r="BA1422" s="4">
        <v>42286</v>
      </c>
      <c r="BB1422" s="6">
        <v>1.32365</v>
      </c>
      <c r="BC1422" s="6">
        <v>1.530939</v>
      </c>
      <c r="BD1422" s="6">
        <v>1.5406329999999999</v>
      </c>
      <c r="BE1422" s="6"/>
      <c r="BF1422" s="6"/>
      <c r="BG1422" s="6"/>
      <c r="BH1422" s="6"/>
      <c r="BI1422" s="6"/>
      <c r="BJ1422" s="6"/>
      <c r="BK1422" s="6"/>
      <c r="BL1422" s="6"/>
      <c r="BM1422" s="6"/>
      <c r="BN1422" s="6" t="e">
        <f t="shared" si="111"/>
        <v>#DIV/0!</v>
      </c>
    </row>
    <row r="1423" spans="49:66" x14ac:dyDescent="0.3">
      <c r="AW1423">
        <f t="shared" si="110"/>
        <v>0</v>
      </c>
      <c r="AX1423">
        <v>1420</v>
      </c>
      <c r="AY1423" s="4">
        <f t="shared" si="108"/>
        <v>42289</v>
      </c>
      <c r="AZ1423" s="6" t="e">
        <f t="shared" si="109"/>
        <v>#DIV/0!</v>
      </c>
      <c r="BA1423" s="4">
        <v>42289</v>
      </c>
      <c r="BB1423" s="6">
        <v>3.2207710000000001</v>
      </c>
      <c r="BC1423" s="6">
        <v>3.8434119999999998</v>
      </c>
      <c r="BD1423" s="6">
        <v>4.1835709999999997</v>
      </c>
      <c r="BE1423" s="6"/>
      <c r="BF1423" s="6"/>
      <c r="BG1423" s="6"/>
      <c r="BH1423" s="6"/>
      <c r="BI1423" s="6"/>
      <c r="BJ1423" s="6"/>
      <c r="BK1423" s="6"/>
      <c r="BL1423" s="6"/>
      <c r="BM1423" s="6"/>
      <c r="BN1423" s="6" t="e">
        <f t="shared" si="111"/>
        <v>#DIV/0!</v>
      </c>
    </row>
    <row r="1424" spans="49:66" x14ac:dyDescent="0.3">
      <c r="AW1424">
        <f t="shared" si="110"/>
        <v>0</v>
      </c>
      <c r="AX1424">
        <v>1421</v>
      </c>
      <c r="AY1424" s="4">
        <f t="shared" si="108"/>
        <v>42290</v>
      </c>
      <c r="AZ1424" s="6" t="e">
        <f t="shared" si="109"/>
        <v>#DIV/0!</v>
      </c>
      <c r="BA1424" s="4">
        <v>42290</v>
      </c>
      <c r="BB1424" s="6">
        <v>-7.6871999999999996E-2</v>
      </c>
      <c r="BC1424" s="6">
        <v>1.2406349999999999</v>
      </c>
      <c r="BD1424" s="6">
        <v>1.506845</v>
      </c>
      <c r="BE1424" s="6"/>
      <c r="BF1424" s="6"/>
      <c r="BG1424" s="6"/>
      <c r="BH1424" s="6"/>
      <c r="BI1424" s="6"/>
      <c r="BJ1424" s="6"/>
      <c r="BK1424" s="6"/>
      <c r="BL1424" s="6"/>
      <c r="BM1424" s="6"/>
      <c r="BN1424" s="6" t="e">
        <f t="shared" si="111"/>
        <v>#DIV/0!</v>
      </c>
    </row>
    <row r="1425" spans="49:66" x14ac:dyDescent="0.3">
      <c r="AW1425">
        <f t="shared" si="110"/>
        <v>0</v>
      </c>
      <c r="AX1425">
        <v>1422</v>
      </c>
      <c r="AY1425" s="4">
        <f t="shared" si="108"/>
        <v>42291</v>
      </c>
      <c r="AZ1425" s="6" t="e">
        <f t="shared" si="109"/>
        <v>#DIV/0!</v>
      </c>
      <c r="BA1425" s="4">
        <v>42291</v>
      </c>
      <c r="BB1425" s="6">
        <v>-1.1300730000000001</v>
      </c>
      <c r="BC1425" s="6">
        <v>-1.140552</v>
      </c>
      <c r="BD1425" s="6">
        <v>-1.3446499999999999</v>
      </c>
      <c r="BE1425" s="6"/>
      <c r="BF1425" s="6"/>
      <c r="BG1425" s="6"/>
      <c r="BH1425" s="6"/>
      <c r="BI1425" s="6"/>
      <c r="BJ1425" s="6"/>
      <c r="BK1425" s="6"/>
      <c r="BL1425" s="6"/>
      <c r="BM1425" s="6"/>
      <c r="BN1425" s="6" t="e">
        <f t="shared" si="111"/>
        <v>#DIV/0!</v>
      </c>
    </row>
    <row r="1426" spans="49:66" x14ac:dyDescent="0.3">
      <c r="AW1426">
        <f t="shared" si="110"/>
        <v>0</v>
      </c>
      <c r="AX1426">
        <v>1423</v>
      </c>
      <c r="AY1426" s="4">
        <f t="shared" si="108"/>
        <v>42292</v>
      </c>
      <c r="AZ1426" s="6" t="e">
        <f t="shared" si="109"/>
        <v>#DIV/0!</v>
      </c>
      <c r="BA1426" s="4">
        <v>42292</v>
      </c>
      <c r="BB1426" s="6">
        <v>2.36937</v>
      </c>
      <c r="BC1426" s="6">
        <v>3.0447150000000001</v>
      </c>
      <c r="BD1426" s="6">
        <v>3.2073580000000002</v>
      </c>
      <c r="BE1426" s="6"/>
      <c r="BF1426" s="6"/>
      <c r="BG1426" s="6"/>
      <c r="BH1426" s="6"/>
      <c r="BI1426" s="6"/>
      <c r="BJ1426" s="6"/>
      <c r="BK1426" s="6"/>
      <c r="BL1426" s="6"/>
      <c r="BM1426" s="6"/>
      <c r="BN1426" s="6" t="e">
        <f t="shared" si="111"/>
        <v>#DIV/0!</v>
      </c>
    </row>
    <row r="1427" spans="49:66" x14ac:dyDescent="0.3">
      <c r="AW1427">
        <f t="shared" si="110"/>
        <v>0</v>
      </c>
      <c r="AX1427">
        <v>1424</v>
      </c>
      <c r="AY1427" s="4">
        <f t="shared" si="108"/>
        <v>42293</v>
      </c>
      <c r="AZ1427" s="6" t="e">
        <f t="shared" si="109"/>
        <v>#DIV/0!</v>
      </c>
      <c r="BA1427" s="4">
        <v>42293</v>
      </c>
      <c r="BB1427" s="6">
        <v>1.355113</v>
      </c>
      <c r="BC1427" s="6">
        <v>1.7075830000000001</v>
      </c>
      <c r="BD1427" s="6">
        <v>1.527539</v>
      </c>
      <c r="BE1427" s="6"/>
      <c r="BF1427" s="6"/>
      <c r="BG1427" s="6"/>
      <c r="BH1427" s="6"/>
      <c r="BI1427" s="6"/>
      <c r="BJ1427" s="6"/>
      <c r="BK1427" s="6"/>
      <c r="BL1427" s="6"/>
      <c r="BM1427" s="6"/>
      <c r="BN1427" s="6" t="e">
        <f t="shared" si="111"/>
        <v>#DIV/0!</v>
      </c>
    </row>
    <row r="1428" spans="49:66" x14ac:dyDescent="0.3">
      <c r="AW1428">
        <f t="shared" si="110"/>
        <v>0</v>
      </c>
      <c r="AX1428">
        <v>1425</v>
      </c>
      <c r="AY1428" s="4">
        <f t="shared" si="108"/>
        <v>42296</v>
      </c>
      <c r="AZ1428" s="6" t="e">
        <f t="shared" si="109"/>
        <v>#DIV/0!</v>
      </c>
      <c r="BA1428" s="4">
        <v>42296</v>
      </c>
      <c r="BB1428" s="6">
        <v>3.3050000000000002E-3</v>
      </c>
      <c r="BC1428" s="6">
        <v>-2.6689999999999999E-3</v>
      </c>
      <c r="BD1428" s="6">
        <v>-8.5281999999999997E-2</v>
      </c>
      <c r="BE1428" s="6"/>
      <c r="BF1428" s="6"/>
      <c r="BG1428" s="6"/>
      <c r="BH1428" s="6"/>
      <c r="BI1428" s="6"/>
      <c r="BJ1428" s="6"/>
      <c r="BK1428" s="6"/>
      <c r="BL1428" s="6"/>
      <c r="BM1428" s="6"/>
      <c r="BN1428" s="6" t="e">
        <f t="shared" si="111"/>
        <v>#DIV/0!</v>
      </c>
    </row>
    <row r="1429" spans="49:66" x14ac:dyDescent="0.3">
      <c r="AW1429">
        <f t="shared" si="110"/>
        <v>0</v>
      </c>
      <c r="AX1429">
        <v>1426</v>
      </c>
      <c r="AY1429" s="4">
        <f t="shared" si="108"/>
        <v>42297</v>
      </c>
      <c r="AZ1429" s="6" t="e">
        <f t="shared" si="109"/>
        <v>#DIV/0!</v>
      </c>
      <c r="BA1429" s="4">
        <v>42297</v>
      </c>
      <c r="BB1429" s="6">
        <v>1.231419</v>
      </c>
      <c r="BC1429" s="6">
        <v>1.6276079999999999</v>
      </c>
      <c r="BD1429" s="6">
        <v>2.0273059999999998</v>
      </c>
      <c r="BE1429" s="6"/>
      <c r="BF1429" s="6"/>
      <c r="BG1429" s="6"/>
      <c r="BH1429" s="6"/>
      <c r="BI1429" s="6"/>
      <c r="BJ1429" s="6"/>
      <c r="BK1429" s="6"/>
      <c r="BL1429" s="6"/>
      <c r="BM1429" s="6"/>
      <c r="BN1429" s="6" t="e">
        <f t="shared" si="111"/>
        <v>#DIV/0!</v>
      </c>
    </row>
    <row r="1430" spans="49:66" x14ac:dyDescent="0.3">
      <c r="AW1430">
        <f t="shared" si="110"/>
        <v>0</v>
      </c>
      <c r="AX1430">
        <v>1427</v>
      </c>
      <c r="AY1430" s="4">
        <f t="shared" si="108"/>
        <v>42298</v>
      </c>
      <c r="AZ1430" s="6" t="e">
        <f t="shared" si="109"/>
        <v>#DIV/0!</v>
      </c>
      <c r="BA1430" s="4">
        <v>42298</v>
      </c>
      <c r="BB1430" s="6">
        <v>-2.9194239999999998</v>
      </c>
      <c r="BC1430" s="6">
        <v>-6.2738350000000001</v>
      </c>
      <c r="BD1430" s="6">
        <v>-6.3064669999999996</v>
      </c>
      <c r="BE1430" s="6"/>
      <c r="BF1430" s="6"/>
      <c r="BG1430" s="6"/>
      <c r="BH1430" s="6"/>
      <c r="BI1430" s="6"/>
      <c r="BJ1430" s="6"/>
      <c r="BK1430" s="6"/>
      <c r="BL1430" s="6"/>
      <c r="BM1430" s="6"/>
      <c r="BN1430" s="6" t="e">
        <f t="shared" si="111"/>
        <v>#DIV/0!</v>
      </c>
    </row>
    <row r="1431" spans="49:66" x14ac:dyDescent="0.3">
      <c r="AW1431">
        <f t="shared" si="110"/>
        <v>0</v>
      </c>
      <c r="AX1431">
        <v>1428</v>
      </c>
      <c r="AY1431" s="4">
        <f t="shared" si="108"/>
        <v>42299</v>
      </c>
      <c r="AZ1431" s="6" t="e">
        <f t="shared" si="109"/>
        <v>#DIV/0!</v>
      </c>
      <c r="BA1431" s="4">
        <v>42299</v>
      </c>
      <c r="BB1431" s="6">
        <v>1.4764109999999999</v>
      </c>
      <c r="BC1431" s="6">
        <v>3.747487</v>
      </c>
      <c r="BD1431" s="6">
        <v>4.1344659999999998</v>
      </c>
      <c r="BE1431" s="6"/>
      <c r="BF1431" s="6"/>
      <c r="BG1431" s="6"/>
      <c r="BH1431" s="6"/>
      <c r="BI1431" s="6"/>
      <c r="BJ1431" s="6"/>
      <c r="BK1431" s="6"/>
      <c r="BL1431" s="6"/>
      <c r="BM1431" s="6"/>
      <c r="BN1431" s="6" t="e">
        <f t="shared" si="111"/>
        <v>#DIV/0!</v>
      </c>
    </row>
    <row r="1432" spans="49:66" x14ac:dyDescent="0.3">
      <c r="AW1432">
        <f t="shared" si="110"/>
        <v>0</v>
      </c>
      <c r="AX1432">
        <v>1429</v>
      </c>
      <c r="AY1432" s="4">
        <f t="shared" si="108"/>
        <v>42300</v>
      </c>
      <c r="AZ1432" s="6" t="e">
        <f t="shared" si="109"/>
        <v>#DIV/0!</v>
      </c>
      <c r="BA1432" s="4">
        <v>42300</v>
      </c>
      <c r="BB1432" s="6">
        <v>1.325202</v>
      </c>
      <c r="BC1432" s="6">
        <v>2.4975499999999999</v>
      </c>
      <c r="BD1432" s="6">
        <v>3.2355700000000001</v>
      </c>
      <c r="BE1432" s="6"/>
      <c r="BF1432" s="6"/>
      <c r="BG1432" s="6"/>
      <c r="BH1432" s="6"/>
      <c r="BI1432" s="6"/>
      <c r="BJ1432" s="6"/>
      <c r="BK1432" s="6"/>
      <c r="BL1432" s="6"/>
      <c r="BM1432" s="6"/>
      <c r="BN1432" s="6" t="e">
        <f t="shared" si="111"/>
        <v>#DIV/0!</v>
      </c>
    </row>
    <row r="1433" spans="49:66" x14ac:dyDescent="0.3">
      <c r="AW1433">
        <f t="shared" si="110"/>
        <v>0</v>
      </c>
      <c r="AX1433">
        <v>1430</v>
      </c>
      <c r="AY1433" s="4">
        <f t="shared" si="108"/>
        <v>42303</v>
      </c>
      <c r="AZ1433" s="6" t="e">
        <f t="shared" si="109"/>
        <v>#DIV/0!</v>
      </c>
      <c r="BA1433" s="4">
        <v>42303</v>
      </c>
      <c r="BB1433" s="6">
        <v>0.50458599999999998</v>
      </c>
      <c r="BC1433" s="6">
        <v>0.67972600000000005</v>
      </c>
      <c r="BD1433" s="6">
        <v>0.87488500000000002</v>
      </c>
      <c r="BE1433" s="6"/>
      <c r="BF1433" s="6"/>
      <c r="BG1433" s="6"/>
      <c r="BH1433" s="6"/>
      <c r="BI1433" s="6"/>
      <c r="BJ1433" s="6"/>
      <c r="BK1433" s="6"/>
      <c r="BL1433" s="6"/>
      <c r="BM1433" s="6"/>
      <c r="BN1433" s="6" t="e">
        <f t="shared" si="111"/>
        <v>#DIV/0!</v>
      </c>
    </row>
    <row r="1434" spans="49:66" x14ac:dyDescent="0.3">
      <c r="AW1434">
        <f t="shared" si="110"/>
        <v>0</v>
      </c>
      <c r="AX1434">
        <v>1431</v>
      </c>
      <c r="AY1434" s="4">
        <f t="shared" si="108"/>
        <v>42304</v>
      </c>
      <c r="AZ1434" s="6" t="e">
        <f t="shared" si="109"/>
        <v>#DIV/0!</v>
      </c>
      <c r="BA1434" s="4">
        <v>42304</v>
      </c>
      <c r="BB1434" s="6">
        <v>0.100809</v>
      </c>
      <c r="BC1434" s="6">
        <v>0.62171900000000002</v>
      </c>
      <c r="BD1434" s="6">
        <v>0.89687600000000001</v>
      </c>
      <c r="BE1434" s="6"/>
      <c r="BF1434" s="6"/>
      <c r="BG1434" s="6"/>
      <c r="BH1434" s="6"/>
      <c r="BI1434" s="6"/>
      <c r="BJ1434" s="6"/>
      <c r="BK1434" s="6"/>
      <c r="BL1434" s="6"/>
      <c r="BM1434" s="6"/>
      <c r="BN1434" s="6" t="e">
        <f t="shared" si="111"/>
        <v>#DIV/0!</v>
      </c>
    </row>
    <row r="1435" spans="49:66" x14ac:dyDescent="0.3">
      <c r="AW1435">
        <f t="shared" si="110"/>
        <v>0</v>
      </c>
      <c r="AX1435">
        <v>1432</v>
      </c>
      <c r="AY1435" s="4">
        <f t="shared" si="108"/>
        <v>42305</v>
      </c>
      <c r="AZ1435" s="6" t="e">
        <f t="shared" si="109"/>
        <v>#DIV/0!</v>
      </c>
      <c r="BA1435" s="4">
        <v>42305</v>
      </c>
      <c r="BB1435" s="6">
        <v>-1.891505</v>
      </c>
      <c r="BC1435" s="6">
        <v>-2.52427</v>
      </c>
      <c r="BD1435" s="6">
        <v>-2.2907850000000001</v>
      </c>
      <c r="BE1435" s="6"/>
      <c r="BF1435" s="6"/>
      <c r="BG1435" s="6"/>
      <c r="BH1435" s="6"/>
      <c r="BI1435" s="6"/>
      <c r="BJ1435" s="6"/>
      <c r="BK1435" s="6"/>
      <c r="BL1435" s="6"/>
      <c r="BM1435" s="6"/>
      <c r="BN1435" s="6" t="e">
        <f t="shared" si="111"/>
        <v>#DIV/0!</v>
      </c>
    </row>
    <row r="1436" spans="49:66" x14ac:dyDescent="0.3">
      <c r="AW1436">
        <f t="shared" si="110"/>
        <v>0</v>
      </c>
      <c r="AX1436">
        <v>1433</v>
      </c>
      <c r="AY1436" s="4">
        <f t="shared" si="108"/>
        <v>42306</v>
      </c>
      <c r="AZ1436" s="6" t="e">
        <f t="shared" si="109"/>
        <v>#DIV/0!</v>
      </c>
      <c r="BA1436" s="4">
        <v>42306</v>
      </c>
      <c r="BB1436" s="6">
        <v>0.237923</v>
      </c>
      <c r="BC1436" s="6">
        <v>0.85232600000000003</v>
      </c>
      <c r="BD1436" s="6">
        <v>0.90580899999999998</v>
      </c>
      <c r="BE1436" s="6"/>
      <c r="BF1436" s="6"/>
      <c r="BG1436" s="6"/>
      <c r="BH1436" s="6"/>
      <c r="BI1436" s="6"/>
      <c r="BJ1436" s="6"/>
      <c r="BK1436" s="6"/>
      <c r="BL1436" s="6"/>
      <c r="BM1436" s="6"/>
      <c r="BN1436" s="6" t="e">
        <f t="shared" si="111"/>
        <v>#DIV/0!</v>
      </c>
    </row>
    <row r="1437" spans="49:66" x14ac:dyDescent="0.3">
      <c r="AW1437">
        <f t="shared" si="110"/>
        <v>0</v>
      </c>
      <c r="AX1437">
        <v>1434</v>
      </c>
      <c r="AY1437" s="4">
        <f t="shared" si="108"/>
        <v>42307</v>
      </c>
      <c r="AZ1437" s="6" t="e">
        <f t="shared" si="109"/>
        <v>#DIV/0!</v>
      </c>
      <c r="BA1437" s="4">
        <v>42307</v>
      </c>
      <c r="BB1437" s="6">
        <v>2.1857999999999999E-2</v>
      </c>
      <c r="BC1437" s="6">
        <v>-0.33766099999999999</v>
      </c>
      <c r="BD1437" s="6">
        <v>-0.28565499999999999</v>
      </c>
      <c r="BE1437" s="6"/>
      <c r="BF1437" s="6"/>
      <c r="BG1437" s="6"/>
      <c r="BH1437" s="6"/>
      <c r="BI1437" s="6"/>
      <c r="BJ1437" s="6"/>
      <c r="BK1437" s="6"/>
      <c r="BL1437" s="6"/>
      <c r="BM1437" s="6"/>
      <c r="BN1437" s="6" t="e">
        <f t="shared" si="111"/>
        <v>#DIV/0!</v>
      </c>
    </row>
    <row r="1438" spans="49:66" x14ac:dyDescent="0.3">
      <c r="AW1438">
        <f t="shared" si="110"/>
        <v>0</v>
      </c>
      <c r="AX1438">
        <v>1435</v>
      </c>
      <c r="AY1438" s="4">
        <f t="shared" si="108"/>
        <v>42310</v>
      </c>
      <c r="AZ1438" s="6" t="e">
        <f t="shared" si="109"/>
        <v>#DIV/0!</v>
      </c>
      <c r="BA1438" s="4">
        <v>42310</v>
      </c>
      <c r="BB1438" s="6">
        <v>-1.64446</v>
      </c>
      <c r="BC1438" s="6">
        <v>-2.0965379999999998</v>
      </c>
      <c r="BD1438" s="6">
        <v>-2.6510150000000001</v>
      </c>
      <c r="BE1438" s="6"/>
      <c r="BF1438" s="6"/>
      <c r="BG1438" s="6"/>
      <c r="BH1438" s="6"/>
      <c r="BI1438" s="6"/>
      <c r="BJ1438" s="6"/>
      <c r="BK1438" s="6"/>
      <c r="BL1438" s="6"/>
      <c r="BM1438" s="6"/>
      <c r="BN1438" s="6" t="e">
        <f t="shared" si="111"/>
        <v>#DIV/0!</v>
      </c>
    </row>
    <row r="1439" spans="49:66" x14ac:dyDescent="0.3">
      <c r="AW1439">
        <f t="shared" si="110"/>
        <v>0</v>
      </c>
      <c r="AX1439">
        <v>1436</v>
      </c>
      <c r="AY1439" s="4">
        <f t="shared" si="108"/>
        <v>42311</v>
      </c>
      <c r="AZ1439" s="6" t="e">
        <f t="shared" si="109"/>
        <v>#DIV/0!</v>
      </c>
      <c r="BA1439" s="4">
        <v>42311</v>
      </c>
      <c r="BB1439" s="6">
        <v>-0.30120000000000002</v>
      </c>
      <c r="BC1439" s="6">
        <v>-0.235403</v>
      </c>
      <c r="BD1439" s="6">
        <v>-0.22659699999999999</v>
      </c>
      <c r="BE1439" s="6"/>
      <c r="BF1439" s="6"/>
      <c r="BG1439" s="6"/>
      <c r="BH1439" s="6"/>
      <c r="BI1439" s="6"/>
      <c r="BJ1439" s="6"/>
      <c r="BK1439" s="6"/>
      <c r="BL1439" s="6"/>
      <c r="BM1439" s="6"/>
      <c r="BN1439" s="6" t="e">
        <f t="shared" si="111"/>
        <v>#DIV/0!</v>
      </c>
    </row>
    <row r="1440" spans="49:66" x14ac:dyDescent="0.3">
      <c r="AW1440">
        <f t="shared" si="110"/>
        <v>0</v>
      </c>
      <c r="AX1440">
        <v>1437</v>
      </c>
      <c r="AY1440" s="4">
        <f t="shared" si="108"/>
        <v>42312</v>
      </c>
      <c r="AZ1440" s="6" t="e">
        <f t="shared" si="109"/>
        <v>#DIV/0!</v>
      </c>
      <c r="BA1440" s="4">
        <v>42312</v>
      </c>
      <c r="BB1440" s="6">
        <v>4.7048139999999998</v>
      </c>
      <c r="BC1440" s="6">
        <v>5.0271720000000002</v>
      </c>
      <c r="BD1440" s="6">
        <v>5.2936480000000001</v>
      </c>
      <c r="BE1440" s="6"/>
      <c r="BF1440" s="6"/>
      <c r="BG1440" s="6"/>
      <c r="BH1440" s="6"/>
      <c r="BI1440" s="6"/>
      <c r="BJ1440" s="6"/>
      <c r="BK1440" s="6"/>
      <c r="BL1440" s="6"/>
      <c r="BM1440" s="6"/>
      <c r="BN1440" s="6" t="e">
        <f t="shared" si="111"/>
        <v>#DIV/0!</v>
      </c>
    </row>
    <row r="1441" spans="49:66" x14ac:dyDescent="0.3">
      <c r="AW1441">
        <f t="shared" si="110"/>
        <v>0</v>
      </c>
      <c r="AX1441">
        <v>1438</v>
      </c>
      <c r="AY1441" s="4">
        <f t="shared" si="108"/>
        <v>42313</v>
      </c>
      <c r="AZ1441" s="6" t="e">
        <f t="shared" si="109"/>
        <v>#DIV/0!</v>
      </c>
      <c r="BA1441" s="4">
        <v>42313</v>
      </c>
      <c r="BB1441" s="6">
        <v>2.1339730000000001</v>
      </c>
      <c r="BC1441" s="6">
        <v>0.11643000000000001</v>
      </c>
      <c r="BD1441" s="6">
        <v>-5.7422000000000001E-2</v>
      </c>
      <c r="BE1441" s="6"/>
      <c r="BF1441" s="6"/>
      <c r="BG1441" s="6"/>
      <c r="BH1441" s="6"/>
      <c r="BI1441" s="6"/>
      <c r="BJ1441" s="6"/>
      <c r="BK1441" s="6"/>
      <c r="BL1441" s="6"/>
      <c r="BM1441" s="6"/>
      <c r="BN1441" s="6" t="e">
        <f t="shared" si="111"/>
        <v>#DIV/0!</v>
      </c>
    </row>
    <row r="1442" spans="49:66" x14ac:dyDescent="0.3">
      <c r="AW1442">
        <f t="shared" si="110"/>
        <v>0</v>
      </c>
      <c r="AX1442">
        <v>1439</v>
      </c>
      <c r="AY1442" s="4">
        <f t="shared" si="108"/>
        <v>42314</v>
      </c>
      <c r="AZ1442" s="6" t="e">
        <f t="shared" si="109"/>
        <v>#DIV/0!</v>
      </c>
      <c r="BA1442" s="4">
        <v>42314</v>
      </c>
      <c r="BB1442" s="6">
        <v>2.3584700000000001</v>
      </c>
      <c r="BC1442" s="6">
        <v>2.3417539999999999</v>
      </c>
      <c r="BD1442" s="6">
        <v>2.532454</v>
      </c>
      <c r="BE1442" s="6"/>
      <c r="BF1442" s="6"/>
      <c r="BG1442" s="6"/>
      <c r="BH1442" s="6"/>
      <c r="BI1442" s="6"/>
      <c r="BJ1442" s="6"/>
      <c r="BK1442" s="6"/>
      <c r="BL1442" s="6"/>
      <c r="BM1442" s="6"/>
      <c r="BN1442" s="6" t="e">
        <f t="shared" si="111"/>
        <v>#DIV/0!</v>
      </c>
    </row>
    <row r="1443" spans="49:66" x14ac:dyDescent="0.3">
      <c r="AW1443">
        <f t="shared" si="110"/>
        <v>0</v>
      </c>
      <c r="AX1443">
        <v>1440</v>
      </c>
      <c r="AY1443" s="4">
        <f t="shared" si="108"/>
        <v>42317</v>
      </c>
      <c r="AZ1443" s="6" t="e">
        <f t="shared" si="109"/>
        <v>#DIV/0!</v>
      </c>
      <c r="BA1443" s="4">
        <v>42317</v>
      </c>
      <c r="BB1443" s="6">
        <v>1.238496</v>
      </c>
      <c r="BC1443" s="6">
        <v>1.3019510000000001</v>
      </c>
      <c r="BD1443" s="6">
        <v>1.9394370000000001</v>
      </c>
      <c r="BE1443" s="6"/>
      <c r="BF1443" s="6"/>
      <c r="BG1443" s="6"/>
      <c r="BH1443" s="6"/>
      <c r="BI1443" s="6"/>
      <c r="BJ1443" s="6"/>
      <c r="BK1443" s="6"/>
      <c r="BL1443" s="6"/>
      <c r="BM1443" s="6"/>
      <c r="BN1443" s="6" t="e">
        <f t="shared" si="111"/>
        <v>#DIV/0!</v>
      </c>
    </row>
    <row r="1444" spans="49:66" x14ac:dyDescent="0.3">
      <c r="AW1444">
        <f t="shared" si="110"/>
        <v>0</v>
      </c>
      <c r="AX1444">
        <v>1441</v>
      </c>
      <c r="AY1444" s="4">
        <f t="shared" si="108"/>
        <v>42318</v>
      </c>
      <c r="AZ1444" s="6" t="e">
        <f t="shared" si="109"/>
        <v>#DIV/0!</v>
      </c>
      <c r="BA1444" s="4">
        <v>42318</v>
      </c>
      <c r="BB1444" s="6">
        <v>-0.18531600000000001</v>
      </c>
      <c r="BC1444" s="6">
        <v>0.41367700000000002</v>
      </c>
      <c r="BD1444" s="6">
        <v>0.96990200000000004</v>
      </c>
      <c r="BE1444" s="6"/>
      <c r="BF1444" s="6"/>
      <c r="BG1444" s="6"/>
      <c r="BH1444" s="6"/>
      <c r="BI1444" s="6"/>
      <c r="BJ1444" s="6"/>
      <c r="BK1444" s="6"/>
      <c r="BL1444" s="6"/>
      <c r="BM1444" s="6"/>
      <c r="BN1444" s="6" t="e">
        <f t="shared" si="111"/>
        <v>#DIV/0!</v>
      </c>
    </row>
    <row r="1445" spans="49:66" x14ac:dyDescent="0.3">
      <c r="AW1445">
        <f t="shared" si="110"/>
        <v>0</v>
      </c>
      <c r="AX1445">
        <v>1442</v>
      </c>
      <c r="AY1445" s="4">
        <f t="shared" si="108"/>
        <v>42319</v>
      </c>
      <c r="AZ1445" s="6" t="e">
        <f t="shared" si="109"/>
        <v>#DIV/0!</v>
      </c>
      <c r="BA1445" s="4">
        <v>42319</v>
      </c>
      <c r="BB1445" s="6">
        <v>1.0638999999999999E-2</v>
      </c>
      <c r="BC1445" s="6">
        <v>1.4476230000000001</v>
      </c>
      <c r="BD1445" s="6">
        <v>1.909656</v>
      </c>
      <c r="BE1445" s="6"/>
      <c r="BF1445" s="6"/>
      <c r="BG1445" s="6"/>
      <c r="BH1445" s="6"/>
      <c r="BI1445" s="6"/>
      <c r="BJ1445" s="6"/>
      <c r="BK1445" s="6"/>
      <c r="BL1445" s="6"/>
      <c r="BM1445" s="6"/>
      <c r="BN1445" s="6" t="e">
        <f t="shared" si="111"/>
        <v>#DIV/0!</v>
      </c>
    </row>
    <row r="1446" spans="49:66" x14ac:dyDescent="0.3">
      <c r="AW1446">
        <f t="shared" si="110"/>
        <v>0</v>
      </c>
      <c r="AX1446">
        <v>1443</v>
      </c>
      <c r="AY1446" s="4">
        <f t="shared" si="108"/>
        <v>42320</v>
      </c>
      <c r="AZ1446" s="6" t="e">
        <f t="shared" si="109"/>
        <v>#DIV/0!</v>
      </c>
      <c r="BA1446" s="4">
        <v>42320</v>
      </c>
      <c r="BB1446" s="6">
        <v>-0.99961199999999995</v>
      </c>
      <c r="BC1446" s="6">
        <v>-2.8815E-2</v>
      </c>
      <c r="BD1446" s="6">
        <v>0.342277</v>
      </c>
      <c r="BE1446" s="6"/>
      <c r="BF1446" s="6"/>
      <c r="BG1446" s="6"/>
      <c r="BH1446" s="6"/>
      <c r="BI1446" s="6"/>
      <c r="BJ1446" s="6"/>
      <c r="BK1446" s="6"/>
      <c r="BL1446" s="6"/>
      <c r="BM1446" s="6"/>
      <c r="BN1446" s="6" t="e">
        <f t="shared" si="111"/>
        <v>#DIV/0!</v>
      </c>
    </row>
    <row r="1447" spans="49:66" x14ac:dyDescent="0.3">
      <c r="AW1447">
        <f t="shared" si="110"/>
        <v>0</v>
      </c>
      <c r="AX1447">
        <v>1444</v>
      </c>
      <c r="AY1447" s="4">
        <f t="shared" si="108"/>
        <v>42321</v>
      </c>
      <c r="AZ1447" s="6" t="e">
        <f t="shared" si="109"/>
        <v>#DIV/0!</v>
      </c>
      <c r="BA1447" s="4">
        <v>42321</v>
      </c>
      <c r="BB1447" s="6">
        <v>-1.29322</v>
      </c>
      <c r="BC1447" s="6">
        <v>-1.5013920000000001</v>
      </c>
      <c r="BD1447" s="6">
        <v>-1.9764390000000001</v>
      </c>
      <c r="BE1447" s="6"/>
      <c r="BF1447" s="6"/>
      <c r="BG1447" s="6"/>
      <c r="BH1447" s="6"/>
      <c r="BI1447" s="6"/>
      <c r="BJ1447" s="6"/>
      <c r="BK1447" s="6"/>
      <c r="BL1447" s="6"/>
      <c r="BM1447" s="6"/>
      <c r="BN1447" s="6" t="e">
        <f t="shared" si="111"/>
        <v>#DIV/0!</v>
      </c>
    </row>
    <row r="1448" spans="49:66" x14ac:dyDescent="0.3">
      <c r="AW1448">
        <f t="shared" si="110"/>
        <v>0</v>
      </c>
      <c r="AX1448">
        <v>1445</v>
      </c>
      <c r="AY1448" s="4">
        <f t="shared" si="108"/>
        <v>42324</v>
      </c>
      <c r="AZ1448" s="6" t="e">
        <f t="shared" si="109"/>
        <v>#DIV/0!</v>
      </c>
      <c r="BA1448" s="4">
        <v>42324</v>
      </c>
      <c r="BB1448" s="6">
        <v>0.477385</v>
      </c>
      <c r="BC1448" s="6">
        <v>2.005347</v>
      </c>
      <c r="BD1448" s="6">
        <v>2.617162</v>
      </c>
      <c r="BE1448" s="6"/>
      <c r="BF1448" s="6"/>
      <c r="BG1448" s="6"/>
      <c r="BH1448" s="6"/>
      <c r="BI1448" s="6"/>
      <c r="BJ1448" s="6"/>
      <c r="BK1448" s="6"/>
      <c r="BL1448" s="6"/>
      <c r="BM1448" s="6"/>
      <c r="BN1448" s="6" t="e">
        <f t="shared" si="111"/>
        <v>#DIV/0!</v>
      </c>
    </row>
    <row r="1449" spans="49:66" x14ac:dyDescent="0.3">
      <c r="AW1449">
        <f t="shared" si="110"/>
        <v>0</v>
      </c>
      <c r="AX1449">
        <v>1446</v>
      </c>
      <c r="AY1449" s="4">
        <f t="shared" si="108"/>
        <v>42325</v>
      </c>
      <c r="AZ1449" s="6" t="e">
        <f t="shared" si="109"/>
        <v>#DIV/0!</v>
      </c>
      <c r="BA1449" s="4">
        <v>42325</v>
      </c>
      <c r="BB1449" s="6">
        <v>-0.152474</v>
      </c>
      <c r="BC1449" s="6">
        <v>-0.88710100000000003</v>
      </c>
      <c r="BD1449" s="6">
        <v>-0.83747899999999997</v>
      </c>
      <c r="BE1449" s="6"/>
      <c r="BF1449" s="6"/>
      <c r="BG1449" s="6"/>
      <c r="BH1449" s="6"/>
      <c r="BI1449" s="6"/>
      <c r="BJ1449" s="6"/>
      <c r="BK1449" s="6"/>
      <c r="BL1449" s="6"/>
      <c r="BM1449" s="6"/>
      <c r="BN1449" s="6" t="e">
        <f t="shared" si="111"/>
        <v>#DIV/0!</v>
      </c>
    </row>
    <row r="1450" spans="49:66" x14ac:dyDescent="0.3">
      <c r="AW1450">
        <f t="shared" si="110"/>
        <v>0</v>
      </c>
      <c r="AX1450">
        <v>1447</v>
      </c>
      <c r="AY1450" s="4">
        <f t="shared" si="108"/>
        <v>42326</v>
      </c>
      <c r="AZ1450" s="6" t="e">
        <f t="shared" si="109"/>
        <v>#DIV/0!</v>
      </c>
      <c r="BA1450" s="4">
        <v>42326</v>
      </c>
      <c r="BB1450" s="6">
        <v>-1.138981</v>
      </c>
      <c r="BC1450" s="6">
        <v>-1.6135029999999999</v>
      </c>
      <c r="BD1450" s="6">
        <v>-1.7877940000000001</v>
      </c>
      <c r="BE1450" s="6"/>
      <c r="BF1450" s="6"/>
      <c r="BG1450" s="6"/>
      <c r="BH1450" s="6"/>
      <c r="BI1450" s="6"/>
      <c r="BJ1450" s="6"/>
      <c r="BK1450" s="6"/>
      <c r="BL1450" s="6"/>
      <c r="BM1450" s="6"/>
      <c r="BN1450" s="6" t="e">
        <f t="shared" si="111"/>
        <v>#DIV/0!</v>
      </c>
    </row>
    <row r="1451" spans="49:66" x14ac:dyDescent="0.3">
      <c r="AW1451">
        <f t="shared" si="110"/>
        <v>0</v>
      </c>
      <c r="AX1451">
        <v>1448</v>
      </c>
      <c r="AY1451" s="4">
        <f t="shared" si="108"/>
        <v>42327</v>
      </c>
      <c r="AZ1451" s="6" t="e">
        <f t="shared" si="109"/>
        <v>#DIV/0!</v>
      </c>
      <c r="BA1451" s="4">
        <v>42327</v>
      </c>
      <c r="BB1451" s="6">
        <v>1.5983890000000001</v>
      </c>
      <c r="BC1451" s="6">
        <v>2.546589</v>
      </c>
      <c r="BD1451" s="6">
        <v>3.088902</v>
      </c>
      <c r="BE1451" s="6"/>
      <c r="BF1451" s="6"/>
      <c r="BG1451" s="6"/>
      <c r="BH1451" s="6"/>
      <c r="BI1451" s="6"/>
      <c r="BJ1451" s="6"/>
      <c r="BK1451" s="6"/>
      <c r="BL1451" s="6"/>
      <c r="BM1451" s="6"/>
      <c r="BN1451" s="6" t="e">
        <f t="shared" si="111"/>
        <v>#DIV/0!</v>
      </c>
    </row>
    <row r="1452" spans="49:66" x14ac:dyDescent="0.3">
      <c r="AW1452">
        <f t="shared" si="110"/>
        <v>0</v>
      </c>
      <c r="AX1452">
        <v>1449</v>
      </c>
      <c r="AY1452" s="4">
        <f t="shared" si="108"/>
        <v>42328</v>
      </c>
      <c r="AZ1452" s="6" t="e">
        <f t="shared" si="109"/>
        <v>#DIV/0!</v>
      </c>
      <c r="BA1452" s="4">
        <v>42328</v>
      </c>
      <c r="BB1452" s="6">
        <v>-1.5514999999999999E-2</v>
      </c>
      <c r="BC1452" s="6">
        <v>1.135481</v>
      </c>
      <c r="BD1452" s="6">
        <v>2.0028800000000002</v>
      </c>
      <c r="BE1452" s="6"/>
      <c r="BF1452" s="6"/>
      <c r="BG1452" s="6"/>
      <c r="BH1452" s="6"/>
      <c r="BI1452" s="6"/>
      <c r="BJ1452" s="6"/>
      <c r="BK1452" s="6"/>
      <c r="BL1452" s="6"/>
      <c r="BM1452" s="6"/>
      <c r="BN1452" s="6" t="e">
        <f t="shared" si="111"/>
        <v>#DIV/0!</v>
      </c>
    </row>
    <row r="1453" spans="49:66" x14ac:dyDescent="0.3">
      <c r="AW1453">
        <f t="shared" si="110"/>
        <v>0</v>
      </c>
      <c r="AX1453">
        <v>1450</v>
      </c>
      <c r="AY1453" s="4">
        <f t="shared" si="108"/>
        <v>42331</v>
      </c>
      <c r="AZ1453" s="6" t="e">
        <f t="shared" si="109"/>
        <v>#DIV/0!</v>
      </c>
      <c r="BA1453" s="4">
        <v>42331</v>
      </c>
      <c r="BB1453" s="6">
        <v>-0.55765900000000002</v>
      </c>
      <c r="BC1453" s="6">
        <v>-0.79530100000000004</v>
      </c>
      <c r="BD1453" s="6">
        <v>-0.94731299999999996</v>
      </c>
      <c r="BE1453" s="6"/>
      <c r="BF1453" s="6"/>
      <c r="BG1453" s="6"/>
      <c r="BH1453" s="6"/>
      <c r="BI1453" s="6"/>
      <c r="BJ1453" s="6"/>
      <c r="BK1453" s="6"/>
      <c r="BL1453" s="6"/>
      <c r="BM1453" s="6"/>
      <c r="BN1453" s="6" t="e">
        <f t="shared" si="111"/>
        <v>#DIV/0!</v>
      </c>
    </row>
    <row r="1454" spans="49:66" x14ac:dyDescent="0.3">
      <c r="AW1454">
        <f t="shared" si="110"/>
        <v>0</v>
      </c>
      <c r="AX1454">
        <v>1451</v>
      </c>
      <c r="AY1454" s="4">
        <f t="shared" si="108"/>
        <v>42332</v>
      </c>
      <c r="AZ1454" s="6" t="e">
        <f t="shared" si="109"/>
        <v>#DIV/0!</v>
      </c>
      <c r="BA1454" s="4">
        <v>42332</v>
      </c>
      <c r="BB1454" s="6">
        <v>1.4749999999999999E-2</v>
      </c>
      <c r="BC1454" s="6">
        <v>0.70136900000000002</v>
      </c>
      <c r="BD1454" s="6">
        <v>1.142477</v>
      </c>
      <c r="BE1454" s="6"/>
      <c r="BF1454" s="6"/>
      <c r="BG1454" s="6"/>
      <c r="BH1454" s="6"/>
      <c r="BI1454" s="6"/>
      <c r="BJ1454" s="6"/>
      <c r="BK1454" s="6"/>
      <c r="BL1454" s="6"/>
      <c r="BM1454" s="6"/>
      <c r="BN1454" s="6" t="e">
        <f t="shared" si="111"/>
        <v>#DIV/0!</v>
      </c>
    </row>
    <row r="1455" spans="49:66" x14ac:dyDescent="0.3">
      <c r="AW1455">
        <f t="shared" si="110"/>
        <v>0</v>
      </c>
      <c r="AX1455">
        <v>1452</v>
      </c>
      <c r="AY1455" s="4">
        <f t="shared" si="108"/>
        <v>42333</v>
      </c>
      <c r="AZ1455" s="6" t="e">
        <f t="shared" si="109"/>
        <v>#DIV/0!</v>
      </c>
      <c r="BA1455" s="4">
        <v>42333</v>
      </c>
      <c r="BB1455" s="6">
        <v>0.73838599999999999</v>
      </c>
      <c r="BC1455" s="6">
        <v>1.5885959999999999</v>
      </c>
      <c r="BD1455" s="6">
        <v>2.2630949999999999</v>
      </c>
      <c r="BE1455" s="6"/>
      <c r="BF1455" s="6"/>
      <c r="BG1455" s="6"/>
      <c r="BH1455" s="6"/>
      <c r="BI1455" s="6"/>
      <c r="BJ1455" s="6"/>
      <c r="BK1455" s="6"/>
      <c r="BL1455" s="6"/>
      <c r="BM1455" s="6"/>
      <c r="BN1455" s="6" t="e">
        <f t="shared" si="111"/>
        <v>#DIV/0!</v>
      </c>
    </row>
    <row r="1456" spans="49:66" x14ac:dyDescent="0.3">
      <c r="AW1456">
        <f t="shared" si="110"/>
        <v>0</v>
      </c>
      <c r="AX1456">
        <v>1453</v>
      </c>
      <c r="AY1456" s="4">
        <f t="shared" si="108"/>
        <v>42334</v>
      </c>
      <c r="AZ1456" s="6" t="e">
        <f t="shared" si="109"/>
        <v>#DIV/0!</v>
      </c>
      <c r="BA1456" s="4">
        <v>42334</v>
      </c>
      <c r="BB1456" s="6">
        <v>-0.58647800000000005</v>
      </c>
      <c r="BC1456" s="6">
        <v>-0.60972099999999996</v>
      </c>
      <c r="BD1456" s="6">
        <v>-0.70563100000000001</v>
      </c>
      <c r="BE1456" s="6"/>
      <c r="BF1456" s="6"/>
      <c r="BG1456" s="6"/>
      <c r="BH1456" s="6"/>
      <c r="BI1456" s="6"/>
      <c r="BJ1456" s="6"/>
      <c r="BK1456" s="6"/>
      <c r="BL1456" s="6"/>
      <c r="BM1456" s="6"/>
      <c r="BN1456" s="6" t="e">
        <f t="shared" si="111"/>
        <v>#DIV/0!</v>
      </c>
    </row>
    <row r="1457" spans="49:66" x14ac:dyDescent="0.3">
      <c r="AW1457">
        <f t="shared" si="110"/>
        <v>0</v>
      </c>
      <c r="AX1457">
        <v>1454</v>
      </c>
      <c r="AY1457" s="4">
        <f t="shared" si="108"/>
        <v>42335</v>
      </c>
      <c r="AZ1457" s="6" t="e">
        <f t="shared" si="109"/>
        <v>#DIV/0!</v>
      </c>
      <c r="BA1457" s="4">
        <v>42335</v>
      </c>
      <c r="BB1457" s="6">
        <v>-5.38476</v>
      </c>
      <c r="BC1457" s="6">
        <v>-6.323982</v>
      </c>
      <c r="BD1457" s="6">
        <v>-6.4715860000000003</v>
      </c>
      <c r="BE1457" s="6"/>
      <c r="BF1457" s="6"/>
      <c r="BG1457" s="6"/>
      <c r="BH1457" s="6"/>
      <c r="BI1457" s="6"/>
      <c r="BJ1457" s="6"/>
      <c r="BK1457" s="6"/>
      <c r="BL1457" s="6"/>
      <c r="BM1457" s="6"/>
      <c r="BN1457" s="6" t="e">
        <f t="shared" si="111"/>
        <v>#DIV/0!</v>
      </c>
    </row>
    <row r="1458" spans="49:66" x14ac:dyDescent="0.3">
      <c r="AW1458">
        <f t="shared" si="110"/>
        <v>0</v>
      </c>
      <c r="AX1458">
        <v>1455</v>
      </c>
      <c r="AY1458" s="4">
        <f t="shared" si="108"/>
        <v>42338</v>
      </c>
      <c r="AZ1458" s="6" t="e">
        <f t="shared" si="109"/>
        <v>#DIV/0!</v>
      </c>
      <c r="BA1458" s="4">
        <v>42338</v>
      </c>
      <c r="BB1458" s="6">
        <v>0.26482499999999998</v>
      </c>
      <c r="BC1458" s="6">
        <v>0.437554</v>
      </c>
      <c r="BD1458" s="6">
        <v>0.68145500000000003</v>
      </c>
      <c r="BE1458" s="6"/>
      <c r="BF1458" s="6"/>
      <c r="BG1458" s="6"/>
      <c r="BH1458" s="6"/>
      <c r="BI1458" s="6"/>
      <c r="BJ1458" s="6"/>
      <c r="BK1458" s="6"/>
      <c r="BL1458" s="6"/>
      <c r="BM1458" s="6"/>
      <c r="BN1458" s="6" t="e">
        <f t="shared" si="111"/>
        <v>#DIV/0!</v>
      </c>
    </row>
    <row r="1459" spans="49:66" x14ac:dyDescent="0.3">
      <c r="AW1459">
        <f t="shared" si="110"/>
        <v>0</v>
      </c>
      <c r="AX1459">
        <v>1456</v>
      </c>
      <c r="AY1459" s="4">
        <f t="shared" si="108"/>
        <v>42339</v>
      </c>
      <c r="AZ1459" s="6" t="e">
        <f t="shared" si="109"/>
        <v>#DIV/0!</v>
      </c>
      <c r="BA1459" s="4">
        <v>42339</v>
      </c>
      <c r="BB1459" s="6">
        <v>0.70894199999999996</v>
      </c>
      <c r="BC1459" s="6">
        <v>0.47981200000000002</v>
      </c>
      <c r="BD1459" s="6">
        <v>-0.45977600000000002</v>
      </c>
      <c r="BE1459" s="6"/>
      <c r="BF1459" s="6"/>
      <c r="BG1459" s="6"/>
      <c r="BH1459" s="6"/>
      <c r="BI1459" s="6"/>
      <c r="BJ1459" s="6"/>
      <c r="BK1459" s="6"/>
      <c r="BL1459" s="6"/>
      <c r="BM1459" s="6"/>
      <c r="BN1459" s="6" t="e">
        <f t="shared" si="111"/>
        <v>#DIV/0!</v>
      </c>
    </row>
    <row r="1460" spans="49:66" x14ac:dyDescent="0.3">
      <c r="AW1460">
        <f t="shared" si="110"/>
        <v>0</v>
      </c>
      <c r="AX1460">
        <v>1457</v>
      </c>
      <c r="AY1460" s="4">
        <f t="shared" si="108"/>
        <v>42340</v>
      </c>
      <c r="AZ1460" s="6" t="e">
        <f t="shared" si="109"/>
        <v>#DIV/0!</v>
      </c>
      <c r="BA1460" s="4">
        <v>42340</v>
      </c>
      <c r="BB1460" s="6">
        <v>3.6266569999999998</v>
      </c>
      <c r="BC1460" s="6">
        <v>-0.51163199999999998</v>
      </c>
      <c r="BD1460" s="6">
        <v>-1.3374900000000001</v>
      </c>
      <c r="BE1460" s="6"/>
      <c r="BF1460" s="6"/>
      <c r="BG1460" s="6"/>
      <c r="BH1460" s="6"/>
      <c r="BI1460" s="6"/>
      <c r="BJ1460" s="6"/>
      <c r="BK1460" s="6"/>
      <c r="BL1460" s="6"/>
      <c r="BM1460" s="6"/>
      <c r="BN1460" s="6" t="e">
        <f t="shared" si="111"/>
        <v>#DIV/0!</v>
      </c>
    </row>
    <row r="1461" spans="49:66" x14ac:dyDescent="0.3">
      <c r="AW1461">
        <f t="shared" si="110"/>
        <v>0</v>
      </c>
      <c r="AX1461">
        <v>1458</v>
      </c>
      <c r="AY1461" s="4">
        <f t="shared" si="108"/>
        <v>42341</v>
      </c>
      <c r="AZ1461" s="6" t="e">
        <f t="shared" si="109"/>
        <v>#DIV/0!</v>
      </c>
      <c r="BA1461" s="4">
        <v>42341</v>
      </c>
      <c r="BB1461" s="6">
        <v>0.73466799999999999</v>
      </c>
      <c r="BC1461" s="6">
        <v>2.223214</v>
      </c>
      <c r="BD1461" s="6">
        <v>2.8592559999999998</v>
      </c>
      <c r="BE1461" s="6"/>
      <c r="BF1461" s="6"/>
      <c r="BG1461" s="6"/>
      <c r="BH1461" s="6"/>
      <c r="BI1461" s="6"/>
      <c r="BJ1461" s="6"/>
      <c r="BK1461" s="6"/>
      <c r="BL1461" s="6"/>
      <c r="BM1461" s="6"/>
      <c r="BN1461" s="6" t="e">
        <f t="shared" si="111"/>
        <v>#DIV/0!</v>
      </c>
    </row>
    <row r="1462" spans="49:66" x14ac:dyDescent="0.3">
      <c r="AW1462">
        <f t="shared" si="110"/>
        <v>0</v>
      </c>
      <c r="AX1462">
        <v>1459</v>
      </c>
      <c r="AY1462" s="4">
        <f t="shared" si="108"/>
        <v>42342</v>
      </c>
      <c r="AZ1462" s="6" t="e">
        <f t="shared" si="109"/>
        <v>#DIV/0!</v>
      </c>
      <c r="BA1462" s="4">
        <v>42342</v>
      </c>
      <c r="BB1462" s="6">
        <v>-1.9125259999999999</v>
      </c>
      <c r="BC1462" s="6">
        <v>-0.77713100000000002</v>
      </c>
      <c r="BD1462" s="6">
        <v>-0.21102399999999999</v>
      </c>
      <c r="BE1462" s="6"/>
      <c r="BF1462" s="6"/>
      <c r="BG1462" s="6"/>
      <c r="BH1462" s="6"/>
      <c r="BI1462" s="6"/>
      <c r="BJ1462" s="6"/>
      <c r="BK1462" s="6"/>
      <c r="BL1462" s="6"/>
      <c r="BM1462" s="6"/>
      <c r="BN1462" s="6" t="e">
        <f t="shared" si="111"/>
        <v>#DIV/0!</v>
      </c>
    </row>
    <row r="1463" spans="49:66" x14ac:dyDescent="0.3">
      <c r="AW1463">
        <f t="shared" si="110"/>
        <v>0</v>
      </c>
      <c r="AX1463">
        <v>1460</v>
      </c>
      <c r="AY1463" s="4">
        <f t="shared" si="108"/>
        <v>42345</v>
      </c>
      <c r="AZ1463" s="6" t="e">
        <f t="shared" si="109"/>
        <v>#DIV/0!</v>
      </c>
      <c r="BA1463" s="4">
        <v>42345</v>
      </c>
      <c r="BB1463" s="6">
        <v>0.27232800000000001</v>
      </c>
      <c r="BC1463" s="6">
        <v>1.2054929999999999</v>
      </c>
      <c r="BD1463" s="6">
        <v>1.5518019999999999</v>
      </c>
      <c r="BE1463" s="6"/>
      <c r="BF1463" s="6"/>
      <c r="BG1463" s="6"/>
      <c r="BH1463" s="6"/>
      <c r="BI1463" s="6"/>
      <c r="BJ1463" s="6"/>
      <c r="BK1463" s="6"/>
      <c r="BL1463" s="6"/>
      <c r="BM1463" s="6"/>
      <c r="BN1463" s="6" t="e">
        <f t="shared" si="111"/>
        <v>#DIV/0!</v>
      </c>
    </row>
    <row r="1464" spans="49:66" x14ac:dyDescent="0.3">
      <c r="AW1464">
        <f t="shared" si="110"/>
        <v>0</v>
      </c>
      <c r="AX1464">
        <v>1461</v>
      </c>
      <c r="AY1464" s="4">
        <f t="shared" si="108"/>
        <v>42346</v>
      </c>
      <c r="AZ1464" s="6" t="e">
        <f t="shared" si="109"/>
        <v>#DIV/0!</v>
      </c>
      <c r="BA1464" s="4">
        <v>42346</v>
      </c>
      <c r="BB1464" s="6">
        <v>-1.7514639999999999</v>
      </c>
      <c r="BC1464" s="6">
        <v>-2.605626</v>
      </c>
      <c r="BD1464" s="6">
        <v>-1.760902</v>
      </c>
      <c r="BE1464" s="6"/>
      <c r="BF1464" s="6"/>
      <c r="BG1464" s="6"/>
      <c r="BH1464" s="6"/>
      <c r="BI1464" s="6"/>
      <c r="BJ1464" s="6"/>
      <c r="BK1464" s="6"/>
      <c r="BL1464" s="6"/>
      <c r="BM1464" s="6"/>
      <c r="BN1464" s="6" t="e">
        <f t="shared" si="111"/>
        <v>#DIV/0!</v>
      </c>
    </row>
    <row r="1465" spans="49:66" x14ac:dyDescent="0.3">
      <c r="AW1465">
        <f t="shared" si="110"/>
        <v>0</v>
      </c>
      <c r="AX1465">
        <v>1462</v>
      </c>
      <c r="AY1465" s="4">
        <f t="shared" si="108"/>
        <v>42347</v>
      </c>
      <c r="AZ1465" s="6" t="e">
        <f t="shared" si="109"/>
        <v>#DIV/0!</v>
      </c>
      <c r="BA1465" s="4">
        <v>42347</v>
      </c>
      <c r="BB1465" s="6">
        <v>0.35655300000000001</v>
      </c>
      <c r="BC1465" s="6">
        <v>-0.403393</v>
      </c>
      <c r="BD1465" s="6">
        <v>-0.23408499999999999</v>
      </c>
      <c r="BE1465" s="6"/>
      <c r="BF1465" s="6"/>
      <c r="BG1465" s="6"/>
      <c r="BH1465" s="6"/>
      <c r="BI1465" s="6"/>
      <c r="BJ1465" s="6"/>
      <c r="BK1465" s="6"/>
      <c r="BL1465" s="6"/>
      <c r="BM1465" s="6"/>
      <c r="BN1465" s="6" t="e">
        <f t="shared" si="111"/>
        <v>#DIV/0!</v>
      </c>
    </row>
    <row r="1466" spans="49:66" x14ac:dyDescent="0.3">
      <c r="AW1466">
        <f t="shared" si="110"/>
        <v>0</v>
      </c>
      <c r="AX1466">
        <v>1463</v>
      </c>
      <c r="AY1466" s="4">
        <f t="shared" si="108"/>
        <v>42348</v>
      </c>
      <c r="AZ1466" s="6" t="e">
        <f t="shared" si="109"/>
        <v>#DIV/0!</v>
      </c>
      <c r="BA1466" s="4">
        <v>42348</v>
      </c>
      <c r="BB1466" s="6">
        <v>-0.35352600000000001</v>
      </c>
      <c r="BC1466" s="6">
        <v>-0.32632899999999998</v>
      </c>
      <c r="BD1466" s="6">
        <v>1.2508999999999999E-2</v>
      </c>
      <c r="BE1466" s="6"/>
      <c r="BF1466" s="6"/>
      <c r="BG1466" s="6"/>
      <c r="BH1466" s="6"/>
      <c r="BI1466" s="6"/>
      <c r="BJ1466" s="6"/>
      <c r="BK1466" s="6"/>
      <c r="BL1466" s="6"/>
      <c r="BM1466" s="6"/>
      <c r="BN1466" s="6" t="e">
        <f t="shared" si="111"/>
        <v>#DIV/0!</v>
      </c>
    </row>
    <row r="1467" spans="49:66" x14ac:dyDescent="0.3">
      <c r="AW1467">
        <f t="shared" si="110"/>
        <v>0</v>
      </c>
      <c r="AX1467">
        <v>1464</v>
      </c>
      <c r="AY1467" s="4">
        <f t="shared" si="108"/>
        <v>42349</v>
      </c>
      <c r="AZ1467" s="6" t="e">
        <f t="shared" si="109"/>
        <v>#DIV/0!</v>
      </c>
      <c r="BA1467" s="4">
        <v>42349</v>
      </c>
      <c r="BB1467" s="6">
        <v>-0.41471599999999997</v>
      </c>
      <c r="BC1467" s="6">
        <v>-0.80961099999999997</v>
      </c>
      <c r="BD1467" s="6">
        <v>-0.89012400000000003</v>
      </c>
      <c r="BE1467" s="6"/>
      <c r="BF1467" s="6"/>
      <c r="BG1467" s="6"/>
      <c r="BH1467" s="6"/>
      <c r="BI1467" s="6"/>
      <c r="BJ1467" s="6"/>
      <c r="BK1467" s="6"/>
      <c r="BL1467" s="6"/>
      <c r="BM1467" s="6"/>
      <c r="BN1467" s="6" t="e">
        <f t="shared" si="111"/>
        <v>#DIV/0!</v>
      </c>
    </row>
    <row r="1468" spans="49:66" x14ac:dyDescent="0.3">
      <c r="AW1468">
        <f t="shared" si="110"/>
        <v>0</v>
      </c>
      <c r="AX1468">
        <v>1465</v>
      </c>
      <c r="AY1468" s="4">
        <f t="shared" si="108"/>
        <v>42352</v>
      </c>
      <c r="AZ1468" s="6" t="e">
        <f t="shared" si="109"/>
        <v>#DIV/0!</v>
      </c>
      <c r="BA1468" s="4">
        <v>42352</v>
      </c>
      <c r="BB1468" s="6">
        <v>2.862018</v>
      </c>
      <c r="BC1468" s="6">
        <v>2.0619190000000001</v>
      </c>
      <c r="BD1468" s="6">
        <v>1.737171</v>
      </c>
      <c r="BE1468" s="6"/>
      <c r="BF1468" s="6"/>
      <c r="BG1468" s="6"/>
      <c r="BH1468" s="6"/>
      <c r="BI1468" s="6"/>
      <c r="BJ1468" s="6"/>
      <c r="BK1468" s="6"/>
      <c r="BL1468" s="6"/>
      <c r="BM1468" s="6"/>
      <c r="BN1468" s="6" t="e">
        <f t="shared" si="111"/>
        <v>#DIV/0!</v>
      </c>
    </row>
    <row r="1469" spans="49:66" x14ac:dyDescent="0.3">
      <c r="AW1469">
        <f t="shared" si="110"/>
        <v>0</v>
      </c>
      <c r="AX1469">
        <v>1466</v>
      </c>
      <c r="AY1469" s="4">
        <f t="shared" si="108"/>
        <v>42353</v>
      </c>
      <c r="AZ1469" s="6" t="e">
        <f t="shared" si="109"/>
        <v>#DIV/0!</v>
      </c>
      <c r="BA1469" s="4">
        <v>42353</v>
      </c>
      <c r="BB1469" s="6">
        <v>-0.456266</v>
      </c>
      <c r="BC1469" s="6">
        <v>0.76805500000000004</v>
      </c>
      <c r="BD1469" s="6">
        <v>1.576919</v>
      </c>
      <c r="BE1469" s="6"/>
      <c r="BF1469" s="6"/>
      <c r="BG1469" s="6"/>
      <c r="BH1469" s="6"/>
      <c r="BI1469" s="6"/>
      <c r="BJ1469" s="6"/>
      <c r="BK1469" s="6"/>
      <c r="BL1469" s="6"/>
      <c r="BM1469" s="6"/>
      <c r="BN1469" s="6" t="e">
        <f t="shared" si="111"/>
        <v>#DIV/0!</v>
      </c>
    </row>
    <row r="1470" spans="49:66" x14ac:dyDescent="0.3">
      <c r="AW1470">
        <f t="shared" si="110"/>
        <v>0</v>
      </c>
      <c r="AX1470">
        <v>1467</v>
      </c>
      <c r="AY1470" s="4">
        <f t="shared" si="108"/>
        <v>42354</v>
      </c>
      <c r="AZ1470" s="6" t="e">
        <f t="shared" si="109"/>
        <v>#DIV/0!</v>
      </c>
      <c r="BA1470" s="4">
        <v>42354</v>
      </c>
      <c r="BB1470" s="6">
        <v>-0.24222399999999999</v>
      </c>
      <c r="BC1470" s="6">
        <v>0.41638799999999998</v>
      </c>
      <c r="BD1470" s="6">
        <v>0.93165500000000001</v>
      </c>
      <c r="BE1470" s="6"/>
      <c r="BF1470" s="6"/>
      <c r="BG1470" s="6"/>
      <c r="BH1470" s="6"/>
      <c r="BI1470" s="6"/>
      <c r="BJ1470" s="6"/>
      <c r="BK1470" s="6"/>
      <c r="BL1470" s="6"/>
      <c r="BM1470" s="6"/>
      <c r="BN1470" s="6" t="e">
        <f t="shared" si="111"/>
        <v>#DIV/0!</v>
      </c>
    </row>
    <row r="1471" spans="49:66" x14ac:dyDescent="0.3">
      <c r="AW1471">
        <f t="shared" si="110"/>
        <v>0</v>
      </c>
      <c r="AX1471">
        <v>1468</v>
      </c>
      <c r="AY1471" s="4">
        <f t="shared" si="108"/>
        <v>42355</v>
      </c>
      <c r="AZ1471" s="6" t="e">
        <f t="shared" si="109"/>
        <v>#DIV/0!</v>
      </c>
      <c r="BA1471" s="4">
        <v>42355</v>
      </c>
      <c r="BB1471" s="6">
        <v>1.91153</v>
      </c>
      <c r="BC1471" s="6">
        <v>2.4815140000000002</v>
      </c>
      <c r="BD1471" s="6">
        <v>2.947044</v>
      </c>
      <c r="BE1471" s="6"/>
      <c r="BF1471" s="6"/>
      <c r="BG1471" s="6"/>
      <c r="BH1471" s="6"/>
      <c r="BI1471" s="6"/>
      <c r="BJ1471" s="6"/>
      <c r="BK1471" s="6"/>
      <c r="BL1471" s="6"/>
      <c r="BM1471" s="6"/>
      <c r="BN1471" s="6" t="e">
        <f t="shared" si="111"/>
        <v>#DIV/0!</v>
      </c>
    </row>
    <row r="1472" spans="49:66" x14ac:dyDescent="0.3">
      <c r="AW1472">
        <f t="shared" si="110"/>
        <v>0</v>
      </c>
      <c r="AX1472">
        <v>1469</v>
      </c>
      <c r="AY1472" s="4">
        <f t="shared" si="108"/>
        <v>42356</v>
      </c>
      <c r="AZ1472" s="6" t="e">
        <f t="shared" si="109"/>
        <v>#DIV/0!</v>
      </c>
      <c r="BA1472" s="4">
        <v>42356</v>
      </c>
      <c r="BB1472" s="6">
        <v>0.320156</v>
      </c>
      <c r="BC1472" s="6">
        <v>-0.21870700000000001</v>
      </c>
      <c r="BD1472" s="6">
        <v>-0.46809200000000001</v>
      </c>
      <c r="BE1472" s="6"/>
      <c r="BF1472" s="6"/>
      <c r="BG1472" s="6"/>
      <c r="BH1472" s="6"/>
      <c r="BI1472" s="6"/>
      <c r="BJ1472" s="6"/>
      <c r="BK1472" s="6"/>
      <c r="BL1472" s="6"/>
      <c r="BM1472" s="6"/>
      <c r="BN1472" s="6" t="e">
        <f t="shared" si="111"/>
        <v>#DIV/0!</v>
      </c>
    </row>
    <row r="1473" spans="49:66" x14ac:dyDescent="0.3">
      <c r="AW1473">
        <f t="shared" si="110"/>
        <v>0</v>
      </c>
      <c r="AX1473">
        <v>1470</v>
      </c>
      <c r="AY1473" s="4">
        <f t="shared" si="108"/>
        <v>42359</v>
      </c>
      <c r="AZ1473" s="6" t="e">
        <f t="shared" si="109"/>
        <v>#DIV/0!</v>
      </c>
      <c r="BA1473" s="4">
        <v>42359</v>
      </c>
      <c r="BB1473" s="6">
        <v>2.6022949999999998</v>
      </c>
      <c r="BC1473" s="6">
        <v>1.158458</v>
      </c>
      <c r="BD1473" s="6">
        <v>0.65512800000000004</v>
      </c>
      <c r="BE1473" s="6"/>
      <c r="BF1473" s="6"/>
      <c r="BG1473" s="6"/>
      <c r="BH1473" s="6"/>
      <c r="BI1473" s="6"/>
      <c r="BJ1473" s="6"/>
      <c r="BK1473" s="6"/>
      <c r="BL1473" s="6"/>
      <c r="BM1473" s="6"/>
      <c r="BN1473" s="6" t="e">
        <f t="shared" si="111"/>
        <v>#DIV/0!</v>
      </c>
    </row>
    <row r="1474" spans="49:66" x14ac:dyDescent="0.3">
      <c r="AW1474">
        <f t="shared" si="110"/>
        <v>0</v>
      </c>
      <c r="AX1474">
        <v>1471</v>
      </c>
      <c r="AY1474" s="4">
        <f t="shared" si="108"/>
        <v>42360</v>
      </c>
      <c r="AZ1474" s="6" t="e">
        <f t="shared" si="109"/>
        <v>#DIV/0!</v>
      </c>
      <c r="BA1474" s="4">
        <v>42360</v>
      </c>
      <c r="BB1474" s="6">
        <v>0.27851999999999999</v>
      </c>
      <c r="BC1474" s="6">
        <v>0.873641</v>
      </c>
      <c r="BD1474" s="6">
        <v>1.0246379999999999</v>
      </c>
      <c r="BE1474" s="6"/>
      <c r="BF1474" s="6"/>
      <c r="BG1474" s="6"/>
      <c r="BH1474" s="6"/>
      <c r="BI1474" s="6"/>
      <c r="BJ1474" s="6"/>
      <c r="BK1474" s="6"/>
      <c r="BL1474" s="6"/>
      <c r="BM1474" s="6"/>
      <c r="BN1474" s="6" t="e">
        <f t="shared" si="111"/>
        <v>#DIV/0!</v>
      </c>
    </row>
    <row r="1475" spans="49:66" x14ac:dyDescent="0.3">
      <c r="AW1475">
        <f t="shared" si="110"/>
        <v>0</v>
      </c>
      <c r="AX1475">
        <v>1472</v>
      </c>
      <c r="AY1475" s="4">
        <f t="shared" si="108"/>
        <v>42361</v>
      </c>
      <c r="AZ1475" s="6" t="e">
        <f t="shared" si="109"/>
        <v>#DIV/0!</v>
      </c>
      <c r="BA1475" s="4">
        <v>42361</v>
      </c>
      <c r="BB1475" s="6">
        <v>-0.26700600000000002</v>
      </c>
      <c r="BC1475" s="6">
        <v>-1.0605800000000001</v>
      </c>
      <c r="BD1475" s="6">
        <v>-1.582746</v>
      </c>
      <c r="BE1475" s="6"/>
      <c r="BF1475" s="6"/>
      <c r="BG1475" s="6"/>
      <c r="BH1475" s="6"/>
      <c r="BI1475" s="6"/>
      <c r="BJ1475" s="6"/>
      <c r="BK1475" s="6"/>
      <c r="BL1475" s="6"/>
      <c r="BM1475" s="6"/>
      <c r="BN1475" s="6" t="e">
        <f t="shared" si="111"/>
        <v>#DIV/0!</v>
      </c>
    </row>
    <row r="1476" spans="49:66" x14ac:dyDescent="0.3">
      <c r="AW1476">
        <f t="shared" si="110"/>
        <v>0</v>
      </c>
      <c r="AX1476">
        <v>1473</v>
      </c>
      <c r="AY1476" s="4">
        <f t="shared" si="108"/>
        <v>42362</v>
      </c>
      <c r="AZ1476" s="6" t="e">
        <f t="shared" si="109"/>
        <v>#DIV/0!</v>
      </c>
      <c r="BA1476" s="4">
        <v>42362</v>
      </c>
      <c r="BB1476" s="6">
        <v>-0.95642899999999997</v>
      </c>
      <c r="BC1476" s="6">
        <v>-0.26045400000000002</v>
      </c>
      <c r="BD1476" s="6">
        <v>-4.6718000000000003E-2</v>
      </c>
      <c r="BE1476" s="6"/>
      <c r="BF1476" s="6"/>
      <c r="BG1476" s="6"/>
      <c r="BH1476" s="6"/>
      <c r="BI1476" s="6"/>
      <c r="BJ1476" s="6"/>
      <c r="BK1476" s="6"/>
      <c r="BL1476" s="6"/>
      <c r="BM1476" s="6"/>
      <c r="BN1476" s="6" t="e">
        <f t="shared" si="111"/>
        <v>#DIV/0!</v>
      </c>
    </row>
    <row r="1477" spans="49:66" x14ac:dyDescent="0.3">
      <c r="AW1477">
        <f t="shared" si="110"/>
        <v>0</v>
      </c>
      <c r="AX1477">
        <v>1474</v>
      </c>
      <c r="AY1477" s="4">
        <f t="shared" ref="AY1477:AY1540" si="112">BA1477</f>
        <v>42363</v>
      </c>
      <c r="AZ1477" s="6" t="e">
        <f t="shared" ref="AZ1477:AZ1540" si="113">BN1477</f>
        <v>#DIV/0!</v>
      </c>
      <c r="BA1477" s="4">
        <v>42363</v>
      </c>
      <c r="BB1477" s="6">
        <v>0.22977</v>
      </c>
      <c r="BC1477" s="6">
        <v>0.50416000000000005</v>
      </c>
      <c r="BD1477" s="6">
        <v>0.88215699999999997</v>
      </c>
      <c r="BE1477" s="6"/>
      <c r="BF1477" s="6"/>
      <c r="BG1477" s="6"/>
      <c r="BH1477" s="6"/>
      <c r="BI1477" s="6"/>
      <c r="BJ1477" s="6"/>
      <c r="BK1477" s="6"/>
      <c r="BL1477" s="6"/>
      <c r="BM1477" s="6"/>
      <c r="BN1477" s="6" t="e">
        <f t="shared" si="111"/>
        <v>#DIV/0!</v>
      </c>
    </row>
    <row r="1478" spans="49:66" x14ac:dyDescent="0.3">
      <c r="AW1478">
        <f t="shared" ref="AW1478:AW1541" si="114">IF(AY1478&lt;=AY1477,1,0)</f>
        <v>0</v>
      </c>
      <c r="AX1478">
        <v>1475</v>
      </c>
      <c r="AY1478" s="4">
        <f t="shared" si="112"/>
        <v>42366</v>
      </c>
      <c r="AZ1478" s="6" t="e">
        <f t="shared" si="113"/>
        <v>#DIV/0!</v>
      </c>
      <c r="BA1478" s="4">
        <v>42366</v>
      </c>
      <c r="BB1478" s="6">
        <v>-2.8807610000000001</v>
      </c>
      <c r="BC1478" s="6">
        <v>-2.4224909999999999</v>
      </c>
      <c r="BD1478" s="6">
        <v>-1.9728749999999999</v>
      </c>
      <c r="BE1478" s="6"/>
      <c r="BF1478" s="6"/>
      <c r="BG1478" s="6"/>
      <c r="BH1478" s="6"/>
      <c r="BI1478" s="6"/>
      <c r="BJ1478" s="6"/>
      <c r="BK1478" s="6"/>
      <c r="BL1478" s="6"/>
      <c r="BM1478" s="6"/>
      <c r="BN1478" s="6" t="e">
        <f t="shared" ref="BN1478:BN1541" si="115">(BM1478/BM1477-1)*100</f>
        <v>#DIV/0!</v>
      </c>
    </row>
    <row r="1479" spans="49:66" x14ac:dyDescent="0.3">
      <c r="AW1479">
        <f t="shared" si="114"/>
        <v>0</v>
      </c>
      <c r="AX1479">
        <v>1476</v>
      </c>
      <c r="AY1479" s="4">
        <f t="shared" si="112"/>
        <v>42367</v>
      </c>
      <c r="AZ1479" s="6" t="e">
        <f t="shared" si="113"/>
        <v>#DIV/0!</v>
      </c>
      <c r="BA1479" s="4">
        <v>42367</v>
      </c>
      <c r="BB1479" s="6">
        <v>0.918624</v>
      </c>
      <c r="BC1479" s="6">
        <v>0.93415499999999996</v>
      </c>
      <c r="BD1479" s="6">
        <v>1.315671</v>
      </c>
      <c r="BE1479" s="6"/>
      <c r="BF1479" s="6"/>
      <c r="BG1479" s="6"/>
      <c r="BH1479" s="6"/>
      <c r="BI1479" s="6"/>
      <c r="BJ1479" s="6"/>
      <c r="BK1479" s="6"/>
      <c r="BL1479" s="6"/>
      <c r="BM1479" s="6"/>
      <c r="BN1479" s="6" t="e">
        <f t="shared" si="115"/>
        <v>#DIV/0!</v>
      </c>
    </row>
    <row r="1480" spans="49:66" x14ac:dyDescent="0.3">
      <c r="AW1480">
        <f t="shared" si="114"/>
        <v>0</v>
      </c>
      <c r="AX1480">
        <v>1477</v>
      </c>
      <c r="AY1480" s="4">
        <f t="shared" si="112"/>
        <v>42368</v>
      </c>
      <c r="AZ1480" s="6" t="e">
        <f t="shared" si="113"/>
        <v>#DIV/0!</v>
      </c>
      <c r="BA1480" s="4">
        <v>42368</v>
      </c>
      <c r="BB1480" s="6">
        <v>8.7741E-2</v>
      </c>
      <c r="BC1480" s="6">
        <v>0.86859200000000003</v>
      </c>
      <c r="BD1480" s="6">
        <v>1.436077</v>
      </c>
      <c r="BE1480" s="6"/>
      <c r="BF1480" s="6"/>
      <c r="BG1480" s="6"/>
      <c r="BH1480" s="6"/>
      <c r="BI1480" s="6"/>
      <c r="BJ1480" s="6"/>
      <c r="BK1480" s="6"/>
      <c r="BL1480" s="6"/>
      <c r="BM1480" s="6"/>
      <c r="BN1480" s="6" t="e">
        <f t="shared" si="115"/>
        <v>#DIV/0!</v>
      </c>
    </row>
    <row r="1481" spans="49:66" x14ac:dyDescent="0.3">
      <c r="AW1481">
        <f t="shared" si="114"/>
        <v>0</v>
      </c>
      <c r="AX1481">
        <v>1478</v>
      </c>
      <c r="AY1481" s="4">
        <f t="shared" si="112"/>
        <v>42369</v>
      </c>
      <c r="AZ1481" s="6" t="e">
        <f t="shared" si="113"/>
        <v>#DIV/0!</v>
      </c>
      <c r="BA1481" s="4">
        <v>42369</v>
      </c>
      <c r="BB1481" s="6">
        <v>-0.90754100000000004</v>
      </c>
      <c r="BC1481" s="6">
        <v>-1.5935600000000001</v>
      </c>
      <c r="BD1481" s="6">
        <v>-1.779687</v>
      </c>
      <c r="BE1481" s="6"/>
      <c r="BF1481" s="6"/>
      <c r="BG1481" s="6"/>
      <c r="BH1481" s="6"/>
      <c r="BI1481" s="6"/>
      <c r="BJ1481" s="6"/>
      <c r="BK1481" s="6"/>
      <c r="BL1481" s="6"/>
      <c r="BM1481" s="6"/>
      <c r="BN1481" s="6" t="e">
        <f t="shared" si="115"/>
        <v>#DIV/0!</v>
      </c>
    </row>
    <row r="1482" spans="49:66" x14ac:dyDescent="0.3">
      <c r="AW1482">
        <f t="shared" si="114"/>
        <v>0</v>
      </c>
      <c r="AX1482">
        <v>1479</v>
      </c>
      <c r="AY1482" s="4">
        <f t="shared" si="112"/>
        <v>42373</v>
      </c>
      <c r="AZ1482" s="6" t="e">
        <f t="shared" si="113"/>
        <v>#DIV/0!</v>
      </c>
      <c r="BA1482" s="4">
        <v>42373</v>
      </c>
      <c r="BB1482" s="6">
        <v>-7.0205890000000002</v>
      </c>
      <c r="BC1482" s="6">
        <v>-8.3264700000000005</v>
      </c>
      <c r="BD1482" s="6">
        <v>-8.6631750000000007</v>
      </c>
      <c r="BE1482" s="6"/>
      <c r="BF1482" s="6"/>
      <c r="BG1482" s="6"/>
      <c r="BH1482" s="6"/>
      <c r="BI1482" s="6"/>
      <c r="BJ1482" s="6"/>
      <c r="BK1482" s="6"/>
      <c r="BL1482" s="6"/>
      <c r="BM1482" s="6"/>
      <c r="BN1482" s="6" t="e">
        <f t="shared" si="115"/>
        <v>#DIV/0!</v>
      </c>
    </row>
    <row r="1483" spans="49:66" x14ac:dyDescent="0.3">
      <c r="AW1483">
        <f t="shared" si="114"/>
        <v>0</v>
      </c>
      <c r="AX1483">
        <v>1480</v>
      </c>
      <c r="AY1483" s="4">
        <f t="shared" si="112"/>
        <v>42374</v>
      </c>
      <c r="AZ1483" s="6" t="e">
        <f t="shared" si="113"/>
        <v>#DIV/0!</v>
      </c>
      <c r="BA1483" s="4">
        <v>42374</v>
      </c>
      <c r="BB1483" s="6">
        <v>0.280003</v>
      </c>
      <c r="BC1483" s="6">
        <v>-1.3412230000000001</v>
      </c>
      <c r="BD1483" s="6">
        <v>-2.5043820000000001</v>
      </c>
      <c r="BE1483" s="6"/>
      <c r="BF1483" s="6"/>
      <c r="BG1483" s="6"/>
      <c r="BH1483" s="6"/>
      <c r="BI1483" s="6"/>
      <c r="BJ1483" s="6"/>
      <c r="BK1483" s="6"/>
      <c r="BL1483" s="6"/>
      <c r="BM1483" s="6"/>
      <c r="BN1483" s="6" t="e">
        <f t="shared" si="115"/>
        <v>#DIV/0!</v>
      </c>
    </row>
    <row r="1484" spans="49:66" x14ac:dyDescent="0.3">
      <c r="AW1484">
        <f t="shared" si="114"/>
        <v>0</v>
      </c>
      <c r="AX1484">
        <v>1481</v>
      </c>
      <c r="AY1484" s="4">
        <f t="shared" si="112"/>
        <v>42375</v>
      </c>
      <c r="AZ1484" s="6" t="e">
        <f t="shared" si="113"/>
        <v>#DIV/0!</v>
      </c>
      <c r="BA1484" s="4">
        <v>42375</v>
      </c>
      <c r="BB1484" s="6">
        <v>1.754308</v>
      </c>
      <c r="BC1484" s="6">
        <v>2.5525690000000001</v>
      </c>
      <c r="BD1484" s="6">
        <v>2.7245819999999998</v>
      </c>
      <c r="BE1484" s="6"/>
      <c r="BF1484" s="6"/>
      <c r="BG1484" s="6"/>
      <c r="BH1484" s="6"/>
      <c r="BI1484" s="6"/>
      <c r="BJ1484" s="6"/>
      <c r="BK1484" s="6"/>
      <c r="BL1484" s="6"/>
      <c r="BM1484" s="6"/>
      <c r="BN1484" s="6" t="e">
        <f t="shared" si="115"/>
        <v>#DIV/0!</v>
      </c>
    </row>
    <row r="1485" spans="49:66" x14ac:dyDescent="0.3">
      <c r="AW1485">
        <f t="shared" si="114"/>
        <v>0</v>
      </c>
      <c r="AX1485">
        <v>1482</v>
      </c>
      <c r="AY1485" s="4">
        <f t="shared" si="112"/>
        <v>42376</v>
      </c>
      <c r="AZ1485" s="6" t="e">
        <f t="shared" si="113"/>
        <v>#DIV/0!</v>
      </c>
      <c r="BA1485" s="4">
        <v>42376</v>
      </c>
      <c r="BB1485" s="6">
        <v>-6.9332649999999996</v>
      </c>
      <c r="BC1485" s="6">
        <v>-8.5394509999999997</v>
      </c>
      <c r="BD1485" s="6">
        <v>-8.7859490000000005</v>
      </c>
      <c r="BE1485" s="6"/>
      <c r="BF1485" s="6"/>
      <c r="BG1485" s="6"/>
      <c r="BH1485" s="6"/>
      <c r="BI1485" s="6"/>
      <c r="BJ1485" s="6"/>
      <c r="BK1485" s="6"/>
      <c r="BL1485" s="6"/>
      <c r="BM1485" s="6"/>
      <c r="BN1485" s="6" t="e">
        <f t="shared" si="115"/>
        <v>#DIV/0!</v>
      </c>
    </row>
    <row r="1486" spans="49:66" x14ac:dyDescent="0.3">
      <c r="AW1486">
        <f t="shared" si="114"/>
        <v>0</v>
      </c>
      <c r="AX1486">
        <v>1483</v>
      </c>
      <c r="AY1486" s="4">
        <f t="shared" si="112"/>
        <v>42377</v>
      </c>
      <c r="AZ1486" s="6" t="e">
        <f t="shared" si="113"/>
        <v>#DIV/0!</v>
      </c>
      <c r="BA1486" s="4">
        <v>42377</v>
      </c>
      <c r="BB1486" s="6">
        <v>2.0392070000000002</v>
      </c>
      <c r="BC1486" s="6">
        <v>1.6741680000000001</v>
      </c>
      <c r="BD1486" s="6">
        <v>0.22312699999999999</v>
      </c>
      <c r="BE1486" s="6"/>
      <c r="BF1486" s="6"/>
      <c r="BG1486" s="6"/>
      <c r="BH1486" s="6"/>
      <c r="BI1486" s="6"/>
      <c r="BJ1486" s="6"/>
      <c r="BK1486" s="6"/>
      <c r="BL1486" s="6"/>
      <c r="BM1486" s="6"/>
      <c r="BN1486" s="6" t="e">
        <f t="shared" si="115"/>
        <v>#DIV/0!</v>
      </c>
    </row>
    <row r="1487" spans="49:66" x14ac:dyDescent="0.3">
      <c r="AW1487">
        <f t="shared" si="114"/>
        <v>0</v>
      </c>
      <c r="AX1487">
        <v>1484</v>
      </c>
      <c r="AY1487" s="4">
        <f t="shared" si="112"/>
        <v>42380</v>
      </c>
      <c r="AZ1487" s="6" t="e">
        <f t="shared" si="113"/>
        <v>#DIV/0!</v>
      </c>
      <c r="BA1487" s="4">
        <v>42380</v>
      </c>
      <c r="BB1487" s="6">
        <v>-5.0307930000000001</v>
      </c>
      <c r="BC1487" s="6">
        <v>-6.7236950000000002</v>
      </c>
      <c r="BD1487" s="6">
        <v>-7.5609679999999999</v>
      </c>
      <c r="BE1487" s="6"/>
      <c r="BF1487" s="6"/>
      <c r="BG1487" s="6"/>
      <c r="BH1487" s="6"/>
      <c r="BI1487" s="6"/>
      <c r="BJ1487" s="6"/>
      <c r="BK1487" s="6"/>
      <c r="BL1487" s="6"/>
      <c r="BM1487" s="6"/>
      <c r="BN1487" s="6" t="e">
        <f t="shared" si="115"/>
        <v>#DIV/0!</v>
      </c>
    </row>
    <row r="1488" spans="49:66" x14ac:dyDescent="0.3">
      <c r="AW1488">
        <f t="shared" si="114"/>
        <v>0</v>
      </c>
      <c r="AX1488">
        <v>1485</v>
      </c>
      <c r="AY1488" s="4">
        <f t="shared" si="112"/>
        <v>42381</v>
      </c>
      <c r="AZ1488" s="6" t="e">
        <f t="shared" si="113"/>
        <v>#DIV/0!</v>
      </c>
      <c r="BA1488" s="4">
        <v>42381</v>
      </c>
      <c r="BB1488" s="6">
        <v>0.72859399999999996</v>
      </c>
      <c r="BC1488" s="6">
        <v>0.13065499999999999</v>
      </c>
      <c r="BD1488" s="6">
        <v>-0.20916399999999999</v>
      </c>
      <c r="BE1488" s="6"/>
      <c r="BF1488" s="6"/>
      <c r="BG1488" s="6"/>
      <c r="BH1488" s="6"/>
      <c r="BI1488" s="6"/>
      <c r="BJ1488" s="6"/>
      <c r="BK1488" s="6"/>
      <c r="BL1488" s="6"/>
      <c r="BM1488" s="6"/>
      <c r="BN1488" s="6" t="e">
        <f t="shared" si="115"/>
        <v>#DIV/0!</v>
      </c>
    </row>
    <row r="1489" spans="49:66" x14ac:dyDescent="0.3">
      <c r="AW1489">
        <f t="shared" si="114"/>
        <v>0</v>
      </c>
      <c r="AX1489">
        <v>1486</v>
      </c>
      <c r="AY1489" s="4">
        <f t="shared" si="112"/>
        <v>42382</v>
      </c>
      <c r="AZ1489" s="6" t="e">
        <f t="shared" si="113"/>
        <v>#DIV/0!</v>
      </c>
      <c r="BA1489" s="4">
        <v>42382</v>
      </c>
      <c r="BB1489" s="6">
        <v>-1.8605910000000001</v>
      </c>
      <c r="BC1489" s="6">
        <v>-3.4647359999999998</v>
      </c>
      <c r="BD1489" s="6">
        <v>-4.2970030000000001</v>
      </c>
      <c r="BE1489" s="6"/>
      <c r="BF1489" s="6"/>
      <c r="BG1489" s="6"/>
      <c r="BH1489" s="6"/>
      <c r="BI1489" s="6"/>
      <c r="BJ1489" s="6"/>
      <c r="BK1489" s="6"/>
      <c r="BL1489" s="6"/>
      <c r="BM1489" s="6"/>
      <c r="BN1489" s="6" t="e">
        <f t="shared" si="115"/>
        <v>#DIV/0!</v>
      </c>
    </row>
    <row r="1490" spans="49:66" x14ac:dyDescent="0.3">
      <c r="AW1490">
        <f t="shared" si="114"/>
        <v>0</v>
      </c>
      <c r="AX1490">
        <v>1487</v>
      </c>
      <c r="AY1490" s="4">
        <f t="shared" si="112"/>
        <v>42383</v>
      </c>
      <c r="AZ1490" s="6" t="e">
        <f t="shared" si="113"/>
        <v>#DIV/0!</v>
      </c>
      <c r="BA1490" s="4">
        <v>42383</v>
      </c>
      <c r="BB1490" s="6">
        <v>2.0815980000000001</v>
      </c>
      <c r="BC1490" s="6">
        <v>3.3891749999999998</v>
      </c>
      <c r="BD1490" s="6">
        <v>4.1042529999999999</v>
      </c>
      <c r="BE1490" s="6"/>
      <c r="BF1490" s="6"/>
      <c r="BG1490" s="6"/>
      <c r="BH1490" s="6"/>
      <c r="BI1490" s="6"/>
      <c r="BJ1490" s="6"/>
      <c r="BK1490" s="6"/>
      <c r="BL1490" s="6"/>
      <c r="BM1490" s="6"/>
      <c r="BN1490" s="6" t="e">
        <f t="shared" si="115"/>
        <v>#DIV/0!</v>
      </c>
    </row>
    <row r="1491" spans="49:66" x14ac:dyDescent="0.3">
      <c r="AW1491">
        <f t="shared" si="114"/>
        <v>0</v>
      </c>
      <c r="AX1491">
        <v>1488</v>
      </c>
      <c r="AY1491" s="4">
        <f t="shared" si="112"/>
        <v>42384</v>
      </c>
      <c r="AZ1491" s="6" t="e">
        <f t="shared" si="113"/>
        <v>#DIV/0!</v>
      </c>
      <c r="BA1491" s="4">
        <v>42384</v>
      </c>
      <c r="BB1491" s="6">
        <v>-3.1922709999999999</v>
      </c>
      <c r="BC1491" s="6">
        <v>-3.7738040000000002</v>
      </c>
      <c r="BD1491" s="6">
        <v>-3.5496310000000002</v>
      </c>
      <c r="BE1491" s="6"/>
      <c r="BF1491" s="6"/>
      <c r="BG1491" s="6"/>
      <c r="BH1491" s="6"/>
      <c r="BI1491" s="6"/>
      <c r="BJ1491" s="6"/>
      <c r="BK1491" s="6"/>
      <c r="BL1491" s="6"/>
      <c r="BM1491" s="6"/>
      <c r="BN1491" s="6" t="e">
        <f t="shared" si="115"/>
        <v>#DIV/0!</v>
      </c>
    </row>
    <row r="1492" spans="49:66" x14ac:dyDescent="0.3">
      <c r="AW1492">
        <f t="shared" si="114"/>
        <v>0</v>
      </c>
      <c r="AX1492">
        <v>1489</v>
      </c>
      <c r="AY1492" s="4">
        <f t="shared" si="112"/>
        <v>42387</v>
      </c>
      <c r="AZ1492" s="6" t="e">
        <f t="shared" si="113"/>
        <v>#DIV/0!</v>
      </c>
      <c r="BA1492" s="4">
        <v>42387</v>
      </c>
      <c r="BB1492" s="6">
        <v>0.38473400000000002</v>
      </c>
      <c r="BC1492" s="6">
        <v>1.446059</v>
      </c>
      <c r="BD1492" s="6">
        <v>2.4492560000000001</v>
      </c>
      <c r="BE1492" s="6"/>
      <c r="BF1492" s="6"/>
      <c r="BG1492" s="6"/>
      <c r="BH1492" s="6"/>
      <c r="BI1492" s="6"/>
      <c r="BJ1492" s="6"/>
      <c r="BK1492" s="6"/>
      <c r="BL1492" s="6"/>
      <c r="BM1492" s="6"/>
      <c r="BN1492" s="6" t="e">
        <f t="shared" si="115"/>
        <v>#DIV/0!</v>
      </c>
    </row>
    <row r="1493" spans="49:66" x14ac:dyDescent="0.3">
      <c r="AW1493">
        <f t="shared" si="114"/>
        <v>0</v>
      </c>
      <c r="AX1493">
        <v>1490</v>
      </c>
      <c r="AY1493" s="4">
        <f t="shared" si="112"/>
        <v>42388</v>
      </c>
      <c r="AZ1493" s="6" t="e">
        <f t="shared" si="113"/>
        <v>#DIV/0!</v>
      </c>
      <c r="BA1493" s="4">
        <v>42388</v>
      </c>
      <c r="BB1493" s="6">
        <v>2.9512679999999998</v>
      </c>
      <c r="BC1493" s="6">
        <v>3.6492800000000001</v>
      </c>
      <c r="BD1493" s="6">
        <v>4.0628859999999998</v>
      </c>
      <c r="BE1493" s="6"/>
      <c r="BF1493" s="6"/>
      <c r="BG1493" s="6"/>
      <c r="BH1493" s="6"/>
      <c r="BI1493" s="6"/>
      <c r="BJ1493" s="6"/>
      <c r="BK1493" s="6"/>
      <c r="BL1493" s="6"/>
      <c r="BM1493" s="6"/>
      <c r="BN1493" s="6" t="e">
        <f t="shared" si="115"/>
        <v>#DIV/0!</v>
      </c>
    </row>
    <row r="1494" spans="49:66" x14ac:dyDescent="0.3">
      <c r="AW1494">
        <f t="shared" si="114"/>
        <v>0</v>
      </c>
      <c r="AX1494">
        <v>1491</v>
      </c>
      <c r="AY1494" s="4">
        <f t="shared" si="112"/>
        <v>42389</v>
      </c>
      <c r="AZ1494" s="6" t="e">
        <f t="shared" si="113"/>
        <v>#DIV/0!</v>
      </c>
      <c r="BA1494" s="4">
        <v>42389</v>
      </c>
      <c r="BB1494" s="6">
        <v>-1.5124139999999999</v>
      </c>
      <c r="BC1494" s="6">
        <v>-0.945469</v>
      </c>
      <c r="BD1494" s="6">
        <v>-0.79862100000000003</v>
      </c>
      <c r="BE1494" s="6"/>
      <c r="BF1494" s="6"/>
      <c r="BG1494" s="6"/>
      <c r="BH1494" s="6"/>
      <c r="BI1494" s="6"/>
      <c r="BJ1494" s="6"/>
      <c r="BK1494" s="6"/>
      <c r="BL1494" s="6"/>
      <c r="BM1494" s="6"/>
      <c r="BN1494" s="6" t="e">
        <f t="shared" si="115"/>
        <v>#DIV/0!</v>
      </c>
    </row>
    <row r="1495" spans="49:66" x14ac:dyDescent="0.3">
      <c r="AW1495">
        <f t="shared" si="114"/>
        <v>0</v>
      </c>
      <c r="AX1495">
        <v>1492</v>
      </c>
      <c r="AY1495" s="4">
        <f t="shared" si="112"/>
        <v>42390</v>
      </c>
      <c r="AZ1495" s="6" t="e">
        <f t="shared" si="113"/>
        <v>#DIV/0!</v>
      </c>
      <c r="BA1495" s="4">
        <v>42390</v>
      </c>
      <c r="BB1495" s="6">
        <v>-2.9307379999999998</v>
      </c>
      <c r="BC1495" s="6">
        <v>-4.0990380000000002</v>
      </c>
      <c r="BD1495" s="6">
        <v>-4.5283910000000001</v>
      </c>
      <c r="BE1495" s="6"/>
      <c r="BF1495" s="6"/>
      <c r="BG1495" s="6"/>
      <c r="BH1495" s="6"/>
      <c r="BI1495" s="6"/>
      <c r="BJ1495" s="6"/>
      <c r="BK1495" s="6"/>
      <c r="BL1495" s="6"/>
      <c r="BM1495" s="6"/>
      <c r="BN1495" s="6" t="e">
        <f t="shared" si="115"/>
        <v>#DIV/0!</v>
      </c>
    </row>
    <row r="1496" spans="49:66" x14ac:dyDescent="0.3">
      <c r="AW1496">
        <f t="shared" si="114"/>
        <v>0</v>
      </c>
      <c r="AX1496">
        <v>1493</v>
      </c>
      <c r="AY1496" s="4">
        <f t="shared" si="112"/>
        <v>42391</v>
      </c>
      <c r="AZ1496" s="6" t="e">
        <f t="shared" si="113"/>
        <v>#DIV/0!</v>
      </c>
      <c r="BA1496" s="4">
        <v>42391</v>
      </c>
      <c r="BB1496" s="6">
        <v>1.042311</v>
      </c>
      <c r="BC1496" s="6">
        <v>1.5921430000000001</v>
      </c>
      <c r="BD1496" s="6">
        <v>1.632795</v>
      </c>
      <c r="BE1496" s="6"/>
      <c r="BF1496" s="6"/>
      <c r="BG1496" s="6"/>
      <c r="BH1496" s="6"/>
      <c r="BI1496" s="6"/>
      <c r="BJ1496" s="6"/>
      <c r="BK1496" s="6"/>
      <c r="BL1496" s="6"/>
      <c r="BM1496" s="6"/>
      <c r="BN1496" s="6" t="e">
        <f t="shared" si="115"/>
        <v>#DIV/0!</v>
      </c>
    </row>
    <row r="1497" spans="49:66" x14ac:dyDescent="0.3">
      <c r="AW1497">
        <f t="shared" si="114"/>
        <v>0</v>
      </c>
      <c r="AX1497">
        <v>1494</v>
      </c>
      <c r="AY1497" s="4">
        <f t="shared" si="112"/>
        <v>42394</v>
      </c>
      <c r="AZ1497" s="6" t="e">
        <f t="shared" si="113"/>
        <v>#DIV/0!</v>
      </c>
      <c r="BA1497" s="4">
        <v>42394</v>
      </c>
      <c r="BB1497" s="6">
        <v>0.49537799999999999</v>
      </c>
      <c r="BC1497" s="6">
        <v>1.0151969999999999</v>
      </c>
      <c r="BD1497" s="6">
        <v>1.3155129999999999</v>
      </c>
      <c r="BE1497" s="6"/>
      <c r="BF1497" s="6"/>
      <c r="BG1497" s="6"/>
      <c r="BH1497" s="6"/>
      <c r="BI1497" s="6"/>
      <c r="BJ1497" s="6"/>
      <c r="BK1497" s="6"/>
      <c r="BL1497" s="6"/>
      <c r="BM1497" s="6"/>
      <c r="BN1497" s="6" t="e">
        <f t="shared" si="115"/>
        <v>#DIV/0!</v>
      </c>
    </row>
    <row r="1498" spans="49:66" x14ac:dyDescent="0.3">
      <c r="AW1498">
        <f t="shared" si="114"/>
        <v>0</v>
      </c>
      <c r="AX1498">
        <v>1495</v>
      </c>
      <c r="AY1498" s="4">
        <f t="shared" si="112"/>
        <v>42395</v>
      </c>
      <c r="AZ1498" s="6" t="e">
        <f t="shared" si="113"/>
        <v>#DIV/0!</v>
      </c>
      <c r="BA1498" s="4">
        <v>42395</v>
      </c>
      <c r="BB1498" s="6">
        <v>-6.0205929999999999</v>
      </c>
      <c r="BC1498" s="6">
        <v>-7.482119</v>
      </c>
      <c r="BD1498" s="6">
        <v>-7.761863</v>
      </c>
      <c r="BE1498" s="6"/>
      <c r="BF1498" s="6"/>
      <c r="BG1498" s="6"/>
      <c r="BH1498" s="6"/>
      <c r="BI1498" s="6"/>
      <c r="BJ1498" s="6"/>
      <c r="BK1498" s="6"/>
      <c r="BL1498" s="6"/>
      <c r="BM1498" s="6"/>
      <c r="BN1498" s="6" t="e">
        <f t="shared" si="115"/>
        <v>#DIV/0!</v>
      </c>
    </row>
    <row r="1499" spans="49:66" x14ac:dyDescent="0.3">
      <c r="AW1499">
        <f t="shared" si="114"/>
        <v>0</v>
      </c>
      <c r="AX1499">
        <v>1496</v>
      </c>
      <c r="AY1499" s="4">
        <f t="shared" si="112"/>
        <v>42396</v>
      </c>
      <c r="AZ1499" s="6" t="e">
        <f t="shared" si="113"/>
        <v>#DIV/0!</v>
      </c>
      <c r="BA1499" s="4">
        <v>42396</v>
      </c>
      <c r="BB1499" s="6">
        <v>-0.34540300000000002</v>
      </c>
      <c r="BC1499" s="6">
        <v>-1.3439639999999999</v>
      </c>
      <c r="BD1499" s="6">
        <v>-1.0443039999999999</v>
      </c>
      <c r="BE1499" s="6"/>
      <c r="BF1499" s="6"/>
      <c r="BG1499" s="6"/>
      <c r="BH1499" s="6"/>
      <c r="BI1499" s="6"/>
      <c r="BJ1499" s="6"/>
      <c r="BK1499" s="6"/>
      <c r="BL1499" s="6"/>
      <c r="BM1499" s="6"/>
      <c r="BN1499" s="6" t="e">
        <f t="shared" si="115"/>
        <v>#DIV/0!</v>
      </c>
    </row>
    <row r="1500" spans="49:66" x14ac:dyDescent="0.3">
      <c r="AW1500">
        <f t="shared" si="114"/>
        <v>0</v>
      </c>
      <c r="AX1500">
        <v>1497</v>
      </c>
      <c r="AY1500" s="4">
        <f t="shared" si="112"/>
        <v>42397</v>
      </c>
      <c r="AZ1500" s="6" t="e">
        <f t="shared" si="113"/>
        <v>#DIV/0!</v>
      </c>
      <c r="BA1500" s="4">
        <v>42397</v>
      </c>
      <c r="BB1500" s="6">
        <v>-2.613874</v>
      </c>
      <c r="BC1500" s="6">
        <v>-4.4060170000000003</v>
      </c>
      <c r="BD1500" s="6">
        <v>-4.8996500000000003</v>
      </c>
      <c r="BE1500" s="6"/>
      <c r="BF1500" s="6"/>
      <c r="BG1500" s="6"/>
      <c r="BH1500" s="6"/>
      <c r="BI1500" s="6"/>
      <c r="BJ1500" s="6"/>
      <c r="BK1500" s="6"/>
      <c r="BL1500" s="6"/>
      <c r="BM1500" s="6"/>
      <c r="BN1500" s="6" t="e">
        <f t="shared" si="115"/>
        <v>#DIV/0!</v>
      </c>
    </row>
    <row r="1501" spans="49:66" x14ac:dyDescent="0.3">
      <c r="AW1501">
        <f t="shared" si="114"/>
        <v>0</v>
      </c>
      <c r="AX1501">
        <v>1498</v>
      </c>
      <c r="AY1501" s="4">
        <f t="shared" si="112"/>
        <v>42398</v>
      </c>
      <c r="AZ1501" s="6" t="e">
        <f t="shared" si="113"/>
        <v>#DIV/0!</v>
      </c>
      <c r="BA1501" s="4">
        <v>42398</v>
      </c>
      <c r="BB1501" s="6">
        <v>3.235525</v>
      </c>
      <c r="BC1501" s="6">
        <v>3.7542049999999998</v>
      </c>
      <c r="BD1501" s="6">
        <v>4.011565</v>
      </c>
      <c r="BE1501" s="6"/>
      <c r="BF1501" s="6"/>
      <c r="BG1501" s="6"/>
      <c r="BH1501" s="6"/>
      <c r="BI1501" s="6"/>
      <c r="BJ1501" s="6"/>
      <c r="BK1501" s="6"/>
      <c r="BL1501" s="6"/>
      <c r="BM1501" s="6"/>
      <c r="BN1501" s="6" t="e">
        <f t="shared" si="115"/>
        <v>#DIV/0!</v>
      </c>
    </row>
    <row r="1502" spans="49:66" x14ac:dyDescent="0.3">
      <c r="AW1502">
        <f t="shared" si="114"/>
        <v>0</v>
      </c>
      <c r="AX1502">
        <v>1499</v>
      </c>
      <c r="AY1502" s="4">
        <f t="shared" si="112"/>
        <v>42401</v>
      </c>
      <c r="AZ1502" s="6" t="e">
        <f t="shared" si="113"/>
        <v>#DIV/0!</v>
      </c>
      <c r="BA1502" s="4">
        <v>42401</v>
      </c>
      <c r="BB1502" s="6">
        <v>-1.528891</v>
      </c>
      <c r="BC1502" s="6">
        <v>-1.2734810000000001</v>
      </c>
      <c r="BD1502" s="6">
        <v>-1.2611490000000001</v>
      </c>
      <c r="BE1502" s="6"/>
      <c r="BF1502" s="6"/>
      <c r="BG1502" s="6"/>
      <c r="BH1502" s="6"/>
      <c r="BI1502" s="6"/>
      <c r="BJ1502" s="6"/>
      <c r="BK1502" s="6"/>
      <c r="BL1502" s="6"/>
      <c r="BM1502" s="6"/>
      <c r="BN1502" s="6" t="e">
        <f t="shared" si="115"/>
        <v>#DIV/0!</v>
      </c>
    </row>
    <row r="1503" spans="49:66" x14ac:dyDescent="0.3">
      <c r="AW1503">
        <f t="shared" si="114"/>
        <v>0</v>
      </c>
      <c r="AX1503">
        <v>1500</v>
      </c>
      <c r="AY1503" s="4">
        <f t="shared" si="112"/>
        <v>42402</v>
      </c>
      <c r="AZ1503" s="6" t="e">
        <f t="shared" si="113"/>
        <v>#DIV/0!</v>
      </c>
      <c r="BA1503" s="4">
        <v>42402</v>
      </c>
      <c r="BB1503" s="6">
        <v>2.078077</v>
      </c>
      <c r="BC1503" s="6">
        <v>3.4660669999999998</v>
      </c>
      <c r="BD1503" s="6">
        <v>3.886838</v>
      </c>
      <c r="BE1503" s="6"/>
      <c r="BF1503" s="6"/>
      <c r="BG1503" s="6"/>
      <c r="BH1503" s="6"/>
      <c r="BI1503" s="6"/>
      <c r="BJ1503" s="6"/>
      <c r="BK1503" s="6"/>
      <c r="BL1503" s="6"/>
      <c r="BM1503" s="6"/>
      <c r="BN1503" s="6" t="e">
        <f t="shared" si="115"/>
        <v>#DIV/0!</v>
      </c>
    </row>
    <row r="1504" spans="49:66" x14ac:dyDescent="0.3">
      <c r="AW1504">
        <f t="shared" si="114"/>
        <v>0</v>
      </c>
      <c r="AX1504">
        <v>1501</v>
      </c>
      <c r="AY1504" s="4">
        <f t="shared" si="112"/>
        <v>42403</v>
      </c>
      <c r="AZ1504" s="6" t="e">
        <f t="shared" si="113"/>
        <v>#DIV/0!</v>
      </c>
      <c r="BA1504" s="4">
        <v>42403</v>
      </c>
      <c r="BB1504" s="6">
        <v>-0.42869499999999999</v>
      </c>
      <c r="BC1504" s="6">
        <v>0.421485</v>
      </c>
      <c r="BD1504" s="6">
        <v>0.71796400000000005</v>
      </c>
      <c r="BE1504" s="6"/>
      <c r="BF1504" s="6"/>
      <c r="BG1504" s="6"/>
      <c r="BH1504" s="6"/>
      <c r="BI1504" s="6"/>
      <c r="BJ1504" s="6"/>
      <c r="BK1504" s="6"/>
      <c r="BL1504" s="6"/>
      <c r="BM1504" s="6"/>
      <c r="BN1504" s="6" t="e">
        <f t="shared" si="115"/>
        <v>#DIV/0!</v>
      </c>
    </row>
    <row r="1505" spans="49:66" x14ac:dyDescent="0.3">
      <c r="AW1505">
        <f t="shared" si="114"/>
        <v>0</v>
      </c>
      <c r="AX1505">
        <v>1502</v>
      </c>
      <c r="AY1505" s="4">
        <f t="shared" si="112"/>
        <v>42404</v>
      </c>
      <c r="AZ1505" s="6" t="e">
        <f t="shared" si="113"/>
        <v>#DIV/0!</v>
      </c>
      <c r="BA1505" s="4">
        <v>42404</v>
      </c>
      <c r="BB1505" s="6">
        <v>1.2250129999999999</v>
      </c>
      <c r="BC1505" s="6">
        <v>1.984108</v>
      </c>
      <c r="BD1505" s="6">
        <v>2.3188909999999998</v>
      </c>
      <c r="BE1505" s="6"/>
      <c r="BF1505" s="6"/>
      <c r="BG1505" s="6"/>
      <c r="BH1505" s="6"/>
      <c r="BI1505" s="6"/>
      <c r="BJ1505" s="6"/>
      <c r="BK1505" s="6"/>
      <c r="BL1505" s="6"/>
      <c r="BM1505" s="6"/>
      <c r="BN1505" s="6" t="e">
        <f t="shared" si="115"/>
        <v>#DIV/0!</v>
      </c>
    </row>
    <row r="1506" spans="49:66" x14ac:dyDescent="0.3">
      <c r="AW1506">
        <f t="shared" si="114"/>
        <v>0</v>
      </c>
      <c r="AX1506">
        <v>1503</v>
      </c>
      <c r="AY1506" s="4">
        <f t="shared" si="112"/>
        <v>42405</v>
      </c>
      <c r="AZ1506" s="6" t="e">
        <f t="shared" si="113"/>
        <v>#DIV/0!</v>
      </c>
      <c r="BA1506" s="4">
        <v>42405</v>
      </c>
      <c r="BB1506" s="6">
        <v>-0.70258200000000004</v>
      </c>
      <c r="BC1506" s="6">
        <v>-1.001282</v>
      </c>
      <c r="BD1506" s="6">
        <v>-1.1360049999999999</v>
      </c>
      <c r="BE1506" s="6"/>
      <c r="BF1506" s="6"/>
      <c r="BG1506" s="6"/>
      <c r="BH1506" s="6"/>
      <c r="BI1506" s="6"/>
      <c r="BJ1506" s="6"/>
      <c r="BK1506" s="6"/>
      <c r="BL1506" s="6"/>
      <c r="BM1506" s="6"/>
      <c r="BN1506" s="6" t="e">
        <f t="shared" si="115"/>
        <v>#DIV/0!</v>
      </c>
    </row>
    <row r="1507" spans="49:66" x14ac:dyDescent="0.3">
      <c r="AW1507">
        <f t="shared" si="114"/>
        <v>0</v>
      </c>
      <c r="AX1507">
        <v>1504</v>
      </c>
      <c r="AY1507" s="4">
        <f t="shared" si="112"/>
        <v>42415</v>
      </c>
      <c r="AZ1507" s="6" t="e">
        <f t="shared" si="113"/>
        <v>#DIV/0!</v>
      </c>
      <c r="BA1507" s="4">
        <v>42415</v>
      </c>
      <c r="BB1507" s="6">
        <v>-0.57638400000000001</v>
      </c>
      <c r="BC1507" s="6">
        <v>6.7842E-2</v>
      </c>
      <c r="BD1507" s="6">
        <v>9.9261000000000002E-2</v>
      </c>
      <c r="BE1507" s="6"/>
      <c r="BF1507" s="6"/>
      <c r="BG1507" s="6"/>
      <c r="BH1507" s="6"/>
      <c r="BI1507" s="6"/>
      <c r="BJ1507" s="6"/>
      <c r="BK1507" s="6"/>
      <c r="BL1507" s="6"/>
      <c r="BM1507" s="6"/>
      <c r="BN1507" s="6" t="e">
        <f t="shared" si="115"/>
        <v>#DIV/0!</v>
      </c>
    </row>
    <row r="1508" spans="49:66" x14ac:dyDescent="0.3">
      <c r="AW1508">
        <f t="shared" si="114"/>
        <v>0</v>
      </c>
      <c r="AX1508">
        <v>1505</v>
      </c>
      <c r="AY1508" s="4">
        <f t="shared" si="112"/>
        <v>42416</v>
      </c>
      <c r="AZ1508" s="6" t="e">
        <f t="shared" si="113"/>
        <v>#DIV/0!</v>
      </c>
      <c r="BA1508" s="4">
        <v>42416</v>
      </c>
      <c r="BB1508" s="6">
        <v>3.0654119999999998</v>
      </c>
      <c r="BC1508" s="6">
        <v>4.1371320000000003</v>
      </c>
      <c r="BD1508" s="6">
        <v>4.4422430000000004</v>
      </c>
      <c r="BE1508" s="6"/>
      <c r="BF1508" s="6"/>
      <c r="BG1508" s="6"/>
      <c r="BH1508" s="6"/>
      <c r="BI1508" s="6"/>
      <c r="BJ1508" s="6"/>
      <c r="BK1508" s="6"/>
      <c r="BL1508" s="6"/>
      <c r="BM1508" s="6"/>
      <c r="BN1508" s="6" t="e">
        <f t="shared" si="115"/>
        <v>#DIV/0!</v>
      </c>
    </row>
    <row r="1509" spans="49:66" x14ac:dyDescent="0.3">
      <c r="AW1509">
        <f t="shared" si="114"/>
        <v>0</v>
      </c>
      <c r="AX1509">
        <v>1506</v>
      </c>
      <c r="AY1509" s="4">
        <f t="shared" si="112"/>
        <v>42417</v>
      </c>
      <c r="AZ1509" s="6" t="e">
        <f t="shared" si="113"/>
        <v>#DIV/0!</v>
      </c>
      <c r="BA1509" s="4">
        <v>42417</v>
      </c>
      <c r="BB1509" s="6">
        <v>0.86546900000000004</v>
      </c>
      <c r="BC1509" s="6">
        <v>1.1669259999999999</v>
      </c>
      <c r="BD1509" s="6">
        <v>1.6426149999999999</v>
      </c>
      <c r="BE1509" s="6"/>
      <c r="BF1509" s="6"/>
      <c r="BG1509" s="6"/>
      <c r="BH1509" s="6"/>
      <c r="BI1509" s="6"/>
      <c r="BJ1509" s="6"/>
      <c r="BK1509" s="6"/>
      <c r="BL1509" s="6"/>
      <c r="BM1509" s="6"/>
      <c r="BN1509" s="6" t="e">
        <f t="shared" si="115"/>
        <v>#DIV/0!</v>
      </c>
    </row>
    <row r="1510" spans="49:66" x14ac:dyDescent="0.3">
      <c r="AW1510">
        <f t="shared" si="114"/>
        <v>0</v>
      </c>
      <c r="AX1510">
        <v>1507</v>
      </c>
      <c r="AY1510" s="4">
        <f t="shared" si="112"/>
        <v>42418</v>
      </c>
      <c r="AZ1510" s="6" t="e">
        <f t="shared" si="113"/>
        <v>#DIV/0!</v>
      </c>
      <c r="BA1510" s="4">
        <v>42418</v>
      </c>
      <c r="BB1510" s="6">
        <v>-0.31408399999999997</v>
      </c>
      <c r="BC1510" s="6">
        <v>-0.23916999999999999</v>
      </c>
      <c r="BD1510" s="6">
        <v>-0.31707400000000002</v>
      </c>
      <c r="BE1510" s="6"/>
      <c r="BF1510" s="6"/>
      <c r="BG1510" s="6"/>
      <c r="BH1510" s="6"/>
      <c r="BI1510" s="6"/>
      <c r="BJ1510" s="6"/>
      <c r="BK1510" s="6"/>
      <c r="BL1510" s="6"/>
      <c r="BM1510" s="6"/>
      <c r="BN1510" s="6" t="e">
        <f t="shared" si="115"/>
        <v>#DIV/0!</v>
      </c>
    </row>
    <row r="1511" spans="49:66" x14ac:dyDescent="0.3">
      <c r="AW1511">
        <f t="shared" si="114"/>
        <v>0</v>
      </c>
      <c r="AX1511">
        <v>1508</v>
      </c>
      <c r="AY1511" s="4">
        <f t="shared" si="112"/>
        <v>42419</v>
      </c>
      <c r="AZ1511" s="6" t="e">
        <f t="shared" si="113"/>
        <v>#DIV/0!</v>
      </c>
      <c r="BA1511" s="4">
        <v>42419</v>
      </c>
      <c r="BB1511" s="6">
        <v>-6.9210999999999995E-2</v>
      </c>
      <c r="BC1511" s="6">
        <v>0.37578299999999998</v>
      </c>
      <c r="BD1511" s="6">
        <v>0.771957</v>
      </c>
      <c r="BE1511" s="6"/>
      <c r="BF1511" s="6"/>
      <c r="BG1511" s="6"/>
      <c r="BH1511" s="6"/>
      <c r="BI1511" s="6"/>
      <c r="BJ1511" s="6"/>
      <c r="BK1511" s="6"/>
      <c r="BL1511" s="6"/>
      <c r="BM1511" s="6"/>
      <c r="BN1511" s="6" t="e">
        <f t="shared" si="115"/>
        <v>#DIV/0!</v>
      </c>
    </row>
    <row r="1512" spans="49:66" x14ac:dyDescent="0.3">
      <c r="AW1512">
        <f t="shared" si="114"/>
        <v>0</v>
      </c>
      <c r="AX1512">
        <v>1509</v>
      </c>
      <c r="AY1512" s="4">
        <f t="shared" si="112"/>
        <v>42422</v>
      </c>
      <c r="AZ1512" s="6" t="e">
        <f t="shared" si="113"/>
        <v>#DIV/0!</v>
      </c>
      <c r="BA1512" s="4">
        <v>42422</v>
      </c>
      <c r="BB1512" s="6">
        <v>2.2048380000000001</v>
      </c>
      <c r="BC1512" s="6">
        <v>2.0771929999999998</v>
      </c>
      <c r="BD1512" s="6">
        <v>2.0462590000000001</v>
      </c>
      <c r="BE1512" s="6"/>
      <c r="BF1512" s="6"/>
      <c r="BG1512" s="6"/>
      <c r="BH1512" s="6"/>
      <c r="BI1512" s="6"/>
      <c r="BJ1512" s="6"/>
      <c r="BK1512" s="6"/>
      <c r="BL1512" s="6"/>
      <c r="BM1512" s="6"/>
      <c r="BN1512" s="6" t="e">
        <f t="shared" si="115"/>
        <v>#DIV/0!</v>
      </c>
    </row>
    <row r="1513" spans="49:66" x14ac:dyDescent="0.3">
      <c r="AW1513">
        <f t="shared" si="114"/>
        <v>0</v>
      </c>
      <c r="AX1513">
        <v>1510</v>
      </c>
      <c r="AY1513" s="4">
        <f t="shared" si="112"/>
        <v>42423</v>
      </c>
      <c r="AZ1513" s="6" t="e">
        <f t="shared" si="113"/>
        <v>#DIV/0!</v>
      </c>
      <c r="BA1513" s="4">
        <v>42423</v>
      </c>
      <c r="BB1513" s="6">
        <v>-0.945994</v>
      </c>
      <c r="BC1513" s="6">
        <v>-0.54430199999999995</v>
      </c>
      <c r="BD1513" s="6">
        <v>-0.60059499999999999</v>
      </c>
      <c r="BE1513" s="6"/>
      <c r="BF1513" s="6"/>
      <c r="BG1513" s="6"/>
      <c r="BH1513" s="6"/>
      <c r="BI1513" s="6"/>
      <c r="BJ1513" s="6"/>
      <c r="BK1513" s="6"/>
      <c r="BL1513" s="6"/>
      <c r="BM1513" s="6"/>
      <c r="BN1513" s="6" t="e">
        <f t="shared" si="115"/>
        <v>#DIV/0!</v>
      </c>
    </row>
    <row r="1514" spans="49:66" x14ac:dyDescent="0.3">
      <c r="AW1514">
        <f t="shared" si="114"/>
        <v>0</v>
      </c>
      <c r="AX1514">
        <v>1511</v>
      </c>
      <c r="AY1514" s="4">
        <f t="shared" si="112"/>
        <v>42424</v>
      </c>
      <c r="AZ1514" s="6" t="e">
        <f t="shared" si="113"/>
        <v>#DIV/0!</v>
      </c>
      <c r="BA1514" s="4">
        <v>42424</v>
      </c>
      <c r="BB1514" s="6">
        <v>0.65327999999999997</v>
      </c>
      <c r="BC1514" s="6">
        <v>0.66786800000000002</v>
      </c>
      <c r="BD1514" s="6">
        <v>8.7436E-2</v>
      </c>
      <c r="BE1514" s="6"/>
      <c r="BF1514" s="6"/>
      <c r="BG1514" s="6"/>
      <c r="BH1514" s="6"/>
      <c r="BI1514" s="6"/>
      <c r="BJ1514" s="6"/>
      <c r="BK1514" s="6"/>
      <c r="BL1514" s="6"/>
      <c r="BM1514" s="6"/>
      <c r="BN1514" s="6" t="e">
        <f t="shared" si="115"/>
        <v>#DIV/0!</v>
      </c>
    </row>
    <row r="1515" spans="49:66" x14ac:dyDescent="0.3">
      <c r="AW1515">
        <f t="shared" si="114"/>
        <v>0</v>
      </c>
      <c r="AX1515">
        <v>1512</v>
      </c>
      <c r="AY1515" s="4">
        <f t="shared" si="112"/>
        <v>42425</v>
      </c>
      <c r="AZ1515" s="6" t="e">
        <f t="shared" si="113"/>
        <v>#DIV/0!</v>
      </c>
      <c r="BA1515" s="4">
        <v>42425</v>
      </c>
      <c r="BB1515" s="6">
        <v>-6.1357939999999997</v>
      </c>
      <c r="BC1515" s="6">
        <v>-7.9362969999999997</v>
      </c>
      <c r="BD1515" s="6">
        <v>-7.9150999999999998</v>
      </c>
      <c r="BE1515" s="6"/>
      <c r="BF1515" s="6"/>
      <c r="BG1515" s="6"/>
      <c r="BH1515" s="6"/>
      <c r="BI1515" s="6"/>
      <c r="BJ1515" s="6"/>
      <c r="BK1515" s="6"/>
      <c r="BL1515" s="6"/>
      <c r="BM1515" s="6"/>
      <c r="BN1515" s="6" t="e">
        <f t="shared" si="115"/>
        <v>#DIV/0!</v>
      </c>
    </row>
    <row r="1516" spans="49:66" x14ac:dyDescent="0.3">
      <c r="AW1516">
        <f t="shared" si="114"/>
        <v>0</v>
      </c>
      <c r="AX1516">
        <v>1513</v>
      </c>
      <c r="AY1516" s="4">
        <f t="shared" si="112"/>
        <v>42426</v>
      </c>
      <c r="AZ1516" s="6" t="e">
        <f t="shared" si="113"/>
        <v>#DIV/0!</v>
      </c>
      <c r="BA1516" s="4">
        <v>42426</v>
      </c>
      <c r="BB1516" s="6">
        <v>1.0031859999999999</v>
      </c>
      <c r="BC1516" s="6">
        <v>0.406775</v>
      </c>
      <c r="BD1516" s="6">
        <v>-0.46437099999999998</v>
      </c>
      <c r="BE1516" s="6"/>
      <c r="BF1516" s="6"/>
      <c r="BG1516" s="6"/>
      <c r="BH1516" s="6"/>
      <c r="BI1516" s="6"/>
      <c r="BJ1516" s="6"/>
      <c r="BK1516" s="6"/>
      <c r="BL1516" s="6"/>
      <c r="BM1516" s="6"/>
      <c r="BN1516" s="6" t="e">
        <f t="shared" si="115"/>
        <v>#DIV/0!</v>
      </c>
    </row>
    <row r="1517" spans="49:66" x14ac:dyDescent="0.3">
      <c r="AW1517">
        <f t="shared" si="114"/>
        <v>0</v>
      </c>
      <c r="AX1517">
        <v>1514</v>
      </c>
      <c r="AY1517" s="4">
        <f t="shared" si="112"/>
        <v>42429</v>
      </c>
      <c r="AZ1517" s="6" t="e">
        <f t="shared" si="113"/>
        <v>#DIV/0!</v>
      </c>
      <c r="BA1517" s="4">
        <v>42429</v>
      </c>
      <c r="BB1517" s="6">
        <v>-2.3935979999999999</v>
      </c>
      <c r="BC1517" s="6">
        <v>-5.2842479999999998</v>
      </c>
      <c r="BD1517" s="6">
        <v>-6.3017799999999999</v>
      </c>
      <c r="BE1517" s="6"/>
      <c r="BF1517" s="6"/>
      <c r="BG1517" s="6"/>
      <c r="BH1517" s="6"/>
      <c r="BI1517" s="6"/>
      <c r="BJ1517" s="6"/>
      <c r="BK1517" s="6"/>
      <c r="BL1517" s="6"/>
      <c r="BM1517" s="6"/>
      <c r="BN1517" s="6" t="e">
        <f t="shared" si="115"/>
        <v>#DIV/0!</v>
      </c>
    </row>
    <row r="1518" spans="49:66" x14ac:dyDescent="0.3">
      <c r="AW1518">
        <f t="shared" si="114"/>
        <v>0</v>
      </c>
      <c r="AX1518">
        <v>1515</v>
      </c>
      <c r="AY1518" s="4">
        <f t="shared" si="112"/>
        <v>42430</v>
      </c>
      <c r="AZ1518" s="6" t="e">
        <f t="shared" si="113"/>
        <v>#DIV/0!</v>
      </c>
      <c r="BA1518" s="4">
        <v>42430</v>
      </c>
      <c r="BB1518" s="6">
        <v>1.84979</v>
      </c>
      <c r="BC1518" s="6">
        <v>2.3026399999999998</v>
      </c>
      <c r="BD1518" s="6">
        <v>2.2468940000000002</v>
      </c>
      <c r="BE1518" s="6"/>
      <c r="BF1518" s="6"/>
      <c r="BG1518" s="6"/>
      <c r="BH1518" s="6"/>
      <c r="BI1518" s="6"/>
      <c r="BJ1518" s="6"/>
      <c r="BK1518" s="6"/>
      <c r="BL1518" s="6"/>
      <c r="BM1518" s="6"/>
      <c r="BN1518" s="6" t="e">
        <f t="shared" si="115"/>
        <v>#DIV/0!</v>
      </c>
    </row>
    <row r="1519" spans="49:66" x14ac:dyDescent="0.3">
      <c r="AW1519">
        <f t="shared" si="114"/>
        <v>0</v>
      </c>
      <c r="AX1519">
        <v>1516</v>
      </c>
      <c r="AY1519" s="4">
        <f t="shared" si="112"/>
        <v>42431</v>
      </c>
      <c r="AZ1519" s="6" t="e">
        <f t="shared" si="113"/>
        <v>#DIV/0!</v>
      </c>
      <c r="BA1519" s="4">
        <v>42431</v>
      </c>
      <c r="BB1519" s="6">
        <v>4.1163970000000001</v>
      </c>
      <c r="BC1519" s="6">
        <v>5.1065389999999997</v>
      </c>
      <c r="BD1519" s="6">
        <v>4.9938159999999998</v>
      </c>
      <c r="BE1519" s="6"/>
      <c r="BF1519" s="6"/>
      <c r="BG1519" s="6"/>
      <c r="BH1519" s="6"/>
      <c r="BI1519" s="6"/>
      <c r="BJ1519" s="6"/>
      <c r="BK1519" s="6"/>
      <c r="BL1519" s="6"/>
      <c r="BM1519" s="6"/>
      <c r="BN1519" s="6" t="e">
        <f t="shared" si="115"/>
        <v>#DIV/0!</v>
      </c>
    </row>
    <row r="1520" spans="49:66" x14ac:dyDescent="0.3">
      <c r="AW1520">
        <f t="shared" si="114"/>
        <v>0</v>
      </c>
      <c r="AX1520">
        <v>1517</v>
      </c>
      <c r="AY1520" s="4">
        <f t="shared" si="112"/>
        <v>42432</v>
      </c>
      <c r="AZ1520" s="6" t="e">
        <f t="shared" si="113"/>
        <v>#DIV/0!</v>
      </c>
      <c r="BA1520" s="4">
        <v>42432</v>
      </c>
      <c r="BB1520" s="6">
        <v>0.23233100000000001</v>
      </c>
      <c r="BC1520" s="6">
        <v>0.41418700000000003</v>
      </c>
      <c r="BD1520" s="6">
        <v>0.19805700000000001</v>
      </c>
      <c r="BE1520" s="6"/>
      <c r="BF1520" s="6"/>
      <c r="BG1520" s="6"/>
      <c r="BH1520" s="6"/>
      <c r="BI1520" s="6"/>
      <c r="BJ1520" s="6"/>
      <c r="BK1520" s="6"/>
      <c r="BL1520" s="6"/>
      <c r="BM1520" s="6"/>
      <c r="BN1520" s="6" t="e">
        <f t="shared" si="115"/>
        <v>#DIV/0!</v>
      </c>
    </row>
    <row r="1521" spans="49:66" x14ac:dyDescent="0.3">
      <c r="AW1521">
        <f t="shared" si="114"/>
        <v>0</v>
      </c>
      <c r="AX1521">
        <v>1518</v>
      </c>
      <c r="AY1521" s="4">
        <f t="shared" si="112"/>
        <v>42433</v>
      </c>
      <c r="AZ1521" s="6" t="e">
        <f t="shared" si="113"/>
        <v>#DIV/0!</v>
      </c>
      <c r="BA1521" s="4">
        <v>42433</v>
      </c>
      <c r="BB1521" s="6">
        <v>1.15967</v>
      </c>
      <c r="BC1521" s="6">
        <v>-2.690258</v>
      </c>
      <c r="BD1521" s="6">
        <v>-3.9905900000000001</v>
      </c>
      <c r="BE1521" s="6"/>
      <c r="BF1521" s="6"/>
      <c r="BG1521" s="6"/>
      <c r="BH1521" s="6"/>
      <c r="BI1521" s="6"/>
      <c r="BJ1521" s="6"/>
      <c r="BK1521" s="6"/>
      <c r="BL1521" s="6"/>
      <c r="BM1521" s="6"/>
      <c r="BN1521" s="6" t="e">
        <f t="shared" si="115"/>
        <v>#DIV/0!</v>
      </c>
    </row>
    <row r="1522" spans="49:66" x14ac:dyDescent="0.3">
      <c r="AW1522">
        <f t="shared" si="114"/>
        <v>0</v>
      </c>
      <c r="AX1522">
        <v>1519</v>
      </c>
      <c r="AY1522" s="4">
        <f t="shared" si="112"/>
        <v>42436</v>
      </c>
      <c r="AZ1522" s="6" t="e">
        <f t="shared" si="113"/>
        <v>#DIV/0!</v>
      </c>
      <c r="BA1522" s="4">
        <v>42436</v>
      </c>
      <c r="BB1522" s="6">
        <v>0.35393000000000002</v>
      </c>
      <c r="BC1522" s="6">
        <v>2.330079</v>
      </c>
      <c r="BD1522" s="6">
        <v>2.4483280000000001</v>
      </c>
      <c r="BE1522" s="6"/>
      <c r="BF1522" s="6"/>
      <c r="BG1522" s="6"/>
      <c r="BH1522" s="6"/>
      <c r="BI1522" s="6"/>
      <c r="BJ1522" s="6"/>
      <c r="BK1522" s="6"/>
      <c r="BL1522" s="6"/>
      <c r="BM1522" s="6"/>
      <c r="BN1522" s="6" t="e">
        <f t="shared" si="115"/>
        <v>#DIV/0!</v>
      </c>
    </row>
    <row r="1523" spans="49:66" x14ac:dyDescent="0.3">
      <c r="AW1523">
        <f t="shared" si="114"/>
        <v>0</v>
      </c>
      <c r="AX1523">
        <v>1520</v>
      </c>
      <c r="AY1523" s="4">
        <f t="shared" si="112"/>
        <v>42437</v>
      </c>
      <c r="AZ1523" s="6" t="e">
        <f t="shared" si="113"/>
        <v>#DIV/0!</v>
      </c>
      <c r="BA1523" s="4">
        <v>42437</v>
      </c>
      <c r="BB1523" s="6">
        <v>9.1245000000000007E-2</v>
      </c>
      <c r="BC1523" s="6">
        <v>0.20472799999999999</v>
      </c>
      <c r="BD1523" s="6">
        <v>0.92432300000000001</v>
      </c>
      <c r="BE1523" s="6"/>
      <c r="BF1523" s="6"/>
      <c r="BG1523" s="6"/>
      <c r="BH1523" s="6"/>
      <c r="BI1523" s="6"/>
      <c r="BJ1523" s="6"/>
      <c r="BK1523" s="6"/>
      <c r="BL1523" s="6"/>
      <c r="BM1523" s="6"/>
      <c r="BN1523" s="6" t="e">
        <f t="shared" si="115"/>
        <v>#DIV/0!</v>
      </c>
    </row>
    <row r="1524" spans="49:66" x14ac:dyDescent="0.3">
      <c r="AW1524">
        <f t="shared" si="114"/>
        <v>0</v>
      </c>
      <c r="AX1524">
        <v>1521</v>
      </c>
      <c r="AY1524" s="4">
        <f t="shared" si="112"/>
        <v>42438</v>
      </c>
      <c r="AZ1524" s="6" t="e">
        <f t="shared" si="113"/>
        <v>#DIV/0!</v>
      </c>
      <c r="BA1524" s="4">
        <v>42438</v>
      </c>
      <c r="BB1524" s="6">
        <v>-1.150884</v>
      </c>
      <c r="BC1524" s="6">
        <v>-2.5551590000000002</v>
      </c>
      <c r="BD1524" s="6">
        <v>-2.2230050000000001</v>
      </c>
      <c r="BE1524" s="6"/>
      <c r="BF1524" s="6"/>
      <c r="BG1524" s="6"/>
      <c r="BH1524" s="6"/>
      <c r="BI1524" s="6"/>
      <c r="BJ1524" s="6"/>
      <c r="BK1524" s="6"/>
      <c r="BL1524" s="6"/>
      <c r="BM1524" s="6"/>
      <c r="BN1524" s="6" t="e">
        <f t="shared" si="115"/>
        <v>#DIV/0!</v>
      </c>
    </row>
    <row r="1525" spans="49:66" x14ac:dyDescent="0.3">
      <c r="AW1525">
        <f t="shared" si="114"/>
        <v>0</v>
      </c>
      <c r="AX1525">
        <v>1522</v>
      </c>
      <c r="AY1525" s="4">
        <f t="shared" si="112"/>
        <v>42439</v>
      </c>
      <c r="AZ1525" s="6" t="e">
        <f t="shared" si="113"/>
        <v>#DIV/0!</v>
      </c>
      <c r="BA1525" s="4">
        <v>42439</v>
      </c>
      <c r="BB1525" s="6">
        <v>-1.9128609999999999</v>
      </c>
      <c r="BC1525" s="6">
        <v>-1.6928780000000001</v>
      </c>
      <c r="BD1525" s="6">
        <v>-1.6462639999999999</v>
      </c>
      <c r="BE1525" s="6"/>
      <c r="BF1525" s="6"/>
      <c r="BG1525" s="6"/>
      <c r="BH1525" s="6"/>
      <c r="BI1525" s="6"/>
      <c r="BJ1525" s="6"/>
      <c r="BK1525" s="6"/>
      <c r="BL1525" s="6"/>
      <c r="BM1525" s="6"/>
      <c r="BN1525" s="6" t="e">
        <f t="shared" si="115"/>
        <v>#DIV/0!</v>
      </c>
    </row>
    <row r="1526" spans="49:66" x14ac:dyDescent="0.3">
      <c r="AW1526">
        <f t="shared" si="114"/>
        <v>0</v>
      </c>
      <c r="AX1526">
        <v>1523</v>
      </c>
      <c r="AY1526" s="4">
        <f t="shared" si="112"/>
        <v>42440</v>
      </c>
      <c r="AZ1526" s="6" t="e">
        <f t="shared" si="113"/>
        <v>#DIV/0!</v>
      </c>
      <c r="BA1526" s="4">
        <v>42440</v>
      </c>
      <c r="BB1526" s="6">
        <v>0.170543</v>
      </c>
      <c r="BC1526" s="6">
        <v>-0.23481199999999999</v>
      </c>
      <c r="BD1526" s="6">
        <v>-0.36778499999999997</v>
      </c>
      <c r="BE1526" s="6"/>
      <c r="BF1526" s="6"/>
      <c r="BG1526" s="6"/>
      <c r="BH1526" s="6"/>
      <c r="BI1526" s="6"/>
      <c r="BJ1526" s="6"/>
      <c r="BK1526" s="6"/>
      <c r="BL1526" s="6"/>
      <c r="BM1526" s="6"/>
      <c r="BN1526" s="6" t="e">
        <f t="shared" si="115"/>
        <v>#DIV/0!</v>
      </c>
    </row>
    <row r="1527" spans="49:66" x14ac:dyDescent="0.3">
      <c r="AW1527">
        <f t="shared" si="114"/>
        <v>0</v>
      </c>
      <c r="AX1527">
        <v>1524</v>
      </c>
      <c r="AY1527" s="4">
        <f t="shared" si="112"/>
        <v>42443</v>
      </c>
      <c r="AZ1527" s="6" t="e">
        <f t="shared" si="113"/>
        <v>#DIV/0!</v>
      </c>
      <c r="BA1527" s="4">
        <v>42443</v>
      </c>
      <c r="BB1527" s="6">
        <v>1.570627</v>
      </c>
      <c r="BC1527" s="6">
        <v>3.2965909999999998</v>
      </c>
      <c r="BD1527" s="6">
        <v>3.953481</v>
      </c>
      <c r="BE1527" s="6"/>
      <c r="BF1527" s="6"/>
      <c r="BG1527" s="6"/>
      <c r="BH1527" s="6"/>
      <c r="BI1527" s="6"/>
      <c r="BJ1527" s="6"/>
      <c r="BK1527" s="6"/>
      <c r="BL1527" s="6"/>
      <c r="BM1527" s="6"/>
      <c r="BN1527" s="6" t="e">
        <f t="shared" si="115"/>
        <v>#DIV/0!</v>
      </c>
    </row>
    <row r="1528" spans="49:66" x14ac:dyDescent="0.3">
      <c r="AW1528">
        <f t="shared" si="114"/>
        <v>0</v>
      </c>
      <c r="AX1528">
        <v>1525</v>
      </c>
      <c r="AY1528" s="4">
        <f t="shared" si="112"/>
        <v>42444</v>
      </c>
      <c r="AZ1528" s="6" t="e">
        <f t="shared" si="113"/>
        <v>#DIV/0!</v>
      </c>
      <c r="BA1528" s="4">
        <v>42444</v>
      </c>
      <c r="BB1528" s="6">
        <v>0.29648099999999999</v>
      </c>
      <c r="BC1528" s="6">
        <v>-0.89251199999999997</v>
      </c>
      <c r="BD1528" s="6">
        <v>-0.89410800000000001</v>
      </c>
      <c r="BE1528" s="6"/>
      <c r="BF1528" s="6"/>
      <c r="BG1528" s="6"/>
      <c r="BH1528" s="6"/>
      <c r="BI1528" s="6"/>
      <c r="BJ1528" s="6"/>
      <c r="BK1528" s="6"/>
      <c r="BL1528" s="6"/>
      <c r="BM1528" s="6"/>
      <c r="BN1528" s="6" t="e">
        <f t="shared" si="115"/>
        <v>#DIV/0!</v>
      </c>
    </row>
    <row r="1529" spans="49:66" x14ac:dyDescent="0.3">
      <c r="AW1529">
        <f t="shared" si="114"/>
        <v>0</v>
      </c>
      <c r="AX1529">
        <v>1526</v>
      </c>
      <c r="AY1529" s="4">
        <f t="shared" si="112"/>
        <v>42445</v>
      </c>
      <c r="AZ1529" s="6" t="e">
        <f t="shared" si="113"/>
        <v>#DIV/0!</v>
      </c>
      <c r="BA1529" s="4">
        <v>42445</v>
      </c>
      <c r="BB1529" s="6">
        <v>0.49607499999999999</v>
      </c>
      <c r="BC1529" s="6">
        <v>-1.3652519999999999</v>
      </c>
      <c r="BD1529" s="6">
        <v>-1.1568430000000001</v>
      </c>
      <c r="BE1529" s="6"/>
      <c r="BF1529" s="6"/>
      <c r="BG1529" s="6"/>
      <c r="BH1529" s="6"/>
      <c r="BI1529" s="6"/>
      <c r="BJ1529" s="6"/>
      <c r="BK1529" s="6"/>
      <c r="BL1529" s="6"/>
      <c r="BM1529" s="6"/>
      <c r="BN1529" s="6" t="e">
        <f t="shared" si="115"/>
        <v>#DIV/0!</v>
      </c>
    </row>
    <row r="1530" spans="49:66" x14ac:dyDescent="0.3">
      <c r="AW1530">
        <f t="shared" si="114"/>
        <v>0</v>
      </c>
      <c r="AX1530">
        <v>1527</v>
      </c>
      <c r="AY1530" s="4">
        <f t="shared" si="112"/>
        <v>42446</v>
      </c>
      <c r="AZ1530" s="6" t="e">
        <f t="shared" si="113"/>
        <v>#DIV/0!</v>
      </c>
      <c r="BA1530" s="4">
        <v>42446</v>
      </c>
      <c r="BB1530" s="6">
        <v>1.1058490000000001</v>
      </c>
      <c r="BC1530" s="6">
        <v>3.2927870000000001</v>
      </c>
      <c r="BD1530" s="6">
        <v>3.950304</v>
      </c>
      <c r="BE1530" s="6"/>
      <c r="BF1530" s="6"/>
      <c r="BG1530" s="6"/>
      <c r="BH1530" s="6"/>
      <c r="BI1530" s="6"/>
      <c r="BJ1530" s="6"/>
      <c r="BK1530" s="6"/>
      <c r="BL1530" s="6"/>
      <c r="BM1530" s="6"/>
      <c r="BN1530" s="6" t="e">
        <f t="shared" si="115"/>
        <v>#DIV/0!</v>
      </c>
    </row>
    <row r="1531" spans="49:66" x14ac:dyDescent="0.3">
      <c r="AW1531">
        <f t="shared" si="114"/>
        <v>0</v>
      </c>
      <c r="AX1531">
        <v>1528</v>
      </c>
      <c r="AY1531" s="4">
        <f t="shared" si="112"/>
        <v>42447</v>
      </c>
      <c r="AZ1531" s="6" t="e">
        <f t="shared" si="113"/>
        <v>#DIV/0!</v>
      </c>
      <c r="BA1531" s="4">
        <v>42447</v>
      </c>
      <c r="BB1531" s="6">
        <v>1.528681</v>
      </c>
      <c r="BC1531" s="6">
        <v>3.5379200000000002</v>
      </c>
      <c r="BD1531" s="6">
        <v>4.0788399999999996</v>
      </c>
      <c r="BE1531" s="6"/>
      <c r="BF1531" s="6"/>
      <c r="BG1531" s="6"/>
      <c r="BH1531" s="6"/>
      <c r="BI1531" s="6"/>
      <c r="BJ1531" s="6"/>
      <c r="BK1531" s="6"/>
      <c r="BL1531" s="6"/>
      <c r="BM1531" s="6"/>
      <c r="BN1531" s="6" t="e">
        <f t="shared" si="115"/>
        <v>#DIV/0!</v>
      </c>
    </row>
    <row r="1532" spans="49:66" x14ac:dyDescent="0.3">
      <c r="AW1532">
        <f t="shared" si="114"/>
        <v>0</v>
      </c>
      <c r="AX1532">
        <v>1529</v>
      </c>
      <c r="AY1532" s="4">
        <f t="shared" si="112"/>
        <v>42450</v>
      </c>
      <c r="AZ1532" s="6" t="e">
        <f t="shared" si="113"/>
        <v>#DIV/0!</v>
      </c>
      <c r="BA1532" s="4">
        <v>42450</v>
      </c>
      <c r="BB1532" s="6">
        <v>2.442469</v>
      </c>
      <c r="BC1532" s="6">
        <v>2.5249769999999998</v>
      </c>
      <c r="BD1532" s="6">
        <v>2.8253330000000001</v>
      </c>
      <c r="BE1532" s="6"/>
      <c r="BF1532" s="6"/>
      <c r="BG1532" s="6"/>
      <c r="BH1532" s="6"/>
      <c r="BI1532" s="6"/>
      <c r="BJ1532" s="6"/>
      <c r="BK1532" s="6"/>
      <c r="BL1532" s="6"/>
      <c r="BM1532" s="6"/>
      <c r="BN1532" s="6" t="e">
        <f t="shared" si="115"/>
        <v>#DIV/0!</v>
      </c>
    </row>
    <row r="1533" spans="49:66" x14ac:dyDescent="0.3">
      <c r="AW1533">
        <f t="shared" si="114"/>
        <v>0</v>
      </c>
      <c r="AX1533">
        <v>1530</v>
      </c>
      <c r="AY1533" s="4">
        <f t="shared" si="112"/>
        <v>42451</v>
      </c>
      <c r="AZ1533" s="6" t="e">
        <f t="shared" si="113"/>
        <v>#DIV/0!</v>
      </c>
      <c r="BA1533" s="4">
        <v>42451</v>
      </c>
      <c r="BB1533" s="6">
        <v>-0.72772300000000001</v>
      </c>
      <c r="BC1533" s="6">
        <v>-0.39328400000000002</v>
      </c>
      <c r="BD1533" s="6">
        <v>-0.177346</v>
      </c>
      <c r="BE1533" s="6"/>
      <c r="BF1533" s="6"/>
      <c r="BG1533" s="6"/>
      <c r="BH1533" s="6"/>
      <c r="BI1533" s="6"/>
      <c r="BJ1533" s="6"/>
      <c r="BK1533" s="6"/>
      <c r="BL1533" s="6"/>
      <c r="BM1533" s="6"/>
      <c r="BN1533" s="6" t="e">
        <f t="shared" si="115"/>
        <v>#DIV/0!</v>
      </c>
    </row>
    <row r="1534" spans="49:66" x14ac:dyDescent="0.3">
      <c r="AW1534">
        <f t="shared" si="114"/>
        <v>0</v>
      </c>
      <c r="AX1534">
        <v>1531</v>
      </c>
      <c r="AY1534" s="4">
        <f t="shared" si="112"/>
        <v>42452</v>
      </c>
      <c r="AZ1534" s="6" t="e">
        <f t="shared" si="113"/>
        <v>#DIV/0!</v>
      </c>
      <c r="BA1534" s="4">
        <v>42452</v>
      </c>
      <c r="BB1534" s="6">
        <v>0.31936700000000001</v>
      </c>
      <c r="BC1534" s="6">
        <v>0.71556699999999995</v>
      </c>
      <c r="BD1534" s="6">
        <v>1.172239</v>
      </c>
      <c r="BE1534" s="6"/>
      <c r="BF1534" s="6"/>
      <c r="BG1534" s="6"/>
      <c r="BH1534" s="6"/>
      <c r="BI1534" s="6"/>
      <c r="BJ1534" s="6"/>
      <c r="BK1534" s="6"/>
      <c r="BL1534" s="6"/>
      <c r="BM1534" s="6"/>
      <c r="BN1534" s="6" t="e">
        <f t="shared" si="115"/>
        <v>#DIV/0!</v>
      </c>
    </row>
    <row r="1535" spans="49:66" x14ac:dyDescent="0.3">
      <c r="AW1535">
        <f t="shared" si="114"/>
        <v>0</v>
      </c>
      <c r="AX1535">
        <v>1532</v>
      </c>
      <c r="AY1535" s="4">
        <f t="shared" si="112"/>
        <v>42453</v>
      </c>
      <c r="AZ1535" s="6" t="e">
        <f t="shared" si="113"/>
        <v>#DIV/0!</v>
      </c>
      <c r="BA1535" s="4">
        <v>42453</v>
      </c>
      <c r="BB1535" s="6">
        <v>-1.676148</v>
      </c>
      <c r="BC1535" s="6">
        <v>-1.643124</v>
      </c>
      <c r="BD1535" s="6">
        <v>-1.5340069999999999</v>
      </c>
      <c r="BE1535" s="6"/>
      <c r="BF1535" s="6"/>
      <c r="BG1535" s="6"/>
      <c r="BH1535" s="6"/>
      <c r="BI1535" s="6"/>
      <c r="BJ1535" s="6"/>
      <c r="BK1535" s="6"/>
      <c r="BL1535" s="6"/>
      <c r="BM1535" s="6"/>
      <c r="BN1535" s="6" t="e">
        <f t="shared" si="115"/>
        <v>#DIV/0!</v>
      </c>
    </row>
    <row r="1536" spans="49:66" x14ac:dyDescent="0.3">
      <c r="AW1536">
        <f t="shared" si="114"/>
        <v>0</v>
      </c>
      <c r="AX1536">
        <v>1533</v>
      </c>
      <c r="AY1536" s="4">
        <f t="shared" si="112"/>
        <v>42454</v>
      </c>
      <c r="AZ1536" s="6" t="e">
        <f t="shared" si="113"/>
        <v>#DIV/0!</v>
      </c>
      <c r="BA1536" s="4">
        <v>42454</v>
      </c>
      <c r="BB1536" s="6">
        <v>0.50178999999999996</v>
      </c>
      <c r="BC1536" s="6">
        <v>0.98043899999999995</v>
      </c>
      <c r="BD1536" s="6">
        <v>0.76806200000000002</v>
      </c>
      <c r="BE1536" s="6"/>
      <c r="BF1536" s="6"/>
      <c r="BG1536" s="6"/>
      <c r="BH1536" s="6"/>
      <c r="BI1536" s="6"/>
      <c r="BJ1536" s="6"/>
      <c r="BK1536" s="6"/>
      <c r="BL1536" s="6"/>
      <c r="BM1536" s="6"/>
      <c r="BN1536" s="6" t="e">
        <f t="shared" si="115"/>
        <v>#DIV/0!</v>
      </c>
    </row>
    <row r="1537" spans="49:66" x14ac:dyDescent="0.3">
      <c r="AW1537">
        <f t="shared" si="114"/>
        <v>0</v>
      </c>
      <c r="AX1537">
        <v>1534</v>
      </c>
      <c r="AY1537" s="4">
        <f t="shared" si="112"/>
        <v>42457</v>
      </c>
      <c r="AZ1537" s="6" t="e">
        <f t="shared" si="113"/>
        <v>#DIV/0!</v>
      </c>
      <c r="BA1537" s="4">
        <v>42457</v>
      </c>
      <c r="BB1537" s="6">
        <v>-0.87836800000000004</v>
      </c>
      <c r="BC1537" s="6">
        <v>-0.65246300000000002</v>
      </c>
      <c r="BD1537" s="6">
        <v>-0.53293599999999997</v>
      </c>
      <c r="BE1537" s="6"/>
      <c r="BF1537" s="6"/>
      <c r="BG1537" s="6"/>
      <c r="BH1537" s="6"/>
      <c r="BI1537" s="6"/>
      <c r="BJ1537" s="6"/>
      <c r="BK1537" s="6"/>
      <c r="BL1537" s="6"/>
      <c r="BM1537" s="6"/>
      <c r="BN1537" s="6" t="e">
        <f t="shared" si="115"/>
        <v>#DIV/0!</v>
      </c>
    </row>
    <row r="1538" spans="49:66" x14ac:dyDescent="0.3">
      <c r="AW1538">
        <f t="shared" si="114"/>
        <v>0</v>
      </c>
      <c r="AX1538">
        <v>1535</v>
      </c>
      <c r="AY1538" s="4">
        <f t="shared" si="112"/>
        <v>42458</v>
      </c>
      <c r="AZ1538" s="6" t="e">
        <f t="shared" si="113"/>
        <v>#DIV/0!</v>
      </c>
      <c r="BA1538" s="4">
        <v>42458</v>
      </c>
      <c r="BB1538" s="6">
        <v>-1.082695</v>
      </c>
      <c r="BC1538" s="6">
        <v>-1.919762</v>
      </c>
      <c r="BD1538" s="6">
        <v>-2.1663649999999999</v>
      </c>
      <c r="BE1538" s="6"/>
      <c r="BF1538" s="6"/>
      <c r="BG1538" s="6"/>
      <c r="BH1538" s="6"/>
      <c r="BI1538" s="6"/>
      <c r="BJ1538" s="6"/>
      <c r="BK1538" s="6"/>
      <c r="BL1538" s="6"/>
      <c r="BM1538" s="6"/>
      <c r="BN1538" s="6" t="e">
        <f t="shared" si="115"/>
        <v>#DIV/0!</v>
      </c>
    </row>
    <row r="1539" spans="49:66" x14ac:dyDescent="0.3">
      <c r="AW1539">
        <f t="shared" si="114"/>
        <v>0</v>
      </c>
      <c r="AX1539">
        <v>1536</v>
      </c>
      <c r="AY1539" s="4">
        <f t="shared" si="112"/>
        <v>42459</v>
      </c>
      <c r="AZ1539" s="6" t="e">
        <f t="shared" si="113"/>
        <v>#DIV/0!</v>
      </c>
      <c r="BA1539" s="4">
        <v>42459</v>
      </c>
      <c r="BB1539" s="6">
        <v>2.5791050000000002</v>
      </c>
      <c r="BC1539" s="6">
        <v>3.6413549999999999</v>
      </c>
      <c r="BD1539" s="6">
        <v>3.9375209999999998</v>
      </c>
      <c r="BE1539" s="6"/>
      <c r="BF1539" s="6"/>
      <c r="BG1539" s="6"/>
      <c r="BH1539" s="6"/>
      <c r="BI1539" s="6"/>
      <c r="BJ1539" s="6"/>
      <c r="BK1539" s="6"/>
      <c r="BL1539" s="6"/>
      <c r="BM1539" s="6"/>
      <c r="BN1539" s="6" t="e">
        <f t="shared" si="115"/>
        <v>#DIV/0!</v>
      </c>
    </row>
    <row r="1540" spans="49:66" x14ac:dyDescent="0.3">
      <c r="AW1540">
        <f t="shared" si="114"/>
        <v>0</v>
      </c>
      <c r="AX1540">
        <v>1537</v>
      </c>
      <c r="AY1540" s="4">
        <f t="shared" si="112"/>
        <v>42460</v>
      </c>
      <c r="AZ1540" s="6" t="e">
        <f t="shared" si="113"/>
        <v>#DIV/0!</v>
      </c>
      <c r="BA1540" s="4">
        <v>42460</v>
      </c>
      <c r="BB1540" s="6">
        <v>5.6356999999999997E-2</v>
      </c>
      <c r="BC1540" s="6">
        <v>0.29833599999999999</v>
      </c>
      <c r="BD1540" s="6">
        <v>0.100677</v>
      </c>
      <c r="BE1540" s="6"/>
      <c r="BF1540" s="6"/>
      <c r="BG1540" s="6"/>
      <c r="BH1540" s="6"/>
      <c r="BI1540" s="6"/>
      <c r="BJ1540" s="6"/>
      <c r="BK1540" s="6"/>
      <c r="BL1540" s="6"/>
      <c r="BM1540" s="6"/>
      <c r="BN1540" s="6" t="e">
        <f t="shared" si="115"/>
        <v>#DIV/0!</v>
      </c>
    </row>
    <row r="1541" spans="49:66" x14ac:dyDescent="0.3">
      <c r="AW1541">
        <f t="shared" si="114"/>
        <v>0</v>
      </c>
      <c r="AX1541">
        <v>1538</v>
      </c>
      <c r="AY1541" s="4">
        <f t="shared" ref="AY1541:AY1604" si="116">BA1541</f>
        <v>42461</v>
      </c>
      <c r="AZ1541" s="6" t="e">
        <f t="shared" ref="AZ1541:AZ1604" si="117">BN1541</f>
        <v>#DIV/0!</v>
      </c>
      <c r="BA1541" s="4">
        <v>42461</v>
      </c>
      <c r="BB1541" s="6">
        <v>0.118297</v>
      </c>
      <c r="BC1541" s="6">
        <v>-0.50823499999999999</v>
      </c>
      <c r="BD1541" s="6">
        <v>-0.68534899999999999</v>
      </c>
      <c r="BE1541" s="6"/>
      <c r="BF1541" s="6"/>
      <c r="BG1541" s="6"/>
      <c r="BH1541" s="6"/>
      <c r="BI1541" s="6"/>
      <c r="BJ1541" s="6"/>
      <c r="BK1541" s="6"/>
      <c r="BL1541" s="6"/>
      <c r="BM1541" s="6"/>
      <c r="BN1541" s="6" t="e">
        <f t="shared" si="115"/>
        <v>#DIV/0!</v>
      </c>
    </row>
    <row r="1542" spans="49:66" x14ac:dyDescent="0.3">
      <c r="AW1542">
        <f t="shared" ref="AW1542:AW1605" si="118">IF(AY1542&lt;=AY1541,1,0)</f>
        <v>0</v>
      </c>
      <c r="AX1542">
        <v>1539</v>
      </c>
      <c r="AY1542" s="4">
        <f t="shared" si="116"/>
        <v>42465</v>
      </c>
      <c r="AZ1542" s="6" t="e">
        <f t="shared" si="117"/>
        <v>#DIV/0!</v>
      </c>
      <c r="BA1542" s="4">
        <v>42465</v>
      </c>
      <c r="BB1542" s="6">
        <v>1.3219240000000001</v>
      </c>
      <c r="BC1542" s="6">
        <v>2.6459969999999999</v>
      </c>
      <c r="BD1542" s="6">
        <v>2.936842</v>
      </c>
      <c r="BE1542" s="6"/>
      <c r="BF1542" s="6"/>
      <c r="BG1542" s="6"/>
      <c r="BH1542" s="6"/>
      <c r="BI1542" s="6"/>
      <c r="BJ1542" s="6"/>
      <c r="BK1542" s="6"/>
      <c r="BL1542" s="6"/>
      <c r="BM1542" s="6"/>
      <c r="BN1542" s="6" t="e">
        <f t="shared" ref="BN1542:BN1605" si="119">(BM1542/BM1541-1)*100</f>
        <v>#DIV/0!</v>
      </c>
    </row>
    <row r="1543" spans="49:66" x14ac:dyDescent="0.3">
      <c r="AW1543">
        <f t="shared" si="118"/>
        <v>0</v>
      </c>
      <c r="AX1543">
        <v>1540</v>
      </c>
      <c r="AY1543" s="4">
        <f t="shared" si="116"/>
        <v>42466</v>
      </c>
      <c r="AZ1543" s="6" t="e">
        <f t="shared" si="117"/>
        <v>#DIV/0!</v>
      </c>
      <c r="BA1543" s="4">
        <v>42466</v>
      </c>
      <c r="BB1543" s="6">
        <v>-0.213148</v>
      </c>
      <c r="BC1543" s="6">
        <v>0.58619399999999999</v>
      </c>
      <c r="BD1543" s="6">
        <v>0.64341499999999996</v>
      </c>
      <c r="BE1543" s="6"/>
      <c r="BF1543" s="6"/>
      <c r="BG1543" s="6"/>
      <c r="BH1543" s="6"/>
      <c r="BI1543" s="6"/>
      <c r="BJ1543" s="6"/>
      <c r="BK1543" s="6"/>
      <c r="BL1543" s="6"/>
      <c r="BM1543" s="6"/>
      <c r="BN1543" s="6" t="e">
        <f t="shared" si="119"/>
        <v>#DIV/0!</v>
      </c>
    </row>
    <row r="1544" spans="49:66" x14ac:dyDescent="0.3">
      <c r="AW1544">
        <f t="shared" si="118"/>
        <v>0</v>
      </c>
      <c r="AX1544">
        <v>1541</v>
      </c>
      <c r="AY1544" s="4">
        <f t="shared" si="116"/>
        <v>42467</v>
      </c>
      <c r="AZ1544" s="6" t="e">
        <f t="shared" si="117"/>
        <v>#DIV/0!</v>
      </c>
      <c r="BA1544" s="4">
        <v>42467</v>
      </c>
      <c r="BB1544" s="6">
        <v>-1.4807980000000001</v>
      </c>
      <c r="BC1544" s="6">
        <v>-1.493816</v>
      </c>
      <c r="BD1544" s="6">
        <v>-1.6305750000000001</v>
      </c>
      <c r="BE1544" s="6"/>
      <c r="BF1544" s="6"/>
      <c r="BG1544" s="6"/>
      <c r="BH1544" s="6"/>
      <c r="BI1544" s="6"/>
      <c r="BJ1544" s="6"/>
      <c r="BK1544" s="6"/>
      <c r="BL1544" s="6"/>
      <c r="BM1544" s="6"/>
      <c r="BN1544" s="6" t="e">
        <f t="shared" si="119"/>
        <v>#DIV/0!</v>
      </c>
    </row>
    <row r="1545" spans="49:66" x14ac:dyDescent="0.3">
      <c r="AW1545">
        <f t="shared" si="118"/>
        <v>0</v>
      </c>
      <c r="AX1545">
        <v>1542</v>
      </c>
      <c r="AY1545" s="4">
        <f t="shared" si="116"/>
        <v>42468</v>
      </c>
      <c r="AZ1545" s="6" t="e">
        <f t="shared" si="117"/>
        <v>#DIV/0!</v>
      </c>
      <c r="BA1545" s="4">
        <v>42468</v>
      </c>
      <c r="BB1545" s="6">
        <v>-0.73425600000000002</v>
      </c>
      <c r="BC1545" s="6">
        <v>-0.96696199999999999</v>
      </c>
      <c r="BD1545" s="6">
        <v>-0.76423799999999997</v>
      </c>
      <c r="BE1545" s="6"/>
      <c r="BF1545" s="6"/>
      <c r="BG1545" s="6"/>
      <c r="BH1545" s="6"/>
      <c r="BI1545" s="6"/>
      <c r="BJ1545" s="6"/>
      <c r="BK1545" s="6"/>
      <c r="BL1545" s="6"/>
      <c r="BM1545" s="6"/>
      <c r="BN1545" s="6" t="e">
        <f t="shared" si="119"/>
        <v>#DIV/0!</v>
      </c>
    </row>
    <row r="1546" spans="49:66" x14ac:dyDescent="0.3">
      <c r="AW1546">
        <f t="shared" si="118"/>
        <v>0</v>
      </c>
      <c r="AX1546">
        <v>1543</v>
      </c>
      <c r="AY1546" s="4">
        <f t="shared" si="116"/>
        <v>42471</v>
      </c>
      <c r="AZ1546" s="6" t="e">
        <f t="shared" si="117"/>
        <v>#DIV/0!</v>
      </c>
      <c r="BA1546" s="4">
        <v>42471</v>
      </c>
      <c r="BB1546" s="6">
        <v>1.3927719999999999</v>
      </c>
      <c r="BC1546" s="6">
        <v>2.1975060000000002</v>
      </c>
      <c r="BD1546" s="6">
        <v>2.2775910000000001</v>
      </c>
      <c r="BE1546" s="6"/>
      <c r="BF1546" s="6"/>
      <c r="BG1546" s="6"/>
      <c r="BH1546" s="6"/>
      <c r="BI1546" s="6"/>
      <c r="BJ1546" s="6"/>
      <c r="BK1546" s="6"/>
      <c r="BL1546" s="6"/>
      <c r="BM1546" s="6"/>
      <c r="BN1546" s="6" t="e">
        <f t="shared" si="119"/>
        <v>#DIV/0!</v>
      </c>
    </row>
    <row r="1547" spans="49:66" x14ac:dyDescent="0.3">
      <c r="AW1547">
        <f t="shared" si="118"/>
        <v>0</v>
      </c>
      <c r="AX1547">
        <v>1544</v>
      </c>
      <c r="AY1547" s="4">
        <f t="shared" si="116"/>
        <v>42472</v>
      </c>
      <c r="AZ1547" s="6" t="e">
        <f t="shared" si="117"/>
        <v>#DIV/0!</v>
      </c>
      <c r="BA1547" s="4">
        <v>42472</v>
      </c>
      <c r="BB1547" s="6">
        <v>-0.36054700000000001</v>
      </c>
      <c r="BC1547" s="6">
        <v>-0.81733900000000004</v>
      </c>
      <c r="BD1547" s="6">
        <v>-0.79557500000000003</v>
      </c>
      <c r="BE1547" s="6"/>
      <c r="BF1547" s="6"/>
      <c r="BG1547" s="6"/>
      <c r="BH1547" s="6"/>
      <c r="BI1547" s="6"/>
      <c r="BJ1547" s="6"/>
      <c r="BK1547" s="6"/>
      <c r="BL1547" s="6"/>
      <c r="BM1547" s="6"/>
      <c r="BN1547" s="6" t="e">
        <f t="shared" si="119"/>
        <v>#DIV/0!</v>
      </c>
    </row>
    <row r="1548" spans="49:66" x14ac:dyDescent="0.3">
      <c r="AW1548">
        <f t="shared" si="118"/>
        <v>0</v>
      </c>
      <c r="AX1548">
        <v>1545</v>
      </c>
      <c r="AY1548" s="4">
        <f t="shared" si="116"/>
        <v>42473</v>
      </c>
      <c r="AZ1548" s="6" t="e">
        <f t="shared" si="117"/>
        <v>#DIV/0!</v>
      </c>
      <c r="BA1548" s="4">
        <v>42473</v>
      </c>
      <c r="BB1548" s="6">
        <v>1.3339780000000001</v>
      </c>
      <c r="BC1548" s="6">
        <v>1.462593</v>
      </c>
      <c r="BD1548" s="6">
        <v>1.4110309999999999</v>
      </c>
      <c r="BE1548" s="6"/>
      <c r="BF1548" s="6"/>
      <c r="BG1548" s="6"/>
      <c r="BH1548" s="6"/>
      <c r="BI1548" s="6"/>
      <c r="BJ1548" s="6"/>
      <c r="BK1548" s="6"/>
      <c r="BL1548" s="6"/>
      <c r="BM1548" s="6"/>
      <c r="BN1548" s="6" t="e">
        <f t="shared" si="119"/>
        <v>#DIV/0!</v>
      </c>
    </row>
    <row r="1549" spans="49:66" x14ac:dyDescent="0.3">
      <c r="AW1549">
        <f t="shared" si="118"/>
        <v>0</v>
      </c>
      <c r="AX1549">
        <v>1546</v>
      </c>
      <c r="AY1549" s="4">
        <f t="shared" si="116"/>
        <v>42474</v>
      </c>
      <c r="AZ1549" s="6" t="e">
        <f t="shared" si="117"/>
        <v>#DIV/0!</v>
      </c>
      <c r="BA1549" s="4">
        <v>42474</v>
      </c>
      <c r="BB1549" s="6">
        <v>0.44303300000000001</v>
      </c>
      <c r="BC1549" s="6">
        <v>0.90836899999999998</v>
      </c>
      <c r="BD1549" s="6">
        <v>1.227714</v>
      </c>
      <c r="BE1549" s="6"/>
      <c r="BF1549" s="6"/>
      <c r="BG1549" s="6"/>
      <c r="BH1549" s="6"/>
      <c r="BI1549" s="6"/>
      <c r="BJ1549" s="6"/>
      <c r="BK1549" s="6"/>
      <c r="BL1549" s="6"/>
      <c r="BM1549" s="6"/>
      <c r="BN1549" s="6" t="e">
        <f t="shared" si="119"/>
        <v>#DIV/0!</v>
      </c>
    </row>
    <row r="1550" spans="49:66" x14ac:dyDescent="0.3">
      <c r="AW1550">
        <f t="shared" si="118"/>
        <v>0</v>
      </c>
      <c r="AX1550">
        <v>1547</v>
      </c>
      <c r="AY1550" s="4">
        <f t="shared" si="116"/>
        <v>42475</v>
      </c>
      <c r="AZ1550" s="6" t="e">
        <f t="shared" si="117"/>
        <v>#DIV/0!</v>
      </c>
      <c r="BA1550" s="4">
        <v>42475</v>
      </c>
      <c r="BB1550" s="6">
        <v>-0.11071400000000001</v>
      </c>
      <c r="BC1550" s="6">
        <v>-0.27343499999999998</v>
      </c>
      <c r="BD1550" s="6">
        <v>4.6129000000000003E-2</v>
      </c>
      <c r="BE1550" s="6"/>
      <c r="BF1550" s="6"/>
      <c r="BG1550" s="6"/>
      <c r="BH1550" s="6"/>
      <c r="BI1550" s="6"/>
      <c r="BJ1550" s="6"/>
      <c r="BK1550" s="6"/>
      <c r="BL1550" s="6"/>
      <c r="BM1550" s="6"/>
      <c r="BN1550" s="6" t="e">
        <f t="shared" si="119"/>
        <v>#DIV/0!</v>
      </c>
    </row>
    <row r="1551" spans="49:66" x14ac:dyDescent="0.3">
      <c r="AW1551">
        <f t="shared" si="118"/>
        <v>0</v>
      </c>
      <c r="AX1551">
        <v>1548</v>
      </c>
      <c r="AY1551" s="4">
        <f t="shared" si="116"/>
        <v>42478</v>
      </c>
      <c r="AZ1551" s="6" t="e">
        <f t="shared" si="117"/>
        <v>#DIV/0!</v>
      </c>
      <c r="BA1551" s="4">
        <v>42478</v>
      </c>
      <c r="BB1551" s="6">
        <v>-1.337086</v>
      </c>
      <c r="BC1551" s="6">
        <v>-1.615626</v>
      </c>
      <c r="BD1551" s="6">
        <v>-1.4166160000000001</v>
      </c>
      <c r="BE1551" s="6"/>
      <c r="BF1551" s="6"/>
      <c r="BG1551" s="6"/>
      <c r="BH1551" s="6"/>
      <c r="BI1551" s="6"/>
      <c r="BJ1551" s="6"/>
      <c r="BK1551" s="6"/>
      <c r="BL1551" s="6"/>
      <c r="BM1551" s="6"/>
      <c r="BN1551" s="6" t="e">
        <f t="shared" si="119"/>
        <v>#DIV/0!</v>
      </c>
    </row>
    <row r="1552" spans="49:66" x14ac:dyDescent="0.3">
      <c r="AW1552">
        <f t="shared" si="118"/>
        <v>0</v>
      </c>
      <c r="AX1552">
        <v>1549</v>
      </c>
      <c r="AY1552" s="4">
        <f t="shared" si="116"/>
        <v>42479</v>
      </c>
      <c r="AZ1552" s="6" t="e">
        <f t="shared" si="117"/>
        <v>#DIV/0!</v>
      </c>
      <c r="BA1552" s="4">
        <v>42479</v>
      </c>
      <c r="BB1552" s="6">
        <v>0.305093</v>
      </c>
      <c r="BC1552" s="6">
        <v>0.43027700000000002</v>
      </c>
      <c r="BD1552" s="6">
        <v>0.443494</v>
      </c>
      <c r="BE1552" s="6"/>
      <c r="BF1552" s="6"/>
      <c r="BG1552" s="6"/>
      <c r="BH1552" s="6"/>
      <c r="BI1552" s="6"/>
      <c r="BJ1552" s="6"/>
      <c r="BK1552" s="6"/>
      <c r="BL1552" s="6"/>
      <c r="BM1552" s="6"/>
      <c r="BN1552" s="6" t="e">
        <f t="shared" si="119"/>
        <v>#DIV/0!</v>
      </c>
    </row>
    <row r="1553" spans="49:66" x14ac:dyDescent="0.3">
      <c r="AW1553">
        <f t="shared" si="118"/>
        <v>0</v>
      </c>
      <c r="AX1553">
        <v>1550</v>
      </c>
      <c r="AY1553" s="4">
        <f t="shared" si="116"/>
        <v>42480</v>
      </c>
      <c r="AZ1553" s="6" t="e">
        <f t="shared" si="117"/>
        <v>#DIV/0!</v>
      </c>
      <c r="BA1553" s="4">
        <v>42480</v>
      </c>
      <c r="BB1553" s="6">
        <v>-1.7687200000000001</v>
      </c>
      <c r="BC1553" s="6">
        <v>-4.5340210000000001</v>
      </c>
      <c r="BD1553" s="6">
        <v>-5.0522929999999997</v>
      </c>
      <c r="BE1553" s="6"/>
      <c r="BF1553" s="6"/>
      <c r="BG1553" s="6"/>
      <c r="BH1553" s="6"/>
      <c r="BI1553" s="6"/>
      <c r="BJ1553" s="6"/>
      <c r="BK1553" s="6"/>
      <c r="BL1553" s="6"/>
      <c r="BM1553" s="6"/>
      <c r="BN1553" s="6" t="e">
        <f t="shared" si="119"/>
        <v>#DIV/0!</v>
      </c>
    </row>
    <row r="1554" spans="49:66" x14ac:dyDescent="0.3">
      <c r="AW1554">
        <f t="shared" si="118"/>
        <v>0</v>
      </c>
      <c r="AX1554">
        <v>1551</v>
      </c>
      <c r="AY1554" s="4">
        <f t="shared" si="116"/>
        <v>42481</v>
      </c>
      <c r="AZ1554" s="6" t="e">
        <f t="shared" si="117"/>
        <v>#DIV/0!</v>
      </c>
      <c r="BA1554" s="4">
        <v>42481</v>
      </c>
      <c r="BB1554" s="6">
        <v>-0.64202899999999996</v>
      </c>
      <c r="BC1554" s="6">
        <v>-0.85567599999999999</v>
      </c>
      <c r="BD1554" s="6">
        <v>-1.3677520000000001</v>
      </c>
      <c r="BE1554" s="6"/>
      <c r="BF1554" s="6"/>
      <c r="BG1554" s="6"/>
      <c r="BH1554" s="6"/>
      <c r="BI1554" s="6"/>
      <c r="BJ1554" s="6"/>
      <c r="BK1554" s="6"/>
      <c r="BL1554" s="6"/>
      <c r="BM1554" s="6"/>
      <c r="BN1554" s="6" t="e">
        <f t="shared" si="119"/>
        <v>#DIV/0!</v>
      </c>
    </row>
    <row r="1555" spans="49:66" x14ac:dyDescent="0.3">
      <c r="AW1555">
        <f t="shared" si="118"/>
        <v>0</v>
      </c>
      <c r="AX1555">
        <v>1552</v>
      </c>
      <c r="AY1555" s="4">
        <f t="shared" si="116"/>
        <v>42482</v>
      </c>
      <c r="AZ1555" s="6" t="e">
        <f t="shared" si="117"/>
        <v>#DIV/0!</v>
      </c>
      <c r="BA1555" s="4">
        <v>42482</v>
      </c>
      <c r="BB1555" s="6">
        <v>0.45237899999999998</v>
      </c>
      <c r="BC1555" s="6">
        <v>0.68062699999999998</v>
      </c>
      <c r="BD1555" s="6">
        <v>1.0235160000000001</v>
      </c>
      <c r="BE1555" s="6"/>
      <c r="BF1555" s="6"/>
      <c r="BG1555" s="6"/>
      <c r="BH1555" s="6"/>
      <c r="BI1555" s="6"/>
      <c r="BJ1555" s="6"/>
      <c r="BK1555" s="6"/>
      <c r="BL1555" s="6"/>
      <c r="BM1555" s="6"/>
      <c r="BN1555" s="6" t="e">
        <f t="shared" si="119"/>
        <v>#DIV/0!</v>
      </c>
    </row>
    <row r="1556" spans="49:66" x14ac:dyDescent="0.3">
      <c r="AW1556">
        <f t="shared" si="118"/>
        <v>0</v>
      </c>
      <c r="AX1556">
        <v>1553</v>
      </c>
      <c r="AY1556" s="4">
        <f t="shared" si="116"/>
        <v>42485</v>
      </c>
      <c r="AZ1556" s="6" t="e">
        <f t="shared" si="117"/>
        <v>#DIV/0!</v>
      </c>
      <c r="BA1556" s="4">
        <v>42485</v>
      </c>
      <c r="BB1556" s="6">
        <v>-0.40530699999999997</v>
      </c>
      <c r="BC1556" s="6">
        <v>-0.55300499999999997</v>
      </c>
      <c r="BD1556" s="6">
        <v>-0.60303799999999996</v>
      </c>
      <c r="BE1556" s="6"/>
      <c r="BF1556" s="6"/>
      <c r="BG1556" s="6"/>
      <c r="BH1556" s="6"/>
      <c r="BI1556" s="6"/>
      <c r="BJ1556" s="6"/>
      <c r="BK1556" s="6"/>
      <c r="BL1556" s="6"/>
      <c r="BM1556" s="6"/>
      <c r="BN1556" s="6" t="e">
        <f t="shared" si="119"/>
        <v>#DIV/0!</v>
      </c>
    </row>
    <row r="1557" spans="49:66" x14ac:dyDescent="0.3">
      <c r="AW1557">
        <f t="shared" si="118"/>
        <v>0</v>
      </c>
      <c r="AX1557">
        <v>1554</v>
      </c>
      <c r="AY1557" s="4">
        <f t="shared" si="116"/>
        <v>42486</v>
      </c>
      <c r="AZ1557" s="6" t="e">
        <f t="shared" si="117"/>
        <v>#DIV/0!</v>
      </c>
      <c r="BA1557" s="4">
        <v>42486</v>
      </c>
      <c r="BB1557" s="6">
        <v>0.54165799999999997</v>
      </c>
      <c r="BC1557" s="6">
        <v>1.149135</v>
      </c>
      <c r="BD1557" s="6">
        <v>1.347634</v>
      </c>
      <c r="BE1557" s="6"/>
      <c r="BF1557" s="6"/>
      <c r="BG1557" s="6"/>
      <c r="BH1557" s="6"/>
      <c r="BI1557" s="6"/>
      <c r="BJ1557" s="6"/>
      <c r="BK1557" s="6"/>
      <c r="BL1557" s="6"/>
      <c r="BM1557" s="6"/>
      <c r="BN1557" s="6" t="e">
        <f t="shared" si="119"/>
        <v>#DIV/0!</v>
      </c>
    </row>
    <row r="1558" spans="49:66" x14ac:dyDescent="0.3">
      <c r="AW1558">
        <f t="shared" si="118"/>
        <v>0</v>
      </c>
      <c r="AX1558">
        <v>1555</v>
      </c>
      <c r="AY1558" s="4">
        <f t="shared" si="116"/>
        <v>42487</v>
      </c>
      <c r="AZ1558" s="6" t="e">
        <f t="shared" si="117"/>
        <v>#DIV/0!</v>
      </c>
      <c r="BA1558" s="4">
        <v>42487</v>
      </c>
      <c r="BB1558" s="6">
        <v>-0.41661599999999999</v>
      </c>
      <c r="BC1558" s="6">
        <v>-0.497363</v>
      </c>
      <c r="BD1558" s="6">
        <v>-0.23927399999999999</v>
      </c>
      <c r="BE1558" s="6"/>
      <c r="BF1558" s="6"/>
      <c r="BG1558" s="6"/>
      <c r="BH1558" s="6"/>
      <c r="BI1558" s="6"/>
      <c r="BJ1558" s="6"/>
      <c r="BK1558" s="6"/>
      <c r="BL1558" s="6"/>
      <c r="BM1558" s="6"/>
      <c r="BN1558" s="6" t="e">
        <f t="shared" si="119"/>
        <v>#DIV/0!</v>
      </c>
    </row>
    <row r="1559" spans="49:66" x14ac:dyDescent="0.3">
      <c r="AW1559">
        <f t="shared" si="118"/>
        <v>0</v>
      </c>
      <c r="AX1559">
        <v>1556</v>
      </c>
      <c r="AY1559" s="4">
        <f t="shared" si="116"/>
        <v>42488</v>
      </c>
      <c r="AZ1559" s="6" t="e">
        <f t="shared" si="117"/>
        <v>#DIV/0!</v>
      </c>
      <c r="BA1559" s="4">
        <v>42488</v>
      </c>
      <c r="BB1559" s="6">
        <v>-0.16850399999999999</v>
      </c>
      <c r="BC1559" s="6">
        <v>-0.43828899999999998</v>
      </c>
      <c r="BD1559" s="6">
        <v>-0.239095</v>
      </c>
      <c r="BE1559" s="6"/>
      <c r="BF1559" s="6"/>
      <c r="BG1559" s="6"/>
      <c r="BH1559" s="6"/>
      <c r="BI1559" s="6"/>
      <c r="BJ1559" s="6"/>
      <c r="BK1559" s="6"/>
      <c r="BL1559" s="6"/>
      <c r="BM1559" s="6"/>
      <c r="BN1559" s="6" t="e">
        <f t="shared" si="119"/>
        <v>#DIV/0!</v>
      </c>
    </row>
    <row r="1560" spans="49:66" x14ac:dyDescent="0.3">
      <c r="AW1560">
        <f t="shared" si="118"/>
        <v>0</v>
      </c>
      <c r="AX1560">
        <v>1557</v>
      </c>
      <c r="AY1560" s="4">
        <f t="shared" si="116"/>
        <v>42489</v>
      </c>
      <c r="AZ1560" s="6" t="e">
        <f t="shared" si="117"/>
        <v>#DIV/0!</v>
      </c>
      <c r="BA1560" s="4">
        <v>42489</v>
      </c>
      <c r="BB1560" s="6">
        <v>-0.121364</v>
      </c>
      <c r="BC1560" s="6">
        <v>-7.9035999999999995E-2</v>
      </c>
      <c r="BD1560" s="6">
        <v>-0.14281099999999999</v>
      </c>
      <c r="BE1560" s="6"/>
      <c r="BF1560" s="6"/>
      <c r="BG1560" s="6"/>
      <c r="BH1560" s="6"/>
      <c r="BI1560" s="6"/>
      <c r="BJ1560" s="6"/>
      <c r="BK1560" s="6"/>
      <c r="BL1560" s="6"/>
      <c r="BM1560" s="6"/>
      <c r="BN1560" s="6" t="e">
        <f t="shared" si="119"/>
        <v>#DIV/0!</v>
      </c>
    </row>
    <row r="1561" spans="49:66" x14ac:dyDescent="0.3">
      <c r="AW1561">
        <f t="shared" si="118"/>
        <v>0</v>
      </c>
      <c r="AX1561">
        <v>1558</v>
      </c>
      <c r="AY1561" s="4">
        <f t="shared" si="116"/>
        <v>42493</v>
      </c>
      <c r="AZ1561" s="6" t="e">
        <f t="shared" si="117"/>
        <v>#DIV/0!</v>
      </c>
      <c r="BA1561" s="4">
        <v>42493</v>
      </c>
      <c r="BB1561" s="6">
        <v>1.7991509999999999</v>
      </c>
      <c r="BC1561" s="6">
        <v>3.0382899999999999</v>
      </c>
      <c r="BD1561" s="6">
        <v>3.2186400000000002</v>
      </c>
      <c r="BE1561" s="6"/>
      <c r="BF1561" s="6"/>
      <c r="BG1561" s="6"/>
      <c r="BH1561" s="6"/>
      <c r="BI1561" s="6"/>
      <c r="BJ1561" s="6"/>
      <c r="BK1561" s="6"/>
      <c r="BL1561" s="6"/>
      <c r="BM1561" s="6"/>
      <c r="BN1561" s="6" t="e">
        <f t="shared" si="119"/>
        <v>#DIV/0!</v>
      </c>
    </row>
    <row r="1562" spans="49:66" x14ac:dyDescent="0.3">
      <c r="AW1562">
        <f t="shared" si="118"/>
        <v>0</v>
      </c>
      <c r="AX1562">
        <v>1559</v>
      </c>
      <c r="AY1562" s="4">
        <f t="shared" si="116"/>
        <v>42494</v>
      </c>
      <c r="AZ1562" s="6" t="e">
        <f t="shared" si="117"/>
        <v>#DIV/0!</v>
      </c>
      <c r="BA1562" s="4">
        <v>42494</v>
      </c>
      <c r="BB1562" s="6">
        <v>-0.12691</v>
      </c>
      <c r="BC1562" s="6">
        <v>3.7761000000000003E-2</v>
      </c>
      <c r="BD1562" s="6">
        <v>7.6367000000000004E-2</v>
      </c>
      <c r="BE1562" s="6"/>
      <c r="BF1562" s="6"/>
      <c r="BG1562" s="6"/>
      <c r="BH1562" s="6"/>
      <c r="BI1562" s="6"/>
      <c r="BJ1562" s="6"/>
      <c r="BK1562" s="6"/>
      <c r="BL1562" s="6"/>
      <c r="BM1562" s="6"/>
      <c r="BN1562" s="6" t="e">
        <f t="shared" si="119"/>
        <v>#DIV/0!</v>
      </c>
    </row>
    <row r="1563" spans="49:66" x14ac:dyDescent="0.3">
      <c r="AW1563">
        <f t="shared" si="118"/>
        <v>0</v>
      </c>
      <c r="AX1563">
        <v>1560</v>
      </c>
      <c r="AY1563" s="4">
        <f t="shared" si="116"/>
        <v>42495</v>
      </c>
      <c r="AZ1563" s="6" t="e">
        <f t="shared" si="117"/>
        <v>#DIV/0!</v>
      </c>
      <c r="BA1563" s="4">
        <v>42495</v>
      </c>
      <c r="BB1563" s="6">
        <v>0.13891700000000001</v>
      </c>
      <c r="BC1563" s="6">
        <v>0.551624</v>
      </c>
      <c r="BD1563" s="6">
        <v>0.74285299999999999</v>
      </c>
      <c r="BE1563" s="6"/>
      <c r="BF1563" s="6"/>
      <c r="BG1563" s="6"/>
      <c r="BH1563" s="6"/>
      <c r="BI1563" s="6"/>
      <c r="BJ1563" s="6"/>
      <c r="BK1563" s="6"/>
      <c r="BL1563" s="6"/>
      <c r="BM1563" s="6"/>
      <c r="BN1563" s="6" t="e">
        <f t="shared" si="119"/>
        <v>#DIV/0!</v>
      </c>
    </row>
    <row r="1564" spans="49:66" x14ac:dyDescent="0.3">
      <c r="AW1564">
        <f t="shared" si="118"/>
        <v>0</v>
      </c>
      <c r="AX1564">
        <v>1561</v>
      </c>
      <c r="AY1564" s="4">
        <f t="shared" si="116"/>
        <v>42496</v>
      </c>
      <c r="AZ1564" s="6" t="e">
        <f t="shared" si="117"/>
        <v>#DIV/0!</v>
      </c>
      <c r="BA1564" s="4">
        <v>42496</v>
      </c>
      <c r="BB1564" s="6">
        <v>-2.6001110000000001</v>
      </c>
      <c r="BC1564" s="6">
        <v>-3.9061050000000002</v>
      </c>
      <c r="BD1564" s="6">
        <v>-4.0875880000000002</v>
      </c>
      <c r="BE1564" s="6"/>
      <c r="BF1564" s="6"/>
      <c r="BG1564" s="6"/>
      <c r="BH1564" s="6"/>
      <c r="BI1564" s="6"/>
      <c r="BJ1564" s="6"/>
      <c r="BK1564" s="6"/>
      <c r="BL1564" s="6"/>
      <c r="BM1564" s="6"/>
      <c r="BN1564" s="6" t="e">
        <f t="shared" si="119"/>
        <v>#DIV/0!</v>
      </c>
    </row>
    <row r="1565" spans="49:66" x14ac:dyDescent="0.3">
      <c r="AW1565">
        <f t="shared" si="118"/>
        <v>0</v>
      </c>
      <c r="AX1565">
        <v>1562</v>
      </c>
      <c r="AY1565" s="4">
        <f t="shared" si="116"/>
        <v>42499</v>
      </c>
      <c r="AZ1565" s="6" t="e">
        <f t="shared" si="117"/>
        <v>#DIV/0!</v>
      </c>
      <c r="BA1565" s="4">
        <v>42499</v>
      </c>
      <c r="BB1565" s="6">
        <v>-2.0681039999999999</v>
      </c>
      <c r="BC1565" s="6">
        <v>-3.6541489999999999</v>
      </c>
      <c r="BD1565" s="6">
        <v>-4.3243520000000002</v>
      </c>
      <c r="BE1565" s="6"/>
      <c r="BF1565" s="6"/>
      <c r="BG1565" s="6"/>
      <c r="BH1565" s="6"/>
      <c r="BI1565" s="6"/>
      <c r="BJ1565" s="6"/>
      <c r="BK1565" s="6"/>
      <c r="BL1565" s="6"/>
      <c r="BM1565" s="6"/>
      <c r="BN1565" s="6" t="e">
        <f t="shared" si="119"/>
        <v>#DIV/0!</v>
      </c>
    </row>
    <row r="1566" spans="49:66" x14ac:dyDescent="0.3">
      <c r="AW1566">
        <f t="shared" si="118"/>
        <v>0</v>
      </c>
      <c r="AX1566">
        <v>1563</v>
      </c>
      <c r="AY1566" s="4">
        <f t="shared" si="116"/>
        <v>42500</v>
      </c>
      <c r="AZ1566" s="6" t="e">
        <f t="shared" si="117"/>
        <v>#DIV/0!</v>
      </c>
      <c r="BA1566" s="4">
        <v>42500</v>
      </c>
      <c r="BB1566" s="6">
        <v>0.11407200000000001</v>
      </c>
      <c r="BC1566" s="6">
        <v>-8.2721000000000003E-2</v>
      </c>
      <c r="BD1566" s="6">
        <v>-0.24609200000000001</v>
      </c>
      <c r="BE1566" s="6"/>
      <c r="BF1566" s="6"/>
      <c r="BG1566" s="6"/>
      <c r="BH1566" s="6"/>
      <c r="BI1566" s="6"/>
      <c r="BJ1566" s="6"/>
      <c r="BK1566" s="6"/>
      <c r="BL1566" s="6"/>
      <c r="BM1566" s="6"/>
      <c r="BN1566" s="6" t="e">
        <f t="shared" si="119"/>
        <v>#DIV/0!</v>
      </c>
    </row>
    <row r="1567" spans="49:66" x14ac:dyDescent="0.3">
      <c r="AW1567">
        <f t="shared" si="118"/>
        <v>0</v>
      </c>
      <c r="AX1567">
        <v>1564</v>
      </c>
      <c r="AY1567" s="4">
        <f t="shared" si="116"/>
        <v>42501</v>
      </c>
      <c r="AZ1567" s="6" t="e">
        <f t="shared" si="117"/>
        <v>#DIV/0!</v>
      </c>
      <c r="BA1567" s="4">
        <v>42501</v>
      </c>
      <c r="BB1567" s="6">
        <v>0.44625900000000002</v>
      </c>
      <c r="BC1567" s="6">
        <v>-0.26983800000000002</v>
      </c>
      <c r="BD1567" s="6">
        <v>-0.94551099999999999</v>
      </c>
      <c r="BE1567" s="6"/>
      <c r="BF1567" s="6"/>
      <c r="BG1567" s="6"/>
      <c r="BH1567" s="6"/>
      <c r="BI1567" s="6"/>
      <c r="BJ1567" s="6"/>
      <c r="BK1567" s="6"/>
      <c r="BL1567" s="6"/>
      <c r="BM1567" s="6"/>
      <c r="BN1567" s="6" t="e">
        <f t="shared" si="119"/>
        <v>#DIV/0!</v>
      </c>
    </row>
    <row r="1568" spans="49:66" x14ac:dyDescent="0.3">
      <c r="AW1568">
        <f t="shared" si="118"/>
        <v>0</v>
      </c>
      <c r="AX1568">
        <v>1565</v>
      </c>
      <c r="AY1568" s="4">
        <f t="shared" si="116"/>
        <v>42502</v>
      </c>
      <c r="AZ1568" s="6" t="e">
        <f t="shared" si="117"/>
        <v>#DIV/0!</v>
      </c>
      <c r="BA1568" s="4">
        <v>42502</v>
      </c>
      <c r="BB1568" s="6">
        <v>0.23772499999999999</v>
      </c>
      <c r="BC1568" s="6">
        <v>5.3204000000000001E-2</v>
      </c>
      <c r="BD1568" s="6">
        <v>-2.6426000000000002E-2</v>
      </c>
      <c r="BE1568" s="6"/>
      <c r="BF1568" s="6"/>
      <c r="BG1568" s="6"/>
      <c r="BH1568" s="6"/>
      <c r="BI1568" s="6"/>
      <c r="BJ1568" s="6"/>
      <c r="BK1568" s="6"/>
      <c r="BL1568" s="6"/>
      <c r="BM1568" s="6"/>
      <c r="BN1568" s="6" t="e">
        <f t="shared" si="119"/>
        <v>#DIV/0!</v>
      </c>
    </row>
    <row r="1569" spans="49:66" x14ac:dyDescent="0.3">
      <c r="AW1569">
        <f t="shared" si="118"/>
        <v>0</v>
      </c>
      <c r="AX1569">
        <v>1566</v>
      </c>
      <c r="AY1569" s="4">
        <f t="shared" si="116"/>
        <v>42503</v>
      </c>
      <c r="AZ1569" s="6" t="e">
        <f t="shared" si="117"/>
        <v>#DIV/0!</v>
      </c>
      <c r="BA1569" s="4">
        <v>42503</v>
      </c>
      <c r="BB1569" s="6">
        <v>-0.491956</v>
      </c>
      <c r="BC1569" s="6">
        <v>-0.21208199999999999</v>
      </c>
      <c r="BD1569" s="6">
        <v>-0.19119700000000001</v>
      </c>
      <c r="BE1569" s="6"/>
      <c r="BF1569" s="6"/>
      <c r="BG1569" s="6"/>
      <c r="BH1569" s="6"/>
      <c r="BI1569" s="6"/>
      <c r="BJ1569" s="6"/>
      <c r="BK1569" s="6"/>
      <c r="BL1569" s="6"/>
      <c r="BM1569" s="6"/>
      <c r="BN1569" s="6" t="e">
        <f t="shared" si="119"/>
        <v>#DIV/0!</v>
      </c>
    </row>
    <row r="1570" spans="49:66" x14ac:dyDescent="0.3">
      <c r="AW1570">
        <f t="shared" si="118"/>
        <v>0</v>
      </c>
      <c r="AX1570">
        <v>1567</v>
      </c>
      <c r="AY1570" s="4">
        <f t="shared" si="116"/>
        <v>42506</v>
      </c>
      <c r="AZ1570" s="6" t="e">
        <f t="shared" si="117"/>
        <v>#DIV/0!</v>
      </c>
      <c r="BA1570" s="4">
        <v>42506</v>
      </c>
      <c r="BB1570" s="6">
        <v>0.66256400000000004</v>
      </c>
      <c r="BC1570" s="6">
        <v>1.7190449999999999</v>
      </c>
      <c r="BD1570" s="6">
        <v>1.975028</v>
      </c>
      <c r="BE1570" s="6"/>
      <c r="BF1570" s="6"/>
      <c r="BG1570" s="6"/>
      <c r="BH1570" s="6"/>
      <c r="BI1570" s="6"/>
      <c r="BJ1570" s="6"/>
      <c r="BK1570" s="6"/>
      <c r="BL1570" s="6"/>
      <c r="BM1570" s="6"/>
      <c r="BN1570" s="6" t="e">
        <f t="shared" si="119"/>
        <v>#DIV/0!</v>
      </c>
    </row>
    <row r="1571" spans="49:66" x14ac:dyDescent="0.3">
      <c r="AW1571">
        <f t="shared" si="118"/>
        <v>0</v>
      </c>
      <c r="AX1571">
        <v>1568</v>
      </c>
      <c r="AY1571" s="4">
        <f t="shared" si="116"/>
        <v>42507</v>
      </c>
      <c r="AZ1571" s="6" t="e">
        <f t="shared" si="117"/>
        <v>#DIV/0!</v>
      </c>
      <c r="BA1571" s="4">
        <v>42507</v>
      </c>
      <c r="BB1571" s="6">
        <v>-0.299925</v>
      </c>
      <c r="BC1571" s="6">
        <v>-0.38194499999999998</v>
      </c>
      <c r="BD1571" s="6">
        <v>4.4669999999999996E-3</v>
      </c>
      <c r="BE1571" s="6"/>
      <c r="BF1571" s="6"/>
      <c r="BG1571" s="6"/>
      <c r="BH1571" s="6"/>
      <c r="BI1571" s="6"/>
      <c r="BJ1571" s="6"/>
      <c r="BK1571" s="6"/>
      <c r="BL1571" s="6"/>
      <c r="BM1571" s="6"/>
      <c r="BN1571" s="6" t="e">
        <f t="shared" si="119"/>
        <v>#DIV/0!</v>
      </c>
    </row>
    <row r="1572" spans="49:66" x14ac:dyDescent="0.3">
      <c r="AW1572">
        <f t="shared" si="118"/>
        <v>0</v>
      </c>
      <c r="AX1572">
        <v>1569</v>
      </c>
      <c r="AY1572" s="4">
        <f t="shared" si="116"/>
        <v>42508</v>
      </c>
      <c r="AZ1572" s="6" t="e">
        <f t="shared" si="117"/>
        <v>#DIV/0!</v>
      </c>
      <c r="BA1572" s="4">
        <v>42508</v>
      </c>
      <c r="BB1572" s="6">
        <v>-0.58292100000000002</v>
      </c>
      <c r="BC1572" s="6">
        <v>-2.7485240000000002</v>
      </c>
      <c r="BD1572" s="6">
        <v>-3.1344259999999999</v>
      </c>
      <c r="BE1572" s="6"/>
      <c r="BF1572" s="6"/>
      <c r="BG1572" s="6"/>
      <c r="BH1572" s="6"/>
      <c r="BI1572" s="6"/>
      <c r="BJ1572" s="6"/>
      <c r="BK1572" s="6"/>
      <c r="BL1572" s="6"/>
      <c r="BM1572" s="6"/>
      <c r="BN1572" s="6" t="e">
        <f t="shared" si="119"/>
        <v>#DIV/0!</v>
      </c>
    </row>
    <row r="1573" spans="49:66" x14ac:dyDescent="0.3">
      <c r="AW1573">
        <f t="shared" si="118"/>
        <v>0</v>
      </c>
      <c r="AX1573">
        <v>1570</v>
      </c>
      <c r="AY1573" s="4">
        <f t="shared" si="116"/>
        <v>42509</v>
      </c>
      <c r="AZ1573" s="6" t="e">
        <f t="shared" si="117"/>
        <v>#DIV/0!</v>
      </c>
      <c r="BA1573" s="4">
        <v>42509</v>
      </c>
      <c r="BB1573" s="6">
        <v>-0.18042800000000001</v>
      </c>
      <c r="BC1573" s="6">
        <v>0.631135</v>
      </c>
      <c r="BD1573" s="6">
        <v>0.71785699999999997</v>
      </c>
      <c r="BE1573" s="6"/>
      <c r="BF1573" s="6"/>
      <c r="BG1573" s="6"/>
      <c r="BH1573" s="6"/>
      <c r="BI1573" s="6"/>
      <c r="BJ1573" s="6"/>
      <c r="BK1573" s="6"/>
      <c r="BL1573" s="6"/>
      <c r="BM1573" s="6"/>
      <c r="BN1573" s="6" t="e">
        <f t="shared" si="119"/>
        <v>#DIV/0!</v>
      </c>
    </row>
    <row r="1574" spans="49:66" x14ac:dyDescent="0.3">
      <c r="AW1574">
        <f t="shared" si="118"/>
        <v>0</v>
      </c>
      <c r="AX1574">
        <v>1571</v>
      </c>
      <c r="AY1574" s="4">
        <f t="shared" si="116"/>
        <v>42510</v>
      </c>
      <c r="AZ1574" s="6" t="e">
        <f t="shared" si="117"/>
        <v>#DIV/0!</v>
      </c>
      <c r="BA1574" s="4">
        <v>42510</v>
      </c>
      <c r="BB1574" s="6">
        <v>0.51324400000000003</v>
      </c>
      <c r="BC1574" s="6">
        <v>1.1676690000000001</v>
      </c>
      <c r="BD1574" s="6">
        <v>1.1949110000000001</v>
      </c>
      <c r="BE1574" s="6"/>
      <c r="BF1574" s="6"/>
      <c r="BG1574" s="6"/>
      <c r="BH1574" s="6"/>
      <c r="BI1574" s="6"/>
      <c r="BJ1574" s="6"/>
      <c r="BK1574" s="6"/>
      <c r="BL1574" s="6"/>
      <c r="BM1574" s="6"/>
      <c r="BN1574" s="6" t="e">
        <f t="shared" si="119"/>
        <v>#DIV/0!</v>
      </c>
    </row>
    <row r="1575" spans="49:66" x14ac:dyDescent="0.3">
      <c r="AW1575">
        <f t="shared" si="118"/>
        <v>0</v>
      </c>
      <c r="AX1575">
        <v>1572</v>
      </c>
      <c r="AY1575" s="4">
        <f t="shared" si="116"/>
        <v>42513</v>
      </c>
      <c r="AZ1575" s="6" t="e">
        <f t="shared" si="117"/>
        <v>#DIV/0!</v>
      </c>
      <c r="BA1575" s="4">
        <v>42513</v>
      </c>
      <c r="BB1575" s="6">
        <v>0.29251300000000002</v>
      </c>
      <c r="BC1575" s="6">
        <v>1.335699</v>
      </c>
      <c r="BD1575" s="6">
        <v>1.723298</v>
      </c>
      <c r="BE1575" s="6"/>
      <c r="BF1575" s="6"/>
      <c r="BG1575" s="6"/>
      <c r="BH1575" s="6"/>
      <c r="BI1575" s="6"/>
      <c r="BJ1575" s="6"/>
      <c r="BK1575" s="6"/>
      <c r="BL1575" s="6"/>
      <c r="BM1575" s="6"/>
      <c r="BN1575" s="6" t="e">
        <f t="shared" si="119"/>
        <v>#DIV/0!</v>
      </c>
    </row>
    <row r="1576" spans="49:66" x14ac:dyDescent="0.3">
      <c r="AW1576">
        <f t="shared" si="118"/>
        <v>0</v>
      </c>
      <c r="AX1576">
        <v>1573</v>
      </c>
      <c r="AY1576" s="4">
        <f t="shared" si="116"/>
        <v>42514</v>
      </c>
      <c r="AZ1576" s="6" t="e">
        <f t="shared" si="117"/>
        <v>#DIV/0!</v>
      </c>
      <c r="BA1576" s="4">
        <v>42514</v>
      </c>
      <c r="BB1576" s="6">
        <v>-0.76660799999999996</v>
      </c>
      <c r="BC1576" s="6">
        <v>-1.141203</v>
      </c>
      <c r="BD1576" s="6">
        <v>-1.0243899999999999</v>
      </c>
      <c r="BE1576" s="6"/>
      <c r="BF1576" s="6"/>
      <c r="BG1576" s="6"/>
      <c r="BH1576" s="6"/>
      <c r="BI1576" s="6"/>
      <c r="BJ1576" s="6"/>
      <c r="BK1576" s="6"/>
      <c r="BL1576" s="6"/>
      <c r="BM1576" s="6"/>
      <c r="BN1576" s="6" t="e">
        <f t="shared" si="119"/>
        <v>#DIV/0!</v>
      </c>
    </row>
    <row r="1577" spans="49:66" x14ac:dyDescent="0.3">
      <c r="AW1577">
        <f t="shared" si="118"/>
        <v>0</v>
      </c>
      <c r="AX1577">
        <v>1574</v>
      </c>
      <c r="AY1577" s="4">
        <f t="shared" si="116"/>
        <v>42515</v>
      </c>
      <c r="AZ1577" s="6" t="e">
        <f t="shared" si="117"/>
        <v>#DIV/0!</v>
      </c>
      <c r="BA1577" s="4">
        <v>42515</v>
      </c>
      <c r="BB1577" s="6">
        <v>-0.14132900000000001</v>
      </c>
      <c r="BC1577" s="6">
        <v>-0.48744399999999999</v>
      </c>
      <c r="BD1577" s="6">
        <v>-0.30258400000000002</v>
      </c>
      <c r="BE1577" s="6"/>
      <c r="BF1577" s="6"/>
      <c r="BG1577" s="6"/>
      <c r="BH1577" s="6"/>
      <c r="BI1577" s="6"/>
      <c r="BJ1577" s="6"/>
      <c r="BK1577" s="6"/>
      <c r="BL1577" s="6"/>
      <c r="BM1577" s="6"/>
      <c r="BN1577" s="6" t="e">
        <f t="shared" si="119"/>
        <v>#DIV/0!</v>
      </c>
    </row>
    <row r="1578" spans="49:66" x14ac:dyDescent="0.3">
      <c r="AW1578">
        <f t="shared" si="118"/>
        <v>0</v>
      </c>
      <c r="AX1578">
        <v>1575</v>
      </c>
      <c r="AY1578" s="4">
        <f t="shared" si="116"/>
        <v>42516</v>
      </c>
      <c r="AZ1578" s="6" t="e">
        <f t="shared" si="117"/>
        <v>#DIV/0!</v>
      </c>
      <c r="BA1578" s="4">
        <v>42516</v>
      </c>
      <c r="BB1578" s="6">
        <v>0.16295599999999999</v>
      </c>
      <c r="BC1578" s="6">
        <v>0.51099300000000003</v>
      </c>
      <c r="BD1578" s="6">
        <v>0.503664</v>
      </c>
      <c r="BE1578" s="6"/>
      <c r="BF1578" s="6"/>
      <c r="BG1578" s="6"/>
      <c r="BH1578" s="6"/>
      <c r="BI1578" s="6"/>
      <c r="BJ1578" s="6"/>
      <c r="BK1578" s="6"/>
      <c r="BL1578" s="6"/>
      <c r="BM1578" s="6"/>
      <c r="BN1578" s="6" t="e">
        <f t="shared" si="119"/>
        <v>#DIV/0!</v>
      </c>
    </row>
    <row r="1579" spans="49:66" x14ac:dyDescent="0.3">
      <c r="AW1579">
        <f t="shared" si="118"/>
        <v>0</v>
      </c>
      <c r="AX1579">
        <v>1576</v>
      </c>
      <c r="AY1579" s="4">
        <f t="shared" si="116"/>
        <v>42517</v>
      </c>
      <c r="AZ1579" s="6" t="e">
        <f t="shared" si="117"/>
        <v>#DIV/0!</v>
      </c>
      <c r="BA1579" s="4">
        <v>42517</v>
      </c>
      <c r="BB1579" s="6">
        <v>-5.5863999999999997E-2</v>
      </c>
      <c r="BC1579" s="6">
        <v>-8.3523E-2</v>
      </c>
      <c r="BD1579" s="6">
        <v>-0.209395</v>
      </c>
      <c r="BE1579" s="6"/>
      <c r="BF1579" s="6"/>
      <c r="BG1579" s="6"/>
      <c r="BH1579" s="6"/>
      <c r="BI1579" s="6"/>
      <c r="BJ1579" s="6"/>
      <c r="BK1579" s="6"/>
      <c r="BL1579" s="6"/>
      <c r="BM1579" s="6"/>
      <c r="BN1579" s="6" t="e">
        <f t="shared" si="119"/>
        <v>#DIV/0!</v>
      </c>
    </row>
    <row r="1580" spans="49:66" x14ac:dyDescent="0.3">
      <c r="AW1580">
        <f t="shared" si="118"/>
        <v>0</v>
      </c>
      <c r="AX1580">
        <v>1577</v>
      </c>
      <c r="AY1580" s="4">
        <f t="shared" si="116"/>
        <v>42520</v>
      </c>
      <c r="AZ1580" s="6" t="e">
        <f t="shared" si="117"/>
        <v>#DIV/0!</v>
      </c>
      <c r="BA1580" s="4">
        <v>42520</v>
      </c>
      <c r="BB1580" s="6">
        <v>0.13747599999999999</v>
      </c>
      <c r="BC1580" s="6">
        <v>-0.492622</v>
      </c>
      <c r="BD1580" s="6">
        <v>-0.57206699999999999</v>
      </c>
      <c r="BE1580" s="6"/>
      <c r="BF1580" s="6"/>
      <c r="BG1580" s="6"/>
      <c r="BH1580" s="6"/>
      <c r="BI1580" s="6"/>
      <c r="BJ1580" s="6"/>
      <c r="BK1580" s="6"/>
      <c r="BL1580" s="6"/>
      <c r="BM1580" s="6"/>
      <c r="BN1580" s="6" t="e">
        <f t="shared" si="119"/>
        <v>#DIV/0!</v>
      </c>
    </row>
    <row r="1581" spans="49:66" x14ac:dyDescent="0.3">
      <c r="AW1581">
        <f t="shared" si="118"/>
        <v>0</v>
      </c>
      <c r="AX1581">
        <v>1578</v>
      </c>
      <c r="AY1581" s="4">
        <f t="shared" si="116"/>
        <v>42521</v>
      </c>
      <c r="AZ1581" s="6" t="e">
        <f t="shared" si="117"/>
        <v>#DIV/0!</v>
      </c>
      <c r="BA1581" s="4">
        <v>42521</v>
      </c>
      <c r="BB1581" s="6">
        <v>3.3537669999999999</v>
      </c>
      <c r="BC1581" s="6">
        <v>4.1322739999999998</v>
      </c>
      <c r="BD1581" s="6">
        <v>4.1939099999999998</v>
      </c>
      <c r="BE1581" s="6"/>
      <c r="BF1581" s="6"/>
      <c r="BG1581" s="6"/>
      <c r="BH1581" s="6"/>
      <c r="BI1581" s="6"/>
      <c r="BJ1581" s="6"/>
      <c r="BK1581" s="6"/>
      <c r="BL1581" s="6"/>
      <c r="BM1581" s="6"/>
      <c r="BN1581" s="6" t="e">
        <f t="shared" si="119"/>
        <v>#DIV/0!</v>
      </c>
    </row>
    <row r="1582" spans="49:66" x14ac:dyDescent="0.3">
      <c r="AW1582">
        <f t="shared" si="118"/>
        <v>0</v>
      </c>
      <c r="AX1582">
        <v>1579</v>
      </c>
      <c r="AY1582" s="4">
        <f t="shared" si="116"/>
        <v>42522</v>
      </c>
      <c r="AZ1582" s="6" t="e">
        <f t="shared" si="117"/>
        <v>#DIV/0!</v>
      </c>
      <c r="BA1582" s="4">
        <v>42522</v>
      </c>
      <c r="BB1582" s="6">
        <v>-0.28435500000000002</v>
      </c>
      <c r="BC1582" s="6">
        <v>0.44486399999999998</v>
      </c>
      <c r="BD1582" s="6">
        <v>0.89002000000000003</v>
      </c>
      <c r="BE1582" s="6"/>
      <c r="BF1582" s="6"/>
      <c r="BG1582" s="6"/>
      <c r="BH1582" s="6"/>
      <c r="BI1582" s="6"/>
      <c r="BJ1582" s="6"/>
      <c r="BK1582" s="6"/>
      <c r="BL1582" s="6"/>
      <c r="BM1582" s="6"/>
      <c r="BN1582" s="6" t="e">
        <f t="shared" si="119"/>
        <v>#DIV/0!</v>
      </c>
    </row>
    <row r="1583" spans="49:66" x14ac:dyDescent="0.3">
      <c r="AW1583">
        <f t="shared" si="118"/>
        <v>0</v>
      </c>
      <c r="AX1583">
        <v>1580</v>
      </c>
      <c r="AY1583" s="4">
        <f t="shared" si="116"/>
        <v>42523</v>
      </c>
      <c r="AZ1583" s="6" t="e">
        <f t="shared" si="117"/>
        <v>#DIV/0!</v>
      </c>
      <c r="BA1583" s="4">
        <v>42523</v>
      </c>
      <c r="BB1583" s="6">
        <v>0.20732800000000001</v>
      </c>
      <c r="BC1583" s="6">
        <v>0.67150600000000005</v>
      </c>
      <c r="BD1583" s="6">
        <v>1.196</v>
      </c>
      <c r="BE1583" s="6"/>
      <c r="BF1583" s="6"/>
      <c r="BG1583" s="6"/>
      <c r="BH1583" s="6"/>
      <c r="BI1583" s="6"/>
      <c r="BJ1583" s="6"/>
      <c r="BK1583" s="6"/>
      <c r="BL1583" s="6"/>
      <c r="BM1583" s="6"/>
      <c r="BN1583" s="6" t="e">
        <f t="shared" si="119"/>
        <v>#DIV/0!</v>
      </c>
    </row>
    <row r="1584" spans="49:66" x14ac:dyDescent="0.3">
      <c r="AW1584">
        <f t="shared" si="118"/>
        <v>0</v>
      </c>
      <c r="AX1584">
        <v>1581</v>
      </c>
      <c r="AY1584" s="4">
        <f t="shared" si="116"/>
        <v>42524</v>
      </c>
      <c r="AZ1584" s="6" t="e">
        <f t="shared" si="117"/>
        <v>#DIV/0!</v>
      </c>
      <c r="BA1584" s="4">
        <v>42524</v>
      </c>
      <c r="BB1584" s="6">
        <v>0.70177100000000003</v>
      </c>
      <c r="BC1584" s="6">
        <v>0.31109300000000001</v>
      </c>
      <c r="BD1584" s="6">
        <v>0.26681899999999997</v>
      </c>
      <c r="BE1584" s="6"/>
      <c r="BF1584" s="6"/>
      <c r="BG1584" s="6"/>
      <c r="BH1584" s="6"/>
      <c r="BI1584" s="6"/>
      <c r="BJ1584" s="6"/>
      <c r="BK1584" s="6"/>
      <c r="BL1584" s="6"/>
      <c r="BM1584" s="6"/>
      <c r="BN1584" s="6" t="e">
        <f t="shared" si="119"/>
        <v>#DIV/0!</v>
      </c>
    </row>
    <row r="1585" spans="49:66" x14ac:dyDescent="0.3">
      <c r="AW1585">
        <f t="shared" si="118"/>
        <v>0</v>
      </c>
      <c r="AX1585">
        <v>1582</v>
      </c>
      <c r="AY1585" s="4">
        <f t="shared" si="116"/>
        <v>42527</v>
      </c>
      <c r="AZ1585" s="6" t="e">
        <f t="shared" si="117"/>
        <v>#DIV/0!</v>
      </c>
      <c r="BA1585" s="4">
        <v>42527</v>
      </c>
      <c r="BB1585" s="6">
        <v>-0.33039000000000002</v>
      </c>
      <c r="BC1585" s="6">
        <v>0.31920700000000002</v>
      </c>
      <c r="BD1585" s="6">
        <v>0.36593700000000001</v>
      </c>
      <c r="BE1585" s="6"/>
      <c r="BF1585" s="6"/>
      <c r="BG1585" s="6"/>
      <c r="BH1585" s="6"/>
      <c r="BI1585" s="6"/>
      <c r="BJ1585" s="6"/>
      <c r="BK1585" s="6"/>
      <c r="BL1585" s="6"/>
      <c r="BM1585" s="6"/>
      <c r="BN1585" s="6" t="e">
        <f t="shared" si="119"/>
        <v>#DIV/0!</v>
      </c>
    </row>
    <row r="1586" spans="49:66" x14ac:dyDescent="0.3">
      <c r="AW1586">
        <f t="shared" si="118"/>
        <v>0</v>
      </c>
      <c r="AX1586">
        <v>1583</v>
      </c>
      <c r="AY1586" s="4">
        <f t="shared" si="116"/>
        <v>42528</v>
      </c>
      <c r="AZ1586" s="6" t="e">
        <f t="shared" si="117"/>
        <v>#DIV/0!</v>
      </c>
      <c r="BA1586" s="4">
        <v>42528</v>
      </c>
      <c r="BB1586" s="6">
        <v>-5.4571000000000001E-2</v>
      </c>
      <c r="BC1586" s="6">
        <v>-0.107445</v>
      </c>
      <c r="BD1586" s="6">
        <v>0.144816</v>
      </c>
      <c r="BE1586" s="6"/>
      <c r="BF1586" s="6"/>
      <c r="BG1586" s="6"/>
      <c r="BH1586" s="6"/>
      <c r="BI1586" s="6"/>
      <c r="BJ1586" s="6"/>
      <c r="BK1586" s="6"/>
      <c r="BL1586" s="6"/>
      <c r="BM1586" s="6"/>
      <c r="BN1586" s="6" t="e">
        <f t="shared" si="119"/>
        <v>#DIV/0!</v>
      </c>
    </row>
    <row r="1587" spans="49:66" x14ac:dyDescent="0.3">
      <c r="AW1587">
        <f t="shared" si="118"/>
        <v>0</v>
      </c>
      <c r="AX1587">
        <v>1584</v>
      </c>
      <c r="AY1587" s="4">
        <f t="shared" si="116"/>
        <v>42529</v>
      </c>
      <c r="AZ1587" s="6" t="e">
        <f t="shared" si="117"/>
        <v>#DIV/0!</v>
      </c>
      <c r="BA1587" s="4">
        <v>42529</v>
      </c>
      <c r="BB1587" s="6">
        <v>-0.41129900000000003</v>
      </c>
      <c r="BC1587" s="6">
        <v>-0.35530600000000001</v>
      </c>
      <c r="BD1587" s="6">
        <v>-3.2927999999999999E-2</v>
      </c>
      <c r="BE1587" s="6"/>
      <c r="BF1587" s="6"/>
      <c r="BG1587" s="6"/>
      <c r="BH1587" s="6"/>
      <c r="BI1587" s="6"/>
      <c r="BJ1587" s="6"/>
      <c r="BK1587" s="6"/>
      <c r="BL1587" s="6"/>
      <c r="BM1587" s="6"/>
      <c r="BN1587" s="6" t="e">
        <f t="shared" si="119"/>
        <v>#DIV/0!</v>
      </c>
    </row>
    <row r="1588" spans="49:66" x14ac:dyDescent="0.3">
      <c r="AW1588">
        <f t="shared" si="118"/>
        <v>0</v>
      </c>
      <c r="AX1588">
        <v>1585</v>
      </c>
      <c r="AY1588" s="4">
        <f t="shared" si="116"/>
        <v>42534</v>
      </c>
      <c r="AZ1588" s="6" t="e">
        <f t="shared" si="117"/>
        <v>#DIV/0!</v>
      </c>
      <c r="BA1588" s="4">
        <v>42534</v>
      </c>
      <c r="BB1588" s="6">
        <v>-3.0861420000000002</v>
      </c>
      <c r="BC1588" s="6">
        <v>-4.6055679999999999</v>
      </c>
      <c r="BD1588" s="6">
        <v>-5.112412</v>
      </c>
      <c r="BE1588" s="6"/>
      <c r="BF1588" s="6"/>
      <c r="BG1588" s="6"/>
      <c r="BH1588" s="6"/>
      <c r="BI1588" s="6"/>
      <c r="BJ1588" s="6"/>
      <c r="BK1588" s="6"/>
      <c r="BL1588" s="6"/>
      <c r="BM1588" s="6"/>
      <c r="BN1588" s="6" t="e">
        <f t="shared" si="119"/>
        <v>#DIV/0!</v>
      </c>
    </row>
    <row r="1589" spans="49:66" x14ac:dyDescent="0.3">
      <c r="AW1589">
        <f t="shared" si="118"/>
        <v>0</v>
      </c>
      <c r="AX1589">
        <v>1586</v>
      </c>
      <c r="AY1589" s="4">
        <f t="shared" si="116"/>
        <v>42535</v>
      </c>
      <c r="AZ1589" s="6" t="e">
        <f t="shared" si="117"/>
        <v>#DIV/0!</v>
      </c>
      <c r="BA1589" s="4">
        <v>42535</v>
      </c>
      <c r="BB1589" s="6">
        <v>0.31445000000000001</v>
      </c>
      <c r="BC1589" s="6">
        <v>0.28395599999999999</v>
      </c>
      <c r="BD1589" s="6">
        <v>0.47208299999999997</v>
      </c>
      <c r="BE1589" s="6"/>
      <c r="BF1589" s="6"/>
      <c r="BG1589" s="6"/>
      <c r="BH1589" s="6"/>
      <c r="BI1589" s="6"/>
      <c r="BJ1589" s="6"/>
      <c r="BK1589" s="6"/>
      <c r="BL1589" s="6"/>
      <c r="BM1589" s="6"/>
      <c r="BN1589" s="6" t="e">
        <f t="shared" si="119"/>
        <v>#DIV/0!</v>
      </c>
    </row>
    <row r="1590" spans="49:66" x14ac:dyDescent="0.3">
      <c r="AW1590">
        <f t="shared" si="118"/>
        <v>0</v>
      </c>
      <c r="AX1590">
        <v>1587</v>
      </c>
      <c r="AY1590" s="4">
        <f t="shared" si="116"/>
        <v>42536</v>
      </c>
      <c r="AZ1590" s="6" t="e">
        <f t="shared" si="117"/>
        <v>#DIV/0!</v>
      </c>
      <c r="BA1590" s="4">
        <v>42536</v>
      </c>
      <c r="BB1590" s="6">
        <v>1.312907</v>
      </c>
      <c r="BC1590" s="6">
        <v>3.298502</v>
      </c>
      <c r="BD1590" s="6">
        <v>3.7562609999999999</v>
      </c>
      <c r="BE1590" s="6"/>
      <c r="BF1590" s="6"/>
      <c r="BG1590" s="6"/>
      <c r="BH1590" s="6"/>
      <c r="BI1590" s="6"/>
      <c r="BJ1590" s="6"/>
      <c r="BK1590" s="6"/>
      <c r="BL1590" s="6"/>
      <c r="BM1590" s="6"/>
      <c r="BN1590" s="6" t="e">
        <f t="shared" si="119"/>
        <v>#DIV/0!</v>
      </c>
    </row>
    <row r="1591" spans="49:66" x14ac:dyDescent="0.3">
      <c r="AW1591">
        <f t="shared" si="118"/>
        <v>0</v>
      </c>
      <c r="AX1591">
        <v>1588</v>
      </c>
      <c r="AY1591" s="4">
        <f t="shared" si="116"/>
        <v>42537</v>
      </c>
      <c r="AZ1591" s="6" t="e">
        <f t="shared" si="117"/>
        <v>#DIV/0!</v>
      </c>
      <c r="BA1591" s="4">
        <v>42537</v>
      </c>
      <c r="BB1591" s="6">
        <v>-0.69611199999999995</v>
      </c>
      <c r="BC1591" s="6">
        <v>-0.37462099999999998</v>
      </c>
      <c r="BD1591" s="6">
        <v>0.209756</v>
      </c>
      <c r="BE1591" s="6"/>
      <c r="BF1591" s="6"/>
      <c r="BG1591" s="6"/>
      <c r="BH1591" s="6"/>
      <c r="BI1591" s="6"/>
      <c r="BJ1591" s="6"/>
      <c r="BK1591" s="6"/>
      <c r="BL1591" s="6"/>
      <c r="BM1591" s="6"/>
      <c r="BN1591" s="6" t="e">
        <f t="shared" si="119"/>
        <v>#DIV/0!</v>
      </c>
    </row>
    <row r="1592" spans="49:66" x14ac:dyDescent="0.3">
      <c r="AW1592">
        <f t="shared" si="118"/>
        <v>0</v>
      </c>
      <c r="AX1592">
        <v>1589</v>
      </c>
      <c r="AY1592" s="4">
        <f t="shared" si="116"/>
        <v>42538</v>
      </c>
      <c r="AZ1592" s="6" t="e">
        <f t="shared" si="117"/>
        <v>#DIV/0!</v>
      </c>
      <c r="BA1592" s="4">
        <v>42538</v>
      </c>
      <c r="BB1592" s="6">
        <v>0.50675400000000004</v>
      </c>
      <c r="BC1592" s="6">
        <v>0.56869999999999998</v>
      </c>
      <c r="BD1592" s="6">
        <v>0.67567699999999997</v>
      </c>
      <c r="BE1592" s="6"/>
      <c r="BF1592" s="6"/>
      <c r="BG1592" s="6"/>
      <c r="BH1592" s="6"/>
      <c r="BI1592" s="6"/>
      <c r="BJ1592" s="6"/>
      <c r="BK1592" s="6"/>
      <c r="BL1592" s="6"/>
      <c r="BM1592" s="6"/>
      <c r="BN1592" s="6" t="e">
        <f t="shared" si="119"/>
        <v>#DIV/0!</v>
      </c>
    </row>
    <row r="1593" spans="49:66" x14ac:dyDescent="0.3">
      <c r="AW1593">
        <f t="shared" si="118"/>
        <v>0</v>
      </c>
      <c r="AX1593">
        <v>1590</v>
      </c>
      <c r="AY1593" s="4">
        <f t="shared" si="116"/>
        <v>42541</v>
      </c>
      <c r="AZ1593" s="6" t="e">
        <f t="shared" si="117"/>
        <v>#DIV/0!</v>
      </c>
      <c r="BA1593" s="4">
        <v>42541</v>
      </c>
      <c r="BB1593" s="6">
        <v>7.4498999999999996E-2</v>
      </c>
      <c r="BC1593" s="6">
        <v>0.35707100000000003</v>
      </c>
      <c r="BD1593" s="6">
        <v>0.51606099999999999</v>
      </c>
      <c r="BE1593" s="6"/>
      <c r="BF1593" s="6"/>
      <c r="BG1593" s="6"/>
      <c r="BH1593" s="6"/>
      <c r="BI1593" s="6"/>
      <c r="BJ1593" s="6"/>
      <c r="BK1593" s="6"/>
      <c r="BL1593" s="6"/>
      <c r="BM1593" s="6"/>
      <c r="BN1593" s="6" t="e">
        <f t="shared" si="119"/>
        <v>#DIV/0!</v>
      </c>
    </row>
    <row r="1594" spans="49:66" x14ac:dyDescent="0.3">
      <c r="AW1594">
        <f t="shared" si="118"/>
        <v>0</v>
      </c>
      <c r="AX1594">
        <v>1591</v>
      </c>
      <c r="AY1594" s="4">
        <f t="shared" si="116"/>
        <v>42542</v>
      </c>
      <c r="AZ1594" s="6" t="e">
        <f t="shared" si="117"/>
        <v>#DIV/0!</v>
      </c>
      <c r="BA1594" s="4">
        <v>42542</v>
      </c>
      <c r="BB1594" s="6">
        <v>-0.20422599999999999</v>
      </c>
      <c r="BC1594" s="6">
        <v>-1.148862</v>
      </c>
      <c r="BD1594" s="6">
        <v>-1.267091</v>
      </c>
      <c r="BE1594" s="6"/>
      <c r="BF1594" s="6"/>
      <c r="BG1594" s="6"/>
      <c r="BH1594" s="6"/>
      <c r="BI1594" s="6"/>
      <c r="BJ1594" s="6"/>
      <c r="BK1594" s="6"/>
      <c r="BL1594" s="6"/>
      <c r="BM1594" s="6"/>
      <c r="BN1594" s="6" t="e">
        <f t="shared" si="119"/>
        <v>#DIV/0!</v>
      </c>
    </row>
    <row r="1595" spans="49:66" x14ac:dyDescent="0.3">
      <c r="AW1595">
        <f t="shared" si="118"/>
        <v>0</v>
      </c>
      <c r="AX1595">
        <v>1592</v>
      </c>
      <c r="AY1595" s="4">
        <f t="shared" si="116"/>
        <v>42543</v>
      </c>
      <c r="AZ1595" s="6" t="e">
        <f t="shared" si="117"/>
        <v>#DIV/0!</v>
      </c>
      <c r="BA1595" s="4">
        <v>42543</v>
      </c>
      <c r="BB1595" s="6">
        <v>0.88991500000000001</v>
      </c>
      <c r="BC1595" s="6">
        <v>1.5562879999999999</v>
      </c>
      <c r="BD1595" s="6">
        <v>1.9492989999999999</v>
      </c>
      <c r="BE1595" s="6"/>
      <c r="BF1595" s="6"/>
      <c r="BG1595" s="6"/>
      <c r="BH1595" s="6"/>
      <c r="BI1595" s="6"/>
      <c r="BJ1595" s="6"/>
      <c r="BK1595" s="6"/>
      <c r="BL1595" s="6"/>
      <c r="BM1595" s="6"/>
      <c r="BN1595" s="6" t="e">
        <f t="shared" si="119"/>
        <v>#DIV/0!</v>
      </c>
    </row>
    <row r="1596" spans="49:66" x14ac:dyDescent="0.3">
      <c r="AW1596">
        <f t="shared" si="118"/>
        <v>0</v>
      </c>
      <c r="AX1596">
        <v>1593</v>
      </c>
      <c r="AY1596" s="4">
        <f t="shared" si="116"/>
        <v>42544</v>
      </c>
      <c r="AZ1596" s="6" t="e">
        <f t="shared" si="117"/>
        <v>#DIV/0!</v>
      </c>
      <c r="BA1596" s="4">
        <v>42544</v>
      </c>
      <c r="BB1596" s="6">
        <v>-0.53109499999999998</v>
      </c>
      <c r="BC1596" s="6">
        <v>-0.51110999999999995</v>
      </c>
      <c r="BD1596" s="6">
        <v>-0.208645</v>
      </c>
      <c r="BE1596" s="6"/>
      <c r="BF1596" s="6"/>
      <c r="BG1596" s="6"/>
      <c r="BH1596" s="6"/>
      <c r="BI1596" s="6"/>
      <c r="BJ1596" s="6"/>
      <c r="BK1596" s="6"/>
      <c r="BL1596" s="6"/>
      <c r="BM1596" s="6"/>
      <c r="BN1596" s="6" t="e">
        <f t="shared" si="119"/>
        <v>#DIV/0!</v>
      </c>
    </row>
    <row r="1597" spans="49:66" x14ac:dyDescent="0.3">
      <c r="AW1597">
        <f t="shared" si="118"/>
        <v>0</v>
      </c>
      <c r="AX1597">
        <v>1594</v>
      </c>
      <c r="AY1597" s="4">
        <f t="shared" si="116"/>
        <v>42545</v>
      </c>
      <c r="AZ1597" s="6" t="e">
        <f t="shared" si="117"/>
        <v>#DIV/0!</v>
      </c>
      <c r="BA1597" s="4">
        <v>42545</v>
      </c>
      <c r="BB1597" s="6">
        <v>-1.288332</v>
      </c>
      <c r="BC1597" s="6">
        <v>-1.2470950000000001</v>
      </c>
      <c r="BD1597" s="6">
        <v>-0.78812400000000005</v>
      </c>
      <c r="BE1597" s="6"/>
      <c r="BF1597" s="6"/>
      <c r="BG1597" s="6"/>
      <c r="BH1597" s="6"/>
      <c r="BI1597" s="6"/>
      <c r="BJ1597" s="6"/>
      <c r="BK1597" s="6"/>
      <c r="BL1597" s="6"/>
      <c r="BM1597" s="6"/>
      <c r="BN1597" s="6" t="e">
        <f t="shared" si="119"/>
        <v>#DIV/0!</v>
      </c>
    </row>
    <row r="1598" spans="49:66" x14ac:dyDescent="0.3">
      <c r="AW1598">
        <f t="shared" si="118"/>
        <v>0</v>
      </c>
      <c r="AX1598">
        <v>1595</v>
      </c>
      <c r="AY1598" s="4">
        <f t="shared" si="116"/>
        <v>42548</v>
      </c>
      <c r="AZ1598" s="6" t="e">
        <f t="shared" si="117"/>
        <v>#DIV/0!</v>
      </c>
      <c r="BA1598" s="4">
        <v>42548</v>
      </c>
      <c r="BB1598" s="6">
        <v>1.4100330000000001</v>
      </c>
      <c r="BC1598" s="6">
        <v>2.3815710000000001</v>
      </c>
      <c r="BD1598" s="6">
        <v>2.5785130000000001</v>
      </c>
      <c r="BE1598" s="6"/>
      <c r="BF1598" s="6"/>
      <c r="BG1598" s="6"/>
      <c r="BH1598" s="6"/>
      <c r="BI1598" s="6"/>
      <c r="BJ1598" s="6"/>
      <c r="BK1598" s="6"/>
      <c r="BL1598" s="6"/>
      <c r="BM1598" s="6"/>
      <c r="BN1598" s="6" t="e">
        <f t="shared" si="119"/>
        <v>#DIV/0!</v>
      </c>
    </row>
    <row r="1599" spans="49:66" x14ac:dyDescent="0.3">
      <c r="AW1599">
        <f t="shared" si="118"/>
        <v>0</v>
      </c>
      <c r="AX1599">
        <v>1596</v>
      </c>
      <c r="AY1599" s="4">
        <f t="shared" si="116"/>
        <v>42549</v>
      </c>
      <c r="AZ1599" s="6" t="e">
        <f t="shared" si="117"/>
        <v>#DIV/0!</v>
      </c>
      <c r="BA1599" s="4">
        <v>42549</v>
      </c>
      <c r="BB1599" s="6">
        <v>0.50814899999999996</v>
      </c>
      <c r="BC1599" s="6">
        <v>1.047139</v>
      </c>
      <c r="BD1599" s="6">
        <v>0.97194599999999998</v>
      </c>
      <c r="BE1599" s="6"/>
      <c r="BF1599" s="6"/>
      <c r="BG1599" s="6"/>
      <c r="BH1599" s="6"/>
      <c r="BI1599" s="6"/>
      <c r="BJ1599" s="6"/>
      <c r="BK1599" s="6"/>
      <c r="BL1599" s="6"/>
      <c r="BM1599" s="6"/>
      <c r="BN1599" s="6" t="e">
        <f t="shared" si="119"/>
        <v>#DIV/0!</v>
      </c>
    </row>
    <row r="1600" spans="49:66" x14ac:dyDescent="0.3">
      <c r="AW1600">
        <f t="shared" si="118"/>
        <v>0</v>
      </c>
      <c r="AX1600">
        <v>1597</v>
      </c>
      <c r="AY1600" s="4">
        <f t="shared" si="116"/>
        <v>42550</v>
      </c>
      <c r="AZ1600" s="6" t="e">
        <f t="shared" si="117"/>
        <v>#DIV/0!</v>
      </c>
      <c r="BA1600" s="4">
        <v>42550</v>
      </c>
      <c r="BB1600" s="6">
        <v>0.47788799999999998</v>
      </c>
      <c r="BC1600" s="6">
        <v>0.20780299999999999</v>
      </c>
      <c r="BD1600" s="6">
        <v>0.178896</v>
      </c>
      <c r="BE1600" s="6"/>
      <c r="BF1600" s="6"/>
      <c r="BG1600" s="6"/>
      <c r="BH1600" s="6"/>
      <c r="BI1600" s="6"/>
      <c r="BJ1600" s="6"/>
      <c r="BK1600" s="6"/>
      <c r="BL1600" s="6"/>
      <c r="BM1600" s="6"/>
      <c r="BN1600" s="6" t="e">
        <f t="shared" si="119"/>
        <v>#DIV/0!</v>
      </c>
    </row>
    <row r="1601" spans="49:66" x14ac:dyDescent="0.3">
      <c r="AW1601">
        <f t="shared" si="118"/>
        <v>0</v>
      </c>
      <c r="AX1601">
        <v>1598</v>
      </c>
      <c r="AY1601" s="4">
        <f t="shared" si="116"/>
        <v>42551</v>
      </c>
      <c r="AZ1601" s="6" t="e">
        <f t="shared" si="117"/>
        <v>#DIV/0!</v>
      </c>
      <c r="BA1601" s="4">
        <v>42551</v>
      </c>
      <c r="BB1601" s="6">
        <v>8.0320000000000003E-2</v>
      </c>
      <c r="BC1601" s="6">
        <v>5.3786E-2</v>
      </c>
      <c r="BD1601" s="6">
        <v>-5.3920999999999997E-2</v>
      </c>
      <c r="BE1601" s="6"/>
      <c r="BF1601" s="6"/>
      <c r="BG1601" s="6"/>
      <c r="BH1601" s="6"/>
      <c r="BI1601" s="6"/>
      <c r="BJ1601" s="6"/>
      <c r="BK1601" s="6"/>
      <c r="BL1601" s="6"/>
      <c r="BM1601" s="6"/>
      <c r="BN1601" s="6" t="e">
        <f t="shared" si="119"/>
        <v>#DIV/0!</v>
      </c>
    </row>
    <row r="1602" spans="49:66" x14ac:dyDescent="0.3">
      <c r="AW1602">
        <f t="shared" si="118"/>
        <v>0</v>
      </c>
      <c r="AX1602">
        <v>1599</v>
      </c>
      <c r="AY1602" s="4">
        <f t="shared" si="116"/>
        <v>42552</v>
      </c>
      <c r="AZ1602" s="6" t="e">
        <f t="shared" si="117"/>
        <v>#DIV/0!</v>
      </c>
      <c r="BA1602" s="4">
        <v>42552</v>
      </c>
      <c r="BB1602" s="6">
        <v>8.8559999999999993E-3</v>
      </c>
      <c r="BC1602" s="6">
        <v>-0.19523799999999999</v>
      </c>
      <c r="BD1602" s="6">
        <v>-0.34986200000000001</v>
      </c>
      <c r="BE1602" s="6"/>
      <c r="BF1602" s="6"/>
      <c r="BG1602" s="6"/>
      <c r="BH1602" s="6"/>
      <c r="BI1602" s="6"/>
      <c r="BJ1602" s="6"/>
      <c r="BK1602" s="6"/>
      <c r="BL1602" s="6"/>
      <c r="BM1602" s="6"/>
      <c r="BN1602" s="6" t="e">
        <f t="shared" si="119"/>
        <v>#DIV/0!</v>
      </c>
    </row>
    <row r="1603" spans="49:66" x14ac:dyDescent="0.3">
      <c r="AW1603">
        <f t="shared" si="118"/>
        <v>0</v>
      </c>
      <c r="AX1603">
        <v>1600</v>
      </c>
      <c r="AY1603" s="4">
        <f t="shared" si="116"/>
        <v>42555</v>
      </c>
      <c r="AZ1603" s="6" t="e">
        <f t="shared" si="117"/>
        <v>#DIV/0!</v>
      </c>
      <c r="BA1603" s="4">
        <v>42555</v>
      </c>
      <c r="BB1603" s="6">
        <v>1.6009100000000001</v>
      </c>
      <c r="BC1603" s="6">
        <v>1.9691050000000001</v>
      </c>
      <c r="BD1603" s="6">
        <v>1.8776539999999999</v>
      </c>
      <c r="BE1603" s="6"/>
      <c r="BF1603" s="6"/>
      <c r="BG1603" s="6"/>
      <c r="BH1603" s="6"/>
      <c r="BI1603" s="6"/>
      <c r="BJ1603" s="6"/>
      <c r="BK1603" s="6"/>
      <c r="BL1603" s="6"/>
      <c r="BM1603" s="6"/>
      <c r="BN1603" s="6" t="e">
        <f t="shared" si="119"/>
        <v>#DIV/0!</v>
      </c>
    </row>
    <row r="1604" spans="49:66" x14ac:dyDescent="0.3">
      <c r="AW1604">
        <f t="shared" si="118"/>
        <v>0</v>
      </c>
      <c r="AX1604">
        <v>1601</v>
      </c>
      <c r="AY1604" s="4">
        <f t="shared" si="116"/>
        <v>42556</v>
      </c>
      <c r="AZ1604" s="6" t="e">
        <f t="shared" si="117"/>
        <v>#DIV/0!</v>
      </c>
      <c r="BA1604" s="4">
        <v>42556</v>
      </c>
      <c r="BB1604" s="6">
        <v>8.3830000000000002E-2</v>
      </c>
      <c r="BC1604" s="6">
        <v>0.60372599999999998</v>
      </c>
      <c r="BD1604" s="6">
        <v>0.45942300000000003</v>
      </c>
      <c r="BE1604" s="6"/>
      <c r="BF1604" s="6"/>
      <c r="BG1604" s="6"/>
      <c r="BH1604" s="6"/>
      <c r="BI1604" s="6"/>
      <c r="BJ1604" s="6"/>
      <c r="BK1604" s="6"/>
      <c r="BL1604" s="6"/>
      <c r="BM1604" s="6"/>
      <c r="BN1604" s="6" t="e">
        <f t="shared" si="119"/>
        <v>#DIV/0!</v>
      </c>
    </row>
    <row r="1605" spans="49:66" x14ac:dyDescent="0.3">
      <c r="AW1605">
        <f t="shared" si="118"/>
        <v>0</v>
      </c>
      <c r="AX1605">
        <v>1602</v>
      </c>
      <c r="AY1605" s="4">
        <f t="shared" ref="AY1605:AY1668" si="120">BA1605</f>
        <v>42557</v>
      </c>
      <c r="AZ1605" s="6" t="e">
        <f t="shared" ref="AZ1605:AZ1668" si="121">BN1605</f>
        <v>#DIV/0!</v>
      </c>
      <c r="BA1605" s="4">
        <v>42557</v>
      </c>
      <c r="BB1605" s="6">
        <v>0.29372199999999998</v>
      </c>
      <c r="BC1605" s="6">
        <v>0.44488800000000001</v>
      </c>
      <c r="BD1605" s="6">
        <v>0.36228199999999999</v>
      </c>
      <c r="BE1605" s="6"/>
      <c r="BF1605" s="6"/>
      <c r="BG1605" s="6"/>
      <c r="BH1605" s="6"/>
      <c r="BI1605" s="6"/>
      <c r="BJ1605" s="6"/>
      <c r="BK1605" s="6"/>
      <c r="BL1605" s="6"/>
      <c r="BM1605" s="6"/>
      <c r="BN1605" s="6" t="e">
        <f t="shared" si="119"/>
        <v>#DIV/0!</v>
      </c>
    </row>
    <row r="1606" spans="49:66" x14ac:dyDescent="0.3">
      <c r="AW1606">
        <f t="shared" ref="AW1606:AW1669" si="122">IF(AY1606&lt;=AY1605,1,0)</f>
        <v>0</v>
      </c>
      <c r="AX1606">
        <v>1603</v>
      </c>
      <c r="AY1606" s="4">
        <f t="shared" si="120"/>
        <v>42558</v>
      </c>
      <c r="AZ1606" s="6" t="e">
        <f t="shared" si="121"/>
        <v>#DIV/0!</v>
      </c>
      <c r="BA1606" s="4">
        <v>42558</v>
      </c>
      <c r="BB1606" s="6">
        <v>-0.212923</v>
      </c>
      <c r="BC1606" s="6">
        <v>0.35563400000000001</v>
      </c>
      <c r="BD1606" s="6">
        <v>7.9783999999999994E-2</v>
      </c>
      <c r="BE1606" s="6"/>
      <c r="BF1606" s="6"/>
      <c r="BG1606" s="6"/>
      <c r="BH1606" s="6"/>
      <c r="BI1606" s="6"/>
      <c r="BJ1606" s="6"/>
      <c r="BK1606" s="6"/>
      <c r="BL1606" s="6"/>
      <c r="BM1606" s="6"/>
      <c r="BN1606" s="6" t="e">
        <f t="shared" ref="BN1606:BN1669" si="123">(BM1606/BM1605-1)*100</f>
        <v>#DIV/0!</v>
      </c>
    </row>
    <row r="1607" spans="49:66" x14ac:dyDescent="0.3">
      <c r="AW1607">
        <f t="shared" si="122"/>
        <v>0</v>
      </c>
      <c r="AX1607">
        <v>1604</v>
      </c>
      <c r="AY1607" s="4">
        <f t="shared" si="120"/>
        <v>42559</v>
      </c>
      <c r="AZ1607" s="6" t="e">
        <f t="shared" si="121"/>
        <v>#DIV/0!</v>
      </c>
      <c r="BA1607" s="4">
        <v>42559</v>
      </c>
      <c r="BB1607" s="6">
        <v>-0.55059400000000003</v>
      </c>
      <c r="BC1607" s="6">
        <v>-0.31550600000000001</v>
      </c>
      <c r="BD1607" s="6">
        <v>-0.167709</v>
      </c>
      <c r="BE1607" s="6"/>
      <c r="BF1607" s="6"/>
      <c r="BG1607" s="6"/>
      <c r="BH1607" s="6"/>
      <c r="BI1607" s="6"/>
      <c r="BJ1607" s="6"/>
      <c r="BK1607" s="6"/>
      <c r="BL1607" s="6"/>
      <c r="BM1607" s="6"/>
      <c r="BN1607" s="6" t="e">
        <f t="shared" si="123"/>
        <v>#DIV/0!</v>
      </c>
    </row>
    <row r="1608" spans="49:66" x14ac:dyDescent="0.3">
      <c r="AW1608">
        <f t="shared" si="122"/>
        <v>0</v>
      </c>
      <c r="AX1608">
        <v>1605</v>
      </c>
      <c r="AY1608" s="4">
        <f t="shared" si="120"/>
        <v>42562</v>
      </c>
      <c r="AZ1608" s="6" t="e">
        <f t="shared" si="121"/>
        <v>#DIV/0!</v>
      </c>
      <c r="BA1608" s="4">
        <v>42562</v>
      </c>
      <c r="BB1608" s="6">
        <v>0.34612900000000002</v>
      </c>
      <c r="BC1608" s="6">
        <v>0.20072699999999999</v>
      </c>
      <c r="BD1608" s="6">
        <v>-0.71887500000000004</v>
      </c>
      <c r="BE1608" s="6"/>
      <c r="BF1608" s="6"/>
      <c r="BG1608" s="6"/>
      <c r="BH1608" s="6"/>
      <c r="BI1608" s="6"/>
      <c r="BJ1608" s="6"/>
      <c r="BK1608" s="6"/>
      <c r="BL1608" s="6"/>
      <c r="BM1608" s="6"/>
      <c r="BN1608" s="6" t="e">
        <f t="shared" si="123"/>
        <v>#DIV/0!</v>
      </c>
    </row>
    <row r="1609" spans="49:66" x14ac:dyDescent="0.3">
      <c r="AW1609">
        <f t="shared" si="122"/>
        <v>0</v>
      </c>
      <c r="AX1609">
        <v>1606</v>
      </c>
      <c r="AY1609" s="4">
        <f t="shared" si="120"/>
        <v>42563</v>
      </c>
      <c r="AZ1609" s="6" t="e">
        <f t="shared" si="121"/>
        <v>#DIV/0!</v>
      </c>
      <c r="BA1609" s="4">
        <v>42563</v>
      </c>
      <c r="BB1609" s="6">
        <v>2.1806220000000001</v>
      </c>
      <c r="BC1609" s="6">
        <v>1.3092440000000001</v>
      </c>
      <c r="BD1609" s="6">
        <v>0.76696500000000001</v>
      </c>
      <c r="BE1609" s="6"/>
      <c r="BF1609" s="6"/>
      <c r="BG1609" s="6"/>
      <c r="BH1609" s="6"/>
      <c r="BI1609" s="6"/>
      <c r="BJ1609" s="6"/>
      <c r="BK1609" s="6"/>
      <c r="BL1609" s="6"/>
      <c r="BM1609" s="6"/>
      <c r="BN1609" s="6" t="e">
        <f t="shared" si="123"/>
        <v>#DIV/0!</v>
      </c>
    </row>
    <row r="1610" spans="49:66" x14ac:dyDescent="0.3">
      <c r="AW1610">
        <f t="shared" si="122"/>
        <v>0</v>
      </c>
      <c r="AX1610">
        <v>1607</v>
      </c>
      <c r="AY1610" s="4">
        <f t="shared" si="120"/>
        <v>42564</v>
      </c>
      <c r="AZ1610" s="6" t="e">
        <f t="shared" si="121"/>
        <v>#DIV/0!</v>
      </c>
      <c r="BA1610" s="4">
        <v>42564</v>
      </c>
      <c r="BB1610" s="6">
        <v>0.29591400000000001</v>
      </c>
      <c r="BC1610" s="6">
        <v>0.80402600000000002</v>
      </c>
      <c r="BD1610" s="6">
        <v>0.89647200000000005</v>
      </c>
      <c r="BE1610" s="6"/>
      <c r="BF1610" s="6"/>
      <c r="BG1610" s="6"/>
      <c r="BH1610" s="6"/>
      <c r="BI1610" s="6"/>
      <c r="BJ1610" s="6"/>
      <c r="BK1610" s="6"/>
      <c r="BL1610" s="6"/>
      <c r="BM1610" s="6"/>
      <c r="BN1610" s="6" t="e">
        <f t="shared" si="123"/>
        <v>#DIV/0!</v>
      </c>
    </row>
    <row r="1611" spans="49:66" x14ac:dyDescent="0.3">
      <c r="AW1611">
        <f t="shared" si="122"/>
        <v>0</v>
      </c>
      <c r="AX1611">
        <v>1608</v>
      </c>
      <c r="AY1611" s="4">
        <f t="shared" si="120"/>
        <v>42565</v>
      </c>
      <c r="AZ1611" s="6" t="e">
        <f t="shared" si="121"/>
        <v>#DIV/0!</v>
      </c>
      <c r="BA1611" s="4">
        <v>42565</v>
      </c>
      <c r="BB1611" s="6">
        <v>-0.185947</v>
      </c>
      <c r="BC1611" s="6">
        <v>0.13990900000000001</v>
      </c>
      <c r="BD1611" s="6">
        <v>0.21640100000000001</v>
      </c>
      <c r="BE1611" s="6"/>
      <c r="BF1611" s="6"/>
      <c r="BG1611" s="6"/>
      <c r="BH1611" s="6"/>
      <c r="BI1611" s="6"/>
      <c r="BJ1611" s="6"/>
      <c r="BK1611" s="6"/>
      <c r="BL1611" s="6"/>
      <c r="BM1611" s="6"/>
      <c r="BN1611" s="6" t="e">
        <f t="shared" si="123"/>
        <v>#DIV/0!</v>
      </c>
    </row>
    <row r="1612" spans="49:66" x14ac:dyDescent="0.3">
      <c r="AW1612">
        <f t="shared" si="122"/>
        <v>0</v>
      </c>
      <c r="AX1612">
        <v>1609</v>
      </c>
      <c r="AY1612" s="4">
        <f t="shared" si="120"/>
        <v>42566</v>
      </c>
      <c r="AZ1612" s="6" t="e">
        <f t="shared" si="121"/>
        <v>#DIV/0!</v>
      </c>
      <c r="BA1612" s="4">
        <v>42566</v>
      </c>
      <c r="BB1612" s="6">
        <v>-1.4838E-2</v>
      </c>
      <c r="BC1612" s="6">
        <v>-0.22564699999999999</v>
      </c>
      <c r="BD1612" s="6">
        <v>-0.662157</v>
      </c>
      <c r="BE1612" s="6"/>
      <c r="BF1612" s="6"/>
      <c r="BG1612" s="6"/>
      <c r="BH1612" s="6"/>
      <c r="BI1612" s="6"/>
      <c r="BJ1612" s="6"/>
      <c r="BK1612" s="6"/>
      <c r="BL1612" s="6"/>
      <c r="BM1612" s="6"/>
      <c r="BN1612" s="6" t="e">
        <f t="shared" si="123"/>
        <v>#DIV/0!</v>
      </c>
    </row>
    <row r="1613" spans="49:66" x14ac:dyDescent="0.3">
      <c r="AW1613">
        <f t="shared" si="122"/>
        <v>0</v>
      </c>
      <c r="AX1613">
        <v>1610</v>
      </c>
      <c r="AY1613" s="4">
        <f t="shared" si="120"/>
        <v>42569</v>
      </c>
      <c r="AZ1613" s="6" t="e">
        <f t="shared" si="121"/>
        <v>#DIV/0!</v>
      </c>
      <c r="BA1613" s="4">
        <v>42569</v>
      </c>
      <c r="BB1613" s="6">
        <v>-0.43510700000000002</v>
      </c>
      <c r="BC1613" s="6">
        <v>-0.449351</v>
      </c>
      <c r="BD1613" s="6">
        <v>-0.50129299999999999</v>
      </c>
      <c r="BE1613" s="6"/>
      <c r="BF1613" s="6"/>
      <c r="BG1613" s="6"/>
      <c r="BH1613" s="6"/>
      <c r="BI1613" s="6"/>
      <c r="BJ1613" s="6"/>
      <c r="BK1613" s="6"/>
      <c r="BL1613" s="6"/>
      <c r="BM1613" s="6"/>
      <c r="BN1613" s="6" t="e">
        <f t="shared" si="123"/>
        <v>#DIV/0!</v>
      </c>
    </row>
    <row r="1614" spans="49:66" x14ac:dyDescent="0.3">
      <c r="AW1614">
        <f t="shared" si="122"/>
        <v>0</v>
      </c>
      <c r="AX1614">
        <v>1611</v>
      </c>
      <c r="AY1614" s="4">
        <f t="shared" si="120"/>
        <v>42570</v>
      </c>
      <c r="AZ1614" s="6" t="e">
        <f t="shared" si="121"/>
        <v>#DIV/0!</v>
      </c>
      <c r="BA1614" s="4">
        <v>42570</v>
      </c>
      <c r="BB1614" s="6">
        <v>-0.42268600000000001</v>
      </c>
      <c r="BC1614" s="6">
        <v>0.309809</v>
      </c>
      <c r="BD1614" s="6">
        <v>0.65986400000000001</v>
      </c>
      <c r="BE1614" s="6"/>
      <c r="BF1614" s="6"/>
      <c r="BG1614" s="6"/>
      <c r="BH1614" s="6"/>
      <c r="BI1614" s="6"/>
      <c r="BJ1614" s="6"/>
      <c r="BK1614" s="6"/>
      <c r="BL1614" s="6"/>
      <c r="BM1614" s="6"/>
      <c r="BN1614" s="6" t="e">
        <f t="shared" si="123"/>
        <v>#DIV/0!</v>
      </c>
    </row>
    <row r="1615" spans="49:66" x14ac:dyDescent="0.3">
      <c r="AW1615">
        <f t="shared" si="122"/>
        <v>0</v>
      </c>
      <c r="AX1615">
        <v>1612</v>
      </c>
      <c r="AY1615" s="4">
        <f t="shared" si="120"/>
        <v>42571</v>
      </c>
      <c r="AZ1615" s="6" t="e">
        <f t="shared" si="121"/>
        <v>#DIV/0!</v>
      </c>
      <c r="BA1615" s="4">
        <v>42571</v>
      </c>
      <c r="BB1615" s="6">
        <v>-0.32722400000000001</v>
      </c>
      <c r="BC1615" s="6">
        <v>-0.217913</v>
      </c>
      <c r="BD1615" s="6">
        <v>1.1755E-2</v>
      </c>
      <c r="BE1615" s="6"/>
      <c r="BF1615" s="6"/>
      <c r="BG1615" s="6"/>
      <c r="BH1615" s="6"/>
      <c r="BI1615" s="6"/>
      <c r="BJ1615" s="6"/>
      <c r="BK1615" s="6"/>
      <c r="BL1615" s="6"/>
      <c r="BM1615" s="6"/>
      <c r="BN1615" s="6" t="e">
        <f t="shared" si="123"/>
        <v>#DIV/0!</v>
      </c>
    </row>
    <row r="1616" spans="49:66" x14ac:dyDescent="0.3">
      <c r="AW1616">
        <f t="shared" si="122"/>
        <v>0</v>
      </c>
      <c r="AX1616">
        <v>1613</v>
      </c>
      <c r="AY1616" s="4">
        <f t="shared" si="120"/>
        <v>42572</v>
      </c>
      <c r="AZ1616" s="6" t="e">
        <f t="shared" si="121"/>
        <v>#DIV/0!</v>
      </c>
      <c r="BA1616" s="4">
        <v>42572</v>
      </c>
      <c r="BB1616" s="6">
        <v>0.46076</v>
      </c>
      <c r="BC1616" s="6">
        <v>0.38621499999999997</v>
      </c>
      <c r="BD1616" s="6">
        <v>0.107395</v>
      </c>
      <c r="BE1616" s="6"/>
      <c r="BF1616" s="6"/>
      <c r="BG1616" s="6"/>
      <c r="BH1616" s="6"/>
      <c r="BI1616" s="6"/>
      <c r="BJ1616" s="6"/>
      <c r="BK1616" s="6"/>
      <c r="BL1616" s="6"/>
      <c r="BM1616" s="6"/>
      <c r="BN1616" s="6" t="e">
        <f t="shared" si="123"/>
        <v>#DIV/0!</v>
      </c>
    </row>
    <row r="1617" spans="49:66" x14ac:dyDescent="0.3">
      <c r="AW1617">
        <f t="shared" si="122"/>
        <v>0</v>
      </c>
      <c r="AX1617">
        <v>1614</v>
      </c>
      <c r="AY1617" s="4">
        <f t="shared" si="120"/>
        <v>42573</v>
      </c>
      <c r="AZ1617" s="6" t="e">
        <f t="shared" si="121"/>
        <v>#DIV/0!</v>
      </c>
      <c r="BA1617" s="4">
        <v>42573</v>
      </c>
      <c r="BB1617" s="6">
        <v>-0.84121199999999996</v>
      </c>
      <c r="BC1617" s="6">
        <v>-0.80376000000000003</v>
      </c>
      <c r="BD1617" s="6">
        <v>-0.83916000000000002</v>
      </c>
      <c r="BE1617" s="6"/>
      <c r="BF1617" s="6"/>
      <c r="BG1617" s="6"/>
      <c r="BH1617" s="6"/>
      <c r="BI1617" s="6"/>
      <c r="BJ1617" s="6"/>
      <c r="BK1617" s="6"/>
      <c r="BL1617" s="6"/>
      <c r="BM1617" s="6"/>
      <c r="BN1617" s="6" t="e">
        <f t="shared" si="123"/>
        <v>#DIV/0!</v>
      </c>
    </row>
    <row r="1618" spans="49:66" x14ac:dyDescent="0.3">
      <c r="AW1618">
        <f t="shared" si="122"/>
        <v>0</v>
      </c>
      <c r="AX1618">
        <v>1615</v>
      </c>
      <c r="AY1618" s="4">
        <f t="shared" si="120"/>
        <v>42576</v>
      </c>
      <c r="AZ1618" s="6" t="e">
        <f t="shared" si="121"/>
        <v>#DIV/0!</v>
      </c>
      <c r="BA1618" s="4">
        <v>42576</v>
      </c>
      <c r="BB1618" s="6">
        <v>0.17744499999999999</v>
      </c>
      <c r="BC1618" s="6">
        <v>0.27942299999999998</v>
      </c>
      <c r="BD1618" s="6">
        <v>-7.4175000000000005E-2</v>
      </c>
      <c r="BE1618" s="6"/>
      <c r="BF1618" s="6"/>
      <c r="BG1618" s="6"/>
      <c r="BH1618" s="6"/>
      <c r="BI1618" s="6"/>
      <c r="BJ1618" s="6"/>
      <c r="BK1618" s="6"/>
      <c r="BL1618" s="6"/>
      <c r="BM1618" s="6"/>
      <c r="BN1618" s="6" t="e">
        <f t="shared" si="123"/>
        <v>#DIV/0!</v>
      </c>
    </row>
    <row r="1619" spans="49:66" x14ac:dyDescent="0.3">
      <c r="AW1619">
        <f t="shared" si="122"/>
        <v>0</v>
      </c>
      <c r="AX1619">
        <v>1616</v>
      </c>
      <c r="AY1619" s="4">
        <f t="shared" si="120"/>
        <v>42577</v>
      </c>
      <c r="AZ1619" s="6" t="e">
        <f t="shared" si="121"/>
        <v>#DIV/0!</v>
      </c>
      <c r="BA1619" s="4">
        <v>42577</v>
      </c>
      <c r="BB1619" s="6">
        <v>1.197913</v>
      </c>
      <c r="BC1619" s="6">
        <v>1.3370899999999999</v>
      </c>
      <c r="BD1619" s="6">
        <v>1.2348710000000001</v>
      </c>
      <c r="BE1619" s="6"/>
      <c r="BF1619" s="6"/>
      <c r="BG1619" s="6"/>
      <c r="BH1619" s="6"/>
      <c r="BI1619" s="6"/>
      <c r="BJ1619" s="6"/>
      <c r="BK1619" s="6"/>
      <c r="BL1619" s="6"/>
      <c r="BM1619" s="6"/>
      <c r="BN1619" s="6" t="e">
        <f t="shared" si="123"/>
        <v>#DIV/0!</v>
      </c>
    </row>
    <row r="1620" spans="49:66" x14ac:dyDescent="0.3">
      <c r="AW1620">
        <f t="shared" si="122"/>
        <v>0</v>
      </c>
      <c r="AX1620">
        <v>1617</v>
      </c>
      <c r="AY1620" s="4">
        <f t="shared" si="120"/>
        <v>42578</v>
      </c>
      <c r="AZ1620" s="6" t="e">
        <f t="shared" si="121"/>
        <v>#DIV/0!</v>
      </c>
      <c r="BA1620" s="4">
        <v>42578</v>
      </c>
      <c r="BB1620" s="6">
        <v>-1.570387</v>
      </c>
      <c r="BC1620" s="6">
        <v>-4.083253</v>
      </c>
      <c r="BD1620" s="6">
        <v>-4.7881559999999999</v>
      </c>
      <c r="BE1620" s="6"/>
      <c r="BF1620" s="6"/>
      <c r="BG1620" s="6"/>
      <c r="BH1620" s="6"/>
      <c r="BI1620" s="6"/>
      <c r="BJ1620" s="6"/>
      <c r="BK1620" s="6"/>
      <c r="BL1620" s="6"/>
      <c r="BM1620" s="6"/>
      <c r="BN1620" s="6" t="e">
        <f t="shared" si="123"/>
        <v>#DIV/0!</v>
      </c>
    </row>
    <row r="1621" spans="49:66" x14ac:dyDescent="0.3">
      <c r="AW1621">
        <f t="shared" si="122"/>
        <v>0</v>
      </c>
      <c r="AX1621">
        <v>1618</v>
      </c>
      <c r="AY1621" s="4">
        <f t="shared" si="120"/>
        <v>42579</v>
      </c>
      <c r="AZ1621" s="6" t="e">
        <f t="shared" si="121"/>
        <v>#DIV/0!</v>
      </c>
      <c r="BA1621" s="4">
        <v>42579</v>
      </c>
      <c r="BB1621" s="6">
        <v>8.9909000000000003E-2</v>
      </c>
      <c r="BC1621" s="6">
        <v>0.224742</v>
      </c>
      <c r="BD1621" s="6">
        <v>-0.364479</v>
      </c>
      <c r="BE1621" s="6"/>
      <c r="BF1621" s="6"/>
      <c r="BG1621" s="6"/>
      <c r="BH1621" s="6"/>
      <c r="BI1621" s="6"/>
      <c r="BJ1621" s="6"/>
      <c r="BK1621" s="6"/>
      <c r="BL1621" s="6"/>
      <c r="BM1621" s="6"/>
      <c r="BN1621" s="6" t="e">
        <f t="shared" si="123"/>
        <v>#DIV/0!</v>
      </c>
    </row>
    <row r="1622" spans="49:66" x14ac:dyDescent="0.3">
      <c r="AW1622">
        <f t="shared" si="122"/>
        <v>0</v>
      </c>
      <c r="AX1622">
        <v>1619</v>
      </c>
      <c r="AY1622" s="4">
        <f t="shared" si="120"/>
        <v>42580</v>
      </c>
      <c r="AZ1622" s="6" t="e">
        <f t="shared" si="121"/>
        <v>#DIV/0!</v>
      </c>
      <c r="BA1622" s="4">
        <v>42580</v>
      </c>
      <c r="BB1622" s="6">
        <v>-0.53416200000000003</v>
      </c>
      <c r="BC1622" s="6">
        <v>-0.64703100000000002</v>
      </c>
      <c r="BD1622" s="6">
        <v>-0.82218800000000003</v>
      </c>
      <c r="BE1622" s="6"/>
      <c r="BF1622" s="6"/>
      <c r="BG1622" s="6"/>
      <c r="BH1622" s="6"/>
      <c r="BI1622" s="6"/>
      <c r="BJ1622" s="6"/>
      <c r="BK1622" s="6"/>
      <c r="BL1622" s="6"/>
      <c r="BM1622" s="6"/>
      <c r="BN1622" s="6" t="e">
        <f t="shared" si="123"/>
        <v>#DIV/0!</v>
      </c>
    </row>
    <row r="1623" spans="49:66" x14ac:dyDescent="0.3">
      <c r="AW1623">
        <f t="shared" si="122"/>
        <v>0</v>
      </c>
      <c r="AX1623">
        <v>1620</v>
      </c>
      <c r="AY1623" s="4">
        <f t="shared" si="120"/>
        <v>42583</v>
      </c>
      <c r="AZ1623" s="6" t="e">
        <f t="shared" si="121"/>
        <v>#DIV/0!</v>
      </c>
      <c r="BA1623" s="4">
        <v>42583</v>
      </c>
      <c r="BB1623" s="6">
        <v>-0.84650099999999995</v>
      </c>
      <c r="BC1623" s="6">
        <v>-1.509201</v>
      </c>
      <c r="BD1623" s="6">
        <v>-1.6172059999999999</v>
      </c>
      <c r="BE1623" s="6"/>
      <c r="BF1623" s="6"/>
      <c r="BG1623" s="6"/>
      <c r="BH1623" s="6"/>
      <c r="BI1623" s="6"/>
      <c r="BJ1623" s="6"/>
      <c r="BK1623" s="6"/>
      <c r="BL1623" s="6"/>
      <c r="BM1623" s="6"/>
      <c r="BN1623" s="6" t="e">
        <f t="shared" si="123"/>
        <v>#DIV/0!</v>
      </c>
    </row>
    <row r="1624" spans="49:66" x14ac:dyDescent="0.3">
      <c r="AW1624">
        <f t="shared" si="122"/>
        <v>0</v>
      </c>
      <c r="AX1624">
        <v>1621</v>
      </c>
      <c r="AY1624" s="4">
        <f t="shared" si="120"/>
        <v>42584</v>
      </c>
      <c r="AZ1624" s="6" t="e">
        <f t="shared" si="121"/>
        <v>#DIV/0!</v>
      </c>
      <c r="BA1624" s="4">
        <v>42584</v>
      </c>
      <c r="BB1624" s="6">
        <v>0.38541199999999998</v>
      </c>
      <c r="BC1624" s="6">
        <v>0.96951900000000002</v>
      </c>
      <c r="BD1624" s="6">
        <v>0.98246900000000004</v>
      </c>
      <c r="BE1624" s="6"/>
      <c r="BF1624" s="6"/>
      <c r="BG1624" s="6"/>
      <c r="BH1624" s="6"/>
      <c r="BI1624" s="6"/>
      <c r="BJ1624" s="6"/>
      <c r="BK1624" s="6"/>
      <c r="BL1624" s="6"/>
      <c r="BM1624" s="6"/>
      <c r="BN1624" s="6" t="e">
        <f t="shared" si="123"/>
        <v>#DIV/0!</v>
      </c>
    </row>
    <row r="1625" spans="49:66" x14ac:dyDescent="0.3">
      <c r="AW1625">
        <f t="shared" si="122"/>
        <v>0</v>
      </c>
      <c r="AX1625">
        <v>1622</v>
      </c>
      <c r="AY1625" s="4">
        <f t="shared" si="120"/>
        <v>42585</v>
      </c>
      <c r="AZ1625" s="6" t="e">
        <f t="shared" si="121"/>
        <v>#DIV/0!</v>
      </c>
      <c r="BA1625" s="4">
        <v>42585</v>
      </c>
      <c r="BB1625" s="6">
        <v>0.139678</v>
      </c>
      <c r="BC1625" s="6">
        <v>0.48439100000000002</v>
      </c>
      <c r="BD1625" s="6">
        <v>0.43120000000000003</v>
      </c>
      <c r="BE1625" s="6"/>
      <c r="BF1625" s="6"/>
      <c r="BG1625" s="6"/>
      <c r="BH1625" s="6"/>
      <c r="BI1625" s="6"/>
      <c r="BJ1625" s="6"/>
      <c r="BK1625" s="6"/>
      <c r="BL1625" s="6"/>
      <c r="BM1625" s="6"/>
      <c r="BN1625" s="6" t="e">
        <f t="shared" si="123"/>
        <v>#DIV/0!</v>
      </c>
    </row>
    <row r="1626" spans="49:66" x14ac:dyDescent="0.3">
      <c r="AW1626">
        <f t="shared" si="122"/>
        <v>0</v>
      </c>
      <c r="AX1626">
        <v>1623</v>
      </c>
      <c r="AY1626" s="4">
        <f t="shared" si="120"/>
        <v>42586</v>
      </c>
      <c r="AZ1626" s="6" t="e">
        <f t="shared" si="121"/>
        <v>#DIV/0!</v>
      </c>
      <c r="BA1626" s="4">
        <v>42586</v>
      </c>
      <c r="BB1626" s="6">
        <v>0.24366599999999999</v>
      </c>
      <c r="BC1626" s="6">
        <v>0.64278599999999997</v>
      </c>
      <c r="BD1626" s="6">
        <v>0.83477900000000005</v>
      </c>
      <c r="BE1626" s="6"/>
      <c r="BF1626" s="6"/>
      <c r="BG1626" s="6"/>
      <c r="BH1626" s="6"/>
      <c r="BI1626" s="6"/>
      <c r="BJ1626" s="6"/>
      <c r="BK1626" s="6"/>
      <c r="BL1626" s="6"/>
      <c r="BM1626" s="6"/>
      <c r="BN1626" s="6" t="e">
        <f t="shared" si="123"/>
        <v>#DIV/0!</v>
      </c>
    </row>
    <row r="1627" spans="49:66" x14ac:dyDescent="0.3">
      <c r="AW1627">
        <f t="shared" si="122"/>
        <v>0</v>
      </c>
      <c r="AX1627">
        <v>1624</v>
      </c>
      <c r="AY1627" s="4">
        <f t="shared" si="120"/>
        <v>42587</v>
      </c>
      <c r="AZ1627" s="6" t="e">
        <f t="shared" si="121"/>
        <v>#DIV/0!</v>
      </c>
      <c r="BA1627" s="4">
        <v>42587</v>
      </c>
      <c r="BB1627" s="6">
        <v>0.119368</v>
      </c>
      <c r="BC1627" s="6">
        <v>-0.56015400000000004</v>
      </c>
      <c r="BD1627" s="6">
        <v>-0.55702099999999999</v>
      </c>
      <c r="BE1627" s="6"/>
      <c r="BF1627" s="6"/>
      <c r="BG1627" s="6"/>
      <c r="BH1627" s="6"/>
      <c r="BI1627" s="6"/>
      <c r="BJ1627" s="6"/>
      <c r="BK1627" s="6"/>
      <c r="BL1627" s="6"/>
      <c r="BM1627" s="6"/>
      <c r="BN1627" s="6" t="e">
        <f t="shared" si="123"/>
        <v>#DIV/0!</v>
      </c>
    </row>
    <row r="1628" spans="49:66" x14ac:dyDescent="0.3">
      <c r="AW1628">
        <f t="shared" si="122"/>
        <v>0</v>
      </c>
      <c r="AX1628">
        <v>1625</v>
      </c>
      <c r="AY1628" s="4">
        <f t="shared" si="120"/>
        <v>42590</v>
      </c>
      <c r="AZ1628" s="6" t="e">
        <f t="shared" si="121"/>
        <v>#DIV/0!</v>
      </c>
      <c r="BA1628" s="4">
        <v>42590</v>
      </c>
      <c r="BB1628" s="6">
        <v>0.90708900000000003</v>
      </c>
      <c r="BC1628" s="6">
        <v>1.4100429999999999</v>
      </c>
      <c r="BD1628" s="6">
        <v>1.1996469999999999</v>
      </c>
      <c r="BE1628" s="6"/>
      <c r="BF1628" s="6"/>
      <c r="BG1628" s="6"/>
      <c r="BH1628" s="6"/>
      <c r="BI1628" s="6"/>
      <c r="BJ1628" s="6"/>
      <c r="BK1628" s="6"/>
      <c r="BL1628" s="6"/>
      <c r="BM1628" s="6"/>
      <c r="BN1628" s="6" t="e">
        <f t="shared" si="123"/>
        <v>#DIV/0!</v>
      </c>
    </row>
    <row r="1629" spans="49:66" x14ac:dyDescent="0.3">
      <c r="AW1629">
        <f t="shared" si="122"/>
        <v>0</v>
      </c>
      <c r="AX1629">
        <v>1626</v>
      </c>
      <c r="AY1629" s="4">
        <f t="shared" si="120"/>
        <v>42591</v>
      </c>
      <c r="AZ1629" s="6" t="e">
        <f t="shared" si="121"/>
        <v>#DIV/0!</v>
      </c>
      <c r="BA1629" s="4">
        <v>42591</v>
      </c>
      <c r="BB1629" s="6">
        <v>0.70490699999999995</v>
      </c>
      <c r="BC1629" s="6">
        <v>0.80743100000000001</v>
      </c>
      <c r="BD1629" s="6">
        <v>1.0687329999999999</v>
      </c>
      <c r="BE1629" s="6"/>
      <c r="BF1629" s="6"/>
      <c r="BG1629" s="6"/>
      <c r="BH1629" s="6"/>
      <c r="BI1629" s="6"/>
      <c r="BJ1629" s="6"/>
      <c r="BK1629" s="6"/>
      <c r="BL1629" s="6"/>
      <c r="BM1629" s="6"/>
      <c r="BN1629" s="6" t="e">
        <f t="shared" si="123"/>
        <v>#DIV/0!</v>
      </c>
    </row>
    <row r="1630" spans="49:66" x14ac:dyDescent="0.3">
      <c r="AW1630">
        <f t="shared" si="122"/>
        <v>0</v>
      </c>
      <c r="AX1630">
        <v>1627</v>
      </c>
      <c r="AY1630" s="4">
        <f t="shared" si="120"/>
        <v>42592</v>
      </c>
      <c r="AZ1630" s="6" t="e">
        <f t="shared" si="121"/>
        <v>#DIV/0!</v>
      </c>
      <c r="BA1630" s="4">
        <v>42592</v>
      </c>
      <c r="BB1630" s="6">
        <v>-0.41880499999999998</v>
      </c>
      <c r="BC1630" s="6">
        <v>-0.36712800000000001</v>
      </c>
      <c r="BD1630" s="6">
        <v>-0.31737700000000002</v>
      </c>
      <c r="BE1630" s="6"/>
      <c r="BF1630" s="6"/>
      <c r="BG1630" s="6"/>
      <c r="BH1630" s="6"/>
      <c r="BI1630" s="6"/>
      <c r="BJ1630" s="6"/>
      <c r="BK1630" s="6"/>
      <c r="BL1630" s="6"/>
      <c r="BM1630" s="6"/>
      <c r="BN1630" s="6" t="e">
        <f t="shared" si="123"/>
        <v>#DIV/0!</v>
      </c>
    </row>
    <row r="1631" spans="49:66" x14ac:dyDescent="0.3">
      <c r="AW1631">
        <f t="shared" si="122"/>
        <v>0</v>
      </c>
      <c r="AX1631">
        <v>1628</v>
      </c>
      <c r="AY1631" s="4">
        <f t="shared" si="120"/>
        <v>42593</v>
      </c>
      <c r="AZ1631" s="6" t="e">
        <f t="shared" si="121"/>
        <v>#DIV/0!</v>
      </c>
      <c r="BA1631" s="4">
        <v>42593</v>
      </c>
      <c r="BB1631" s="6">
        <v>-0.30772300000000002</v>
      </c>
      <c r="BC1631" s="6">
        <v>-1.4553860000000001</v>
      </c>
      <c r="BD1631" s="6">
        <v>-1.615429</v>
      </c>
      <c r="BE1631" s="6"/>
      <c r="BF1631" s="6"/>
      <c r="BG1631" s="6"/>
      <c r="BH1631" s="6"/>
      <c r="BI1631" s="6"/>
      <c r="BJ1631" s="6"/>
      <c r="BK1631" s="6"/>
      <c r="BL1631" s="6"/>
      <c r="BM1631" s="6"/>
      <c r="BN1631" s="6" t="e">
        <f t="shared" si="123"/>
        <v>#DIV/0!</v>
      </c>
    </row>
    <row r="1632" spans="49:66" x14ac:dyDescent="0.3">
      <c r="AW1632">
        <f t="shared" si="122"/>
        <v>0</v>
      </c>
      <c r="AX1632">
        <v>1629</v>
      </c>
      <c r="AY1632" s="4">
        <f t="shared" si="120"/>
        <v>42594</v>
      </c>
      <c r="AZ1632" s="6" t="e">
        <f t="shared" si="121"/>
        <v>#DIV/0!</v>
      </c>
      <c r="BA1632" s="4">
        <v>42594</v>
      </c>
      <c r="BB1632" s="6">
        <v>1.8826639999999999</v>
      </c>
      <c r="BC1632" s="6">
        <v>1.1688879999999999</v>
      </c>
      <c r="BD1632" s="6">
        <v>0.97707900000000003</v>
      </c>
      <c r="BE1632" s="6"/>
      <c r="BF1632" s="6"/>
      <c r="BG1632" s="6"/>
      <c r="BH1632" s="6"/>
      <c r="BI1632" s="6"/>
      <c r="BJ1632" s="6"/>
      <c r="BK1632" s="6"/>
      <c r="BL1632" s="6"/>
      <c r="BM1632" s="6"/>
      <c r="BN1632" s="6" t="e">
        <f t="shared" si="123"/>
        <v>#DIV/0!</v>
      </c>
    </row>
    <row r="1633" spans="49:66" x14ac:dyDescent="0.3">
      <c r="AW1633">
        <f t="shared" si="122"/>
        <v>0</v>
      </c>
      <c r="AX1633">
        <v>1630</v>
      </c>
      <c r="AY1633" s="4">
        <f t="shared" si="120"/>
        <v>42597</v>
      </c>
      <c r="AZ1633" s="6" t="e">
        <f t="shared" si="121"/>
        <v>#DIV/0!</v>
      </c>
      <c r="BA1633" s="4">
        <v>42597</v>
      </c>
      <c r="BB1633" s="6">
        <v>3.0110250000000001</v>
      </c>
      <c r="BC1633" s="6">
        <v>2.2770860000000002</v>
      </c>
      <c r="BD1633" s="6">
        <v>2.2376960000000001</v>
      </c>
      <c r="BE1633" s="6"/>
      <c r="BF1633" s="6"/>
      <c r="BG1633" s="6"/>
      <c r="BH1633" s="6"/>
      <c r="BI1633" s="6"/>
      <c r="BJ1633" s="6"/>
      <c r="BK1633" s="6"/>
      <c r="BL1633" s="6"/>
      <c r="BM1633" s="6"/>
      <c r="BN1633" s="6" t="e">
        <f t="shared" si="123"/>
        <v>#DIV/0!</v>
      </c>
    </row>
    <row r="1634" spans="49:66" x14ac:dyDescent="0.3">
      <c r="AW1634">
        <f t="shared" si="122"/>
        <v>0</v>
      </c>
      <c r="AX1634">
        <v>1631</v>
      </c>
      <c r="AY1634" s="4">
        <f t="shared" si="120"/>
        <v>42598</v>
      </c>
      <c r="AZ1634" s="6" t="e">
        <f t="shared" si="121"/>
        <v>#DIV/0!</v>
      </c>
      <c r="BA1634" s="4">
        <v>42598</v>
      </c>
      <c r="BB1634" s="6">
        <v>-0.44729999999999998</v>
      </c>
      <c r="BC1634" s="6">
        <v>0.409271</v>
      </c>
      <c r="BD1634" s="6">
        <v>0.78604700000000005</v>
      </c>
      <c r="BE1634" s="6"/>
      <c r="BF1634" s="6"/>
      <c r="BG1634" s="6"/>
      <c r="BH1634" s="6"/>
      <c r="BI1634" s="6"/>
      <c r="BJ1634" s="6"/>
      <c r="BK1634" s="6"/>
      <c r="BL1634" s="6"/>
      <c r="BM1634" s="6"/>
      <c r="BN1634" s="6" t="e">
        <f t="shared" si="123"/>
        <v>#DIV/0!</v>
      </c>
    </row>
    <row r="1635" spans="49:66" x14ac:dyDescent="0.3">
      <c r="AW1635">
        <f t="shared" si="122"/>
        <v>0</v>
      </c>
      <c r="AX1635">
        <v>1632</v>
      </c>
      <c r="AY1635" s="4">
        <f t="shared" si="120"/>
        <v>42599</v>
      </c>
      <c r="AZ1635" s="6" t="e">
        <f t="shared" si="121"/>
        <v>#DIV/0!</v>
      </c>
      <c r="BA1635" s="4">
        <v>42599</v>
      </c>
      <c r="BB1635" s="6">
        <v>-0.15385199999999999</v>
      </c>
      <c r="BC1635" s="6">
        <v>0.30098200000000003</v>
      </c>
      <c r="BD1635" s="6">
        <v>0.39068999999999998</v>
      </c>
      <c r="BE1635" s="6"/>
      <c r="BF1635" s="6"/>
      <c r="BG1635" s="6"/>
      <c r="BH1635" s="6"/>
      <c r="BI1635" s="6"/>
      <c r="BJ1635" s="6"/>
      <c r="BK1635" s="6"/>
      <c r="BL1635" s="6"/>
      <c r="BM1635" s="6"/>
      <c r="BN1635" s="6" t="e">
        <f t="shared" si="123"/>
        <v>#DIV/0!</v>
      </c>
    </row>
    <row r="1636" spans="49:66" x14ac:dyDescent="0.3">
      <c r="AW1636">
        <f t="shared" si="122"/>
        <v>0</v>
      </c>
      <c r="AX1636">
        <v>1633</v>
      </c>
      <c r="AY1636" s="4">
        <f t="shared" si="120"/>
        <v>42600</v>
      </c>
      <c r="AZ1636" s="6" t="e">
        <f t="shared" si="121"/>
        <v>#DIV/0!</v>
      </c>
      <c r="BA1636" s="4">
        <v>42600</v>
      </c>
      <c r="BB1636" s="6">
        <v>-0.25385099999999999</v>
      </c>
      <c r="BC1636" s="6">
        <v>3.1489999999999997E-2</v>
      </c>
      <c r="BD1636" s="6">
        <v>-3.8407999999999998E-2</v>
      </c>
      <c r="BE1636" s="6"/>
      <c r="BF1636" s="6"/>
      <c r="BG1636" s="6"/>
      <c r="BH1636" s="6"/>
      <c r="BI1636" s="6"/>
      <c r="BJ1636" s="6"/>
      <c r="BK1636" s="6"/>
      <c r="BL1636" s="6"/>
      <c r="BM1636" s="6"/>
      <c r="BN1636" s="6" t="e">
        <f t="shared" si="123"/>
        <v>#DIV/0!</v>
      </c>
    </row>
    <row r="1637" spans="49:66" x14ac:dyDescent="0.3">
      <c r="AW1637">
        <f t="shared" si="122"/>
        <v>0</v>
      </c>
      <c r="AX1637">
        <v>1634</v>
      </c>
      <c r="AY1637" s="4">
        <f t="shared" si="120"/>
        <v>42601</v>
      </c>
      <c r="AZ1637" s="6" t="e">
        <f t="shared" si="121"/>
        <v>#DIV/0!</v>
      </c>
      <c r="BA1637" s="4">
        <v>42601</v>
      </c>
      <c r="BB1637" s="6">
        <v>1.5890000000000001E-2</v>
      </c>
      <c r="BC1637" s="6">
        <v>0.140928</v>
      </c>
      <c r="BD1637" s="6">
        <v>0.16880999999999999</v>
      </c>
      <c r="BE1637" s="6"/>
      <c r="BF1637" s="6"/>
      <c r="BG1637" s="6"/>
      <c r="BH1637" s="6"/>
      <c r="BI1637" s="6"/>
      <c r="BJ1637" s="6"/>
      <c r="BK1637" s="6"/>
      <c r="BL1637" s="6"/>
      <c r="BM1637" s="6"/>
      <c r="BN1637" s="6" t="e">
        <f t="shared" si="123"/>
        <v>#DIV/0!</v>
      </c>
    </row>
    <row r="1638" spans="49:66" x14ac:dyDescent="0.3">
      <c r="AW1638">
        <f t="shared" si="122"/>
        <v>0</v>
      </c>
      <c r="AX1638">
        <v>1635</v>
      </c>
      <c r="AY1638" s="4">
        <f t="shared" si="120"/>
        <v>42604</v>
      </c>
      <c r="AZ1638" s="6" t="e">
        <f t="shared" si="121"/>
        <v>#DIV/0!</v>
      </c>
      <c r="BA1638" s="4">
        <v>42604</v>
      </c>
      <c r="BB1638" s="6">
        <v>-0.83877100000000004</v>
      </c>
      <c r="BC1638" s="6">
        <v>-1.2185509999999999</v>
      </c>
      <c r="BD1638" s="6">
        <v>-1.2609630000000001</v>
      </c>
      <c r="BE1638" s="6"/>
      <c r="BF1638" s="6"/>
      <c r="BG1638" s="6"/>
      <c r="BH1638" s="6"/>
      <c r="BI1638" s="6"/>
      <c r="BJ1638" s="6"/>
      <c r="BK1638" s="6"/>
      <c r="BL1638" s="6"/>
      <c r="BM1638" s="6"/>
      <c r="BN1638" s="6" t="e">
        <f t="shared" si="123"/>
        <v>#DIV/0!</v>
      </c>
    </row>
    <row r="1639" spans="49:66" x14ac:dyDescent="0.3">
      <c r="AW1639">
        <f t="shared" si="122"/>
        <v>0</v>
      </c>
      <c r="AX1639">
        <v>1636</v>
      </c>
      <c r="AY1639" s="4">
        <f t="shared" si="120"/>
        <v>42605</v>
      </c>
      <c r="AZ1639" s="6" t="e">
        <f t="shared" si="121"/>
        <v>#DIV/0!</v>
      </c>
      <c r="BA1639" s="4">
        <v>42605</v>
      </c>
      <c r="BB1639" s="6">
        <v>0.15089</v>
      </c>
      <c r="BC1639" s="6">
        <v>0.12995200000000001</v>
      </c>
      <c r="BD1639" s="6">
        <v>0.106319</v>
      </c>
      <c r="BE1639" s="6"/>
      <c r="BF1639" s="6"/>
      <c r="BG1639" s="6"/>
      <c r="BH1639" s="6"/>
      <c r="BI1639" s="6"/>
      <c r="BJ1639" s="6"/>
      <c r="BK1639" s="6"/>
      <c r="BL1639" s="6"/>
      <c r="BM1639" s="6"/>
      <c r="BN1639" s="6" t="e">
        <f t="shared" si="123"/>
        <v>#DIV/0!</v>
      </c>
    </row>
    <row r="1640" spans="49:66" x14ac:dyDescent="0.3">
      <c r="AW1640">
        <f t="shared" si="122"/>
        <v>0</v>
      </c>
      <c r="AX1640">
        <v>1637</v>
      </c>
      <c r="AY1640" s="4">
        <f t="shared" si="120"/>
        <v>42606</v>
      </c>
      <c r="AZ1640" s="6" t="e">
        <f t="shared" si="121"/>
        <v>#DIV/0!</v>
      </c>
      <c r="BA1640" s="4">
        <v>42606</v>
      </c>
      <c r="BB1640" s="6">
        <v>-0.35808800000000002</v>
      </c>
      <c r="BC1640" s="6">
        <v>9.8944000000000004E-2</v>
      </c>
      <c r="BD1640" s="6">
        <v>0.34353899999999998</v>
      </c>
      <c r="BE1640" s="6"/>
      <c r="BF1640" s="6"/>
      <c r="BG1640" s="6"/>
      <c r="BH1640" s="6"/>
      <c r="BI1640" s="6"/>
      <c r="BJ1640" s="6"/>
      <c r="BK1640" s="6"/>
      <c r="BL1640" s="6"/>
      <c r="BM1640" s="6"/>
      <c r="BN1640" s="6" t="e">
        <f t="shared" si="123"/>
        <v>#DIV/0!</v>
      </c>
    </row>
    <row r="1641" spans="49:66" x14ac:dyDescent="0.3">
      <c r="AW1641">
        <f t="shared" si="122"/>
        <v>0</v>
      </c>
      <c r="AX1641">
        <v>1638</v>
      </c>
      <c r="AY1641" s="4">
        <f t="shared" si="120"/>
        <v>42607</v>
      </c>
      <c r="AZ1641" s="6" t="e">
        <f t="shared" si="121"/>
        <v>#DIV/0!</v>
      </c>
      <c r="BA1641" s="4">
        <v>42607</v>
      </c>
      <c r="BB1641" s="6">
        <v>-0.62738300000000002</v>
      </c>
      <c r="BC1641" s="6">
        <v>-0.81566000000000005</v>
      </c>
      <c r="BD1641" s="6">
        <v>-0.74489000000000005</v>
      </c>
      <c r="BE1641" s="6"/>
      <c r="BF1641" s="6"/>
      <c r="BG1641" s="6"/>
      <c r="BH1641" s="6"/>
      <c r="BI1641" s="6"/>
      <c r="BJ1641" s="6"/>
      <c r="BK1641" s="6"/>
      <c r="BL1641" s="6"/>
      <c r="BM1641" s="6"/>
      <c r="BN1641" s="6" t="e">
        <f t="shared" si="123"/>
        <v>#DIV/0!</v>
      </c>
    </row>
    <row r="1642" spans="49:66" x14ac:dyDescent="0.3">
      <c r="AW1642">
        <f t="shared" si="122"/>
        <v>0</v>
      </c>
      <c r="AX1642">
        <v>1639</v>
      </c>
      <c r="AY1642" s="4">
        <f t="shared" si="120"/>
        <v>42608</v>
      </c>
      <c r="AZ1642" s="6" t="e">
        <f t="shared" si="121"/>
        <v>#DIV/0!</v>
      </c>
      <c r="BA1642" s="4">
        <v>42608</v>
      </c>
      <c r="BB1642" s="6">
        <v>-5.6873E-2</v>
      </c>
      <c r="BC1642" s="6">
        <v>0.44124999999999998</v>
      </c>
      <c r="BD1642" s="6">
        <v>0.34014100000000003</v>
      </c>
      <c r="BE1642" s="6"/>
      <c r="BF1642" s="6"/>
      <c r="BG1642" s="6"/>
      <c r="BH1642" s="6"/>
      <c r="BI1642" s="6"/>
      <c r="BJ1642" s="6"/>
      <c r="BK1642" s="6"/>
      <c r="BL1642" s="6"/>
      <c r="BM1642" s="6"/>
      <c r="BN1642" s="6" t="e">
        <f t="shared" si="123"/>
        <v>#DIV/0!</v>
      </c>
    </row>
    <row r="1643" spans="49:66" x14ac:dyDescent="0.3">
      <c r="AW1643">
        <f t="shared" si="122"/>
        <v>0</v>
      </c>
      <c r="AX1643">
        <v>1640</v>
      </c>
      <c r="AY1643" s="4">
        <f t="shared" si="120"/>
        <v>42611</v>
      </c>
      <c r="AZ1643" s="6" t="e">
        <f t="shared" si="121"/>
        <v>#DIV/0!</v>
      </c>
      <c r="BA1643" s="4">
        <v>42611</v>
      </c>
      <c r="BB1643" s="6">
        <v>2.0895E-2</v>
      </c>
      <c r="BC1643" s="6">
        <v>0.261992</v>
      </c>
      <c r="BD1643" s="6">
        <v>0.25559100000000001</v>
      </c>
      <c r="BE1643" s="6"/>
      <c r="BF1643" s="6"/>
      <c r="BG1643" s="6"/>
      <c r="BH1643" s="6"/>
      <c r="BI1643" s="6"/>
      <c r="BJ1643" s="6"/>
      <c r="BK1643" s="6"/>
      <c r="BL1643" s="6"/>
      <c r="BM1643" s="6"/>
      <c r="BN1643" s="6" t="e">
        <f t="shared" si="123"/>
        <v>#DIV/0!</v>
      </c>
    </row>
    <row r="1644" spans="49:66" x14ac:dyDescent="0.3">
      <c r="AW1644">
        <f t="shared" si="122"/>
        <v>0</v>
      </c>
      <c r="AX1644">
        <v>1641</v>
      </c>
      <c r="AY1644" s="4">
        <f t="shared" si="120"/>
        <v>42612</v>
      </c>
      <c r="AZ1644" s="6" t="e">
        <f t="shared" si="121"/>
        <v>#DIV/0!</v>
      </c>
      <c r="BA1644" s="4">
        <v>42612</v>
      </c>
      <c r="BB1644" s="6">
        <v>0.12715499999999999</v>
      </c>
      <c r="BC1644" s="6">
        <v>-2.7612000000000001E-2</v>
      </c>
      <c r="BD1644" s="6">
        <v>1.6638E-2</v>
      </c>
      <c r="BE1644" s="6"/>
      <c r="BF1644" s="6"/>
      <c r="BG1644" s="6"/>
      <c r="BH1644" s="6"/>
      <c r="BI1644" s="6"/>
      <c r="BJ1644" s="6"/>
      <c r="BK1644" s="6"/>
      <c r="BL1644" s="6"/>
      <c r="BM1644" s="6"/>
      <c r="BN1644" s="6" t="e">
        <f t="shared" si="123"/>
        <v>#DIV/0!</v>
      </c>
    </row>
    <row r="1645" spans="49:66" x14ac:dyDescent="0.3">
      <c r="AW1645">
        <f t="shared" si="122"/>
        <v>0</v>
      </c>
      <c r="AX1645">
        <v>1642</v>
      </c>
      <c r="AY1645" s="4">
        <f t="shared" si="120"/>
        <v>42613</v>
      </c>
      <c r="AZ1645" s="6" t="e">
        <f t="shared" si="121"/>
        <v>#DIV/0!</v>
      </c>
      <c r="BA1645" s="4">
        <v>42613</v>
      </c>
      <c r="BB1645" s="6">
        <v>0.47725400000000001</v>
      </c>
      <c r="BC1645" s="6">
        <v>0.13159499999999999</v>
      </c>
      <c r="BD1645" s="6">
        <v>-9.4499999999999998E-4</v>
      </c>
      <c r="BE1645" s="6"/>
      <c r="BF1645" s="6"/>
      <c r="BG1645" s="6"/>
      <c r="BH1645" s="6"/>
      <c r="BI1645" s="6"/>
      <c r="BJ1645" s="6"/>
      <c r="BK1645" s="6"/>
      <c r="BL1645" s="6"/>
      <c r="BM1645" s="6"/>
      <c r="BN1645" s="6" t="e">
        <f t="shared" si="123"/>
        <v>#DIV/0!</v>
      </c>
    </row>
    <row r="1646" spans="49:66" x14ac:dyDescent="0.3">
      <c r="AW1646">
        <f t="shared" si="122"/>
        <v>0</v>
      </c>
      <c r="AX1646">
        <v>1643</v>
      </c>
      <c r="AY1646" s="4">
        <f t="shared" si="120"/>
        <v>42614</v>
      </c>
      <c r="AZ1646" s="6" t="e">
        <f t="shared" si="121"/>
        <v>#DIV/0!</v>
      </c>
      <c r="BA1646" s="4">
        <v>42614</v>
      </c>
      <c r="BB1646" s="6">
        <v>-0.78782200000000002</v>
      </c>
      <c r="BC1646" s="6">
        <v>-0.8196</v>
      </c>
      <c r="BD1646" s="6">
        <v>-0.76517800000000002</v>
      </c>
      <c r="BE1646" s="6"/>
      <c r="BF1646" s="6"/>
      <c r="BG1646" s="6"/>
      <c r="BH1646" s="6"/>
      <c r="BI1646" s="6"/>
      <c r="BJ1646" s="6"/>
      <c r="BK1646" s="6"/>
      <c r="BL1646" s="6"/>
      <c r="BM1646" s="6"/>
      <c r="BN1646" s="6" t="e">
        <f t="shared" si="123"/>
        <v>#DIV/0!</v>
      </c>
    </row>
    <row r="1647" spans="49:66" x14ac:dyDescent="0.3">
      <c r="AW1647">
        <f t="shared" si="122"/>
        <v>0</v>
      </c>
      <c r="AX1647">
        <v>1644</v>
      </c>
      <c r="AY1647" s="4">
        <f t="shared" si="120"/>
        <v>42615</v>
      </c>
      <c r="AZ1647" s="6" t="e">
        <f t="shared" si="121"/>
        <v>#DIV/0!</v>
      </c>
      <c r="BA1647" s="4">
        <v>42615</v>
      </c>
      <c r="BB1647" s="6">
        <v>0.379743</v>
      </c>
      <c r="BC1647" s="6">
        <v>-0.38426399999999999</v>
      </c>
      <c r="BD1647" s="6">
        <v>-0.52229499999999995</v>
      </c>
      <c r="BE1647" s="6"/>
      <c r="BF1647" s="6"/>
      <c r="BG1647" s="6"/>
      <c r="BH1647" s="6"/>
      <c r="BI1647" s="6"/>
      <c r="BJ1647" s="6"/>
      <c r="BK1647" s="6"/>
      <c r="BL1647" s="6"/>
      <c r="BM1647" s="6"/>
      <c r="BN1647" s="6" t="e">
        <f t="shared" si="123"/>
        <v>#DIV/0!</v>
      </c>
    </row>
    <row r="1648" spans="49:66" x14ac:dyDescent="0.3">
      <c r="AW1648">
        <f t="shared" si="122"/>
        <v>0</v>
      </c>
      <c r="AX1648">
        <v>1645</v>
      </c>
      <c r="AY1648" s="4">
        <f t="shared" si="120"/>
        <v>42618</v>
      </c>
      <c r="AZ1648" s="6" t="e">
        <f t="shared" si="121"/>
        <v>#DIV/0!</v>
      </c>
      <c r="BA1648" s="4">
        <v>42618</v>
      </c>
      <c r="BB1648" s="6">
        <v>0.16795099999999999</v>
      </c>
      <c r="BC1648" s="6">
        <v>0.54803800000000003</v>
      </c>
      <c r="BD1648" s="6">
        <v>0.42430099999999998</v>
      </c>
      <c r="BE1648" s="6"/>
      <c r="BF1648" s="6"/>
      <c r="BG1648" s="6"/>
      <c r="BH1648" s="6"/>
      <c r="BI1648" s="6"/>
      <c r="BJ1648" s="6"/>
      <c r="BK1648" s="6"/>
      <c r="BL1648" s="6"/>
      <c r="BM1648" s="6"/>
      <c r="BN1648" s="6" t="e">
        <f t="shared" si="123"/>
        <v>#DIV/0!</v>
      </c>
    </row>
    <row r="1649" spans="49:66" x14ac:dyDescent="0.3">
      <c r="AW1649">
        <f t="shared" si="122"/>
        <v>0</v>
      </c>
      <c r="AX1649">
        <v>1646</v>
      </c>
      <c r="AY1649" s="4">
        <f t="shared" si="120"/>
        <v>42619</v>
      </c>
      <c r="AZ1649" s="6" t="e">
        <f t="shared" si="121"/>
        <v>#DIV/0!</v>
      </c>
      <c r="BA1649" s="4">
        <v>42619</v>
      </c>
      <c r="BB1649" s="6">
        <v>0.69119900000000001</v>
      </c>
      <c r="BC1649" s="6">
        <v>1.5829660000000001</v>
      </c>
      <c r="BD1649" s="6">
        <v>1.653813</v>
      </c>
      <c r="BE1649" s="6"/>
      <c r="BF1649" s="6"/>
      <c r="BG1649" s="6"/>
      <c r="BH1649" s="6"/>
      <c r="BI1649" s="6"/>
      <c r="BJ1649" s="6"/>
      <c r="BK1649" s="6"/>
      <c r="BL1649" s="6"/>
      <c r="BM1649" s="6"/>
      <c r="BN1649" s="6" t="e">
        <f t="shared" si="123"/>
        <v>#DIV/0!</v>
      </c>
    </row>
    <row r="1650" spans="49:66" x14ac:dyDescent="0.3">
      <c r="AW1650">
        <f t="shared" si="122"/>
        <v>0</v>
      </c>
      <c r="AX1650">
        <v>1647</v>
      </c>
      <c r="AY1650" s="4">
        <f t="shared" si="120"/>
        <v>42620</v>
      </c>
      <c r="AZ1650" s="6" t="e">
        <f t="shared" si="121"/>
        <v>#DIV/0!</v>
      </c>
      <c r="BA1650" s="4">
        <v>42620</v>
      </c>
      <c r="BB1650" s="6">
        <v>-5.4109999999999998E-2</v>
      </c>
      <c r="BC1650" s="6">
        <v>2.0695000000000002E-2</v>
      </c>
      <c r="BD1650" s="6">
        <v>-0.101843</v>
      </c>
      <c r="BE1650" s="6"/>
      <c r="BF1650" s="6"/>
      <c r="BG1650" s="6"/>
      <c r="BH1650" s="6"/>
      <c r="BI1650" s="6"/>
      <c r="BJ1650" s="6"/>
      <c r="BK1650" s="6"/>
      <c r="BL1650" s="6"/>
      <c r="BM1650" s="6"/>
      <c r="BN1650" s="6" t="e">
        <f t="shared" si="123"/>
        <v>#DIV/0!</v>
      </c>
    </row>
    <row r="1651" spans="49:66" x14ac:dyDescent="0.3">
      <c r="AW1651">
        <f t="shared" si="122"/>
        <v>0</v>
      </c>
      <c r="AX1651">
        <v>1648</v>
      </c>
      <c r="AY1651" s="4">
        <f t="shared" si="120"/>
        <v>42621</v>
      </c>
      <c r="AZ1651" s="6" t="e">
        <f t="shared" si="121"/>
        <v>#DIV/0!</v>
      </c>
      <c r="BA1651" s="4">
        <v>42621</v>
      </c>
      <c r="BB1651" s="6">
        <v>-3.7511999999999997E-2</v>
      </c>
      <c r="BC1651" s="6">
        <v>0.36443599999999998</v>
      </c>
      <c r="BD1651" s="6">
        <v>0.45666800000000002</v>
      </c>
      <c r="BE1651" s="6"/>
      <c r="BF1651" s="6"/>
      <c r="BG1651" s="6"/>
      <c r="BH1651" s="6"/>
      <c r="BI1651" s="6"/>
      <c r="BJ1651" s="6"/>
      <c r="BK1651" s="6"/>
      <c r="BL1651" s="6"/>
      <c r="BM1651" s="6"/>
      <c r="BN1651" s="6" t="e">
        <f t="shared" si="123"/>
        <v>#DIV/0!</v>
      </c>
    </row>
    <row r="1652" spans="49:66" x14ac:dyDescent="0.3">
      <c r="AW1652">
        <f t="shared" si="122"/>
        <v>0</v>
      </c>
      <c r="AX1652">
        <v>1649</v>
      </c>
      <c r="AY1652" s="4">
        <f t="shared" si="120"/>
        <v>42622</v>
      </c>
      <c r="AZ1652" s="6" t="e">
        <f t="shared" si="121"/>
        <v>#DIV/0!</v>
      </c>
      <c r="BA1652" s="4">
        <v>42622</v>
      </c>
      <c r="BB1652" s="6">
        <v>-0.64439500000000005</v>
      </c>
      <c r="BC1652" s="6">
        <v>-0.72001599999999999</v>
      </c>
      <c r="BD1652" s="6">
        <v>-0.73969499999999999</v>
      </c>
      <c r="BE1652" s="6"/>
      <c r="BF1652" s="6"/>
      <c r="BG1652" s="6"/>
      <c r="BH1652" s="6"/>
      <c r="BI1652" s="6"/>
      <c r="BJ1652" s="6"/>
      <c r="BK1652" s="6"/>
      <c r="BL1652" s="6"/>
      <c r="BM1652" s="6"/>
      <c r="BN1652" s="6" t="e">
        <f t="shared" si="123"/>
        <v>#DIV/0!</v>
      </c>
    </row>
    <row r="1653" spans="49:66" x14ac:dyDescent="0.3">
      <c r="AW1653">
        <f t="shared" si="122"/>
        <v>0</v>
      </c>
      <c r="AX1653">
        <v>1650</v>
      </c>
      <c r="AY1653" s="4">
        <f t="shared" si="120"/>
        <v>42625</v>
      </c>
      <c r="AZ1653" s="6" t="e">
        <f t="shared" si="121"/>
        <v>#DIV/0!</v>
      </c>
      <c r="BA1653" s="4">
        <v>42625</v>
      </c>
      <c r="BB1653" s="6">
        <v>-1.670855</v>
      </c>
      <c r="BC1653" s="6">
        <v>-2.7726030000000002</v>
      </c>
      <c r="BD1653" s="6">
        <v>-3.2112810000000001</v>
      </c>
      <c r="BE1653" s="6"/>
      <c r="BF1653" s="6"/>
      <c r="BG1653" s="6"/>
      <c r="BH1653" s="6"/>
      <c r="BI1653" s="6"/>
      <c r="BJ1653" s="6"/>
      <c r="BK1653" s="6"/>
      <c r="BL1653" s="6"/>
      <c r="BM1653" s="6"/>
      <c r="BN1653" s="6" t="e">
        <f t="shared" si="123"/>
        <v>#DIV/0!</v>
      </c>
    </row>
    <row r="1654" spans="49:66" x14ac:dyDescent="0.3">
      <c r="AW1654">
        <f t="shared" si="122"/>
        <v>0</v>
      </c>
      <c r="AX1654">
        <v>1651</v>
      </c>
      <c r="AY1654" s="4">
        <f t="shared" si="120"/>
        <v>42626</v>
      </c>
      <c r="AZ1654" s="6" t="e">
        <f t="shared" si="121"/>
        <v>#DIV/0!</v>
      </c>
      <c r="BA1654" s="4">
        <v>42626</v>
      </c>
      <c r="BB1654" s="6">
        <v>-6.9615999999999997E-2</v>
      </c>
      <c r="BC1654" s="6">
        <v>0.45131500000000002</v>
      </c>
      <c r="BD1654" s="6">
        <v>0.80677600000000005</v>
      </c>
      <c r="BE1654" s="6"/>
      <c r="BF1654" s="6"/>
      <c r="BG1654" s="6"/>
      <c r="BH1654" s="6"/>
      <c r="BI1654" s="6"/>
      <c r="BJ1654" s="6"/>
      <c r="BK1654" s="6"/>
      <c r="BL1654" s="6"/>
      <c r="BM1654" s="6"/>
      <c r="BN1654" s="6" t="e">
        <f t="shared" si="123"/>
        <v>#DIV/0!</v>
      </c>
    </row>
    <row r="1655" spans="49:66" x14ac:dyDescent="0.3">
      <c r="AW1655">
        <f t="shared" si="122"/>
        <v>0</v>
      </c>
      <c r="AX1655">
        <v>1652</v>
      </c>
      <c r="AY1655" s="4">
        <f t="shared" si="120"/>
        <v>42627</v>
      </c>
      <c r="AZ1655" s="6" t="e">
        <f t="shared" si="121"/>
        <v>#DIV/0!</v>
      </c>
      <c r="BA1655" s="4">
        <v>42627</v>
      </c>
      <c r="BB1655" s="6">
        <v>-0.66260399999999997</v>
      </c>
      <c r="BC1655" s="6">
        <v>-0.66255200000000003</v>
      </c>
      <c r="BD1655" s="6">
        <v>-0.44509399999999999</v>
      </c>
      <c r="BE1655" s="6"/>
      <c r="BF1655" s="6"/>
      <c r="BG1655" s="6"/>
      <c r="BH1655" s="6"/>
      <c r="BI1655" s="6"/>
      <c r="BJ1655" s="6"/>
      <c r="BK1655" s="6"/>
      <c r="BL1655" s="6"/>
      <c r="BM1655" s="6"/>
      <c r="BN1655" s="6" t="e">
        <f t="shared" si="123"/>
        <v>#DIV/0!</v>
      </c>
    </row>
    <row r="1656" spans="49:66" x14ac:dyDescent="0.3">
      <c r="AW1656">
        <f t="shared" si="122"/>
        <v>0</v>
      </c>
      <c r="AX1656">
        <v>1653</v>
      </c>
      <c r="AY1656" s="4">
        <f t="shared" si="120"/>
        <v>42632</v>
      </c>
      <c r="AZ1656" s="6" t="e">
        <f t="shared" si="121"/>
        <v>#DIV/0!</v>
      </c>
      <c r="BA1656" s="4">
        <v>42632</v>
      </c>
      <c r="BB1656" s="6">
        <v>0.75320600000000004</v>
      </c>
      <c r="BC1656" s="6">
        <v>1.0516300000000001</v>
      </c>
      <c r="BD1656" s="6">
        <v>1.141041</v>
      </c>
      <c r="BE1656" s="6"/>
      <c r="BF1656" s="6"/>
      <c r="BG1656" s="6"/>
      <c r="BH1656" s="6"/>
      <c r="BI1656" s="6"/>
      <c r="BJ1656" s="6"/>
      <c r="BK1656" s="6"/>
      <c r="BL1656" s="6"/>
      <c r="BM1656" s="6"/>
      <c r="BN1656" s="6" t="e">
        <f t="shared" si="123"/>
        <v>#DIV/0!</v>
      </c>
    </row>
    <row r="1657" spans="49:66" x14ac:dyDescent="0.3">
      <c r="AW1657">
        <f t="shared" si="122"/>
        <v>0</v>
      </c>
      <c r="AX1657">
        <v>1654</v>
      </c>
      <c r="AY1657" s="4">
        <f t="shared" si="120"/>
        <v>42633</v>
      </c>
      <c r="AZ1657" s="6" t="e">
        <f t="shared" si="121"/>
        <v>#DIV/0!</v>
      </c>
      <c r="BA1657" s="4">
        <v>42633</v>
      </c>
      <c r="BB1657" s="6">
        <v>-0.175317</v>
      </c>
      <c r="BC1657" s="6">
        <v>-3.3861000000000002E-2</v>
      </c>
      <c r="BD1657" s="6">
        <v>-4.8217000000000003E-2</v>
      </c>
      <c r="BE1657" s="6"/>
      <c r="BF1657" s="6"/>
      <c r="BG1657" s="6"/>
      <c r="BH1657" s="6"/>
      <c r="BI1657" s="6"/>
      <c r="BJ1657" s="6"/>
      <c r="BK1657" s="6"/>
      <c r="BL1657" s="6"/>
      <c r="BM1657" s="6"/>
      <c r="BN1657" s="6" t="e">
        <f t="shared" si="123"/>
        <v>#DIV/0!</v>
      </c>
    </row>
    <row r="1658" spans="49:66" x14ac:dyDescent="0.3">
      <c r="AW1658">
        <f t="shared" si="122"/>
        <v>0</v>
      </c>
      <c r="AX1658">
        <v>1655</v>
      </c>
      <c r="AY1658" s="4">
        <f t="shared" si="120"/>
        <v>42634</v>
      </c>
      <c r="AZ1658" s="6" t="e">
        <f t="shared" si="121"/>
        <v>#DIV/0!</v>
      </c>
      <c r="BA1658" s="4">
        <v>42634</v>
      </c>
      <c r="BB1658" s="6">
        <v>0.28344399999999997</v>
      </c>
      <c r="BC1658" s="6">
        <v>2.7140999999999998E-2</v>
      </c>
      <c r="BD1658" s="6">
        <v>0.22630500000000001</v>
      </c>
      <c r="BE1658" s="6"/>
      <c r="BF1658" s="6"/>
      <c r="BG1658" s="6"/>
      <c r="BH1658" s="6"/>
      <c r="BI1658" s="6"/>
      <c r="BJ1658" s="6"/>
      <c r="BK1658" s="6"/>
      <c r="BL1658" s="6"/>
      <c r="BM1658" s="6"/>
      <c r="BN1658" s="6" t="e">
        <f t="shared" si="123"/>
        <v>#DIV/0!</v>
      </c>
    </row>
    <row r="1659" spans="49:66" x14ac:dyDescent="0.3">
      <c r="AW1659">
        <f t="shared" si="122"/>
        <v>0</v>
      </c>
      <c r="AX1659">
        <v>1656</v>
      </c>
      <c r="AY1659" s="4">
        <f t="shared" si="120"/>
        <v>42635</v>
      </c>
      <c r="AZ1659" s="6" t="e">
        <f t="shared" si="121"/>
        <v>#DIV/0!</v>
      </c>
      <c r="BA1659" s="4">
        <v>42635</v>
      </c>
      <c r="BB1659" s="6">
        <v>0.74954200000000004</v>
      </c>
      <c r="BC1659" s="6">
        <v>0.66019600000000001</v>
      </c>
      <c r="BD1659" s="6">
        <v>0.43627100000000002</v>
      </c>
      <c r="BE1659" s="6"/>
      <c r="BF1659" s="6"/>
      <c r="BG1659" s="6"/>
      <c r="BH1659" s="6"/>
      <c r="BI1659" s="6"/>
      <c r="BJ1659" s="6"/>
      <c r="BK1659" s="6"/>
      <c r="BL1659" s="6"/>
      <c r="BM1659" s="6"/>
      <c r="BN1659" s="6" t="e">
        <f t="shared" si="123"/>
        <v>#DIV/0!</v>
      </c>
    </row>
    <row r="1660" spans="49:66" x14ac:dyDescent="0.3">
      <c r="AW1660">
        <f t="shared" si="122"/>
        <v>0</v>
      </c>
      <c r="AX1660">
        <v>1657</v>
      </c>
      <c r="AY1660" s="4">
        <f t="shared" si="120"/>
        <v>42636</v>
      </c>
      <c r="AZ1660" s="6" t="e">
        <f t="shared" si="121"/>
        <v>#DIV/0!</v>
      </c>
      <c r="BA1660" s="4">
        <v>42636</v>
      </c>
      <c r="BB1660" s="6">
        <v>-0.46958499999999997</v>
      </c>
      <c r="BC1660" s="6">
        <v>-0.23571500000000001</v>
      </c>
      <c r="BD1660" s="6">
        <v>-0.461613</v>
      </c>
      <c r="BE1660" s="6"/>
      <c r="BF1660" s="6"/>
      <c r="BG1660" s="6"/>
      <c r="BH1660" s="6"/>
      <c r="BI1660" s="6"/>
      <c r="BJ1660" s="6"/>
      <c r="BK1660" s="6"/>
      <c r="BL1660" s="6"/>
      <c r="BM1660" s="6"/>
      <c r="BN1660" s="6" t="e">
        <f t="shared" si="123"/>
        <v>#DIV/0!</v>
      </c>
    </row>
    <row r="1661" spans="49:66" x14ac:dyDescent="0.3">
      <c r="AW1661">
        <f t="shared" si="122"/>
        <v>0</v>
      </c>
      <c r="AX1661">
        <v>1658</v>
      </c>
      <c r="AY1661" s="4">
        <f t="shared" si="120"/>
        <v>42639</v>
      </c>
      <c r="AZ1661" s="6" t="e">
        <f t="shared" si="121"/>
        <v>#DIV/0!</v>
      </c>
      <c r="BA1661" s="4">
        <v>42639</v>
      </c>
      <c r="BB1661" s="6">
        <v>-1.690731</v>
      </c>
      <c r="BC1661" s="6">
        <v>-2.025995</v>
      </c>
      <c r="BD1661" s="6">
        <v>-2.1242009999999998</v>
      </c>
      <c r="BE1661" s="6"/>
      <c r="BF1661" s="6"/>
      <c r="BG1661" s="6"/>
      <c r="BH1661" s="6"/>
      <c r="BI1661" s="6"/>
      <c r="BJ1661" s="6"/>
      <c r="BK1661" s="6"/>
      <c r="BL1661" s="6"/>
      <c r="BM1661" s="6"/>
      <c r="BN1661" s="6" t="e">
        <f t="shared" si="123"/>
        <v>#DIV/0!</v>
      </c>
    </row>
    <row r="1662" spans="49:66" x14ac:dyDescent="0.3">
      <c r="AW1662">
        <f t="shared" si="122"/>
        <v>0</v>
      </c>
      <c r="AX1662">
        <v>1659</v>
      </c>
      <c r="AY1662" s="4">
        <f t="shared" si="120"/>
        <v>42640</v>
      </c>
      <c r="AZ1662" s="6" t="e">
        <f t="shared" si="121"/>
        <v>#DIV/0!</v>
      </c>
      <c r="BA1662" s="4">
        <v>42640</v>
      </c>
      <c r="BB1662" s="6">
        <v>0.635683</v>
      </c>
      <c r="BC1662" s="6">
        <v>0.72728499999999996</v>
      </c>
      <c r="BD1662" s="6">
        <v>0.70133000000000001</v>
      </c>
      <c r="BE1662" s="6"/>
      <c r="BF1662" s="6"/>
      <c r="BG1662" s="6"/>
      <c r="BH1662" s="6"/>
      <c r="BI1662" s="6"/>
      <c r="BJ1662" s="6"/>
      <c r="BK1662" s="6"/>
      <c r="BL1662" s="6"/>
      <c r="BM1662" s="6"/>
      <c r="BN1662" s="6" t="e">
        <f t="shared" si="123"/>
        <v>#DIV/0!</v>
      </c>
    </row>
    <row r="1663" spans="49:66" x14ac:dyDescent="0.3">
      <c r="AW1663">
        <f t="shared" si="122"/>
        <v>0</v>
      </c>
      <c r="AX1663">
        <v>1660</v>
      </c>
      <c r="AY1663" s="4">
        <f t="shared" si="120"/>
        <v>42641</v>
      </c>
      <c r="AZ1663" s="6" t="e">
        <f t="shared" si="121"/>
        <v>#DIV/0!</v>
      </c>
      <c r="BA1663" s="4">
        <v>42641</v>
      </c>
      <c r="BB1663" s="6">
        <v>-0.30437999999999998</v>
      </c>
      <c r="BC1663" s="6">
        <v>-8.9480000000000004E-2</v>
      </c>
      <c r="BD1663" s="6">
        <v>-0.139155</v>
      </c>
      <c r="BE1663" s="6"/>
      <c r="BF1663" s="6"/>
      <c r="BG1663" s="6"/>
      <c r="BH1663" s="6"/>
      <c r="BI1663" s="6"/>
      <c r="BJ1663" s="6"/>
      <c r="BK1663" s="6"/>
      <c r="BL1663" s="6"/>
      <c r="BM1663" s="6"/>
      <c r="BN1663" s="6" t="e">
        <f t="shared" si="123"/>
        <v>#DIV/0!</v>
      </c>
    </row>
    <row r="1664" spans="49:66" x14ac:dyDescent="0.3">
      <c r="AW1664">
        <f t="shared" si="122"/>
        <v>0</v>
      </c>
      <c r="AX1664">
        <v>1661</v>
      </c>
      <c r="AY1664" s="4">
        <f t="shared" si="120"/>
        <v>42642</v>
      </c>
      <c r="AZ1664" s="6" t="e">
        <f t="shared" si="121"/>
        <v>#DIV/0!</v>
      </c>
      <c r="BA1664" s="4">
        <v>42642</v>
      </c>
      <c r="BB1664" s="6">
        <v>0.41774899999999998</v>
      </c>
      <c r="BC1664" s="6">
        <v>0.27872200000000003</v>
      </c>
      <c r="BD1664" s="6">
        <v>0.30818800000000002</v>
      </c>
      <c r="BE1664" s="6"/>
      <c r="BF1664" s="6"/>
      <c r="BG1664" s="6"/>
      <c r="BH1664" s="6"/>
      <c r="BI1664" s="6"/>
      <c r="BJ1664" s="6"/>
      <c r="BK1664" s="6"/>
      <c r="BL1664" s="6"/>
      <c r="BM1664" s="6"/>
      <c r="BN1664" s="6" t="e">
        <f t="shared" si="123"/>
        <v>#DIV/0!</v>
      </c>
    </row>
    <row r="1665" spans="49:66" x14ac:dyDescent="0.3">
      <c r="AW1665">
        <f t="shared" si="122"/>
        <v>0</v>
      </c>
      <c r="AX1665">
        <v>1662</v>
      </c>
      <c r="AY1665" s="4">
        <f t="shared" si="120"/>
        <v>42643</v>
      </c>
      <c r="AZ1665" s="6" t="e">
        <f t="shared" si="121"/>
        <v>#DIV/0!</v>
      </c>
      <c r="BA1665" s="4">
        <v>42643</v>
      </c>
      <c r="BB1665" s="6">
        <v>0.27423999999999998</v>
      </c>
      <c r="BC1665" s="6">
        <v>0.46508100000000002</v>
      </c>
      <c r="BD1665" s="6">
        <v>0.49210999999999999</v>
      </c>
      <c r="BE1665" s="6"/>
      <c r="BF1665" s="6"/>
      <c r="BG1665" s="6"/>
      <c r="BH1665" s="6"/>
      <c r="BI1665" s="6"/>
      <c r="BJ1665" s="6"/>
      <c r="BK1665" s="6"/>
      <c r="BL1665" s="6"/>
      <c r="BM1665" s="6"/>
      <c r="BN1665" s="6" t="e">
        <f t="shared" si="123"/>
        <v>#DIV/0!</v>
      </c>
    </row>
    <row r="1666" spans="49:66" x14ac:dyDescent="0.3">
      <c r="AW1666">
        <f t="shared" si="122"/>
        <v>0</v>
      </c>
      <c r="AX1666">
        <v>1663</v>
      </c>
      <c r="AY1666" s="4">
        <f t="shared" si="120"/>
        <v>42653</v>
      </c>
      <c r="AZ1666" s="6" t="e">
        <f t="shared" si="121"/>
        <v>#DIV/0!</v>
      </c>
      <c r="BA1666" s="4">
        <v>42653</v>
      </c>
      <c r="BB1666" s="6">
        <v>1.2474810000000001</v>
      </c>
      <c r="BC1666" s="6">
        <v>1.89011</v>
      </c>
      <c r="BD1666" s="6">
        <v>2.0990489999999999</v>
      </c>
      <c r="BE1666" s="6"/>
      <c r="BF1666" s="6"/>
      <c r="BG1666" s="6"/>
      <c r="BH1666" s="6"/>
      <c r="BI1666" s="6"/>
      <c r="BJ1666" s="6"/>
      <c r="BK1666" s="6"/>
      <c r="BL1666" s="6"/>
      <c r="BM1666" s="6"/>
      <c r="BN1666" s="6" t="e">
        <f t="shared" si="123"/>
        <v>#DIV/0!</v>
      </c>
    </row>
    <row r="1667" spans="49:66" x14ac:dyDescent="0.3">
      <c r="AW1667">
        <f t="shared" si="122"/>
        <v>0</v>
      </c>
      <c r="AX1667">
        <v>1664</v>
      </c>
      <c r="AY1667" s="4">
        <f t="shared" si="120"/>
        <v>42654</v>
      </c>
      <c r="AZ1667" s="6" t="e">
        <f t="shared" si="121"/>
        <v>#DIV/0!</v>
      </c>
      <c r="BA1667" s="4">
        <v>42654</v>
      </c>
      <c r="BB1667" s="6">
        <v>0.38521300000000003</v>
      </c>
      <c r="BC1667" s="6">
        <v>0.60071099999999999</v>
      </c>
      <c r="BD1667" s="6">
        <v>0.68576599999999999</v>
      </c>
      <c r="BE1667" s="6"/>
      <c r="BF1667" s="6"/>
      <c r="BG1667" s="6"/>
      <c r="BH1667" s="6"/>
      <c r="BI1667" s="6"/>
      <c r="BJ1667" s="6"/>
      <c r="BK1667" s="6"/>
      <c r="BL1667" s="6"/>
      <c r="BM1667" s="6"/>
      <c r="BN1667" s="6" t="e">
        <f t="shared" si="123"/>
        <v>#DIV/0!</v>
      </c>
    </row>
    <row r="1668" spans="49:66" x14ac:dyDescent="0.3">
      <c r="AW1668">
        <f t="shared" si="122"/>
        <v>0</v>
      </c>
      <c r="AX1668">
        <v>1665</v>
      </c>
      <c r="AY1668" s="4">
        <f t="shared" si="120"/>
        <v>42655</v>
      </c>
      <c r="AZ1668" s="6" t="e">
        <f t="shared" si="121"/>
        <v>#DIV/0!</v>
      </c>
      <c r="BA1668" s="4">
        <v>42655</v>
      </c>
      <c r="BB1668" s="6">
        <v>-0.19801299999999999</v>
      </c>
      <c r="BC1668" s="6">
        <v>-5.6848999999999997E-2</v>
      </c>
      <c r="BD1668" s="6">
        <v>0.134572</v>
      </c>
      <c r="BE1668" s="6"/>
      <c r="BF1668" s="6"/>
      <c r="BG1668" s="6"/>
      <c r="BH1668" s="6"/>
      <c r="BI1668" s="6"/>
      <c r="BJ1668" s="6"/>
      <c r="BK1668" s="6"/>
      <c r="BL1668" s="6"/>
      <c r="BM1668" s="6"/>
      <c r="BN1668" s="6" t="e">
        <f t="shared" si="123"/>
        <v>#DIV/0!</v>
      </c>
    </row>
    <row r="1669" spans="49:66" x14ac:dyDescent="0.3">
      <c r="AW1669">
        <f t="shared" si="122"/>
        <v>0</v>
      </c>
      <c r="AX1669">
        <v>1666</v>
      </c>
      <c r="AY1669" s="4">
        <f t="shared" ref="AY1669:AY1732" si="124">BA1669</f>
        <v>42656</v>
      </c>
      <c r="AZ1669" s="6" t="e">
        <f t="shared" ref="AZ1669:AZ1732" si="125">BN1669</f>
        <v>#DIV/0!</v>
      </c>
      <c r="BA1669" s="4">
        <v>42656</v>
      </c>
      <c r="BB1669" s="6">
        <v>7.9866000000000006E-2</v>
      </c>
      <c r="BC1669" s="6">
        <v>3.2287000000000003E-2</v>
      </c>
      <c r="BD1669" s="6">
        <v>0.15782099999999999</v>
      </c>
      <c r="BE1669" s="6"/>
      <c r="BF1669" s="6"/>
      <c r="BG1669" s="6"/>
      <c r="BH1669" s="6"/>
      <c r="BI1669" s="6"/>
      <c r="BJ1669" s="6"/>
      <c r="BK1669" s="6"/>
      <c r="BL1669" s="6"/>
      <c r="BM1669" s="6"/>
      <c r="BN1669" s="6" t="e">
        <f t="shared" si="123"/>
        <v>#DIV/0!</v>
      </c>
    </row>
    <row r="1670" spans="49:66" x14ac:dyDescent="0.3">
      <c r="AW1670">
        <f t="shared" ref="AW1670:AW1733" si="126">IF(AY1670&lt;=AY1669,1,0)</f>
        <v>0</v>
      </c>
      <c r="AX1670">
        <v>1667</v>
      </c>
      <c r="AY1670" s="4">
        <f t="shared" si="124"/>
        <v>42657</v>
      </c>
      <c r="AZ1670" s="6" t="e">
        <f t="shared" si="125"/>
        <v>#DIV/0!</v>
      </c>
      <c r="BA1670" s="4">
        <v>42657</v>
      </c>
      <c r="BB1670" s="6">
        <v>9.6971000000000002E-2</v>
      </c>
      <c r="BC1670" s="6">
        <v>-0.236544</v>
      </c>
      <c r="BD1670" s="6">
        <v>-0.177119</v>
      </c>
      <c r="BE1670" s="6"/>
      <c r="BF1670" s="6"/>
      <c r="BG1670" s="6"/>
      <c r="BH1670" s="6"/>
      <c r="BI1670" s="6"/>
      <c r="BJ1670" s="6"/>
      <c r="BK1670" s="6"/>
      <c r="BL1670" s="6"/>
      <c r="BM1670" s="6"/>
      <c r="BN1670" s="6" t="e">
        <f t="shared" ref="BN1670:BN1733" si="127">(BM1670/BM1669-1)*100</f>
        <v>#DIV/0!</v>
      </c>
    </row>
    <row r="1671" spans="49:66" x14ac:dyDescent="0.3">
      <c r="AW1671">
        <f t="shared" si="126"/>
        <v>0</v>
      </c>
      <c r="AX1671">
        <v>1668</v>
      </c>
      <c r="AY1671" s="4">
        <f t="shared" si="124"/>
        <v>42660</v>
      </c>
      <c r="AZ1671" s="6" t="e">
        <f t="shared" si="125"/>
        <v>#DIV/0!</v>
      </c>
      <c r="BA1671" s="4">
        <v>42660</v>
      </c>
      <c r="BB1671" s="6">
        <v>-0.84605799999999998</v>
      </c>
      <c r="BC1671" s="6">
        <v>-0.87090000000000001</v>
      </c>
      <c r="BD1671" s="6">
        <v>-0.91545299999999996</v>
      </c>
      <c r="BE1671" s="6"/>
      <c r="BF1671" s="6"/>
      <c r="BG1671" s="6"/>
      <c r="BH1671" s="6"/>
      <c r="BI1671" s="6"/>
      <c r="BJ1671" s="6"/>
      <c r="BK1671" s="6"/>
      <c r="BL1671" s="6"/>
      <c r="BM1671" s="6"/>
      <c r="BN1671" s="6" t="e">
        <f t="shared" si="127"/>
        <v>#DIV/0!</v>
      </c>
    </row>
    <row r="1672" spans="49:66" x14ac:dyDescent="0.3">
      <c r="AW1672">
        <f t="shared" si="126"/>
        <v>0</v>
      </c>
      <c r="AX1672">
        <v>1669</v>
      </c>
      <c r="AY1672" s="4">
        <f t="shared" si="124"/>
        <v>42661</v>
      </c>
      <c r="AZ1672" s="6" t="e">
        <f t="shared" si="125"/>
        <v>#DIV/0!</v>
      </c>
      <c r="BA1672" s="4">
        <v>42661</v>
      </c>
      <c r="BB1672" s="6">
        <v>1.3256650000000001</v>
      </c>
      <c r="BC1672" s="6">
        <v>1.4990049999999999</v>
      </c>
      <c r="BD1672" s="6">
        <v>1.5239450000000001</v>
      </c>
      <c r="BE1672" s="6"/>
      <c r="BF1672" s="6"/>
      <c r="BG1672" s="6"/>
      <c r="BH1672" s="6"/>
      <c r="BI1672" s="6"/>
      <c r="BJ1672" s="6"/>
      <c r="BK1672" s="6"/>
      <c r="BL1672" s="6"/>
      <c r="BM1672" s="6"/>
      <c r="BN1672" s="6" t="e">
        <f t="shared" si="127"/>
        <v>#DIV/0!</v>
      </c>
    </row>
    <row r="1673" spans="49:66" x14ac:dyDescent="0.3">
      <c r="AW1673">
        <f t="shared" si="126"/>
        <v>0</v>
      </c>
      <c r="AX1673">
        <v>1670</v>
      </c>
      <c r="AY1673" s="4">
        <f t="shared" si="124"/>
        <v>42662</v>
      </c>
      <c r="AZ1673" s="6" t="e">
        <f t="shared" si="125"/>
        <v>#DIV/0!</v>
      </c>
      <c r="BA1673" s="4">
        <v>42662</v>
      </c>
      <c r="BB1673" s="6">
        <v>-0.15330299999999999</v>
      </c>
      <c r="BC1673" s="6">
        <v>-0.21545700000000001</v>
      </c>
      <c r="BD1673" s="6">
        <v>-0.13927200000000001</v>
      </c>
      <c r="BE1673" s="6"/>
      <c r="BF1673" s="6"/>
      <c r="BG1673" s="6"/>
      <c r="BH1673" s="6"/>
      <c r="BI1673" s="6"/>
      <c r="BJ1673" s="6"/>
      <c r="BK1673" s="6"/>
      <c r="BL1673" s="6"/>
      <c r="BM1673" s="6"/>
      <c r="BN1673" s="6" t="e">
        <f t="shared" si="127"/>
        <v>#DIV/0!</v>
      </c>
    </row>
    <row r="1674" spans="49:66" x14ac:dyDescent="0.3">
      <c r="AW1674">
        <f t="shared" si="126"/>
        <v>0</v>
      </c>
      <c r="AX1674">
        <v>1671</v>
      </c>
      <c r="AY1674" s="4">
        <f t="shared" si="124"/>
        <v>42663</v>
      </c>
      <c r="AZ1674" s="6" t="e">
        <f t="shared" si="125"/>
        <v>#DIV/0!</v>
      </c>
      <c r="BA1674" s="4">
        <v>42663</v>
      </c>
      <c r="BB1674" s="6">
        <v>7.1276000000000006E-2</v>
      </c>
      <c r="BC1674" s="6">
        <v>4.5880999999999998E-2</v>
      </c>
      <c r="BD1674" s="6">
        <v>0.46020100000000003</v>
      </c>
      <c r="BE1674" s="6"/>
      <c r="BF1674" s="6"/>
      <c r="BG1674" s="6"/>
      <c r="BH1674" s="6"/>
      <c r="BI1674" s="6"/>
      <c r="BJ1674" s="6"/>
      <c r="BK1674" s="6"/>
      <c r="BL1674" s="6"/>
      <c r="BM1674" s="6"/>
      <c r="BN1674" s="6" t="e">
        <f t="shared" si="127"/>
        <v>#DIV/0!</v>
      </c>
    </row>
    <row r="1675" spans="49:66" x14ac:dyDescent="0.3">
      <c r="AW1675">
        <f t="shared" si="126"/>
        <v>0</v>
      </c>
      <c r="AX1675">
        <v>1672</v>
      </c>
      <c r="AY1675" s="4">
        <f t="shared" si="124"/>
        <v>42664</v>
      </c>
      <c r="AZ1675" s="6" t="e">
        <f t="shared" si="125"/>
        <v>#DIV/0!</v>
      </c>
      <c r="BA1675" s="4">
        <v>42664</v>
      </c>
      <c r="BB1675" s="6">
        <v>0.27528399999999997</v>
      </c>
      <c r="BC1675" s="6">
        <v>-0.35327700000000001</v>
      </c>
      <c r="BD1675" s="6">
        <v>-0.58250599999999997</v>
      </c>
      <c r="BE1675" s="6"/>
      <c r="BF1675" s="6"/>
      <c r="BG1675" s="6"/>
      <c r="BH1675" s="6"/>
      <c r="BI1675" s="6"/>
      <c r="BJ1675" s="6"/>
      <c r="BK1675" s="6"/>
      <c r="BL1675" s="6"/>
      <c r="BM1675" s="6"/>
      <c r="BN1675" s="6" t="e">
        <f t="shared" si="127"/>
        <v>#DIV/0!</v>
      </c>
    </row>
    <row r="1676" spans="49:66" x14ac:dyDescent="0.3">
      <c r="AW1676">
        <f t="shared" si="126"/>
        <v>0</v>
      </c>
      <c r="AX1676">
        <v>1673</v>
      </c>
      <c r="AY1676" s="4">
        <f t="shared" si="124"/>
        <v>42667</v>
      </c>
      <c r="AZ1676" s="6" t="e">
        <f t="shared" si="125"/>
        <v>#DIV/0!</v>
      </c>
      <c r="BA1676" s="4">
        <v>42667</v>
      </c>
      <c r="BB1676" s="6">
        <v>1.1971430000000001</v>
      </c>
      <c r="BC1676" s="6">
        <v>0.99123700000000003</v>
      </c>
      <c r="BD1676" s="6">
        <v>0.64510299999999998</v>
      </c>
      <c r="BE1676" s="6"/>
      <c r="BF1676" s="6"/>
      <c r="BG1676" s="6"/>
      <c r="BH1676" s="6"/>
      <c r="BI1676" s="6"/>
      <c r="BJ1676" s="6"/>
      <c r="BK1676" s="6"/>
      <c r="BL1676" s="6"/>
      <c r="BM1676" s="6"/>
      <c r="BN1676" s="6" t="e">
        <f t="shared" si="127"/>
        <v>#DIV/0!</v>
      </c>
    </row>
    <row r="1677" spans="49:66" x14ac:dyDescent="0.3">
      <c r="AW1677">
        <f t="shared" si="126"/>
        <v>0</v>
      </c>
      <c r="AX1677">
        <v>1674</v>
      </c>
      <c r="AY1677" s="4">
        <f t="shared" si="124"/>
        <v>42668</v>
      </c>
      <c r="AZ1677" s="6" t="e">
        <f t="shared" si="125"/>
        <v>#DIV/0!</v>
      </c>
      <c r="BA1677" s="4">
        <v>42668</v>
      </c>
      <c r="BB1677" s="6">
        <v>-3.6549999999999998E-3</v>
      </c>
      <c r="BC1677" s="6">
        <v>0.36528699999999997</v>
      </c>
      <c r="BD1677" s="6">
        <v>0.43082900000000002</v>
      </c>
      <c r="BE1677" s="6"/>
      <c r="BF1677" s="6"/>
      <c r="BG1677" s="6"/>
      <c r="BH1677" s="6"/>
      <c r="BI1677" s="6"/>
      <c r="BJ1677" s="6"/>
      <c r="BK1677" s="6"/>
      <c r="BL1677" s="6"/>
      <c r="BM1677" s="6"/>
      <c r="BN1677" s="6" t="e">
        <f t="shared" si="127"/>
        <v>#DIV/0!</v>
      </c>
    </row>
    <row r="1678" spans="49:66" x14ac:dyDescent="0.3">
      <c r="AW1678">
        <f t="shared" si="126"/>
        <v>0</v>
      </c>
      <c r="AX1678">
        <v>1675</v>
      </c>
      <c r="AY1678" s="4">
        <f t="shared" si="124"/>
        <v>42669</v>
      </c>
      <c r="AZ1678" s="6" t="e">
        <f t="shared" si="125"/>
        <v>#DIV/0!</v>
      </c>
      <c r="BA1678" s="4">
        <v>42669</v>
      </c>
      <c r="BB1678" s="6">
        <v>-0.37578499999999998</v>
      </c>
      <c r="BC1678" s="6">
        <v>-0.50224500000000005</v>
      </c>
      <c r="BD1678" s="6">
        <v>-0.42835099999999998</v>
      </c>
      <c r="BE1678" s="6"/>
      <c r="BF1678" s="6"/>
      <c r="BG1678" s="6"/>
      <c r="BH1678" s="6"/>
      <c r="BI1678" s="6"/>
      <c r="BJ1678" s="6"/>
      <c r="BK1678" s="6"/>
      <c r="BL1678" s="6"/>
      <c r="BM1678" s="6"/>
      <c r="BN1678" s="6" t="e">
        <f t="shared" si="127"/>
        <v>#DIV/0!</v>
      </c>
    </row>
    <row r="1679" spans="49:66" x14ac:dyDescent="0.3">
      <c r="AW1679">
        <f t="shared" si="126"/>
        <v>0</v>
      </c>
      <c r="AX1679">
        <v>1676</v>
      </c>
      <c r="AY1679" s="4">
        <f t="shared" si="124"/>
        <v>42670</v>
      </c>
      <c r="AZ1679" s="6" t="e">
        <f t="shared" si="125"/>
        <v>#DIV/0!</v>
      </c>
      <c r="BA1679" s="4">
        <v>42670</v>
      </c>
      <c r="BB1679" s="6">
        <v>-0.27141100000000001</v>
      </c>
      <c r="BC1679" s="6">
        <v>-0.19953499999999999</v>
      </c>
      <c r="BD1679" s="6">
        <v>-4.1592999999999998E-2</v>
      </c>
      <c r="BE1679" s="6"/>
      <c r="BF1679" s="6"/>
      <c r="BG1679" s="6"/>
      <c r="BH1679" s="6"/>
      <c r="BI1679" s="6"/>
      <c r="BJ1679" s="6"/>
      <c r="BK1679" s="6"/>
      <c r="BL1679" s="6"/>
      <c r="BM1679" s="6"/>
      <c r="BN1679" s="6" t="e">
        <f t="shared" si="127"/>
        <v>#DIV/0!</v>
      </c>
    </row>
    <row r="1680" spans="49:66" x14ac:dyDescent="0.3">
      <c r="AW1680">
        <f t="shared" si="126"/>
        <v>0</v>
      </c>
      <c r="AX1680">
        <v>1677</v>
      </c>
      <c r="AY1680" s="4">
        <f t="shared" si="124"/>
        <v>42671</v>
      </c>
      <c r="AZ1680" s="6" t="e">
        <f t="shared" si="125"/>
        <v>#DIV/0!</v>
      </c>
      <c r="BA1680" s="4">
        <v>42671</v>
      </c>
      <c r="BB1680" s="6">
        <v>-0.16644700000000001</v>
      </c>
      <c r="BC1680" s="6">
        <v>-0.94401000000000002</v>
      </c>
      <c r="BD1680" s="6">
        <v>-0.91585099999999997</v>
      </c>
      <c r="BE1680" s="6"/>
      <c r="BF1680" s="6"/>
      <c r="BG1680" s="6"/>
      <c r="BH1680" s="6"/>
      <c r="BI1680" s="6"/>
      <c r="BJ1680" s="6"/>
      <c r="BK1680" s="6"/>
      <c r="BL1680" s="6"/>
      <c r="BM1680" s="6"/>
      <c r="BN1680" s="6" t="e">
        <f t="shared" si="127"/>
        <v>#DIV/0!</v>
      </c>
    </row>
    <row r="1681" spans="49:66" x14ac:dyDescent="0.3">
      <c r="AW1681">
        <f t="shared" si="126"/>
        <v>0</v>
      </c>
      <c r="AX1681">
        <v>1678</v>
      </c>
      <c r="AY1681" s="4">
        <f t="shared" si="124"/>
        <v>42674</v>
      </c>
      <c r="AZ1681" s="6" t="e">
        <f t="shared" si="125"/>
        <v>#DIV/0!</v>
      </c>
      <c r="BA1681" s="4">
        <v>42674</v>
      </c>
      <c r="BB1681" s="6">
        <v>-0.115217</v>
      </c>
      <c r="BC1681" s="6">
        <v>-5.6214E-2</v>
      </c>
      <c r="BD1681" s="6">
        <v>-4.6087000000000003E-2</v>
      </c>
      <c r="BE1681" s="6"/>
      <c r="BF1681" s="6"/>
      <c r="BG1681" s="6"/>
      <c r="BH1681" s="6"/>
      <c r="BI1681" s="6"/>
      <c r="BJ1681" s="6"/>
      <c r="BK1681" s="6"/>
      <c r="BL1681" s="6"/>
      <c r="BM1681" s="6"/>
      <c r="BN1681" s="6" t="e">
        <f t="shared" si="127"/>
        <v>#DIV/0!</v>
      </c>
    </row>
    <row r="1682" spans="49:66" x14ac:dyDescent="0.3">
      <c r="AW1682">
        <f t="shared" si="126"/>
        <v>0</v>
      </c>
      <c r="AX1682">
        <v>1679</v>
      </c>
      <c r="AY1682" s="4">
        <f t="shared" si="124"/>
        <v>42675</v>
      </c>
      <c r="AZ1682" s="6" t="e">
        <f t="shared" si="125"/>
        <v>#DIV/0!</v>
      </c>
      <c r="BA1682" s="4">
        <v>42675</v>
      </c>
      <c r="BB1682" s="6">
        <v>0.68260799999999999</v>
      </c>
      <c r="BC1682" s="6">
        <v>0.86395599999999995</v>
      </c>
      <c r="BD1682" s="6">
        <v>1.080535</v>
      </c>
      <c r="BE1682" s="6"/>
      <c r="BF1682" s="6"/>
      <c r="BG1682" s="6"/>
      <c r="BH1682" s="6"/>
      <c r="BI1682" s="6"/>
      <c r="BJ1682" s="6"/>
      <c r="BK1682" s="6"/>
      <c r="BL1682" s="6"/>
      <c r="BM1682" s="6"/>
      <c r="BN1682" s="6" t="e">
        <f t="shared" si="127"/>
        <v>#DIV/0!</v>
      </c>
    </row>
    <row r="1683" spans="49:66" x14ac:dyDescent="0.3">
      <c r="AW1683">
        <f t="shared" si="126"/>
        <v>0</v>
      </c>
      <c r="AX1683">
        <v>1680</v>
      </c>
      <c r="AY1683" s="4">
        <f t="shared" si="124"/>
        <v>42676</v>
      </c>
      <c r="AZ1683" s="6" t="e">
        <f t="shared" si="125"/>
        <v>#DIV/0!</v>
      </c>
      <c r="BA1683" s="4">
        <v>42676</v>
      </c>
      <c r="BB1683" s="6">
        <v>-0.76507000000000003</v>
      </c>
      <c r="BC1683" s="6">
        <v>-0.81162999999999996</v>
      </c>
      <c r="BD1683" s="6">
        <v>-0.66667200000000004</v>
      </c>
      <c r="BE1683" s="6"/>
      <c r="BF1683" s="6"/>
      <c r="BG1683" s="6"/>
      <c r="BH1683" s="6"/>
      <c r="BI1683" s="6"/>
      <c r="BJ1683" s="6"/>
      <c r="BK1683" s="6"/>
      <c r="BL1683" s="6"/>
      <c r="BM1683" s="6"/>
      <c r="BN1683" s="6" t="e">
        <f t="shared" si="127"/>
        <v>#DIV/0!</v>
      </c>
    </row>
    <row r="1684" spans="49:66" x14ac:dyDescent="0.3">
      <c r="AW1684">
        <f t="shared" si="126"/>
        <v>0</v>
      </c>
      <c r="AX1684">
        <v>1681</v>
      </c>
      <c r="AY1684" s="4">
        <f t="shared" si="124"/>
        <v>42677</v>
      </c>
      <c r="AZ1684" s="6" t="e">
        <f t="shared" si="125"/>
        <v>#DIV/0!</v>
      </c>
      <c r="BA1684" s="4">
        <v>42677</v>
      </c>
      <c r="BB1684" s="6">
        <v>0.95197299999999996</v>
      </c>
      <c r="BC1684" s="6">
        <v>0.44309999999999999</v>
      </c>
      <c r="BD1684" s="6">
        <v>0.64952100000000002</v>
      </c>
      <c r="BE1684" s="6"/>
      <c r="BF1684" s="6"/>
      <c r="BG1684" s="6"/>
      <c r="BH1684" s="6"/>
      <c r="BI1684" s="6"/>
      <c r="BJ1684" s="6"/>
      <c r="BK1684" s="6"/>
      <c r="BL1684" s="6"/>
      <c r="BM1684" s="6"/>
      <c r="BN1684" s="6" t="e">
        <f t="shared" si="127"/>
        <v>#DIV/0!</v>
      </c>
    </row>
    <row r="1685" spans="49:66" x14ac:dyDescent="0.3">
      <c r="AW1685">
        <f t="shared" si="126"/>
        <v>0</v>
      </c>
      <c r="AX1685">
        <v>1682</v>
      </c>
      <c r="AY1685" s="4">
        <f t="shared" si="124"/>
        <v>42678</v>
      </c>
      <c r="AZ1685" s="6" t="e">
        <f t="shared" si="125"/>
        <v>#DIV/0!</v>
      </c>
      <c r="BA1685" s="4">
        <v>42678</v>
      </c>
      <c r="BB1685" s="6">
        <v>-0.32421499999999998</v>
      </c>
      <c r="BC1685" s="6">
        <v>-0.32603799999999999</v>
      </c>
      <c r="BD1685" s="6">
        <v>-0.27683400000000002</v>
      </c>
      <c r="BE1685" s="6"/>
      <c r="BF1685" s="6"/>
      <c r="BG1685" s="6"/>
      <c r="BH1685" s="6"/>
      <c r="BI1685" s="6"/>
      <c r="BJ1685" s="6"/>
      <c r="BK1685" s="6"/>
      <c r="BL1685" s="6"/>
      <c r="BM1685" s="6"/>
      <c r="BN1685" s="6" t="e">
        <f t="shared" si="127"/>
        <v>#DIV/0!</v>
      </c>
    </row>
    <row r="1686" spans="49:66" x14ac:dyDescent="0.3">
      <c r="AW1686">
        <f t="shared" si="126"/>
        <v>0</v>
      </c>
      <c r="AX1686">
        <v>1683</v>
      </c>
      <c r="AY1686" s="4">
        <f t="shared" si="124"/>
        <v>42681</v>
      </c>
      <c r="AZ1686" s="6" t="e">
        <f t="shared" si="125"/>
        <v>#DIV/0!</v>
      </c>
      <c r="BA1686" s="4">
        <v>42681</v>
      </c>
      <c r="BB1686" s="6">
        <v>7.2051000000000004E-2</v>
      </c>
      <c r="BC1686" s="6">
        <v>9.6312999999999996E-2</v>
      </c>
      <c r="BD1686" s="6">
        <v>-4.8554E-2</v>
      </c>
      <c r="BE1686" s="6"/>
      <c r="BF1686" s="6"/>
      <c r="BG1686" s="6"/>
      <c r="BH1686" s="6"/>
      <c r="BI1686" s="6"/>
      <c r="BJ1686" s="6"/>
      <c r="BK1686" s="6"/>
      <c r="BL1686" s="6"/>
      <c r="BM1686" s="6"/>
      <c r="BN1686" s="6" t="e">
        <f t="shared" si="127"/>
        <v>#DIV/0!</v>
      </c>
    </row>
    <row r="1687" spans="49:66" x14ac:dyDescent="0.3">
      <c r="AW1687">
        <f t="shared" si="126"/>
        <v>0</v>
      </c>
      <c r="AX1687">
        <v>1684</v>
      </c>
      <c r="AY1687" s="4">
        <f t="shared" si="124"/>
        <v>42682</v>
      </c>
      <c r="AZ1687" s="6" t="e">
        <f t="shared" si="125"/>
        <v>#DIV/0!</v>
      </c>
      <c r="BA1687" s="4">
        <v>42682</v>
      </c>
      <c r="BB1687" s="6">
        <v>0.43276300000000001</v>
      </c>
      <c r="BC1687" s="6">
        <v>0.53117899999999996</v>
      </c>
      <c r="BD1687" s="6">
        <v>0.61461200000000005</v>
      </c>
      <c r="BE1687" s="6"/>
      <c r="BF1687" s="6"/>
      <c r="BG1687" s="6"/>
      <c r="BH1687" s="6"/>
      <c r="BI1687" s="6"/>
      <c r="BJ1687" s="6"/>
      <c r="BK1687" s="6"/>
      <c r="BL1687" s="6"/>
      <c r="BM1687" s="6"/>
      <c r="BN1687" s="6" t="e">
        <f t="shared" si="127"/>
        <v>#DIV/0!</v>
      </c>
    </row>
    <row r="1688" spans="49:66" x14ac:dyDescent="0.3">
      <c r="AW1688">
        <f t="shared" si="126"/>
        <v>0</v>
      </c>
      <c r="AX1688">
        <v>1685</v>
      </c>
      <c r="AY1688" s="4">
        <f t="shared" si="124"/>
        <v>42683</v>
      </c>
      <c r="AZ1688" s="6" t="e">
        <f t="shared" si="125"/>
        <v>#DIV/0!</v>
      </c>
      <c r="BA1688" s="4">
        <v>42683</v>
      </c>
      <c r="BB1688" s="6">
        <v>-0.53581599999999996</v>
      </c>
      <c r="BC1688" s="6">
        <v>-0.76280099999999995</v>
      </c>
      <c r="BD1688" s="6">
        <v>-0.69910799999999995</v>
      </c>
      <c r="BE1688" s="6"/>
      <c r="BF1688" s="6"/>
      <c r="BG1688" s="6"/>
      <c r="BH1688" s="6"/>
      <c r="BI1688" s="6"/>
      <c r="BJ1688" s="6"/>
      <c r="BK1688" s="6"/>
      <c r="BL1688" s="6"/>
      <c r="BM1688" s="6"/>
      <c r="BN1688" s="6" t="e">
        <f t="shared" si="127"/>
        <v>#DIV/0!</v>
      </c>
    </row>
    <row r="1689" spans="49:66" x14ac:dyDescent="0.3">
      <c r="AW1689">
        <f t="shared" si="126"/>
        <v>0</v>
      </c>
      <c r="AX1689">
        <v>1686</v>
      </c>
      <c r="AY1689" s="4">
        <f t="shared" si="124"/>
        <v>42684</v>
      </c>
      <c r="AZ1689" s="6" t="e">
        <f t="shared" si="125"/>
        <v>#DIV/0!</v>
      </c>
      <c r="BA1689" s="4">
        <v>42684</v>
      </c>
      <c r="BB1689" s="6">
        <v>1.1200889999999999</v>
      </c>
      <c r="BC1689" s="6">
        <v>1.2922039999999999</v>
      </c>
      <c r="BD1689" s="6">
        <v>1.296311</v>
      </c>
      <c r="BE1689" s="6"/>
      <c r="BF1689" s="6"/>
      <c r="BG1689" s="6"/>
      <c r="BH1689" s="6"/>
      <c r="BI1689" s="6"/>
      <c r="BJ1689" s="6"/>
      <c r="BK1689" s="6"/>
      <c r="BL1689" s="6"/>
      <c r="BM1689" s="6"/>
      <c r="BN1689" s="6" t="e">
        <f t="shared" si="127"/>
        <v>#DIV/0!</v>
      </c>
    </row>
    <row r="1690" spans="49:66" x14ac:dyDescent="0.3">
      <c r="AW1690">
        <f t="shared" si="126"/>
        <v>0</v>
      </c>
      <c r="AX1690">
        <v>1687</v>
      </c>
      <c r="AY1690" s="4">
        <f t="shared" si="124"/>
        <v>42685</v>
      </c>
      <c r="AZ1690" s="6" t="e">
        <f t="shared" si="125"/>
        <v>#DIV/0!</v>
      </c>
      <c r="BA1690" s="4">
        <v>42685</v>
      </c>
      <c r="BB1690" s="6">
        <v>0.78478999999999999</v>
      </c>
      <c r="BC1690" s="6">
        <v>0.71778399999999998</v>
      </c>
      <c r="BD1690" s="6">
        <v>0.41463699999999998</v>
      </c>
      <c r="BE1690" s="6"/>
      <c r="BF1690" s="6"/>
      <c r="BG1690" s="6"/>
      <c r="BH1690" s="6"/>
      <c r="BI1690" s="6"/>
      <c r="BJ1690" s="6"/>
      <c r="BK1690" s="6"/>
      <c r="BL1690" s="6"/>
      <c r="BM1690" s="6"/>
      <c r="BN1690" s="6" t="e">
        <f t="shared" si="127"/>
        <v>#DIV/0!</v>
      </c>
    </row>
    <row r="1691" spans="49:66" x14ac:dyDescent="0.3">
      <c r="AW1691">
        <f t="shared" si="126"/>
        <v>0</v>
      </c>
      <c r="AX1691">
        <v>1688</v>
      </c>
      <c r="AY1691" s="4">
        <f t="shared" si="124"/>
        <v>42688</v>
      </c>
      <c r="AZ1691" s="6" t="e">
        <f t="shared" si="125"/>
        <v>#DIV/0!</v>
      </c>
      <c r="BA1691" s="4">
        <v>42688</v>
      </c>
      <c r="BB1691" s="6">
        <v>0.38121899999999997</v>
      </c>
      <c r="BC1691" s="6">
        <v>0.47267999999999999</v>
      </c>
      <c r="BD1691" s="6">
        <v>0.336086</v>
      </c>
      <c r="BE1691" s="6"/>
      <c r="BF1691" s="6"/>
      <c r="BG1691" s="6"/>
      <c r="BH1691" s="6"/>
      <c r="BI1691" s="6"/>
      <c r="BJ1691" s="6"/>
      <c r="BK1691" s="6"/>
      <c r="BL1691" s="6"/>
      <c r="BM1691" s="6"/>
      <c r="BN1691" s="6" t="e">
        <f t="shared" si="127"/>
        <v>#DIV/0!</v>
      </c>
    </row>
    <row r="1692" spans="49:66" x14ac:dyDescent="0.3">
      <c r="AW1692">
        <f t="shared" si="126"/>
        <v>0</v>
      </c>
      <c r="AX1692">
        <v>1689</v>
      </c>
      <c r="AY1692" s="4">
        <f t="shared" si="124"/>
        <v>42689</v>
      </c>
      <c r="AZ1692" s="6" t="e">
        <f t="shared" si="125"/>
        <v>#DIV/0!</v>
      </c>
      <c r="BA1692" s="4">
        <v>42689</v>
      </c>
      <c r="BB1692" s="6">
        <v>-1.1034E-2</v>
      </c>
      <c r="BC1692" s="6">
        <v>0.384799</v>
      </c>
      <c r="BD1692" s="6">
        <v>0.49928400000000001</v>
      </c>
      <c r="BE1692" s="6"/>
      <c r="BF1692" s="6"/>
      <c r="BG1692" s="6"/>
      <c r="BH1692" s="6"/>
      <c r="BI1692" s="6"/>
      <c r="BJ1692" s="6"/>
      <c r="BK1692" s="6"/>
      <c r="BL1692" s="6"/>
      <c r="BM1692" s="6"/>
      <c r="BN1692" s="6" t="e">
        <f t="shared" si="127"/>
        <v>#DIV/0!</v>
      </c>
    </row>
    <row r="1693" spans="49:66" x14ac:dyDescent="0.3">
      <c r="AW1693">
        <f t="shared" si="126"/>
        <v>0</v>
      </c>
      <c r="AX1693">
        <v>1690</v>
      </c>
      <c r="AY1693" s="4">
        <f t="shared" si="124"/>
        <v>42690</v>
      </c>
      <c r="AZ1693" s="6" t="e">
        <f t="shared" si="125"/>
        <v>#DIV/0!</v>
      </c>
      <c r="BA1693" s="4">
        <v>42690</v>
      </c>
      <c r="BB1693" s="6">
        <v>-8.0940000000000005E-3</v>
      </c>
      <c r="BC1693" s="6">
        <v>5.6113999999999997E-2</v>
      </c>
      <c r="BD1693" s="6">
        <v>0.153168</v>
      </c>
      <c r="BE1693" s="6"/>
      <c r="BF1693" s="6"/>
      <c r="BG1693" s="6"/>
      <c r="BH1693" s="6"/>
      <c r="BI1693" s="6"/>
      <c r="BJ1693" s="6"/>
      <c r="BK1693" s="6"/>
      <c r="BL1693" s="6"/>
      <c r="BM1693" s="6"/>
      <c r="BN1693" s="6" t="e">
        <f t="shared" si="127"/>
        <v>#DIV/0!</v>
      </c>
    </row>
    <row r="1694" spans="49:66" x14ac:dyDescent="0.3">
      <c r="AW1694">
        <f t="shared" si="126"/>
        <v>0</v>
      </c>
      <c r="AX1694">
        <v>1691</v>
      </c>
      <c r="AY1694" s="4">
        <f t="shared" si="124"/>
        <v>42691</v>
      </c>
      <c r="AZ1694" s="6" t="e">
        <f t="shared" si="125"/>
        <v>#DIV/0!</v>
      </c>
      <c r="BA1694" s="4">
        <v>42691</v>
      </c>
      <c r="BB1694" s="6">
        <v>0.20244100000000001</v>
      </c>
      <c r="BC1694" s="6">
        <v>-0.116174</v>
      </c>
      <c r="BD1694" s="6">
        <v>-0.40719100000000003</v>
      </c>
      <c r="BE1694" s="6"/>
      <c r="BF1694" s="6"/>
      <c r="BG1694" s="6"/>
      <c r="BH1694" s="6"/>
      <c r="BI1694" s="6"/>
      <c r="BJ1694" s="6"/>
      <c r="BK1694" s="6"/>
      <c r="BL1694" s="6"/>
      <c r="BM1694" s="6"/>
      <c r="BN1694" s="6" t="e">
        <f t="shared" si="127"/>
        <v>#DIV/0!</v>
      </c>
    </row>
    <row r="1695" spans="49:66" x14ac:dyDescent="0.3">
      <c r="AW1695">
        <f t="shared" si="126"/>
        <v>0</v>
      </c>
      <c r="AX1695">
        <v>1692</v>
      </c>
      <c r="AY1695" s="4">
        <f t="shared" si="124"/>
        <v>42692</v>
      </c>
      <c r="AZ1695" s="6" t="e">
        <f t="shared" si="125"/>
        <v>#DIV/0!</v>
      </c>
      <c r="BA1695" s="4">
        <v>42692</v>
      </c>
      <c r="BB1695" s="6">
        <v>-0.555199</v>
      </c>
      <c r="BC1695" s="6">
        <v>-0.51446800000000004</v>
      </c>
      <c r="BD1695" s="6">
        <v>-0.30764599999999998</v>
      </c>
      <c r="BE1695" s="6"/>
      <c r="BF1695" s="6"/>
      <c r="BG1695" s="6"/>
      <c r="BH1695" s="6"/>
      <c r="BI1695" s="6"/>
      <c r="BJ1695" s="6"/>
      <c r="BK1695" s="6"/>
      <c r="BL1695" s="6"/>
      <c r="BM1695" s="6"/>
      <c r="BN1695" s="6" t="e">
        <f t="shared" si="127"/>
        <v>#DIV/0!</v>
      </c>
    </row>
    <row r="1696" spans="49:66" x14ac:dyDescent="0.3">
      <c r="AW1696">
        <f t="shared" si="126"/>
        <v>0</v>
      </c>
      <c r="AX1696">
        <v>1693</v>
      </c>
      <c r="AY1696" s="4">
        <f t="shared" si="124"/>
        <v>42695</v>
      </c>
      <c r="AZ1696" s="6" t="e">
        <f t="shared" si="125"/>
        <v>#DIV/0!</v>
      </c>
      <c r="BA1696" s="4">
        <v>42695</v>
      </c>
      <c r="BB1696" s="6">
        <v>0.69218800000000003</v>
      </c>
      <c r="BC1696" s="6">
        <v>0.13954800000000001</v>
      </c>
      <c r="BD1696" s="6">
        <v>0.23264599999999999</v>
      </c>
      <c r="BE1696" s="6"/>
      <c r="BF1696" s="6"/>
      <c r="BG1696" s="6"/>
      <c r="BH1696" s="6"/>
      <c r="BI1696" s="6"/>
      <c r="BJ1696" s="6"/>
      <c r="BK1696" s="6"/>
      <c r="BL1696" s="6"/>
      <c r="BM1696" s="6"/>
      <c r="BN1696" s="6" t="e">
        <f t="shared" si="127"/>
        <v>#DIV/0!</v>
      </c>
    </row>
    <row r="1697" spans="49:66" x14ac:dyDescent="0.3">
      <c r="AW1697">
        <f t="shared" si="126"/>
        <v>0</v>
      </c>
      <c r="AX1697">
        <v>1694</v>
      </c>
      <c r="AY1697" s="4">
        <f t="shared" si="124"/>
        <v>42696</v>
      </c>
      <c r="AZ1697" s="6" t="e">
        <f t="shared" si="125"/>
        <v>#DIV/0!</v>
      </c>
      <c r="BA1697" s="4">
        <v>42696</v>
      </c>
      <c r="BB1697" s="6">
        <v>0.79198599999999997</v>
      </c>
      <c r="BC1697" s="6">
        <v>0.75180800000000003</v>
      </c>
      <c r="BD1697" s="6">
        <v>0.83686700000000003</v>
      </c>
      <c r="BE1697" s="6"/>
      <c r="BF1697" s="6"/>
      <c r="BG1697" s="6"/>
      <c r="BH1697" s="6"/>
      <c r="BI1697" s="6"/>
      <c r="BJ1697" s="6"/>
      <c r="BK1697" s="6"/>
      <c r="BL1697" s="6"/>
      <c r="BM1697" s="6"/>
      <c r="BN1697" s="6" t="e">
        <f t="shared" si="127"/>
        <v>#DIV/0!</v>
      </c>
    </row>
    <row r="1698" spans="49:66" x14ac:dyDescent="0.3">
      <c r="AW1698">
        <f t="shared" si="126"/>
        <v>0</v>
      </c>
      <c r="AX1698">
        <v>1695</v>
      </c>
      <c r="AY1698" s="4">
        <f t="shared" si="124"/>
        <v>42697</v>
      </c>
      <c r="AZ1698" s="6" t="e">
        <f t="shared" si="125"/>
        <v>#DIV/0!</v>
      </c>
      <c r="BA1698" s="4">
        <v>42697</v>
      </c>
      <c r="BB1698" s="6">
        <v>0.18352199999999999</v>
      </c>
      <c r="BC1698" s="6">
        <v>-0.45145800000000003</v>
      </c>
      <c r="BD1698" s="6">
        <v>-0.69449700000000003</v>
      </c>
      <c r="BE1698" s="6"/>
      <c r="BF1698" s="6"/>
      <c r="BG1698" s="6"/>
      <c r="BH1698" s="6"/>
      <c r="BI1698" s="6"/>
      <c r="BJ1698" s="6"/>
      <c r="BK1698" s="6"/>
      <c r="BL1698" s="6"/>
      <c r="BM1698" s="6"/>
      <c r="BN1698" s="6" t="e">
        <f t="shared" si="127"/>
        <v>#DIV/0!</v>
      </c>
    </row>
    <row r="1699" spans="49:66" x14ac:dyDescent="0.3">
      <c r="AW1699">
        <f t="shared" si="126"/>
        <v>0</v>
      </c>
      <c r="AX1699">
        <v>1696</v>
      </c>
      <c r="AY1699" s="4">
        <f t="shared" si="124"/>
        <v>42698</v>
      </c>
      <c r="AZ1699" s="6" t="e">
        <f t="shared" si="125"/>
        <v>#DIV/0!</v>
      </c>
      <c r="BA1699" s="4">
        <v>42698</v>
      </c>
      <c r="BB1699" s="6">
        <v>0.40323399999999998</v>
      </c>
      <c r="BC1699" s="6">
        <v>-0.122518</v>
      </c>
      <c r="BD1699" s="6">
        <v>-0.69111699999999998</v>
      </c>
      <c r="BE1699" s="6"/>
      <c r="BF1699" s="6"/>
      <c r="BG1699" s="6"/>
      <c r="BH1699" s="6"/>
      <c r="BI1699" s="6"/>
      <c r="BJ1699" s="6"/>
      <c r="BK1699" s="6"/>
      <c r="BL1699" s="6"/>
      <c r="BM1699" s="6"/>
      <c r="BN1699" s="6" t="e">
        <f t="shared" si="127"/>
        <v>#DIV/0!</v>
      </c>
    </row>
    <row r="1700" spans="49:66" x14ac:dyDescent="0.3">
      <c r="AW1700">
        <f t="shared" si="126"/>
        <v>0</v>
      </c>
      <c r="AX1700">
        <v>1697</v>
      </c>
      <c r="AY1700" s="4">
        <f t="shared" si="124"/>
        <v>42699</v>
      </c>
      <c r="AZ1700" s="6" t="e">
        <f t="shared" si="125"/>
        <v>#DIV/0!</v>
      </c>
      <c r="BA1700" s="4">
        <v>42699</v>
      </c>
      <c r="BB1700" s="6">
        <v>0.93323699999999998</v>
      </c>
      <c r="BC1700" s="6">
        <v>0.44947300000000001</v>
      </c>
      <c r="BD1700" s="6">
        <v>0.20017299999999999</v>
      </c>
      <c r="BE1700" s="6"/>
      <c r="BF1700" s="6"/>
      <c r="BG1700" s="6"/>
      <c r="BH1700" s="6"/>
      <c r="BI1700" s="6"/>
      <c r="BJ1700" s="6"/>
      <c r="BK1700" s="6"/>
      <c r="BL1700" s="6"/>
      <c r="BM1700" s="6"/>
      <c r="BN1700" s="6" t="e">
        <f t="shared" si="127"/>
        <v>#DIV/0!</v>
      </c>
    </row>
    <row r="1701" spans="49:66" x14ac:dyDescent="0.3">
      <c r="AW1701">
        <f t="shared" si="126"/>
        <v>0</v>
      </c>
      <c r="AX1701">
        <v>1698</v>
      </c>
      <c r="AY1701" s="4">
        <f t="shared" si="124"/>
        <v>42702</v>
      </c>
      <c r="AZ1701" s="6" t="e">
        <f t="shared" si="125"/>
        <v>#DIV/0!</v>
      </c>
      <c r="BA1701" s="4">
        <v>42702</v>
      </c>
      <c r="BB1701" s="6">
        <v>0.39139800000000002</v>
      </c>
      <c r="BC1701" s="6">
        <v>0.27034900000000001</v>
      </c>
      <c r="BD1701" s="6">
        <v>-9.9139999999999992E-3</v>
      </c>
      <c r="BE1701" s="6"/>
      <c r="BF1701" s="6"/>
      <c r="BG1701" s="6"/>
      <c r="BH1701" s="6"/>
      <c r="BI1701" s="6"/>
      <c r="BJ1701" s="6"/>
      <c r="BK1701" s="6"/>
      <c r="BL1701" s="6"/>
      <c r="BM1701" s="6"/>
      <c r="BN1701" s="6" t="e">
        <f t="shared" si="127"/>
        <v>#DIV/0!</v>
      </c>
    </row>
    <row r="1702" spans="49:66" x14ac:dyDescent="0.3">
      <c r="AW1702">
        <f t="shared" si="126"/>
        <v>0</v>
      </c>
      <c r="AX1702">
        <v>1699</v>
      </c>
      <c r="AY1702" s="4">
        <f t="shared" si="124"/>
        <v>42703</v>
      </c>
      <c r="AZ1702" s="6" t="e">
        <f t="shared" si="125"/>
        <v>#DIV/0!</v>
      </c>
      <c r="BA1702" s="4">
        <v>42703</v>
      </c>
      <c r="BB1702" s="6">
        <v>0.81920899999999996</v>
      </c>
      <c r="BC1702" s="6">
        <v>-0.749664</v>
      </c>
      <c r="BD1702" s="6">
        <v>-1.123505</v>
      </c>
      <c r="BE1702" s="6"/>
      <c r="BF1702" s="6"/>
      <c r="BG1702" s="6"/>
      <c r="BH1702" s="6"/>
      <c r="BI1702" s="6"/>
      <c r="BJ1702" s="6"/>
      <c r="BK1702" s="6"/>
      <c r="BL1702" s="6"/>
      <c r="BM1702" s="6"/>
      <c r="BN1702" s="6" t="e">
        <f t="shared" si="127"/>
        <v>#DIV/0!</v>
      </c>
    </row>
    <row r="1703" spans="49:66" x14ac:dyDescent="0.3">
      <c r="AW1703">
        <f t="shared" si="126"/>
        <v>0</v>
      </c>
      <c r="AX1703">
        <v>1700</v>
      </c>
      <c r="AY1703" s="4">
        <f t="shared" si="124"/>
        <v>42704</v>
      </c>
      <c r="AZ1703" s="6" t="e">
        <f t="shared" si="125"/>
        <v>#DIV/0!</v>
      </c>
      <c r="BA1703" s="4">
        <v>42704</v>
      </c>
      <c r="BB1703" s="6">
        <v>-0.73061500000000001</v>
      </c>
      <c r="BC1703" s="6">
        <v>-0.53191999999999995</v>
      </c>
      <c r="BD1703" s="6">
        <v>-0.181334</v>
      </c>
      <c r="BE1703" s="6"/>
      <c r="BF1703" s="6"/>
      <c r="BG1703" s="6"/>
      <c r="BH1703" s="6"/>
      <c r="BI1703" s="6"/>
      <c r="BJ1703" s="6"/>
      <c r="BK1703" s="6"/>
      <c r="BL1703" s="6"/>
      <c r="BM1703" s="6"/>
      <c r="BN1703" s="6" t="e">
        <f t="shared" si="127"/>
        <v>#DIV/0!</v>
      </c>
    </row>
    <row r="1704" spans="49:66" x14ac:dyDescent="0.3">
      <c r="AW1704">
        <f t="shared" si="126"/>
        <v>0</v>
      </c>
      <c r="AX1704">
        <v>1701</v>
      </c>
      <c r="AY1704" s="4">
        <f t="shared" si="124"/>
        <v>42705</v>
      </c>
      <c r="AZ1704" s="6" t="e">
        <f t="shared" si="125"/>
        <v>#DIV/0!</v>
      </c>
      <c r="BA1704" s="4">
        <v>42705</v>
      </c>
      <c r="BB1704" s="6">
        <v>0.76413200000000003</v>
      </c>
      <c r="BC1704" s="6">
        <v>0.59050400000000003</v>
      </c>
      <c r="BD1704" s="6">
        <v>0.45560699999999998</v>
      </c>
      <c r="BE1704" s="6"/>
      <c r="BF1704" s="6"/>
      <c r="BG1704" s="6"/>
      <c r="BH1704" s="6"/>
      <c r="BI1704" s="6"/>
      <c r="BJ1704" s="6"/>
      <c r="BK1704" s="6"/>
      <c r="BL1704" s="6"/>
      <c r="BM1704" s="6"/>
      <c r="BN1704" s="6" t="e">
        <f t="shared" si="127"/>
        <v>#DIV/0!</v>
      </c>
    </row>
    <row r="1705" spans="49:66" x14ac:dyDescent="0.3">
      <c r="AW1705">
        <f t="shared" si="126"/>
        <v>0</v>
      </c>
      <c r="AX1705">
        <v>1702</v>
      </c>
      <c r="AY1705" s="4">
        <f t="shared" si="124"/>
        <v>42706</v>
      </c>
      <c r="AZ1705" s="6" t="e">
        <f t="shared" si="125"/>
        <v>#DIV/0!</v>
      </c>
      <c r="BA1705" s="4">
        <v>42706</v>
      </c>
      <c r="BB1705" s="6">
        <v>-1.0120880000000001</v>
      </c>
      <c r="BC1705" s="6">
        <v>-1.562257</v>
      </c>
      <c r="BD1705" s="6">
        <v>-1.717883</v>
      </c>
      <c r="BE1705" s="6"/>
      <c r="BF1705" s="6"/>
      <c r="BG1705" s="6"/>
      <c r="BH1705" s="6"/>
      <c r="BI1705" s="6"/>
      <c r="BJ1705" s="6"/>
      <c r="BK1705" s="6"/>
      <c r="BL1705" s="6"/>
      <c r="BM1705" s="6"/>
      <c r="BN1705" s="6" t="e">
        <f t="shared" si="127"/>
        <v>#DIV/0!</v>
      </c>
    </row>
    <row r="1706" spans="49:66" x14ac:dyDescent="0.3">
      <c r="AW1706">
        <f t="shared" si="126"/>
        <v>0</v>
      </c>
      <c r="AX1706">
        <v>1703</v>
      </c>
      <c r="AY1706" s="4">
        <f t="shared" si="124"/>
        <v>42709</v>
      </c>
      <c r="AZ1706" s="6" t="e">
        <f t="shared" si="125"/>
        <v>#DIV/0!</v>
      </c>
      <c r="BA1706" s="4">
        <v>42709</v>
      </c>
      <c r="BB1706" s="6">
        <v>-1.687395</v>
      </c>
      <c r="BC1706" s="6">
        <v>-0.53607300000000002</v>
      </c>
      <c r="BD1706" s="6">
        <v>-0.54939099999999996</v>
      </c>
      <c r="BE1706" s="6"/>
      <c r="BF1706" s="6"/>
      <c r="BG1706" s="6"/>
      <c r="BH1706" s="6"/>
      <c r="BI1706" s="6"/>
      <c r="BJ1706" s="6"/>
      <c r="BK1706" s="6"/>
      <c r="BL1706" s="6"/>
      <c r="BM1706" s="6"/>
      <c r="BN1706" s="6" t="e">
        <f t="shared" si="127"/>
        <v>#DIV/0!</v>
      </c>
    </row>
    <row r="1707" spans="49:66" x14ac:dyDescent="0.3">
      <c r="AW1707">
        <f t="shared" si="126"/>
        <v>0</v>
      </c>
      <c r="AX1707">
        <v>1704</v>
      </c>
      <c r="AY1707" s="4">
        <f t="shared" si="124"/>
        <v>42710</v>
      </c>
      <c r="AZ1707" s="6" t="e">
        <f t="shared" si="125"/>
        <v>#DIV/0!</v>
      </c>
      <c r="BA1707" s="4">
        <v>42710</v>
      </c>
      <c r="BB1707" s="6">
        <v>-0.29555500000000001</v>
      </c>
      <c r="BC1707" s="6">
        <v>7.5121999999999994E-2</v>
      </c>
      <c r="BD1707" s="6">
        <v>0.228351</v>
      </c>
      <c r="BE1707" s="6"/>
      <c r="BF1707" s="6"/>
      <c r="BG1707" s="6"/>
      <c r="BH1707" s="6"/>
      <c r="BI1707" s="6"/>
      <c r="BJ1707" s="6"/>
      <c r="BK1707" s="6"/>
      <c r="BL1707" s="6"/>
      <c r="BM1707" s="6"/>
      <c r="BN1707" s="6" t="e">
        <f t="shared" si="127"/>
        <v>#DIV/0!</v>
      </c>
    </row>
    <row r="1708" spans="49:66" x14ac:dyDescent="0.3">
      <c r="AW1708">
        <f t="shared" si="126"/>
        <v>0</v>
      </c>
      <c r="AX1708">
        <v>1705</v>
      </c>
      <c r="AY1708" s="4">
        <f t="shared" si="124"/>
        <v>42711</v>
      </c>
      <c r="AZ1708" s="6" t="e">
        <f t="shared" si="125"/>
        <v>#DIV/0!</v>
      </c>
      <c r="BA1708" s="4">
        <v>42711</v>
      </c>
      <c r="BB1708" s="6">
        <v>0.479713</v>
      </c>
      <c r="BC1708" s="6">
        <v>1.0342960000000001</v>
      </c>
      <c r="BD1708" s="6">
        <v>1.097947</v>
      </c>
      <c r="BE1708" s="6"/>
      <c r="BF1708" s="6"/>
      <c r="BG1708" s="6"/>
      <c r="BH1708" s="6"/>
      <c r="BI1708" s="6"/>
      <c r="BJ1708" s="6"/>
      <c r="BK1708" s="6"/>
      <c r="BL1708" s="6"/>
      <c r="BM1708" s="6"/>
      <c r="BN1708" s="6" t="e">
        <f t="shared" si="127"/>
        <v>#DIV/0!</v>
      </c>
    </row>
    <row r="1709" spans="49:66" x14ac:dyDescent="0.3">
      <c r="AW1709">
        <f t="shared" si="126"/>
        <v>0</v>
      </c>
      <c r="AX1709">
        <v>1706</v>
      </c>
      <c r="AY1709" s="4">
        <f t="shared" si="124"/>
        <v>42712</v>
      </c>
      <c r="AZ1709" s="6" t="e">
        <f t="shared" si="125"/>
        <v>#DIV/0!</v>
      </c>
      <c r="BA1709" s="4">
        <v>42712</v>
      </c>
      <c r="BB1709" s="6">
        <v>-0.16125200000000001</v>
      </c>
      <c r="BC1709" s="6">
        <v>-0.46646500000000002</v>
      </c>
      <c r="BD1709" s="6">
        <v>-0.60901700000000003</v>
      </c>
      <c r="BE1709" s="6"/>
      <c r="BF1709" s="6"/>
      <c r="BG1709" s="6"/>
      <c r="BH1709" s="6"/>
      <c r="BI1709" s="6"/>
      <c r="BJ1709" s="6"/>
      <c r="BK1709" s="6"/>
      <c r="BL1709" s="6"/>
      <c r="BM1709" s="6"/>
      <c r="BN1709" s="6" t="e">
        <f t="shared" si="127"/>
        <v>#DIV/0!</v>
      </c>
    </row>
    <row r="1710" spans="49:66" x14ac:dyDescent="0.3">
      <c r="AW1710">
        <f t="shared" si="126"/>
        <v>0</v>
      </c>
      <c r="AX1710">
        <v>1707</v>
      </c>
      <c r="AY1710" s="4">
        <f t="shared" si="124"/>
        <v>42713</v>
      </c>
      <c r="AZ1710" s="6" t="e">
        <f t="shared" si="125"/>
        <v>#DIV/0!</v>
      </c>
      <c r="BA1710" s="4">
        <v>42713</v>
      </c>
      <c r="BB1710" s="6">
        <v>0.678871</v>
      </c>
      <c r="BC1710" s="6">
        <v>-0.20710000000000001</v>
      </c>
      <c r="BD1710" s="6">
        <v>-0.372081</v>
      </c>
      <c r="BE1710" s="6"/>
      <c r="BF1710" s="6"/>
      <c r="BG1710" s="6"/>
      <c r="BH1710" s="6"/>
      <c r="BI1710" s="6"/>
      <c r="BJ1710" s="6"/>
      <c r="BK1710" s="6"/>
      <c r="BL1710" s="6"/>
      <c r="BM1710" s="6"/>
      <c r="BN1710" s="6" t="e">
        <f t="shared" si="127"/>
        <v>#DIV/0!</v>
      </c>
    </row>
    <row r="1711" spans="49:66" x14ac:dyDescent="0.3">
      <c r="AW1711">
        <f t="shared" si="126"/>
        <v>0</v>
      </c>
      <c r="AX1711">
        <v>1708</v>
      </c>
      <c r="AY1711" s="4">
        <f t="shared" si="124"/>
        <v>42716</v>
      </c>
      <c r="AZ1711" s="6" t="e">
        <f t="shared" si="125"/>
        <v>#DIV/0!</v>
      </c>
      <c r="BA1711" s="4">
        <v>42716</v>
      </c>
      <c r="BB1711" s="6">
        <v>-2.4192399999999998</v>
      </c>
      <c r="BC1711" s="6">
        <v>-4.0657129999999997</v>
      </c>
      <c r="BD1711" s="6">
        <v>-5.4480409999999999</v>
      </c>
      <c r="BE1711" s="6"/>
      <c r="BF1711" s="6"/>
      <c r="BG1711" s="6"/>
      <c r="BH1711" s="6"/>
      <c r="BI1711" s="6"/>
      <c r="BJ1711" s="6"/>
      <c r="BK1711" s="6"/>
      <c r="BL1711" s="6"/>
      <c r="BM1711" s="6"/>
      <c r="BN1711" s="6" t="e">
        <f t="shared" si="127"/>
        <v>#DIV/0!</v>
      </c>
    </row>
    <row r="1712" spans="49:66" x14ac:dyDescent="0.3">
      <c r="AW1712">
        <f t="shared" si="126"/>
        <v>0</v>
      </c>
      <c r="AX1712">
        <v>1709</v>
      </c>
      <c r="AY1712" s="4">
        <f t="shared" si="124"/>
        <v>42717</v>
      </c>
      <c r="AZ1712" s="6" t="e">
        <f t="shared" si="125"/>
        <v>#DIV/0!</v>
      </c>
      <c r="BA1712" s="4">
        <v>42717</v>
      </c>
      <c r="BB1712" s="6">
        <v>-0.12155100000000001</v>
      </c>
      <c r="BC1712" s="6">
        <v>0.46568300000000001</v>
      </c>
      <c r="BD1712" s="6">
        <v>0.42993500000000001</v>
      </c>
      <c r="BE1712" s="6"/>
      <c r="BF1712" s="6"/>
      <c r="BG1712" s="6"/>
      <c r="BH1712" s="6"/>
      <c r="BI1712" s="6"/>
      <c r="BJ1712" s="6"/>
      <c r="BK1712" s="6"/>
      <c r="BL1712" s="6"/>
      <c r="BM1712" s="6"/>
      <c r="BN1712" s="6" t="e">
        <f t="shared" si="127"/>
        <v>#DIV/0!</v>
      </c>
    </row>
    <row r="1713" spans="49:66" x14ac:dyDescent="0.3">
      <c r="AW1713">
        <f t="shared" si="126"/>
        <v>0</v>
      </c>
      <c r="AX1713">
        <v>1710</v>
      </c>
      <c r="AY1713" s="4">
        <f t="shared" si="124"/>
        <v>42718</v>
      </c>
      <c r="AZ1713" s="6" t="e">
        <f t="shared" si="125"/>
        <v>#DIV/0!</v>
      </c>
      <c r="BA1713" s="4">
        <v>42718</v>
      </c>
      <c r="BB1713" s="6">
        <v>-0.76622400000000002</v>
      </c>
      <c r="BC1713" s="6">
        <v>-0.61610900000000002</v>
      </c>
      <c r="BD1713" s="6">
        <v>-0.65845299999999995</v>
      </c>
      <c r="BE1713" s="6"/>
      <c r="BF1713" s="6"/>
      <c r="BG1713" s="6"/>
      <c r="BH1713" s="6"/>
      <c r="BI1713" s="6"/>
      <c r="BJ1713" s="6"/>
      <c r="BK1713" s="6"/>
      <c r="BL1713" s="6"/>
      <c r="BM1713" s="6"/>
      <c r="BN1713" s="6" t="e">
        <f t="shared" si="127"/>
        <v>#DIV/0!</v>
      </c>
    </row>
    <row r="1714" spans="49:66" x14ac:dyDescent="0.3">
      <c r="AW1714">
        <f t="shared" si="126"/>
        <v>0</v>
      </c>
      <c r="AX1714">
        <v>1711</v>
      </c>
      <c r="AY1714" s="4">
        <f t="shared" si="124"/>
        <v>42719</v>
      </c>
      <c r="AZ1714" s="6" t="e">
        <f t="shared" si="125"/>
        <v>#DIV/0!</v>
      </c>
      <c r="BA1714" s="4">
        <v>42719</v>
      </c>
      <c r="BB1714" s="6">
        <v>-1.1397489999999999</v>
      </c>
      <c r="BC1714" s="6">
        <v>0.65548899999999999</v>
      </c>
      <c r="BD1714" s="6">
        <v>1.0700799999999999</v>
      </c>
      <c r="BE1714" s="6"/>
      <c r="BF1714" s="6"/>
      <c r="BG1714" s="6"/>
      <c r="BH1714" s="6"/>
      <c r="BI1714" s="6"/>
      <c r="BJ1714" s="6"/>
      <c r="BK1714" s="6"/>
      <c r="BL1714" s="6"/>
      <c r="BM1714" s="6"/>
      <c r="BN1714" s="6" t="e">
        <f t="shared" si="127"/>
        <v>#DIV/0!</v>
      </c>
    </row>
    <row r="1715" spans="49:66" x14ac:dyDescent="0.3">
      <c r="AW1715">
        <f t="shared" si="126"/>
        <v>0</v>
      </c>
      <c r="AX1715">
        <v>1712</v>
      </c>
      <c r="AY1715" s="4">
        <f t="shared" si="124"/>
        <v>42720</v>
      </c>
      <c r="AZ1715" s="6" t="e">
        <f t="shared" si="125"/>
        <v>#DIV/0!</v>
      </c>
      <c r="BA1715" s="4">
        <v>42720</v>
      </c>
      <c r="BB1715" s="6">
        <v>0.167544</v>
      </c>
      <c r="BC1715" s="6">
        <v>0.60706000000000004</v>
      </c>
      <c r="BD1715" s="6">
        <v>1.0898159999999999</v>
      </c>
      <c r="BE1715" s="6"/>
      <c r="BF1715" s="6"/>
      <c r="BG1715" s="6"/>
      <c r="BH1715" s="6"/>
      <c r="BI1715" s="6"/>
      <c r="BJ1715" s="6"/>
      <c r="BK1715" s="6"/>
      <c r="BL1715" s="6"/>
      <c r="BM1715" s="6"/>
      <c r="BN1715" s="6" t="e">
        <f t="shared" si="127"/>
        <v>#DIV/0!</v>
      </c>
    </row>
    <row r="1716" spans="49:66" x14ac:dyDescent="0.3">
      <c r="AW1716">
        <f t="shared" si="126"/>
        <v>0</v>
      </c>
      <c r="AX1716">
        <v>1713</v>
      </c>
      <c r="AY1716" s="4">
        <f t="shared" si="124"/>
        <v>42723</v>
      </c>
      <c r="AZ1716" s="6" t="e">
        <f t="shared" si="125"/>
        <v>#DIV/0!</v>
      </c>
      <c r="BA1716" s="4">
        <v>42723</v>
      </c>
      <c r="BB1716" s="6">
        <v>-0.50949299999999997</v>
      </c>
      <c r="BC1716" s="6">
        <v>3.4952999999999998E-2</v>
      </c>
      <c r="BD1716" s="6">
        <v>-0.10122299999999999</v>
      </c>
      <c r="BE1716" s="6"/>
      <c r="BF1716" s="6"/>
      <c r="BG1716" s="6"/>
      <c r="BH1716" s="6"/>
      <c r="BI1716" s="6"/>
      <c r="BJ1716" s="6"/>
      <c r="BK1716" s="6"/>
      <c r="BL1716" s="6"/>
      <c r="BM1716" s="6"/>
      <c r="BN1716" s="6" t="e">
        <f t="shared" si="127"/>
        <v>#DIV/0!</v>
      </c>
    </row>
    <row r="1717" spans="49:66" x14ac:dyDescent="0.3">
      <c r="AW1717">
        <f t="shared" si="126"/>
        <v>0</v>
      </c>
      <c r="AX1717">
        <v>1714</v>
      </c>
      <c r="AY1717" s="4">
        <f t="shared" si="124"/>
        <v>42724</v>
      </c>
      <c r="AZ1717" s="6" t="e">
        <f t="shared" si="125"/>
        <v>#DIV/0!</v>
      </c>
      <c r="BA1717" s="4">
        <v>42724</v>
      </c>
      <c r="BB1717" s="6">
        <v>-0.59833899999999995</v>
      </c>
      <c r="BC1717" s="6">
        <v>-0.31790800000000002</v>
      </c>
      <c r="BD1717" s="6">
        <v>-6.0047999999999997E-2</v>
      </c>
      <c r="BE1717" s="6"/>
      <c r="BF1717" s="6"/>
      <c r="BG1717" s="6"/>
      <c r="BH1717" s="6"/>
      <c r="BI1717" s="6"/>
      <c r="BJ1717" s="6"/>
      <c r="BK1717" s="6"/>
      <c r="BL1717" s="6"/>
      <c r="BM1717" s="6"/>
      <c r="BN1717" s="6" t="e">
        <f t="shared" si="127"/>
        <v>#DIV/0!</v>
      </c>
    </row>
    <row r="1718" spans="49:66" x14ac:dyDescent="0.3">
      <c r="AW1718">
        <f t="shared" si="126"/>
        <v>0</v>
      </c>
      <c r="AX1718">
        <v>1715</v>
      </c>
      <c r="AY1718" s="4">
        <f t="shared" si="124"/>
        <v>42725</v>
      </c>
      <c r="AZ1718" s="6" t="e">
        <f t="shared" si="125"/>
        <v>#DIV/0!</v>
      </c>
      <c r="BA1718" s="4">
        <v>42725</v>
      </c>
      <c r="BB1718" s="6">
        <v>0.89064200000000004</v>
      </c>
      <c r="BC1718" s="6">
        <v>0.74543999999999999</v>
      </c>
      <c r="BD1718" s="6">
        <v>0.73967799999999995</v>
      </c>
      <c r="BE1718" s="6"/>
      <c r="BF1718" s="6"/>
      <c r="BG1718" s="6"/>
      <c r="BH1718" s="6"/>
      <c r="BI1718" s="6"/>
      <c r="BJ1718" s="6"/>
      <c r="BK1718" s="6"/>
      <c r="BL1718" s="6"/>
      <c r="BM1718" s="6"/>
      <c r="BN1718" s="6" t="e">
        <f t="shared" si="127"/>
        <v>#DIV/0!</v>
      </c>
    </row>
    <row r="1719" spans="49:66" x14ac:dyDescent="0.3">
      <c r="AW1719">
        <f t="shared" si="126"/>
        <v>0</v>
      </c>
      <c r="AX1719">
        <v>1716</v>
      </c>
      <c r="AY1719" s="4">
        <f t="shared" si="124"/>
        <v>42726</v>
      </c>
      <c r="AZ1719" s="6" t="e">
        <f t="shared" si="125"/>
        <v>#DIV/0!</v>
      </c>
      <c r="BA1719" s="4">
        <v>42726</v>
      </c>
      <c r="BB1719" s="6">
        <v>-8.5786000000000001E-2</v>
      </c>
      <c r="BC1719" s="6">
        <v>-9.1655E-2</v>
      </c>
      <c r="BD1719" s="6">
        <v>-1.6957E-2</v>
      </c>
      <c r="BE1719" s="6"/>
      <c r="BF1719" s="6"/>
      <c r="BG1719" s="6"/>
      <c r="BH1719" s="6"/>
      <c r="BI1719" s="6"/>
      <c r="BJ1719" s="6"/>
      <c r="BK1719" s="6"/>
      <c r="BL1719" s="6"/>
      <c r="BM1719" s="6"/>
      <c r="BN1719" s="6" t="e">
        <f t="shared" si="127"/>
        <v>#DIV/0!</v>
      </c>
    </row>
    <row r="1720" spans="49:66" x14ac:dyDescent="0.3">
      <c r="AW1720">
        <f t="shared" si="126"/>
        <v>0</v>
      </c>
      <c r="AX1720">
        <v>1717</v>
      </c>
      <c r="AY1720" s="4">
        <f t="shared" si="124"/>
        <v>42727</v>
      </c>
      <c r="AZ1720" s="6" t="e">
        <f t="shared" si="125"/>
        <v>#DIV/0!</v>
      </c>
      <c r="BA1720" s="4">
        <v>42727</v>
      </c>
      <c r="BB1720" s="6">
        <v>-0.84159700000000004</v>
      </c>
      <c r="BC1720" s="6">
        <v>-0.94281499999999996</v>
      </c>
      <c r="BD1720" s="6">
        <v>-1.1452709999999999</v>
      </c>
      <c r="BE1720" s="6"/>
      <c r="BF1720" s="6"/>
      <c r="BG1720" s="6"/>
      <c r="BH1720" s="6"/>
      <c r="BI1720" s="6"/>
      <c r="BJ1720" s="6"/>
      <c r="BK1720" s="6"/>
      <c r="BL1720" s="6"/>
      <c r="BM1720" s="6"/>
      <c r="BN1720" s="6" t="e">
        <f t="shared" si="127"/>
        <v>#DIV/0!</v>
      </c>
    </row>
    <row r="1721" spans="49:66" x14ac:dyDescent="0.3">
      <c r="AW1721">
        <f t="shared" si="126"/>
        <v>0</v>
      </c>
      <c r="AX1721">
        <v>1718</v>
      </c>
      <c r="AY1721" s="4">
        <f t="shared" si="124"/>
        <v>42730</v>
      </c>
      <c r="AZ1721" s="6" t="e">
        <f t="shared" si="125"/>
        <v>#DIV/0!</v>
      </c>
      <c r="BA1721" s="4">
        <v>42730</v>
      </c>
      <c r="BB1721" s="6">
        <v>0.44750000000000001</v>
      </c>
      <c r="BC1721" s="6">
        <v>0.20308799999999999</v>
      </c>
      <c r="BD1721" s="6">
        <v>0.443467</v>
      </c>
      <c r="BE1721" s="6"/>
      <c r="BF1721" s="6"/>
      <c r="BG1721" s="6"/>
      <c r="BH1721" s="6"/>
      <c r="BI1721" s="6"/>
      <c r="BJ1721" s="6"/>
      <c r="BK1721" s="6"/>
      <c r="BL1721" s="6"/>
      <c r="BM1721" s="6"/>
      <c r="BN1721" s="6" t="e">
        <f t="shared" si="127"/>
        <v>#DIV/0!</v>
      </c>
    </row>
    <row r="1722" spans="49:66" x14ac:dyDescent="0.3">
      <c r="AW1722">
        <f t="shared" si="126"/>
        <v>0</v>
      </c>
      <c r="AX1722">
        <v>1719</v>
      </c>
      <c r="AY1722" s="4">
        <f t="shared" si="124"/>
        <v>42731</v>
      </c>
      <c r="AZ1722" s="6" t="e">
        <f t="shared" si="125"/>
        <v>#DIV/0!</v>
      </c>
      <c r="BA1722" s="4">
        <v>42731</v>
      </c>
      <c r="BB1722" s="6">
        <v>-0.18105599999999999</v>
      </c>
      <c r="BC1722" s="6">
        <v>-9.3653E-2</v>
      </c>
      <c r="BD1722" s="6">
        <v>0.104046</v>
      </c>
      <c r="BE1722" s="6"/>
      <c r="BF1722" s="6"/>
      <c r="BG1722" s="6"/>
      <c r="BH1722" s="6"/>
      <c r="BI1722" s="6"/>
      <c r="BJ1722" s="6"/>
      <c r="BK1722" s="6"/>
      <c r="BL1722" s="6"/>
      <c r="BM1722" s="6"/>
      <c r="BN1722" s="6" t="e">
        <f t="shared" si="127"/>
        <v>#DIV/0!</v>
      </c>
    </row>
    <row r="1723" spans="49:66" x14ac:dyDescent="0.3">
      <c r="AW1723">
        <f t="shared" si="126"/>
        <v>0</v>
      </c>
      <c r="AX1723">
        <v>1720</v>
      </c>
      <c r="AY1723" s="4">
        <f t="shared" si="124"/>
        <v>42732</v>
      </c>
      <c r="AZ1723" s="6" t="e">
        <f t="shared" si="125"/>
        <v>#DIV/0!</v>
      </c>
      <c r="BA1723" s="4">
        <v>42732</v>
      </c>
      <c r="BB1723" s="6">
        <v>-0.43711699999999998</v>
      </c>
      <c r="BC1723" s="6">
        <v>-0.29607800000000001</v>
      </c>
      <c r="BD1723" s="6">
        <v>-0.40456999999999999</v>
      </c>
      <c r="BE1723" s="6"/>
      <c r="BF1723" s="6"/>
      <c r="BG1723" s="6"/>
      <c r="BH1723" s="6"/>
      <c r="BI1723" s="6"/>
      <c r="BJ1723" s="6"/>
      <c r="BK1723" s="6"/>
      <c r="BL1723" s="6"/>
      <c r="BM1723" s="6"/>
      <c r="BN1723" s="6" t="e">
        <f t="shared" si="127"/>
        <v>#DIV/0!</v>
      </c>
    </row>
    <row r="1724" spans="49:66" x14ac:dyDescent="0.3">
      <c r="AW1724">
        <f t="shared" si="126"/>
        <v>0</v>
      </c>
      <c r="AX1724">
        <v>1721</v>
      </c>
      <c r="AY1724" s="4">
        <f t="shared" si="124"/>
        <v>42733</v>
      </c>
      <c r="AZ1724" s="6" t="e">
        <f t="shared" si="125"/>
        <v>#DIV/0!</v>
      </c>
      <c r="BA1724" s="4">
        <v>42733</v>
      </c>
      <c r="BB1724" s="6">
        <v>-0.12489500000000001</v>
      </c>
      <c r="BC1724" s="6">
        <v>-0.28120000000000001</v>
      </c>
      <c r="BD1724" s="6">
        <v>-0.38817600000000002</v>
      </c>
      <c r="BE1724" s="6"/>
      <c r="BF1724" s="6"/>
      <c r="BG1724" s="6"/>
      <c r="BH1724" s="6"/>
      <c r="BI1724" s="6"/>
      <c r="BJ1724" s="6"/>
      <c r="BK1724" s="6"/>
      <c r="BL1724" s="6"/>
      <c r="BM1724" s="6"/>
      <c r="BN1724" s="6" t="e">
        <f t="shared" si="127"/>
        <v>#DIV/0!</v>
      </c>
    </row>
    <row r="1725" spans="49:66" x14ac:dyDescent="0.3">
      <c r="AW1725">
        <f t="shared" si="126"/>
        <v>0</v>
      </c>
      <c r="AX1725">
        <v>1722</v>
      </c>
      <c r="AY1725" s="4">
        <f t="shared" si="124"/>
        <v>42734</v>
      </c>
      <c r="AZ1725" s="6" t="e">
        <f t="shared" si="125"/>
        <v>#DIV/0!</v>
      </c>
      <c r="BA1725" s="4">
        <v>42734</v>
      </c>
      <c r="BB1725" s="6">
        <v>0.37346499999999999</v>
      </c>
      <c r="BC1725" s="6">
        <v>0.17621400000000001</v>
      </c>
      <c r="BD1725" s="6">
        <v>3.0204999999999999E-2</v>
      </c>
      <c r="BE1725" s="6"/>
      <c r="BF1725" s="6"/>
      <c r="BG1725" s="6"/>
      <c r="BH1725" s="6"/>
      <c r="BI1725" s="6"/>
      <c r="BJ1725" s="6"/>
      <c r="BK1725" s="6"/>
      <c r="BL1725" s="6"/>
      <c r="BM1725" s="6"/>
      <c r="BN1725" s="6" t="e">
        <f t="shared" si="127"/>
        <v>#DIV/0!</v>
      </c>
    </row>
    <row r="1726" spans="49:66" x14ac:dyDescent="0.3">
      <c r="AW1726">
        <f t="shared" si="126"/>
        <v>0</v>
      </c>
      <c r="AX1726">
        <v>1723</v>
      </c>
      <c r="AY1726" s="4">
        <f t="shared" si="124"/>
        <v>42738</v>
      </c>
      <c r="AZ1726" s="6" t="e">
        <f t="shared" si="125"/>
        <v>#DIV/0!</v>
      </c>
      <c r="BA1726" s="4">
        <v>42738</v>
      </c>
      <c r="BB1726" s="6">
        <v>0.971167</v>
      </c>
      <c r="BC1726" s="6">
        <v>0.91220299999999999</v>
      </c>
      <c r="BD1726" s="6">
        <v>0.87476600000000004</v>
      </c>
      <c r="BE1726" s="6"/>
      <c r="BF1726" s="6"/>
      <c r="BG1726" s="6"/>
      <c r="BH1726" s="6"/>
      <c r="BI1726" s="6"/>
      <c r="BJ1726" s="6"/>
      <c r="BK1726" s="6"/>
      <c r="BL1726" s="6"/>
      <c r="BM1726" s="6"/>
      <c r="BN1726" s="6" t="e">
        <f t="shared" si="127"/>
        <v>#DIV/0!</v>
      </c>
    </row>
    <row r="1727" spans="49:66" x14ac:dyDescent="0.3">
      <c r="AW1727">
        <f t="shared" si="126"/>
        <v>0</v>
      </c>
      <c r="AX1727">
        <v>1724</v>
      </c>
      <c r="AY1727" s="4">
        <f t="shared" si="124"/>
        <v>42739</v>
      </c>
      <c r="AZ1727" s="6" t="e">
        <f t="shared" si="125"/>
        <v>#DIV/0!</v>
      </c>
      <c r="BA1727" s="4">
        <v>42739</v>
      </c>
      <c r="BB1727" s="6">
        <v>0.78045299999999995</v>
      </c>
      <c r="BC1727" s="6">
        <v>1.16927</v>
      </c>
      <c r="BD1727" s="6">
        <v>1.2237150000000001</v>
      </c>
      <c r="BE1727" s="6"/>
      <c r="BF1727" s="6"/>
      <c r="BG1727" s="6"/>
      <c r="BH1727" s="6"/>
      <c r="BI1727" s="6"/>
      <c r="BJ1727" s="6"/>
      <c r="BK1727" s="6"/>
      <c r="BL1727" s="6"/>
      <c r="BM1727" s="6"/>
      <c r="BN1727" s="6" t="e">
        <f t="shared" si="127"/>
        <v>#DIV/0!</v>
      </c>
    </row>
    <row r="1728" spans="49:66" x14ac:dyDescent="0.3">
      <c r="AW1728">
        <f t="shared" si="126"/>
        <v>0</v>
      </c>
      <c r="AX1728">
        <v>1725</v>
      </c>
      <c r="AY1728" s="4">
        <f t="shared" si="124"/>
        <v>42740</v>
      </c>
      <c r="AZ1728" s="6" t="e">
        <f t="shared" si="125"/>
        <v>#DIV/0!</v>
      </c>
      <c r="BA1728" s="4">
        <v>42740</v>
      </c>
      <c r="BB1728" s="6">
        <v>-1.5512E-2</v>
      </c>
      <c r="BC1728" s="6">
        <v>7.2165000000000007E-2</v>
      </c>
      <c r="BD1728" s="6">
        <v>9.3659999999999993E-3</v>
      </c>
      <c r="BE1728" s="6"/>
      <c r="BF1728" s="6"/>
      <c r="BG1728" s="6"/>
      <c r="BH1728" s="6"/>
      <c r="BI1728" s="6"/>
      <c r="BJ1728" s="6"/>
      <c r="BK1728" s="6"/>
      <c r="BL1728" s="6"/>
      <c r="BM1728" s="6"/>
      <c r="BN1728" s="6" t="e">
        <f t="shared" si="127"/>
        <v>#DIV/0!</v>
      </c>
    </row>
    <row r="1729" spans="49:66" x14ac:dyDescent="0.3">
      <c r="AW1729">
        <f t="shared" si="126"/>
        <v>0</v>
      </c>
      <c r="AX1729">
        <v>1726</v>
      </c>
      <c r="AY1729" s="4">
        <f t="shared" si="124"/>
        <v>42741</v>
      </c>
      <c r="AZ1729" s="6" t="e">
        <f t="shared" si="125"/>
        <v>#DIV/0!</v>
      </c>
      <c r="BA1729" s="4">
        <v>42741</v>
      </c>
      <c r="BB1729" s="6">
        <v>-0.59750499999999995</v>
      </c>
      <c r="BC1729" s="6">
        <v>-0.43235000000000001</v>
      </c>
      <c r="BD1729" s="6">
        <v>-0.70193000000000005</v>
      </c>
      <c r="BE1729" s="6"/>
      <c r="BF1729" s="6"/>
      <c r="BG1729" s="6"/>
      <c r="BH1729" s="6"/>
      <c r="BI1729" s="6"/>
      <c r="BJ1729" s="6"/>
      <c r="BK1729" s="6"/>
      <c r="BL1729" s="6"/>
      <c r="BM1729" s="6"/>
      <c r="BN1729" s="6" t="e">
        <f t="shared" si="127"/>
        <v>#DIV/0!</v>
      </c>
    </row>
    <row r="1730" spans="49:66" x14ac:dyDescent="0.3">
      <c r="AW1730">
        <f t="shared" si="126"/>
        <v>0</v>
      </c>
      <c r="AX1730">
        <v>1727</v>
      </c>
      <c r="AY1730" s="4">
        <f t="shared" si="124"/>
        <v>42744</v>
      </c>
      <c r="AZ1730" s="6" t="e">
        <f t="shared" si="125"/>
        <v>#DIV/0!</v>
      </c>
      <c r="BA1730" s="4">
        <v>42744</v>
      </c>
      <c r="BB1730" s="6">
        <v>0.484962</v>
      </c>
      <c r="BC1730" s="6">
        <v>0.68743600000000005</v>
      </c>
      <c r="BD1730" s="6">
        <v>0.51043899999999998</v>
      </c>
      <c r="BE1730" s="6"/>
      <c r="BF1730" s="6"/>
      <c r="BG1730" s="6"/>
      <c r="BH1730" s="6"/>
      <c r="BI1730" s="6"/>
      <c r="BJ1730" s="6"/>
      <c r="BK1730" s="6"/>
      <c r="BL1730" s="6"/>
      <c r="BM1730" s="6"/>
      <c r="BN1730" s="6" t="e">
        <f t="shared" si="127"/>
        <v>#DIV/0!</v>
      </c>
    </row>
    <row r="1731" spans="49:66" x14ac:dyDescent="0.3">
      <c r="AW1731">
        <f t="shared" si="126"/>
        <v>0</v>
      </c>
      <c r="AX1731">
        <v>1728</v>
      </c>
      <c r="AY1731" s="4">
        <f t="shared" si="124"/>
        <v>42745</v>
      </c>
      <c r="AZ1731" s="6" t="e">
        <f t="shared" si="125"/>
        <v>#DIV/0!</v>
      </c>
      <c r="BA1731" s="4">
        <v>42745</v>
      </c>
      <c r="BB1731" s="6">
        <v>-0.16735900000000001</v>
      </c>
      <c r="BC1731" s="6">
        <v>-0.33496300000000001</v>
      </c>
      <c r="BD1731" s="6">
        <v>-0.51183599999999996</v>
      </c>
      <c r="BE1731" s="6"/>
      <c r="BF1731" s="6"/>
      <c r="BG1731" s="6"/>
      <c r="BH1731" s="6"/>
      <c r="BI1731" s="6"/>
      <c r="BJ1731" s="6"/>
      <c r="BK1731" s="6"/>
      <c r="BL1731" s="6"/>
      <c r="BM1731" s="6"/>
      <c r="BN1731" s="6" t="e">
        <f t="shared" si="127"/>
        <v>#DIV/0!</v>
      </c>
    </row>
    <row r="1732" spans="49:66" x14ac:dyDescent="0.3">
      <c r="AW1732">
        <f t="shared" si="126"/>
        <v>0</v>
      </c>
      <c r="AX1732">
        <v>1729</v>
      </c>
      <c r="AY1732" s="4">
        <f t="shared" si="124"/>
        <v>42746</v>
      </c>
      <c r="AZ1732" s="6" t="e">
        <f t="shared" si="125"/>
        <v>#DIV/0!</v>
      </c>
      <c r="BA1732" s="4">
        <v>42746</v>
      </c>
      <c r="BB1732" s="6">
        <v>-0.70798899999999998</v>
      </c>
      <c r="BC1732" s="6">
        <v>-0.96911499999999995</v>
      </c>
      <c r="BD1732" s="6">
        <v>-1.0419620000000001</v>
      </c>
      <c r="BE1732" s="6"/>
      <c r="BF1732" s="6"/>
      <c r="BG1732" s="6"/>
      <c r="BH1732" s="6"/>
      <c r="BI1732" s="6"/>
      <c r="BJ1732" s="6"/>
      <c r="BK1732" s="6"/>
      <c r="BL1732" s="6"/>
      <c r="BM1732" s="6"/>
      <c r="BN1732" s="6" t="e">
        <f t="shared" si="127"/>
        <v>#DIV/0!</v>
      </c>
    </row>
    <row r="1733" spans="49:66" x14ac:dyDescent="0.3">
      <c r="AW1733">
        <f t="shared" si="126"/>
        <v>0</v>
      </c>
      <c r="AX1733">
        <v>1730</v>
      </c>
      <c r="AY1733" s="4">
        <f t="shared" ref="AY1733:AY1796" si="128">BA1733</f>
        <v>42747</v>
      </c>
      <c r="AZ1733" s="6" t="e">
        <f t="shared" ref="AZ1733:AZ1796" si="129">BN1733</f>
        <v>#DIV/0!</v>
      </c>
      <c r="BA1733" s="4">
        <v>42747</v>
      </c>
      <c r="BB1733" s="6">
        <v>-0.50596300000000005</v>
      </c>
      <c r="BC1733" s="6">
        <v>-0.933562</v>
      </c>
      <c r="BD1733" s="6">
        <v>-0.898891</v>
      </c>
      <c r="BE1733" s="6"/>
      <c r="BF1733" s="6"/>
      <c r="BG1733" s="6"/>
      <c r="BH1733" s="6"/>
      <c r="BI1733" s="6"/>
      <c r="BJ1733" s="6"/>
      <c r="BK1733" s="6"/>
      <c r="BL1733" s="6"/>
      <c r="BM1733" s="6"/>
      <c r="BN1733" s="6" t="e">
        <f t="shared" si="127"/>
        <v>#DIV/0!</v>
      </c>
    </row>
    <row r="1734" spans="49:66" x14ac:dyDescent="0.3">
      <c r="AW1734">
        <f t="shared" ref="AW1734:AW1797" si="130">IF(AY1734&lt;=AY1733,1,0)</f>
        <v>0</v>
      </c>
      <c r="AX1734">
        <v>1731</v>
      </c>
      <c r="AY1734" s="4">
        <f t="shared" si="128"/>
        <v>42748</v>
      </c>
      <c r="AZ1734" s="6" t="e">
        <f t="shared" si="129"/>
        <v>#DIV/0!</v>
      </c>
      <c r="BA1734" s="4">
        <v>42748</v>
      </c>
      <c r="BB1734" s="6">
        <v>6.8968000000000002E-2</v>
      </c>
      <c r="BC1734" s="6">
        <v>-1.2465379999999999</v>
      </c>
      <c r="BD1734" s="6">
        <v>-1.8597060000000001</v>
      </c>
      <c r="BE1734" s="6"/>
      <c r="BF1734" s="6"/>
      <c r="BG1734" s="6"/>
      <c r="BH1734" s="6"/>
      <c r="BI1734" s="6"/>
      <c r="BJ1734" s="6"/>
      <c r="BK1734" s="6"/>
      <c r="BL1734" s="6"/>
      <c r="BM1734" s="6"/>
      <c r="BN1734" s="6" t="e">
        <f t="shared" ref="BN1734:BN1797" si="131">(BM1734/BM1733-1)*100</f>
        <v>#DIV/0!</v>
      </c>
    </row>
    <row r="1735" spans="49:66" x14ac:dyDescent="0.3">
      <c r="AW1735">
        <f t="shared" si="130"/>
        <v>0</v>
      </c>
      <c r="AX1735">
        <v>1732</v>
      </c>
      <c r="AY1735" s="4">
        <f t="shared" si="128"/>
        <v>42751</v>
      </c>
      <c r="AZ1735" s="6" t="e">
        <f t="shared" si="129"/>
        <v>#DIV/0!</v>
      </c>
      <c r="BA1735" s="4">
        <v>42751</v>
      </c>
      <c r="BB1735" s="6">
        <v>-1.4057999999999999E-2</v>
      </c>
      <c r="BC1735" s="6">
        <v>-2.6380170000000001</v>
      </c>
      <c r="BD1735" s="6">
        <v>-4.2755900000000002</v>
      </c>
      <c r="BE1735" s="6"/>
      <c r="BF1735" s="6"/>
      <c r="BG1735" s="6"/>
      <c r="BH1735" s="6"/>
      <c r="BI1735" s="6"/>
      <c r="BJ1735" s="6"/>
      <c r="BK1735" s="6"/>
      <c r="BL1735" s="6"/>
      <c r="BM1735" s="6"/>
      <c r="BN1735" s="6" t="e">
        <f t="shared" si="131"/>
        <v>#DIV/0!</v>
      </c>
    </row>
    <row r="1736" spans="49:66" x14ac:dyDescent="0.3">
      <c r="AW1736">
        <f t="shared" si="130"/>
        <v>0</v>
      </c>
      <c r="AX1736">
        <v>1733</v>
      </c>
      <c r="AY1736" s="4">
        <f t="shared" si="128"/>
        <v>42752</v>
      </c>
      <c r="AZ1736" s="6" t="e">
        <f t="shared" si="129"/>
        <v>#DIV/0!</v>
      </c>
      <c r="BA1736" s="4">
        <v>42752</v>
      </c>
      <c r="BB1736" s="6">
        <v>0.20819099999999999</v>
      </c>
      <c r="BC1736" s="6">
        <v>0.84268399999999999</v>
      </c>
      <c r="BD1736" s="6">
        <v>1.219069</v>
      </c>
      <c r="BE1736" s="6"/>
      <c r="BF1736" s="6"/>
      <c r="BG1736" s="6"/>
      <c r="BH1736" s="6"/>
      <c r="BI1736" s="6"/>
      <c r="BJ1736" s="6"/>
      <c r="BK1736" s="6"/>
      <c r="BL1736" s="6"/>
      <c r="BM1736" s="6"/>
      <c r="BN1736" s="6" t="e">
        <f t="shared" si="131"/>
        <v>#DIV/0!</v>
      </c>
    </row>
    <row r="1737" spans="49:66" x14ac:dyDescent="0.3">
      <c r="AW1737">
        <f t="shared" si="130"/>
        <v>0</v>
      </c>
      <c r="AX1737">
        <v>1734</v>
      </c>
      <c r="AY1737" s="4">
        <f t="shared" si="128"/>
        <v>42753</v>
      </c>
      <c r="AZ1737" s="6" t="e">
        <f t="shared" si="129"/>
        <v>#DIV/0!</v>
      </c>
      <c r="BA1737" s="4">
        <v>42753</v>
      </c>
      <c r="BB1737" s="6">
        <v>0.39108900000000002</v>
      </c>
      <c r="BC1737" s="6">
        <v>-0.22151499999999999</v>
      </c>
      <c r="BD1737" s="6">
        <v>-0.49212299999999998</v>
      </c>
      <c r="BE1737" s="6"/>
      <c r="BF1737" s="6"/>
      <c r="BG1737" s="6"/>
      <c r="BH1737" s="6"/>
      <c r="BI1737" s="6"/>
      <c r="BJ1737" s="6"/>
      <c r="BK1737" s="6"/>
      <c r="BL1737" s="6"/>
      <c r="BM1737" s="6"/>
      <c r="BN1737" s="6" t="e">
        <f t="shared" si="131"/>
        <v>#DIV/0!</v>
      </c>
    </row>
    <row r="1738" spans="49:66" x14ac:dyDescent="0.3">
      <c r="AW1738">
        <f t="shared" si="130"/>
        <v>0</v>
      </c>
      <c r="AX1738">
        <v>1735</v>
      </c>
      <c r="AY1738" s="4">
        <f t="shared" si="128"/>
        <v>42754</v>
      </c>
      <c r="AZ1738" s="6" t="e">
        <f t="shared" si="129"/>
        <v>#DIV/0!</v>
      </c>
      <c r="BA1738" s="4">
        <v>42754</v>
      </c>
      <c r="BB1738" s="6">
        <v>-0.30174000000000001</v>
      </c>
      <c r="BC1738" s="6">
        <v>-0.41060600000000003</v>
      </c>
      <c r="BD1738" s="6">
        <v>-0.422435</v>
      </c>
      <c r="BE1738" s="6"/>
      <c r="BF1738" s="6"/>
      <c r="BG1738" s="6"/>
      <c r="BH1738" s="6"/>
      <c r="BI1738" s="6"/>
      <c r="BJ1738" s="6"/>
      <c r="BK1738" s="6"/>
      <c r="BL1738" s="6"/>
      <c r="BM1738" s="6"/>
      <c r="BN1738" s="6" t="e">
        <f t="shared" si="131"/>
        <v>#DIV/0!</v>
      </c>
    </row>
    <row r="1739" spans="49:66" x14ac:dyDescent="0.3">
      <c r="AW1739">
        <f t="shared" si="130"/>
        <v>0</v>
      </c>
      <c r="AX1739">
        <v>1736</v>
      </c>
      <c r="AY1739" s="4">
        <f t="shared" si="128"/>
        <v>42755</v>
      </c>
      <c r="AZ1739" s="6" t="e">
        <f t="shared" si="129"/>
        <v>#DIV/0!</v>
      </c>
      <c r="BA1739" s="4">
        <v>42755</v>
      </c>
      <c r="BB1739" s="6">
        <v>0.76893299999999998</v>
      </c>
      <c r="BC1739" s="6">
        <v>1.295955</v>
      </c>
      <c r="BD1739" s="6">
        <v>1.6640360000000001</v>
      </c>
      <c r="BE1739" s="6"/>
      <c r="BF1739" s="6"/>
      <c r="BG1739" s="6"/>
      <c r="BH1739" s="6"/>
      <c r="BI1739" s="6"/>
      <c r="BJ1739" s="6"/>
      <c r="BK1739" s="6"/>
      <c r="BL1739" s="6"/>
      <c r="BM1739" s="6"/>
      <c r="BN1739" s="6" t="e">
        <f t="shared" si="131"/>
        <v>#DIV/0!</v>
      </c>
    </row>
    <row r="1740" spans="49:66" x14ac:dyDescent="0.3">
      <c r="AW1740">
        <f t="shared" si="130"/>
        <v>0</v>
      </c>
      <c r="AX1740">
        <v>1737</v>
      </c>
      <c r="AY1740" s="4">
        <f t="shared" si="128"/>
        <v>42758</v>
      </c>
      <c r="AZ1740" s="6" t="e">
        <f t="shared" si="129"/>
        <v>#DIV/0!</v>
      </c>
      <c r="BA1740" s="4">
        <v>42758</v>
      </c>
      <c r="BB1740" s="6">
        <v>0.27397899999999997</v>
      </c>
      <c r="BC1740" s="6">
        <v>0.81948399999999999</v>
      </c>
      <c r="BD1740" s="6">
        <v>1.005674</v>
      </c>
      <c r="BE1740" s="6"/>
      <c r="BF1740" s="6"/>
      <c r="BG1740" s="6"/>
      <c r="BH1740" s="6"/>
      <c r="BI1740" s="6"/>
      <c r="BJ1740" s="6"/>
      <c r="BK1740" s="6"/>
      <c r="BL1740" s="6"/>
      <c r="BM1740" s="6"/>
      <c r="BN1740" s="6" t="e">
        <f t="shared" si="131"/>
        <v>#DIV/0!</v>
      </c>
    </row>
    <row r="1741" spans="49:66" x14ac:dyDescent="0.3">
      <c r="AW1741">
        <f t="shared" si="130"/>
        <v>0</v>
      </c>
      <c r="AX1741">
        <v>1738</v>
      </c>
      <c r="AY1741" s="4">
        <f t="shared" si="128"/>
        <v>42759</v>
      </c>
      <c r="AZ1741" s="6" t="e">
        <f t="shared" si="129"/>
        <v>#DIV/0!</v>
      </c>
      <c r="BA1741" s="4">
        <v>42759</v>
      </c>
      <c r="BB1741" s="6">
        <v>1.1002E-2</v>
      </c>
      <c r="BC1741" s="6">
        <v>-0.11183899999999999</v>
      </c>
      <c r="BD1741" s="6">
        <v>-0.557253</v>
      </c>
      <c r="BE1741" s="6"/>
      <c r="BF1741" s="6"/>
      <c r="BG1741" s="6"/>
      <c r="BH1741" s="6"/>
      <c r="BI1741" s="6"/>
      <c r="BJ1741" s="6"/>
      <c r="BK1741" s="6"/>
      <c r="BL1741" s="6"/>
      <c r="BM1741" s="6"/>
      <c r="BN1741" s="6" t="e">
        <f t="shared" si="131"/>
        <v>#DIV/0!</v>
      </c>
    </row>
    <row r="1742" spans="49:66" x14ac:dyDescent="0.3">
      <c r="AW1742">
        <f t="shared" si="130"/>
        <v>0</v>
      </c>
      <c r="AX1742">
        <v>1739</v>
      </c>
      <c r="AY1742" s="4">
        <f t="shared" si="128"/>
        <v>42760</v>
      </c>
      <c r="AZ1742" s="6" t="e">
        <f t="shared" si="129"/>
        <v>#DIV/0!</v>
      </c>
      <c r="BA1742" s="4">
        <v>42760</v>
      </c>
      <c r="BB1742" s="6">
        <v>0.34042099999999997</v>
      </c>
      <c r="BC1742" s="6">
        <v>0.23200799999999999</v>
      </c>
      <c r="BD1742" s="6">
        <v>0.33248100000000003</v>
      </c>
      <c r="BE1742" s="6"/>
      <c r="BF1742" s="6"/>
      <c r="BG1742" s="6"/>
      <c r="BH1742" s="6"/>
      <c r="BI1742" s="6"/>
      <c r="BJ1742" s="6"/>
      <c r="BK1742" s="6"/>
      <c r="BL1742" s="6"/>
      <c r="BM1742" s="6"/>
      <c r="BN1742" s="6" t="e">
        <f t="shared" si="131"/>
        <v>#DIV/0!</v>
      </c>
    </row>
    <row r="1743" spans="49:66" x14ac:dyDescent="0.3">
      <c r="AW1743">
        <f t="shared" si="130"/>
        <v>0</v>
      </c>
      <c r="AX1743">
        <v>1740</v>
      </c>
      <c r="AY1743" s="4">
        <f t="shared" si="128"/>
        <v>42761</v>
      </c>
      <c r="AZ1743" s="6" t="e">
        <f t="shared" si="129"/>
        <v>#DIV/0!</v>
      </c>
      <c r="BA1743" s="4">
        <v>42761</v>
      </c>
      <c r="BB1743" s="6">
        <v>0.35713099999999998</v>
      </c>
      <c r="BC1743" s="6">
        <v>0.71425700000000003</v>
      </c>
      <c r="BD1743" s="6">
        <v>0.67817000000000005</v>
      </c>
      <c r="BE1743" s="6"/>
      <c r="BF1743" s="6"/>
      <c r="BG1743" s="6"/>
      <c r="BH1743" s="6"/>
      <c r="BI1743" s="6"/>
      <c r="BJ1743" s="6"/>
      <c r="BK1743" s="6"/>
      <c r="BL1743" s="6"/>
      <c r="BM1743" s="6"/>
      <c r="BN1743" s="6" t="e">
        <f t="shared" si="131"/>
        <v>#DIV/0!</v>
      </c>
    </row>
    <row r="1744" spans="49:66" x14ac:dyDescent="0.3">
      <c r="AW1744">
        <f t="shared" si="130"/>
        <v>0</v>
      </c>
      <c r="AX1744">
        <v>1741</v>
      </c>
      <c r="AY1744" s="4">
        <f t="shared" si="128"/>
        <v>42769</v>
      </c>
      <c r="AZ1744" s="6" t="e">
        <f t="shared" si="129"/>
        <v>#DIV/0!</v>
      </c>
      <c r="BA1744" s="4">
        <v>42769</v>
      </c>
      <c r="BB1744" s="6">
        <v>-0.69269700000000001</v>
      </c>
      <c r="BC1744" s="6">
        <v>-0.26694699999999999</v>
      </c>
      <c r="BD1744" s="6">
        <v>-0.28750300000000001</v>
      </c>
      <c r="BE1744" s="6"/>
      <c r="BF1744" s="6"/>
      <c r="BG1744" s="6"/>
      <c r="BH1744" s="6"/>
      <c r="BI1744" s="6"/>
      <c r="BJ1744" s="6"/>
      <c r="BK1744" s="6"/>
      <c r="BL1744" s="6"/>
      <c r="BM1744" s="6"/>
      <c r="BN1744" s="6" t="e">
        <f t="shared" si="131"/>
        <v>#DIV/0!</v>
      </c>
    </row>
    <row r="1745" spans="49:66" x14ac:dyDescent="0.3">
      <c r="AW1745">
        <f t="shared" si="130"/>
        <v>0</v>
      </c>
      <c r="AX1745">
        <v>1742</v>
      </c>
      <c r="AY1745" s="4">
        <f t="shared" si="128"/>
        <v>42772</v>
      </c>
      <c r="AZ1745" s="6" t="e">
        <f t="shared" si="129"/>
        <v>#DIV/0!</v>
      </c>
      <c r="BA1745" s="4">
        <v>42772</v>
      </c>
      <c r="BB1745" s="6">
        <v>0.258963</v>
      </c>
      <c r="BC1745" s="6">
        <v>0.84024900000000002</v>
      </c>
      <c r="BD1745" s="6">
        <v>1.194407</v>
      </c>
      <c r="BE1745" s="6"/>
      <c r="BF1745" s="6"/>
      <c r="BG1745" s="6"/>
      <c r="BH1745" s="6"/>
      <c r="BI1745" s="6"/>
      <c r="BJ1745" s="6"/>
      <c r="BK1745" s="6"/>
      <c r="BL1745" s="6"/>
      <c r="BM1745" s="6"/>
      <c r="BN1745" s="6" t="e">
        <f t="shared" si="131"/>
        <v>#DIV/0!</v>
      </c>
    </row>
    <row r="1746" spans="49:66" x14ac:dyDescent="0.3">
      <c r="AW1746">
        <f t="shared" si="130"/>
        <v>0</v>
      </c>
      <c r="AX1746">
        <v>1743</v>
      </c>
      <c r="AY1746" s="4">
        <f t="shared" si="128"/>
        <v>42773</v>
      </c>
      <c r="AZ1746" s="6" t="e">
        <f t="shared" si="129"/>
        <v>#DIV/0!</v>
      </c>
      <c r="BA1746" s="4">
        <v>42773</v>
      </c>
      <c r="BB1746" s="6">
        <v>-0.222939</v>
      </c>
      <c r="BC1746" s="6">
        <v>-5.3043E-2</v>
      </c>
      <c r="BD1746" s="6">
        <v>2.8583000000000001E-2</v>
      </c>
      <c r="BE1746" s="6"/>
      <c r="BF1746" s="6"/>
      <c r="BG1746" s="6"/>
      <c r="BH1746" s="6"/>
      <c r="BI1746" s="6"/>
      <c r="BJ1746" s="6"/>
      <c r="BK1746" s="6"/>
      <c r="BL1746" s="6"/>
      <c r="BM1746" s="6"/>
      <c r="BN1746" s="6" t="e">
        <f t="shared" si="131"/>
        <v>#DIV/0!</v>
      </c>
    </row>
    <row r="1747" spans="49:66" x14ac:dyDescent="0.3">
      <c r="AW1747">
        <f t="shared" si="130"/>
        <v>0</v>
      </c>
      <c r="AX1747">
        <v>1744</v>
      </c>
      <c r="AY1747" s="4">
        <f t="shared" si="128"/>
        <v>42774</v>
      </c>
      <c r="AZ1747" s="6" t="e">
        <f t="shared" si="129"/>
        <v>#DIV/0!</v>
      </c>
      <c r="BA1747" s="4">
        <v>42774</v>
      </c>
      <c r="BB1747" s="6">
        <v>0.523011</v>
      </c>
      <c r="BC1747" s="6">
        <v>0.57018999999999997</v>
      </c>
      <c r="BD1747" s="6">
        <v>0.72514199999999995</v>
      </c>
      <c r="BE1747" s="6"/>
      <c r="BF1747" s="6"/>
      <c r="BG1747" s="6"/>
      <c r="BH1747" s="6"/>
      <c r="BI1747" s="6"/>
      <c r="BJ1747" s="6"/>
      <c r="BK1747" s="6"/>
      <c r="BL1747" s="6"/>
      <c r="BM1747" s="6"/>
      <c r="BN1747" s="6" t="e">
        <f t="shared" si="131"/>
        <v>#DIV/0!</v>
      </c>
    </row>
    <row r="1748" spans="49:66" x14ac:dyDescent="0.3">
      <c r="AW1748">
        <f t="shared" si="130"/>
        <v>0</v>
      </c>
      <c r="AX1748">
        <v>1745</v>
      </c>
      <c r="AY1748" s="4">
        <f t="shared" si="128"/>
        <v>42775</v>
      </c>
      <c r="AZ1748" s="6" t="e">
        <f t="shared" si="129"/>
        <v>#DIV/0!</v>
      </c>
      <c r="BA1748" s="4">
        <v>42775</v>
      </c>
      <c r="BB1748" s="6">
        <v>0.384378</v>
      </c>
      <c r="BC1748" s="6">
        <v>0.62908299999999995</v>
      </c>
      <c r="BD1748" s="6">
        <v>0.81303899999999996</v>
      </c>
      <c r="BE1748" s="6"/>
      <c r="BF1748" s="6"/>
      <c r="BG1748" s="6"/>
      <c r="BH1748" s="6"/>
      <c r="BI1748" s="6"/>
      <c r="BJ1748" s="6"/>
      <c r="BK1748" s="6"/>
      <c r="BL1748" s="6"/>
      <c r="BM1748" s="6"/>
      <c r="BN1748" s="6" t="e">
        <f t="shared" si="131"/>
        <v>#DIV/0!</v>
      </c>
    </row>
    <row r="1749" spans="49:66" x14ac:dyDescent="0.3">
      <c r="AW1749">
        <f t="shared" si="130"/>
        <v>0</v>
      </c>
      <c r="AX1749">
        <v>1746</v>
      </c>
      <c r="AY1749" s="4">
        <f t="shared" si="128"/>
        <v>42776</v>
      </c>
      <c r="AZ1749" s="6" t="e">
        <f t="shared" si="129"/>
        <v>#DIV/0!</v>
      </c>
      <c r="BA1749" s="4">
        <v>42776</v>
      </c>
      <c r="BB1749" s="6">
        <v>0.50627</v>
      </c>
      <c r="BC1749" s="6">
        <v>9.3678999999999998E-2</v>
      </c>
      <c r="BD1749" s="6">
        <v>-0.350462</v>
      </c>
      <c r="BE1749" s="6"/>
      <c r="BF1749" s="6"/>
      <c r="BG1749" s="6"/>
      <c r="BH1749" s="6"/>
      <c r="BI1749" s="6"/>
      <c r="BJ1749" s="6"/>
      <c r="BK1749" s="6"/>
      <c r="BL1749" s="6"/>
      <c r="BM1749" s="6"/>
      <c r="BN1749" s="6" t="e">
        <f t="shared" si="131"/>
        <v>#DIV/0!</v>
      </c>
    </row>
    <row r="1750" spans="49:66" x14ac:dyDescent="0.3">
      <c r="AW1750">
        <f t="shared" si="130"/>
        <v>0</v>
      </c>
      <c r="AX1750">
        <v>1747</v>
      </c>
      <c r="AY1750" s="4">
        <f t="shared" si="128"/>
        <v>42779</v>
      </c>
      <c r="AZ1750" s="6" t="e">
        <f t="shared" si="129"/>
        <v>#DIV/0!</v>
      </c>
      <c r="BA1750" s="4">
        <v>42779</v>
      </c>
      <c r="BB1750" s="6">
        <v>0.66759299999999999</v>
      </c>
      <c r="BC1750" s="6">
        <v>0.51355399999999995</v>
      </c>
      <c r="BD1750" s="6">
        <v>0.62250499999999998</v>
      </c>
      <c r="BE1750" s="6"/>
      <c r="BF1750" s="6"/>
      <c r="BG1750" s="6"/>
      <c r="BH1750" s="6"/>
      <c r="BI1750" s="6"/>
      <c r="BJ1750" s="6"/>
      <c r="BK1750" s="6"/>
      <c r="BL1750" s="6"/>
      <c r="BM1750" s="6"/>
      <c r="BN1750" s="6" t="e">
        <f t="shared" si="131"/>
        <v>#DIV/0!</v>
      </c>
    </row>
    <row r="1751" spans="49:66" x14ac:dyDescent="0.3">
      <c r="AW1751">
        <f t="shared" si="130"/>
        <v>0</v>
      </c>
      <c r="AX1751">
        <v>1748</v>
      </c>
      <c r="AY1751" s="4">
        <f t="shared" si="128"/>
        <v>42780</v>
      </c>
      <c r="AZ1751" s="6" t="e">
        <f t="shared" si="129"/>
        <v>#DIV/0!</v>
      </c>
      <c r="BA1751" s="4">
        <v>42780</v>
      </c>
      <c r="BB1751" s="6">
        <v>-1.3701E-2</v>
      </c>
      <c r="BC1751" s="6">
        <v>8.2149E-2</v>
      </c>
      <c r="BD1751" s="6">
        <v>-0.108166</v>
      </c>
      <c r="BE1751" s="6"/>
      <c r="BF1751" s="6"/>
      <c r="BG1751" s="6"/>
      <c r="BH1751" s="6"/>
      <c r="BI1751" s="6"/>
      <c r="BJ1751" s="6"/>
      <c r="BK1751" s="6"/>
      <c r="BL1751" s="6"/>
      <c r="BM1751" s="6"/>
      <c r="BN1751" s="6" t="e">
        <f t="shared" si="131"/>
        <v>#DIV/0!</v>
      </c>
    </row>
    <row r="1752" spans="49:66" x14ac:dyDescent="0.3">
      <c r="AW1752">
        <f t="shared" si="130"/>
        <v>0</v>
      </c>
      <c r="AX1752">
        <v>1749</v>
      </c>
      <c r="AY1752" s="4">
        <f t="shared" si="128"/>
        <v>42781</v>
      </c>
      <c r="AZ1752" s="6" t="e">
        <f t="shared" si="129"/>
        <v>#DIV/0!</v>
      </c>
      <c r="BA1752" s="4">
        <v>42781</v>
      </c>
      <c r="BB1752" s="6">
        <v>-0.41012500000000002</v>
      </c>
      <c r="BC1752" s="6">
        <v>-0.99122299999999997</v>
      </c>
      <c r="BD1752" s="6">
        <v>-0.94684999999999997</v>
      </c>
      <c r="BE1752" s="6"/>
      <c r="BF1752" s="6"/>
      <c r="BG1752" s="6"/>
      <c r="BH1752" s="6"/>
      <c r="BI1752" s="6"/>
      <c r="BJ1752" s="6"/>
      <c r="BK1752" s="6"/>
      <c r="BL1752" s="6"/>
      <c r="BM1752" s="6"/>
      <c r="BN1752" s="6" t="e">
        <f t="shared" si="131"/>
        <v>#DIV/0!</v>
      </c>
    </row>
    <row r="1753" spans="49:66" x14ac:dyDescent="0.3">
      <c r="AW1753">
        <f t="shared" si="130"/>
        <v>0</v>
      </c>
      <c r="AX1753">
        <v>1750</v>
      </c>
      <c r="AY1753" s="4">
        <f t="shared" si="128"/>
        <v>42782</v>
      </c>
      <c r="AZ1753" s="6" t="e">
        <f t="shared" si="129"/>
        <v>#DIV/0!</v>
      </c>
      <c r="BA1753" s="4">
        <v>42782</v>
      </c>
      <c r="BB1753" s="6">
        <v>0.56170699999999996</v>
      </c>
      <c r="BC1753" s="6">
        <v>0.75479200000000002</v>
      </c>
      <c r="BD1753" s="6">
        <v>0.64102599999999998</v>
      </c>
      <c r="BE1753" s="6"/>
      <c r="BF1753" s="6"/>
      <c r="BG1753" s="6"/>
      <c r="BH1753" s="6"/>
      <c r="BI1753" s="6"/>
      <c r="BJ1753" s="6"/>
      <c r="BK1753" s="6"/>
      <c r="BL1753" s="6"/>
      <c r="BM1753" s="6"/>
      <c r="BN1753" s="6" t="e">
        <f t="shared" si="131"/>
        <v>#DIV/0!</v>
      </c>
    </row>
    <row r="1754" spans="49:66" x14ac:dyDescent="0.3">
      <c r="AW1754">
        <f t="shared" si="130"/>
        <v>0</v>
      </c>
      <c r="AX1754">
        <v>1751</v>
      </c>
      <c r="AY1754" s="4">
        <f t="shared" si="128"/>
        <v>42783</v>
      </c>
      <c r="AZ1754" s="6" t="e">
        <f t="shared" si="129"/>
        <v>#DIV/0!</v>
      </c>
      <c r="BA1754" s="4">
        <v>42783</v>
      </c>
      <c r="BB1754" s="6">
        <v>-0.56645100000000004</v>
      </c>
      <c r="BC1754" s="6">
        <v>-0.82042199999999998</v>
      </c>
      <c r="BD1754" s="6">
        <v>-0.871027</v>
      </c>
      <c r="BE1754" s="6"/>
      <c r="BF1754" s="6"/>
      <c r="BG1754" s="6"/>
      <c r="BH1754" s="6"/>
      <c r="BI1754" s="6"/>
      <c r="BJ1754" s="6"/>
      <c r="BK1754" s="6"/>
      <c r="BL1754" s="6"/>
      <c r="BM1754" s="6"/>
      <c r="BN1754" s="6" t="e">
        <f t="shared" si="131"/>
        <v>#DIV/0!</v>
      </c>
    </row>
    <row r="1755" spans="49:66" x14ac:dyDescent="0.3">
      <c r="AW1755">
        <f t="shared" si="130"/>
        <v>0</v>
      </c>
      <c r="AX1755">
        <v>1752</v>
      </c>
      <c r="AY1755" s="4">
        <f t="shared" si="128"/>
        <v>42786</v>
      </c>
      <c r="AZ1755" s="6" t="e">
        <f t="shared" si="129"/>
        <v>#DIV/0!</v>
      </c>
      <c r="BA1755" s="4">
        <v>42786</v>
      </c>
      <c r="BB1755" s="6">
        <v>1.4599310000000001</v>
      </c>
      <c r="BC1755" s="6">
        <v>1.235101</v>
      </c>
      <c r="BD1755" s="6">
        <v>0.87485299999999999</v>
      </c>
      <c r="BE1755" s="6"/>
      <c r="BF1755" s="6"/>
      <c r="BG1755" s="6"/>
      <c r="BH1755" s="6"/>
      <c r="BI1755" s="6"/>
      <c r="BJ1755" s="6"/>
      <c r="BK1755" s="6"/>
      <c r="BL1755" s="6"/>
      <c r="BM1755" s="6"/>
      <c r="BN1755" s="6" t="e">
        <f t="shared" si="131"/>
        <v>#DIV/0!</v>
      </c>
    </row>
    <row r="1756" spans="49:66" x14ac:dyDescent="0.3">
      <c r="AW1756">
        <f t="shared" si="130"/>
        <v>0</v>
      </c>
      <c r="AX1756">
        <v>1753</v>
      </c>
      <c r="AY1756" s="4">
        <f t="shared" si="128"/>
        <v>42787</v>
      </c>
      <c r="AZ1756" s="6" t="e">
        <f t="shared" si="129"/>
        <v>#DIV/0!</v>
      </c>
      <c r="BA1756" s="4">
        <v>42787</v>
      </c>
      <c r="BB1756" s="6">
        <v>0.32927400000000001</v>
      </c>
      <c r="BC1756" s="6">
        <v>0.77330200000000004</v>
      </c>
      <c r="BD1756" s="6">
        <v>0.98084700000000002</v>
      </c>
      <c r="BE1756" s="6"/>
      <c r="BF1756" s="6"/>
      <c r="BG1756" s="6"/>
      <c r="BH1756" s="6"/>
      <c r="BI1756" s="6"/>
      <c r="BJ1756" s="6"/>
      <c r="BK1756" s="6"/>
      <c r="BL1756" s="6"/>
      <c r="BM1756" s="6"/>
      <c r="BN1756" s="6" t="e">
        <f t="shared" si="131"/>
        <v>#DIV/0!</v>
      </c>
    </row>
    <row r="1757" spans="49:66" x14ac:dyDescent="0.3">
      <c r="AW1757">
        <f t="shared" si="130"/>
        <v>0</v>
      </c>
      <c r="AX1757">
        <v>1754</v>
      </c>
      <c r="AY1757" s="4">
        <f t="shared" si="128"/>
        <v>42788</v>
      </c>
      <c r="AZ1757" s="6" t="e">
        <f t="shared" si="129"/>
        <v>#DIV/0!</v>
      </c>
      <c r="BA1757" s="4">
        <v>42788</v>
      </c>
      <c r="BB1757" s="6">
        <v>0.19908300000000001</v>
      </c>
      <c r="BC1757" s="6">
        <v>0.61834</v>
      </c>
      <c r="BD1757" s="6">
        <v>0.36201699999999998</v>
      </c>
      <c r="BE1757" s="6"/>
      <c r="BF1757" s="6"/>
      <c r="BG1757" s="6"/>
      <c r="BH1757" s="6"/>
      <c r="BI1757" s="6"/>
      <c r="BJ1757" s="6"/>
      <c r="BK1757" s="6"/>
      <c r="BL1757" s="6"/>
      <c r="BM1757" s="6"/>
      <c r="BN1757" s="6" t="e">
        <f t="shared" si="131"/>
        <v>#DIV/0!</v>
      </c>
    </row>
    <row r="1758" spans="49:66" x14ac:dyDescent="0.3">
      <c r="AW1758">
        <f t="shared" si="130"/>
        <v>0</v>
      </c>
      <c r="AX1758">
        <v>1755</v>
      </c>
      <c r="AY1758" s="4">
        <f t="shared" si="128"/>
        <v>42789</v>
      </c>
      <c r="AZ1758" s="6" t="e">
        <f t="shared" si="129"/>
        <v>#DIV/0!</v>
      </c>
      <c r="BA1758" s="4">
        <v>42789</v>
      </c>
      <c r="BB1758" s="6">
        <v>-0.47089500000000001</v>
      </c>
      <c r="BC1758" s="6">
        <v>-3.5829999999999998E-3</v>
      </c>
      <c r="BD1758" s="6">
        <v>2.8195000000000001E-2</v>
      </c>
      <c r="BE1758" s="6"/>
      <c r="BF1758" s="6"/>
      <c r="BG1758" s="6"/>
      <c r="BH1758" s="6"/>
      <c r="BI1758" s="6"/>
      <c r="BJ1758" s="6"/>
      <c r="BK1758" s="6"/>
      <c r="BL1758" s="6"/>
      <c r="BM1758" s="6"/>
      <c r="BN1758" s="6" t="e">
        <f t="shared" si="131"/>
        <v>#DIV/0!</v>
      </c>
    </row>
    <row r="1759" spans="49:66" x14ac:dyDescent="0.3">
      <c r="AW1759">
        <f t="shared" si="130"/>
        <v>0</v>
      </c>
      <c r="AX1759">
        <v>1756</v>
      </c>
      <c r="AY1759" s="4">
        <f t="shared" si="128"/>
        <v>42790</v>
      </c>
      <c r="AZ1759" s="6" t="e">
        <f t="shared" si="129"/>
        <v>#DIV/0!</v>
      </c>
      <c r="BA1759" s="4">
        <v>42790</v>
      </c>
      <c r="BB1759" s="6">
        <v>1.5204000000000001E-2</v>
      </c>
      <c r="BC1759" s="6">
        <v>3.3556999999999997E-2</v>
      </c>
      <c r="BD1759" s="6">
        <v>0.361153</v>
      </c>
      <c r="BE1759" s="6"/>
      <c r="BF1759" s="6"/>
      <c r="BG1759" s="6"/>
      <c r="BH1759" s="6"/>
      <c r="BI1759" s="6"/>
      <c r="BJ1759" s="6"/>
      <c r="BK1759" s="6"/>
      <c r="BL1759" s="6"/>
      <c r="BM1759" s="6"/>
      <c r="BN1759" s="6" t="e">
        <f t="shared" si="131"/>
        <v>#DIV/0!</v>
      </c>
    </row>
    <row r="1760" spans="49:66" x14ac:dyDescent="0.3">
      <c r="AW1760">
        <f t="shared" si="130"/>
        <v>0</v>
      </c>
      <c r="AX1760">
        <v>1757</v>
      </c>
      <c r="AY1760" s="4">
        <f t="shared" si="128"/>
        <v>42793</v>
      </c>
      <c r="AZ1760" s="6" t="e">
        <f t="shared" si="129"/>
        <v>#DIV/0!</v>
      </c>
      <c r="BA1760" s="4">
        <v>42793</v>
      </c>
      <c r="BB1760" s="6">
        <v>-0.79533900000000002</v>
      </c>
      <c r="BC1760" s="6">
        <v>-0.80156400000000005</v>
      </c>
      <c r="BD1760" s="6">
        <v>-0.778868</v>
      </c>
      <c r="BE1760" s="6"/>
      <c r="BF1760" s="6"/>
      <c r="BG1760" s="6"/>
      <c r="BH1760" s="6"/>
      <c r="BI1760" s="6"/>
      <c r="BJ1760" s="6"/>
      <c r="BK1760" s="6"/>
      <c r="BL1760" s="6"/>
      <c r="BM1760" s="6"/>
      <c r="BN1760" s="6" t="e">
        <f t="shared" si="131"/>
        <v>#DIV/0!</v>
      </c>
    </row>
    <row r="1761" spans="49:66" x14ac:dyDescent="0.3">
      <c r="AW1761">
        <f t="shared" si="130"/>
        <v>0</v>
      </c>
      <c r="AX1761">
        <v>1758</v>
      </c>
      <c r="AY1761" s="4">
        <f t="shared" si="128"/>
        <v>42794</v>
      </c>
      <c r="AZ1761" s="6" t="e">
        <f t="shared" si="129"/>
        <v>#DIV/0!</v>
      </c>
      <c r="BA1761" s="4">
        <v>42794</v>
      </c>
      <c r="BB1761" s="6">
        <v>0.19115099999999999</v>
      </c>
      <c r="BC1761" s="6">
        <v>0.41584900000000002</v>
      </c>
      <c r="BD1761" s="6">
        <v>0.36781700000000001</v>
      </c>
      <c r="BE1761" s="6"/>
      <c r="BF1761" s="6"/>
      <c r="BG1761" s="6"/>
      <c r="BH1761" s="6"/>
      <c r="BI1761" s="6"/>
      <c r="BJ1761" s="6"/>
      <c r="BK1761" s="6"/>
      <c r="BL1761" s="6"/>
      <c r="BM1761" s="6"/>
      <c r="BN1761" s="6" t="e">
        <f t="shared" si="131"/>
        <v>#DIV/0!</v>
      </c>
    </row>
    <row r="1762" spans="49:66" x14ac:dyDescent="0.3">
      <c r="AW1762">
        <f t="shared" si="130"/>
        <v>0</v>
      </c>
      <c r="AX1762">
        <v>1759</v>
      </c>
      <c r="AY1762" s="4">
        <f t="shared" si="128"/>
        <v>42795</v>
      </c>
      <c r="AZ1762" s="6" t="e">
        <f t="shared" si="129"/>
        <v>#DIV/0!</v>
      </c>
      <c r="BA1762" s="4">
        <v>42795</v>
      </c>
      <c r="BB1762" s="6">
        <v>0.16297700000000001</v>
      </c>
      <c r="BC1762" s="6">
        <v>0.258386</v>
      </c>
      <c r="BD1762" s="6">
        <v>0.21609600000000001</v>
      </c>
      <c r="BE1762" s="6"/>
      <c r="BF1762" s="6"/>
      <c r="BG1762" s="6"/>
      <c r="BH1762" s="6"/>
      <c r="BI1762" s="6"/>
      <c r="BJ1762" s="6"/>
      <c r="BK1762" s="6"/>
      <c r="BL1762" s="6"/>
      <c r="BM1762" s="6"/>
      <c r="BN1762" s="6" t="e">
        <f t="shared" si="131"/>
        <v>#DIV/0!</v>
      </c>
    </row>
    <row r="1763" spans="49:66" x14ac:dyDescent="0.3">
      <c r="AW1763">
        <f t="shared" si="130"/>
        <v>0</v>
      </c>
      <c r="AX1763">
        <v>1760</v>
      </c>
      <c r="AY1763" s="4">
        <f t="shared" si="128"/>
        <v>42796</v>
      </c>
      <c r="AZ1763" s="6" t="e">
        <f t="shared" si="129"/>
        <v>#DIV/0!</v>
      </c>
      <c r="BA1763" s="4">
        <v>42796</v>
      </c>
      <c r="BB1763" s="6">
        <v>-0.67490899999999998</v>
      </c>
      <c r="BC1763" s="6">
        <v>-0.51042299999999996</v>
      </c>
      <c r="BD1763" s="6">
        <v>-0.64541899999999996</v>
      </c>
      <c r="BE1763" s="6"/>
      <c r="BF1763" s="6"/>
      <c r="BG1763" s="6"/>
      <c r="BH1763" s="6"/>
      <c r="BI1763" s="6"/>
      <c r="BJ1763" s="6"/>
      <c r="BK1763" s="6"/>
      <c r="BL1763" s="6"/>
      <c r="BM1763" s="6"/>
      <c r="BN1763" s="6" t="e">
        <f t="shared" si="131"/>
        <v>#DIV/0!</v>
      </c>
    </row>
    <row r="1764" spans="49:66" x14ac:dyDescent="0.3">
      <c r="AW1764">
        <f t="shared" si="130"/>
        <v>0</v>
      </c>
      <c r="AX1764">
        <v>1761</v>
      </c>
      <c r="AY1764" s="4">
        <f t="shared" si="128"/>
        <v>42797</v>
      </c>
      <c r="AZ1764" s="6" t="e">
        <f t="shared" si="129"/>
        <v>#DIV/0!</v>
      </c>
      <c r="BA1764" s="4">
        <v>42797</v>
      </c>
      <c r="BB1764" s="6">
        <v>-0.21057600000000001</v>
      </c>
      <c r="BC1764" s="6">
        <v>0.28304400000000002</v>
      </c>
      <c r="BD1764" s="6">
        <v>0.40148499999999998</v>
      </c>
      <c r="BE1764" s="6"/>
      <c r="BF1764" s="6"/>
      <c r="BG1764" s="6"/>
      <c r="BH1764" s="6"/>
      <c r="BI1764" s="6"/>
      <c r="BJ1764" s="6"/>
      <c r="BK1764" s="6"/>
      <c r="BL1764" s="6"/>
      <c r="BM1764" s="6"/>
      <c r="BN1764" s="6" t="e">
        <f t="shared" si="131"/>
        <v>#DIV/0!</v>
      </c>
    </row>
    <row r="1765" spans="49:66" x14ac:dyDescent="0.3">
      <c r="AW1765">
        <f t="shared" si="130"/>
        <v>0</v>
      </c>
      <c r="AX1765">
        <v>1762</v>
      </c>
      <c r="AY1765" s="4">
        <f t="shared" si="128"/>
        <v>42800</v>
      </c>
      <c r="AZ1765" s="6" t="e">
        <f t="shared" si="129"/>
        <v>#DIV/0!</v>
      </c>
      <c r="BA1765" s="4">
        <v>42800</v>
      </c>
      <c r="BB1765" s="6">
        <v>0.54323100000000002</v>
      </c>
      <c r="BC1765" s="6">
        <v>0.99931999999999999</v>
      </c>
      <c r="BD1765" s="6">
        <v>1.207487</v>
      </c>
      <c r="BE1765" s="6"/>
      <c r="BF1765" s="6"/>
      <c r="BG1765" s="6"/>
      <c r="BH1765" s="6"/>
      <c r="BI1765" s="6"/>
      <c r="BJ1765" s="6"/>
      <c r="BK1765" s="6"/>
      <c r="BL1765" s="6"/>
      <c r="BM1765" s="6"/>
      <c r="BN1765" s="6" t="e">
        <f t="shared" si="131"/>
        <v>#DIV/0!</v>
      </c>
    </row>
    <row r="1766" spans="49:66" x14ac:dyDescent="0.3">
      <c r="AW1766">
        <f t="shared" si="130"/>
        <v>0</v>
      </c>
      <c r="AX1766">
        <v>1763</v>
      </c>
      <c r="AY1766" s="4">
        <f t="shared" si="128"/>
        <v>42801</v>
      </c>
      <c r="AZ1766" s="6" t="e">
        <f t="shared" si="129"/>
        <v>#DIV/0!</v>
      </c>
      <c r="BA1766" s="4">
        <v>42801</v>
      </c>
      <c r="BB1766" s="6">
        <v>0.21681500000000001</v>
      </c>
      <c r="BC1766" s="6">
        <v>8.9965000000000003E-2</v>
      </c>
      <c r="BD1766" s="6">
        <v>0.18948999999999999</v>
      </c>
      <c r="BE1766" s="6"/>
      <c r="BF1766" s="6"/>
      <c r="BG1766" s="6"/>
      <c r="BH1766" s="6"/>
      <c r="BI1766" s="6"/>
      <c r="BJ1766" s="6"/>
      <c r="BK1766" s="6"/>
      <c r="BL1766" s="6"/>
      <c r="BM1766" s="6"/>
      <c r="BN1766" s="6" t="e">
        <f t="shared" si="131"/>
        <v>#DIV/0!</v>
      </c>
    </row>
    <row r="1767" spans="49:66" x14ac:dyDescent="0.3">
      <c r="AW1767">
        <f t="shared" si="130"/>
        <v>0</v>
      </c>
      <c r="AX1767">
        <v>1764</v>
      </c>
      <c r="AY1767" s="4">
        <f t="shared" si="128"/>
        <v>42802</v>
      </c>
      <c r="AZ1767" s="6" t="e">
        <f t="shared" si="129"/>
        <v>#DIV/0!</v>
      </c>
      <c r="BA1767" s="4">
        <v>42802</v>
      </c>
      <c r="BB1767" s="6">
        <v>-0.151282</v>
      </c>
      <c r="BC1767" s="6">
        <v>-0.40009600000000001</v>
      </c>
      <c r="BD1767" s="6">
        <v>-0.40113399999999999</v>
      </c>
      <c r="BE1767" s="6"/>
      <c r="BF1767" s="6"/>
      <c r="BG1767" s="6"/>
      <c r="BH1767" s="6"/>
      <c r="BI1767" s="6"/>
      <c r="BJ1767" s="6"/>
      <c r="BK1767" s="6"/>
      <c r="BL1767" s="6"/>
      <c r="BM1767" s="6"/>
      <c r="BN1767" s="6" t="e">
        <f t="shared" si="131"/>
        <v>#DIV/0!</v>
      </c>
    </row>
    <row r="1768" spans="49:66" x14ac:dyDescent="0.3">
      <c r="AW1768">
        <f t="shared" si="130"/>
        <v>0</v>
      </c>
      <c r="AX1768">
        <v>1765</v>
      </c>
      <c r="AY1768" s="4">
        <f t="shared" si="128"/>
        <v>42803</v>
      </c>
      <c r="AZ1768" s="6" t="e">
        <f t="shared" si="129"/>
        <v>#DIV/0!</v>
      </c>
      <c r="BA1768" s="4">
        <v>42803</v>
      </c>
      <c r="BB1768" s="6">
        <v>-0.63175400000000004</v>
      </c>
      <c r="BC1768" s="6">
        <v>-0.88817599999999997</v>
      </c>
      <c r="BD1768" s="6">
        <v>-0.63229599999999997</v>
      </c>
      <c r="BE1768" s="6"/>
      <c r="BF1768" s="6"/>
      <c r="BG1768" s="6"/>
      <c r="BH1768" s="6"/>
      <c r="BI1768" s="6"/>
      <c r="BJ1768" s="6"/>
      <c r="BK1768" s="6"/>
      <c r="BL1768" s="6"/>
      <c r="BM1768" s="6"/>
      <c r="BN1768" s="6" t="e">
        <f t="shared" si="131"/>
        <v>#DIV/0!</v>
      </c>
    </row>
    <row r="1769" spans="49:66" x14ac:dyDescent="0.3">
      <c r="AW1769">
        <f t="shared" si="130"/>
        <v>0</v>
      </c>
      <c r="AX1769">
        <v>1766</v>
      </c>
      <c r="AY1769" s="4">
        <f t="shared" si="128"/>
        <v>42804</v>
      </c>
      <c r="AZ1769" s="6" t="e">
        <f t="shared" si="129"/>
        <v>#DIV/0!</v>
      </c>
      <c r="BA1769" s="4">
        <v>42804</v>
      </c>
      <c r="BB1769" s="6">
        <v>2.7657000000000001E-2</v>
      </c>
      <c r="BC1769" s="6">
        <v>0.13253300000000001</v>
      </c>
      <c r="BD1769" s="6">
        <v>2.6055999999999999E-2</v>
      </c>
      <c r="BE1769" s="6"/>
      <c r="BF1769" s="6"/>
      <c r="BG1769" s="6"/>
      <c r="BH1769" s="6"/>
      <c r="BI1769" s="6"/>
      <c r="BJ1769" s="6"/>
      <c r="BK1769" s="6"/>
      <c r="BL1769" s="6"/>
      <c r="BM1769" s="6"/>
      <c r="BN1769" s="6" t="e">
        <f t="shared" si="131"/>
        <v>#DIV/0!</v>
      </c>
    </row>
    <row r="1770" spans="49:66" x14ac:dyDescent="0.3">
      <c r="AW1770">
        <f t="shared" si="130"/>
        <v>0</v>
      </c>
      <c r="AX1770">
        <v>1767</v>
      </c>
      <c r="AY1770" s="4">
        <f t="shared" si="128"/>
        <v>42807</v>
      </c>
      <c r="AZ1770" s="6" t="e">
        <f t="shared" si="129"/>
        <v>#DIV/0!</v>
      </c>
      <c r="BA1770" s="4">
        <v>42807</v>
      </c>
      <c r="BB1770" s="6">
        <v>0.88119499999999995</v>
      </c>
      <c r="BC1770" s="6">
        <v>0.93022099999999996</v>
      </c>
      <c r="BD1770" s="6">
        <v>0.71140000000000003</v>
      </c>
      <c r="BE1770" s="6"/>
      <c r="BF1770" s="6"/>
      <c r="BG1770" s="6"/>
      <c r="BH1770" s="6"/>
      <c r="BI1770" s="6"/>
      <c r="BJ1770" s="6"/>
      <c r="BK1770" s="6"/>
      <c r="BL1770" s="6"/>
      <c r="BM1770" s="6"/>
      <c r="BN1770" s="6" t="e">
        <f t="shared" si="131"/>
        <v>#DIV/0!</v>
      </c>
    </row>
    <row r="1771" spans="49:66" x14ac:dyDescent="0.3">
      <c r="AW1771">
        <f t="shared" si="130"/>
        <v>0</v>
      </c>
      <c r="AX1771">
        <v>1768</v>
      </c>
      <c r="AY1771" s="4">
        <f t="shared" si="128"/>
        <v>42808</v>
      </c>
      <c r="AZ1771" s="6" t="e">
        <f t="shared" si="129"/>
        <v>#DIV/0!</v>
      </c>
      <c r="BA1771" s="4">
        <v>42808</v>
      </c>
      <c r="BB1771" s="6">
        <v>-4.0618000000000001E-2</v>
      </c>
      <c r="BC1771" s="6">
        <v>-0.22145100000000001</v>
      </c>
      <c r="BD1771" s="6">
        <v>-0.195439</v>
      </c>
      <c r="BE1771" s="6"/>
      <c r="BF1771" s="6"/>
      <c r="BG1771" s="6"/>
      <c r="BH1771" s="6"/>
      <c r="BI1771" s="6"/>
      <c r="BJ1771" s="6"/>
      <c r="BK1771" s="6"/>
      <c r="BL1771" s="6"/>
      <c r="BM1771" s="6"/>
      <c r="BN1771" s="6" t="e">
        <f t="shared" si="131"/>
        <v>#DIV/0!</v>
      </c>
    </row>
    <row r="1772" spans="49:66" x14ac:dyDescent="0.3">
      <c r="AW1772">
        <f t="shared" si="130"/>
        <v>0</v>
      </c>
      <c r="AX1772">
        <v>1769</v>
      </c>
      <c r="AY1772" s="4">
        <f t="shared" si="128"/>
        <v>42809</v>
      </c>
      <c r="AZ1772" s="6" t="e">
        <f t="shared" si="129"/>
        <v>#DIV/0!</v>
      </c>
      <c r="BA1772" s="4">
        <v>42809</v>
      </c>
      <c r="BB1772" s="6">
        <v>0.20106499999999999</v>
      </c>
      <c r="BC1772" s="6">
        <v>-0.114315</v>
      </c>
      <c r="BD1772" s="6">
        <v>-8.9533000000000001E-2</v>
      </c>
      <c r="BE1772" s="6"/>
      <c r="BF1772" s="6"/>
      <c r="BG1772" s="6"/>
      <c r="BH1772" s="6"/>
      <c r="BI1772" s="6"/>
      <c r="BJ1772" s="6"/>
      <c r="BK1772" s="6"/>
      <c r="BL1772" s="6"/>
      <c r="BM1772" s="6"/>
      <c r="BN1772" s="6" t="e">
        <f t="shared" si="131"/>
        <v>#DIV/0!</v>
      </c>
    </row>
    <row r="1773" spans="49:66" x14ac:dyDescent="0.3">
      <c r="AW1773">
        <f t="shared" si="130"/>
        <v>0</v>
      </c>
      <c r="AX1773">
        <v>1770</v>
      </c>
      <c r="AY1773" s="4">
        <f t="shared" si="128"/>
        <v>42810</v>
      </c>
      <c r="AZ1773" s="6" t="e">
        <f t="shared" si="129"/>
        <v>#DIV/0!</v>
      </c>
      <c r="BA1773" s="4">
        <v>42810</v>
      </c>
      <c r="BB1773" s="6">
        <v>0.51572899999999999</v>
      </c>
      <c r="BC1773" s="6">
        <v>0.88311099999999998</v>
      </c>
      <c r="BD1773" s="6">
        <v>1.060773</v>
      </c>
      <c r="BE1773" s="6"/>
      <c r="BF1773" s="6"/>
      <c r="BG1773" s="6"/>
      <c r="BH1773" s="6"/>
      <c r="BI1773" s="6"/>
      <c r="BJ1773" s="6"/>
      <c r="BK1773" s="6"/>
      <c r="BL1773" s="6"/>
      <c r="BM1773" s="6"/>
      <c r="BN1773" s="6" t="e">
        <f t="shared" si="131"/>
        <v>#DIV/0!</v>
      </c>
    </row>
    <row r="1774" spans="49:66" x14ac:dyDescent="0.3">
      <c r="AW1774">
        <f t="shared" si="130"/>
        <v>0</v>
      </c>
      <c r="AX1774">
        <v>1771</v>
      </c>
      <c r="AY1774" s="4">
        <f t="shared" si="128"/>
        <v>42811</v>
      </c>
      <c r="AZ1774" s="6" t="e">
        <f t="shared" si="129"/>
        <v>#DIV/0!</v>
      </c>
      <c r="BA1774" s="4">
        <v>42811</v>
      </c>
      <c r="BB1774" s="6">
        <v>-1.025461</v>
      </c>
      <c r="BC1774" s="6">
        <v>-0.91840500000000003</v>
      </c>
      <c r="BD1774" s="6">
        <v>-0.70531600000000005</v>
      </c>
      <c r="BE1774" s="6"/>
      <c r="BF1774" s="6"/>
      <c r="BG1774" s="6"/>
      <c r="BH1774" s="6"/>
      <c r="BI1774" s="6"/>
      <c r="BJ1774" s="6"/>
      <c r="BK1774" s="6"/>
      <c r="BL1774" s="6"/>
      <c r="BM1774" s="6"/>
      <c r="BN1774" s="6" t="e">
        <f t="shared" si="131"/>
        <v>#DIV/0!</v>
      </c>
    </row>
    <row r="1775" spans="49:66" x14ac:dyDescent="0.3">
      <c r="AW1775">
        <f t="shared" si="130"/>
        <v>0</v>
      </c>
      <c r="AX1775">
        <v>1772</v>
      </c>
      <c r="AY1775" s="4">
        <f t="shared" si="128"/>
        <v>42814</v>
      </c>
      <c r="AZ1775" s="6" t="e">
        <f t="shared" si="129"/>
        <v>#DIV/0!</v>
      </c>
      <c r="BA1775" s="4">
        <v>42814</v>
      </c>
      <c r="BB1775" s="6">
        <v>0.110497</v>
      </c>
      <c r="BC1775" s="6">
        <v>0.23283599999999999</v>
      </c>
      <c r="BD1775" s="6">
        <v>0.36005300000000001</v>
      </c>
      <c r="BE1775" s="6"/>
      <c r="BF1775" s="6"/>
      <c r="BG1775" s="6"/>
      <c r="BH1775" s="6"/>
      <c r="BI1775" s="6"/>
      <c r="BJ1775" s="6"/>
      <c r="BK1775" s="6"/>
      <c r="BL1775" s="6"/>
      <c r="BM1775" s="6"/>
      <c r="BN1775" s="6" t="e">
        <f t="shared" si="131"/>
        <v>#DIV/0!</v>
      </c>
    </row>
    <row r="1776" spans="49:66" x14ac:dyDescent="0.3">
      <c r="AW1776">
        <f t="shared" si="130"/>
        <v>0</v>
      </c>
      <c r="AX1776">
        <v>1773</v>
      </c>
      <c r="AY1776" s="4">
        <f t="shared" si="128"/>
        <v>42815</v>
      </c>
      <c r="AZ1776" s="6" t="e">
        <f t="shared" si="129"/>
        <v>#DIV/0!</v>
      </c>
      <c r="BA1776" s="4">
        <v>42815</v>
      </c>
      <c r="BB1776" s="6">
        <v>0.48510399999999998</v>
      </c>
      <c r="BC1776" s="6">
        <v>0.270903</v>
      </c>
      <c r="BD1776" s="6">
        <v>5.4694E-2</v>
      </c>
      <c r="BE1776" s="6"/>
      <c r="BF1776" s="6"/>
      <c r="BG1776" s="6"/>
      <c r="BH1776" s="6"/>
      <c r="BI1776" s="6"/>
      <c r="BJ1776" s="6"/>
      <c r="BK1776" s="6"/>
      <c r="BL1776" s="6"/>
      <c r="BM1776" s="6"/>
      <c r="BN1776" s="6" t="e">
        <f t="shared" si="131"/>
        <v>#DIV/0!</v>
      </c>
    </row>
    <row r="1777" spans="49:66" x14ac:dyDescent="0.3">
      <c r="AW1777">
        <f t="shared" si="130"/>
        <v>0</v>
      </c>
      <c r="AX1777">
        <v>1774</v>
      </c>
      <c r="AY1777" s="4">
        <f t="shared" si="128"/>
        <v>42816</v>
      </c>
      <c r="AZ1777" s="6" t="e">
        <f t="shared" si="129"/>
        <v>#DIV/0!</v>
      </c>
      <c r="BA1777" s="4">
        <v>42816</v>
      </c>
      <c r="BB1777" s="6">
        <v>-0.470138</v>
      </c>
      <c r="BC1777" s="6">
        <v>-0.24790000000000001</v>
      </c>
      <c r="BD1777" s="6">
        <v>-0.54468899999999998</v>
      </c>
      <c r="BE1777" s="6"/>
      <c r="BF1777" s="6"/>
      <c r="BG1777" s="6"/>
      <c r="BH1777" s="6"/>
      <c r="BI1777" s="6"/>
      <c r="BJ1777" s="6"/>
      <c r="BK1777" s="6"/>
      <c r="BL1777" s="6"/>
      <c r="BM1777" s="6"/>
      <c r="BN1777" s="6" t="e">
        <f t="shared" si="131"/>
        <v>#DIV/0!</v>
      </c>
    </row>
    <row r="1778" spans="49:66" x14ac:dyDescent="0.3">
      <c r="AW1778">
        <f t="shared" si="130"/>
        <v>0</v>
      </c>
      <c r="AX1778">
        <v>1775</v>
      </c>
      <c r="AY1778" s="4">
        <f t="shared" si="128"/>
        <v>42817</v>
      </c>
      <c r="AZ1778" s="6" t="e">
        <f t="shared" si="129"/>
        <v>#DIV/0!</v>
      </c>
      <c r="BA1778" s="4">
        <v>42817</v>
      </c>
      <c r="BB1778" s="6">
        <v>0.34573399999999999</v>
      </c>
      <c r="BC1778" s="6">
        <v>0.190692</v>
      </c>
      <c r="BD1778" s="6">
        <v>-1.8010000000000002E-2</v>
      </c>
      <c r="BE1778" s="6"/>
      <c r="BF1778" s="6"/>
      <c r="BG1778" s="6"/>
      <c r="BH1778" s="6"/>
      <c r="BI1778" s="6"/>
      <c r="BJ1778" s="6"/>
      <c r="BK1778" s="6"/>
      <c r="BL1778" s="6"/>
      <c r="BM1778" s="6"/>
      <c r="BN1778" s="6" t="e">
        <f t="shared" si="131"/>
        <v>#DIV/0!</v>
      </c>
    </row>
    <row r="1779" spans="49:66" x14ac:dyDescent="0.3">
      <c r="AW1779">
        <f t="shared" si="130"/>
        <v>0</v>
      </c>
      <c r="AX1779">
        <v>1776</v>
      </c>
      <c r="AY1779" s="4">
        <f t="shared" si="128"/>
        <v>42818</v>
      </c>
      <c r="AZ1779" s="6" t="e">
        <f t="shared" si="129"/>
        <v>#DIV/0!</v>
      </c>
      <c r="BA1779" s="4">
        <v>42818</v>
      </c>
      <c r="BB1779" s="6">
        <v>0.79785300000000003</v>
      </c>
      <c r="BC1779" s="6">
        <v>0.52866400000000002</v>
      </c>
      <c r="BD1779" s="6">
        <v>0.131879</v>
      </c>
      <c r="BE1779" s="6"/>
      <c r="BF1779" s="6"/>
      <c r="BG1779" s="6"/>
      <c r="BH1779" s="6"/>
      <c r="BI1779" s="6"/>
      <c r="BJ1779" s="6"/>
      <c r="BK1779" s="6"/>
      <c r="BL1779" s="6"/>
      <c r="BM1779" s="6"/>
      <c r="BN1779" s="6" t="e">
        <f t="shared" si="131"/>
        <v>#DIV/0!</v>
      </c>
    </row>
    <row r="1780" spans="49:66" x14ac:dyDescent="0.3">
      <c r="AW1780">
        <f t="shared" si="130"/>
        <v>0</v>
      </c>
      <c r="AX1780">
        <v>1777</v>
      </c>
      <c r="AY1780" s="4">
        <f t="shared" si="128"/>
        <v>42821</v>
      </c>
      <c r="AZ1780" s="6" t="e">
        <f t="shared" si="129"/>
        <v>#DIV/0!</v>
      </c>
      <c r="BA1780" s="4">
        <v>42821</v>
      </c>
      <c r="BB1780" s="6">
        <v>-0.33130399999999999</v>
      </c>
      <c r="BC1780" s="6">
        <v>-0.46714800000000001</v>
      </c>
      <c r="BD1780" s="6">
        <v>-0.178783</v>
      </c>
      <c r="BE1780" s="6"/>
      <c r="BF1780" s="6"/>
      <c r="BG1780" s="6"/>
      <c r="BH1780" s="6"/>
      <c r="BI1780" s="6"/>
      <c r="BJ1780" s="6"/>
      <c r="BK1780" s="6"/>
      <c r="BL1780" s="6"/>
      <c r="BM1780" s="6"/>
      <c r="BN1780" s="6" t="e">
        <f t="shared" si="131"/>
        <v>#DIV/0!</v>
      </c>
    </row>
    <row r="1781" spans="49:66" x14ac:dyDescent="0.3">
      <c r="AW1781">
        <f t="shared" si="130"/>
        <v>0</v>
      </c>
      <c r="AX1781">
        <v>1778</v>
      </c>
      <c r="AY1781" s="4">
        <f t="shared" si="128"/>
        <v>42822</v>
      </c>
      <c r="AZ1781" s="6" t="e">
        <f t="shared" si="129"/>
        <v>#DIV/0!</v>
      </c>
      <c r="BA1781" s="4">
        <v>42822</v>
      </c>
      <c r="BB1781" s="6">
        <v>-0.23660500000000001</v>
      </c>
      <c r="BC1781" s="6">
        <v>-0.26615</v>
      </c>
      <c r="BD1781" s="6">
        <v>-0.335841</v>
      </c>
      <c r="BE1781" s="6"/>
      <c r="BF1781" s="6"/>
      <c r="BG1781" s="6"/>
      <c r="BH1781" s="6"/>
      <c r="BI1781" s="6"/>
      <c r="BJ1781" s="6"/>
      <c r="BK1781" s="6"/>
      <c r="BL1781" s="6"/>
      <c r="BM1781" s="6"/>
      <c r="BN1781" s="6" t="e">
        <f t="shared" si="131"/>
        <v>#DIV/0!</v>
      </c>
    </row>
    <row r="1782" spans="49:66" x14ac:dyDescent="0.3">
      <c r="AW1782">
        <f t="shared" si="130"/>
        <v>0</v>
      </c>
      <c r="AX1782">
        <v>1779</v>
      </c>
      <c r="AY1782" s="4">
        <f t="shared" si="128"/>
        <v>42823</v>
      </c>
      <c r="AZ1782" s="6" t="e">
        <f t="shared" si="129"/>
        <v>#DIV/0!</v>
      </c>
      <c r="BA1782" s="4">
        <v>42823</v>
      </c>
      <c r="BB1782" s="6">
        <v>-0.13303300000000001</v>
      </c>
      <c r="BC1782" s="6">
        <v>-0.27924399999999999</v>
      </c>
      <c r="BD1782" s="6">
        <v>-0.81624600000000003</v>
      </c>
      <c r="BE1782" s="6"/>
      <c r="BF1782" s="6"/>
      <c r="BG1782" s="6"/>
      <c r="BH1782" s="6"/>
      <c r="BI1782" s="6"/>
      <c r="BJ1782" s="6"/>
      <c r="BK1782" s="6"/>
      <c r="BL1782" s="6"/>
      <c r="BM1782" s="6"/>
      <c r="BN1782" s="6" t="e">
        <f t="shared" si="131"/>
        <v>#DIV/0!</v>
      </c>
    </row>
    <row r="1783" spans="49:66" x14ac:dyDescent="0.3">
      <c r="AW1783">
        <f t="shared" si="130"/>
        <v>0</v>
      </c>
      <c r="AX1783">
        <v>1780</v>
      </c>
      <c r="AY1783" s="4">
        <f t="shared" si="128"/>
        <v>42824</v>
      </c>
      <c r="AZ1783" s="6" t="e">
        <f t="shared" si="129"/>
        <v>#DIV/0!</v>
      </c>
      <c r="BA1783" s="4">
        <v>42824</v>
      </c>
      <c r="BB1783" s="6">
        <v>-0.82059800000000005</v>
      </c>
      <c r="BC1783" s="6">
        <v>-1.617138</v>
      </c>
      <c r="BD1783" s="6">
        <v>-2.040143</v>
      </c>
      <c r="BE1783" s="6"/>
      <c r="BF1783" s="6"/>
      <c r="BG1783" s="6"/>
      <c r="BH1783" s="6"/>
      <c r="BI1783" s="6"/>
      <c r="BJ1783" s="6"/>
      <c r="BK1783" s="6"/>
      <c r="BL1783" s="6"/>
      <c r="BM1783" s="6"/>
      <c r="BN1783" s="6" t="e">
        <f t="shared" si="131"/>
        <v>#DIV/0!</v>
      </c>
    </row>
    <row r="1784" spans="49:66" x14ac:dyDescent="0.3">
      <c r="AW1784">
        <f t="shared" si="130"/>
        <v>0</v>
      </c>
      <c r="AX1784">
        <v>1781</v>
      </c>
      <c r="AY1784" s="4">
        <f t="shared" si="128"/>
        <v>42825</v>
      </c>
      <c r="AZ1784" s="6" t="e">
        <f t="shared" si="129"/>
        <v>#DIV/0!</v>
      </c>
      <c r="BA1784" s="4">
        <v>42825</v>
      </c>
      <c r="BB1784" s="6">
        <v>0.56121200000000004</v>
      </c>
      <c r="BC1784" s="6">
        <v>0.40629300000000002</v>
      </c>
      <c r="BD1784" s="6">
        <v>0.28984700000000002</v>
      </c>
      <c r="BE1784" s="6"/>
      <c r="BF1784" s="6"/>
      <c r="BG1784" s="6"/>
      <c r="BH1784" s="6"/>
      <c r="BI1784" s="6"/>
      <c r="BJ1784" s="6"/>
      <c r="BK1784" s="6"/>
      <c r="BL1784" s="6"/>
      <c r="BM1784" s="6"/>
      <c r="BN1784" s="6" t="e">
        <f t="shared" si="131"/>
        <v>#DIV/0!</v>
      </c>
    </row>
    <row r="1785" spans="49:66" x14ac:dyDescent="0.3">
      <c r="AW1785">
        <f t="shared" si="130"/>
        <v>0</v>
      </c>
      <c r="AX1785">
        <v>1782</v>
      </c>
      <c r="AY1785" s="4">
        <f t="shared" si="128"/>
        <v>42830</v>
      </c>
      <c r="AZ1785" s="6" t="e">
        <f t="shared" si="129"/>
        <v>#DIV/0!</v>
      </c>
      <c r="BA1785" s="4">
        <v>42830</v>
      </c>
      <c r="BB1785" s="6">
        <v>1.3844639999999999</v>
      </c>
      <c r="BC1785" s="6">
        <v>2.1606719999999999</v>
      </c>
      <c r="BD1785" s="6">
        <v>2.1928339999999999</v>
      </c>
      <c r="BE1785" s="6"/>
      <c r="BF1785" s="6"/>
      <c r="BG1785" s="6"/>
      <c r="BH1785" s="6"/>
      <c r="BI1785" s="6"/>
      <c r="BJ1785" s="6"/>
      <c r="BK1785" s="6"/>
      <c r="BL1785" s="6"/>
      <c r="BM1785" s="6"/>
      <c r="BN1785" s="6" t="e">
        <f t="shared" si="131"/>
        <v>#DIV/0!</v>
      </c>
    </row>
    <row r="1786" spans="49:66" x14ac:dyDescent="0.3">
      <c r="AW1786">
        <f t="shared" si="130"/>
        <v>0</v>
      </c>
      <c r="AX1786">
        <v>1783</v>
      </c>
      <c r="AY1786" s="4">
        <f t="shared" si="128"/>
        <v>42831</v>
      </c>
      <c r="AZ1786" s="6" t="e">
        <f t="shared" si="129"/>
        <v>#DIV/0!</v>
      </c>
      <c r="BA1786" s="4">
        <v>42831</v>
      </c>
      <c r="BB1786" s="6">
        <v>0.28978300000000001</v>
      </c>
      <c r="BC1786" s="6">
        <v>0.301012</v>
      </c>
      <c r="BD1786" s="6">
        <v>0.25408599999999998</v>
      </c>
      <c r="BE1786" s="6"/>
      <c r="BF1786" s="6"/>
      <c r="BG1786" s="6"/>
      <c r="BH1786" s="6"/>
      <c r="BI1786" s="6"/>
      <c r="BJ1786" s="6"/>
      <c r="BK1786" s="6"/>
      <c r="BL1786" s="6"/>
      <c r="BM1786" s="6"/>
      <c r="BN1786" s="6" t="e">
        <f t="shared" si="131"/>
        <v>#DIV/0!</v>
      </c>
    </row>
    <row r="1787" spans="49:66" x14ac:dyDescent="0.3">
      <c r="AW1787">
        <f t="shared" si="130"/>
        <v>0</v>
      </c>
      <c r="AX1787">
        <v>1784</v>
      </c>
      <c r="AY1787" s="4">
        <f t="shared" si="128"/>
        <v>42832</v>
      </c>
      <c r="AZ1787" s="6" t="e">
        <f t="shared" si="129"/>
        <v>#DIV/0!</v>
      </c>
      <c r="BA1787" s="4">
        <v>42832</v>
      </c>
      <c r="BB1787" s="6">
        <v>9.7224000000000005E-2</v>
      </c>
      <c r="BC1787" s="6">
        <v>0.29076800000000003</v>
      </c>
      <c r="BD1787" s="6">
        <v>1.2688E-2</v>
      </c>
      <c r="BE1787" s="6"/>
      <c r="BF1787" s="6"/>
      <c r="BG1787" s="6"/>
      <c r="BH1787" s="6"/>
      <c r="BI1787" s="6"/>
      <c r="BJ1787" s="6"/>
      <c r="BK1787" s="6"/>
      <c r="BL1787" s="6"/>
      <c r="BM1787" s="6"/>
      <c r="BN1787" s="6" t="e">
        <f t="shared" si="131"/>
        <v>#DIV/0!</v>
      </c>
    </row>
    <row r="1788" spans="49:66" x14ac:dyDescent="0.3">
      <c r="AW1788">
        <f t="shared" si="130"/>
        <v>0</v>
      </c>
      <c r="AX1788">
        <v>1785</v>
      </c>
      <c r="AY1788" s="4">
        <f t="shared" si="128"/>
        <v>42835</v>
      </c>
      <c r="AZ1788" s="6" t="e">
        <f t="shared" si="129"/>
        <v>#DIV/0!</v>
      </c>
      <c r="BA1788" s="4">
        <v>42835</v>
      </c>
      <c r="BB1788" s="6">
        <v>-0.35037200000000002</v>
      </c>
      <c r="BC1788" s="6">
        <v>-0.185171</v>
      </c>
      <c r="BD1788" s="6">
        <v>-1.1187009999999999</v>
      </c>
      <c r="BE1788" s="6"/>
      <c r="BF1788" s="6"/>
      <c r="BG1788" s="6"/>
      <c r="BH1788" s="6"/>
      <c r="BI1788" s="6"/>
      <c r="BJ1788" s="6"/>
      <c r="BK1788" s="6"/>
      <c r="BL1788" s="6"/>
      <c r="BM1788" s="6"/>
      <c r="BN1788" s="6" t="e">
        <f t="shared" si="131"/>
        <v>#DIV/0!</v>
      </c>
    </row>
    <row r="1789" spans="49:66" x14ac:dyDescent="0.3">
      <c r="AW1789">
        <f t="shared" si="130"/>
        <v>0</v>
      </c>
      <c r="AX1789">
        <v>1786</v>
      </c>
      <c r="AY1789" s="4">
        <f t="shared" si="128"/>
        <v>42836</v>
      </c>
      <c r="AZ1789" s="6" t="e">
        <f t="shared" si="129"/>
        <v>#DIV/0!</v>
      </c>
      <c r="BA1789" s="4">
        <v>42836</v>
      </c>
      <c r="BB1789" s="6">
        <v>0.34774100000000002</v>
      </c>
      <c r="BC1789" s="6">
        <v>0.95365200000000006</v>
      </c>
      <c r="BD1789" s="6">
        <v>0.77261100000000005</v>
      </c>
      <c r="BE1789" s="6"/>
      <c r="BF1789" s="6"/>
      <c r="BG1789" s="6"/>
      <c r="BH1789" s="6"/>
      <c r="BI1789" s="6"/>
      <c r="BJ1789" s="6"/>
      <c r="BK1789" s="6"/>
      <c r="BL1789" s="6"/>
      <c r="BM1789" s="6"/>
      <c r="BN1789" s="6" t="e">
        <f t="shared" si="131"/>
        <v>#DIV/0!</v>
      </c>
    </row>
    <row r="1790" spans="49:66" x14ac:dyDescent="0.3">
      <c r="AW1790">
        <f t="shared" si="130"/>
        <v>0</v>
      </c>
      <c r="AX1790">
        <v>1787</v>
      </c>
      <c r="AY1790" s="4">
        <f t="shared" si="128"/>
        <v>42837</v>
      </c>
      <c r="AZ1790" s="6" t="e">
        <f t="shared" si="129"/>
        <v>#DIV/0!</v>
      </c>
      <c r="BA1790" s="4">
        <v>42837</v>
      </c>
      <c r="BB1790" s="6">
        <v>-0.224298</v>
      </c>
      <c r="BC1790" s="6">
        <v>-0.794821</v>
      </c>
      <c r="BD1790" s="6">
        <v>-0.82262900000000005</v>
      </c>
      <c r="BE1790" s="6"/>
      <c r="BF1790" s="6"/>
      <c r="BG1790" s="6"/>
      <c r="BH1790" s="6"/>
      <c r="BI1790" s="6"/>
      <c r="BJ1790" s="6"/>
      <c r="BK1790" s="6"/>
      <c r="BL1790" s="6"/>
      <c r="BM1790" s="6"/>
      <c r="BN1790" s="6" t="e">
        <f t="shared" si="131"/>
        <v>#DIV/0!</v>
      </c>
    </row>
    <row r="1791" spans="49:66" x14ac:dyDescent="0.3">
      <c r="AW1791">
        <f t="shared" si="130"/>
        <v>0</v>
      </c>
      <c r="AX1791">
        <v>1788</v>
      </c>
      <c r="AY1791" s="4">
        <f t="shared" si="128"/>
        <v>42838</v>
      </c>
      <c r="AZ1791" s="6" t="e">
        <f t="shared" si="129"/>
        <v>#DIV/0!</v>
      </c>
      <c r="BA1791" s="4">
        <v>42838</v>
      </c>
      <c r="BB1791" s="6">
        <v>0.14610600000000001</v>
      </c>
      <c r="BC1791" s="6">
        <v>0.59649099999999999</v>
      </c>
      <c r="BD1791" s="6">
        <v>0.30694199999999999</v>
      </c>
      <c r="BE1791" s="6"/>
      <c r="BF1791" s="6"/>
      <c r="BG1791" s="6"/>
      <c r="BH1791" s="6"/>
      <c r="BI1791" s="6"/>
      <c r="BJ1791" s="6"/>
      <c r="BK1791" s="6"/>
      <c r="BL1791" s="6"/>
      <c r="BM1791" s="6"/>
      <c r="BN1791" s="6" t="e">
        <f t="shared" si="131"/>
        <v>#DIV/0!</v>
      </c>
    </row>
    <row r="1792" spans="49:66" x14ac:dyDescent="0.3">
      <c r="AW1792">
        <f t="shared" si="130"/>
        <v>0</v>
      </c>
      <c r="AX1792">
        <v>1789</v>
      </c>
      <c r="AY1792" s="4">
        <f t="shared" si="128"/>
        <v>42839</v>
      </c>
      <c r="AZ1792" s="6" t="e">
        <f t="shared" si="129"/>
        <v>#DIV/0!</v>
      </c>
      <c r="BA1792" s="4">
        <v>42839</v>
      </c>
      <c r="BB1792" s="6">
        <v>-0.79844000000000004</v>
      </c>
      <c r="BC1792" s="6">
        <v>-1.323242</v>
      </c>
      <c r="BD1792" s="6">
        <v>-1.471746</v>
      </c>
      <c r="BE1792" s="6"/>
      <c r="BF1792" s="6"/>
      <c r="BG1792" s="6"/>
      <c r="BH1792" s="6"/>
      <c r="BI1792" s="6"/>
      <c r="BJ1792" s="6"/>
      <c r="BK1792" s="6"/>
      <c r="BL1792" s="6"/>
      <c r="BM1792" s="6"/>
      <c r="BN1792" s="6" t="e">
        <f t="shared" si="131"/>
        <v>#DIV/0!</v>
      </c>
    </row>
    <row r="1793" spans="49:66" x14ac:dyDescent="0.3">
      <c r="AW1793">
        <f t="shared" si="130"/>
        <v>0</v>
      </c>
      <c r="AX1793">
        <v>1790</v>
      </c>
      <c r="AY1793" s="4">
        <f t="shared" si="128"/>
        <v>42842</v>
      </c>
      <c r="AZ1793" s="6" t="e">
        <f t="shared" si="129"/>
        <v>#DIV/0!</v>
      </c>
      <c r="BA1793" s="4">
        <v>42842</v>
      </c>
      <c r="BB1793" s="6">
        <v>-0.18823400000000001</v>
      </c>
      <c r="BC1793" s="6">
        <v>-1.096241</v>
      </c>
      <c r="BD1793" s="6">
        <v>-1.497725</v>
      </c>
      <c r="BE1793" s="6"/>
      <c r="BF1793" s="6"/>
      <c r="BG1793" s="6"/>
      <c r="BH1793" s="6"/>
      <c r="BI1793" s="6"/>
      <c r="BJ1793" s="6"/>
      <c r="BK1793" s="6"/>
      <c r="BL1793" s="6"/>
      <c r="BM1793" s="6"/>
      <c r="BN1793" s="6" t="e">
        <f t="shared" si="131"/>
        <v>#DIV/0!</v>
      </c>
    </row>
    <row r="1794" spans="49:66" x14ac:dyDescent="0.3">
      <c r="AW1794">
        <f t="shared" si="130"/>
        <v>0</v>
      </c>
      <c r="AX1794">
        <v>1791</v>
      </c>
      <c r="AY1794" s="4">
        <f t="shared" si="128"/>
        <v>42843</v>
      </c>
      <c r="AZ1794" s="6" t="e">
        <f t="shared" si="129"/>
        <v>#DIV/0!</v>
      </c>
      <c r="BA1794" s="4">
        <v>42843</v>
      </c>
      <c r="BB1794" s="6">
        <v>-0.49422700000000003</v>
      </c>
      <c r="BC1794" s="6">
        <v>-0.59453299999999998</v>
      </c>
      <c r="BD1794" s="6">
        <v>-1.024829</v>
      </c>
      <c r="BE1794" s="6"/>
      <c r="BF1794" s="6"/>
      <c r="BG1794" s="6"/>
      <c r="BH1794" s="6"/>
      <c r="BI1794" s="6"/>
      <c r="BJ1794" s="6"/>
      <c r="BK1794" s="6"/>
      <c r="BL1794" s="6"/>
      <c r="BM1794" s="6"/>
      <c r="BN1794" s="6" t="e">
        <f t="shared" si="131"/>
        <v>#DIV/0!</v>
      </c>
    </row>
    <row r="1795" spans="49:66" x14ac:dyDescent="0.3">
      <c r="AW1795">
        <f t="shared" si="130"/>
        <v>0</v>
      </c>
      <c r="AX1795">
        <v>1792</v>
      </c>
      <c r="AY1795" s="4">
        <f t="shared" si="128"/>
        <v>42844</v>
      </c>
      <c r="AZ1795" s="6" t="e">
        <f t="shared" si="129"/>
        <v>#DIV/0!</v>
      </c>
      <c r="BA1795" s="4">
        <v>42844</v>
      </c>
      <c r="BB1795" s="6">
        <v>-0.48709400000000003</v>
      </c>
      <c r="BC1795" s="6">
        <v>-1.0527059999999999</v>
      </c>
      <c r="BD1795" s="6">
        <v>-1.264764</v>
      </c>
      <c r="BE1795" s="6"/>
      <c r="BF1795" s="6"/>
      <c r="BG1795" s="6"/>
      <c r="BH1795" s="6"/>
      <c r="BI1795" s="6"/>
      <c r="BJ1795" s="6"/>
      <c r="BK1795" s="6"/>
      <c r="BL1795" s="6"/>
      <c r="BM1795" s="6"/>
      <c r="BN1795" s="6" t="e">
        <f t="shared" si="131"/>
        <v>#DIV/0!</v>
      </c>
    </row>
    <row r="1796" spans="49:66" x14ac:dyDescent="0.3">
      <c r="AW1796">
        <f t="shared" si="130"/>
        <v>0</v>
      </c>
      <c r="AX1796">
        <v>1793</v>
      </c>
      <c r="AY1796" s="4">
        <f t="shared" si="128"/>
        <v>42845</v>
      </c>
      <c r="AZ1796" s="6" t="e">
        <f t="shared" si="129"/>
        <v>#DIV/0!</v>
      </c>
      <c r="BA1796" s="4">
        <v>42845</v>
      </c>
      <c r="BB1796" s="6">
        <v>0.45480500000000001</v>
      </c>
      <c r="BC1796" s="6">
        <v>-4.5243999999999999E-2</v>
      </c>
      <c r="BD1796" s="6">
        <v>-0.57075699999999996</v>
      </c>
      <c r="BE1796" s="6"/>
      <c r="BF1796" s="6"/>
      <c r="BG1796" s="6"/>
      <c r="BH1796" s="6"/>
      <c r="BI1796" s="6"/>
      <c r="BJ1796" s="6"/>
      <c r="BK1796" s="6"/>
      <c r="BL1796" s="6"/>
      <c r="BM1796" s="6"/>
      <c r="BN1796" s="6" t="e">
        <f t="shared" si="131"/>
        <v>#DIV/0!</v>
      </c>
    </row>
    <row r="1797" spans="49:66" x14ac:dyDescent="0.3">
      <c r="AW1797">
        <f t="shared" si="130"/>
        <v>0</v>
      </c>
      <c r="AX1797">
        <v>1794</v>
      </c>
      <c r="AY1797" s="4">
        <f t="shared" ref="AY1797:AY1860" si="132">BA1797</f>
        <v>42846</v>
      </c>
      <c r="AZ1797" s="6" t="e">
        <f t="shared" ref="AZ1797:AZ1860" si="133">BN1797</f>
        <v>#DIV/0!</v>
      </c>
      <c r="BA1797" s="4">
        <v>42846</v>
      </c>
      <c r="BB1797" s="6">
        <v>0.15133099999999999</v>
      </c>
      <c r="BC1797" s="6">
        <v>-0.74136899999999994</v>
      </c>
      <c r="BD1797" s="6">
        <v>-0.52907700000000002</v>
      </c>
      <c r="BE1797" s="6"/>
      <c r="BF1797" s="6"/>
      <c r="BG1797" s="6"/>
      <c r="BH1797" s="6"/>
      <c r="BI1797" s="6"/>
      <c r="BJ1797" s="6"/>
      <c r="BK1797" s="6"/>
      <c r="BL1797" s="6"/>
      <c r="BM1797" s="6"/>
      <c r="BN1797" s="6" t="e">
        <f t="shared" si="131"/>
        <v>#DIV/0!</v>
      </c>
    </row>
    <row r="1798" spans="49:66" x14ac:dyDescent="0.3">
      <c r="AW1798">
        <f t="shared" ref="AW1798:AW1861" si="134">IF(AY1798&lt;=AY1797,1,0)</f>
        <v>0</v>
      </c>
      <c r="AX1798">
        <v>1795</v>
      </c>
      <c r="AY1798" s="4">
        <f t="shared" si="132"/>
        <v>42849</v>
      </c>
      <c r="AZ1798" s="6" t="e">
        <f t="shared" si="133"/>
        <v>#DIV/0!</v>
      </c>
      <c r="BA1798" s="4">
        <v>42849</v>
      </c>
      <c r="BB1798" s="6">
        <v>-1.024805</v>
      </c>
      <c r="BC1798" s="6">
        <v>-2.5744370000000001</v>
      </c>
      <c r="BD1798" s="6">
        <v>-3.1100449999999999</v>
      </c>
      <c r="BE1798" s="6"/>
      <c r="BF1798" s="6"/>
      <c r="BG1798" s="6"/>
      <c r="BH1798" s="6"/>
      <c r="BI1798" s="6"/>
      <c r="BJ1798" s="6"/>
      <c r="BK1798" s="6"/>
      <c r="BL1798" s="6"/>
      <c r="BM1798" s="6"/>
      <c r="BN1798" s="6" t="e">
        <f t="shared" ref="BN1798:BN1861" si="135">(BM1798/BM1797-1)*100</f>
        <v>#DIV/0!</v>
      </c>
    </row>
    <row r="1799" spans="49:66" x14ac:dyDescent="0.3">
      <c r="AW1799">
        <f t="shared" si="134"/>
        <v>0</v>
      </c>
      <c r="AX1799">
        <v>1796</v>
      </c>
      <c r="AY1799" s="4">
        <f t="shared" si="132"/>
        <v>42850</v>
      </c>
      <c r="AZ1799" s="6" t="e">
        <f t="shared" si="133"/>
        <v>#DIV/0!</v>
      </c>
      <c r="BA1799" s="4">
        <v>42850</v>
      </c>
      <c r="BB1799" s="6">
        <v>0.28315000000000001</v>
      </c>
      <c r="BC1799" s="6">
        <v>0.357682</v>
      </c>
      <c r="BD1799" s="6">
        <v>0.33402999999999999</v>
      </c>
      <c r="BE1799" s="6"/>
      <c r="BF1799" s="6"/>
      <c r="BG1799" s="6"/>
      <c r="BH1799" s="6"/>
      <c r="BI1799" s="6"/>
      <c r="BJ1799" s="6"/>
      <c r="BK1799" s="6"/>
      <c r="BL1799" s="6"/>
      <c r="BM1799" s="6"/>
      <c r="BN1799" s="6" t="e">
        <f t="shared" si="135"/>
        <v>#DIV/0!</v>
      </c>
    </row>
    <row r="1800" spans="49:66" x14ac:dyDescent="0.3">
      <c r="AW1800">
        <f t="shared" si="134"/>
        <v>0</v>
      </c>
      <c r="AX1800">
        <v>1797</v>
      </c>
      <c r="AY1800" s="4">
        <f t="shared" si="132"/>
        <v>42851</v>
      </c>
      <c r="AZ1800" s="6" t="e">
        <f t="shared" si="133"/>
        <v>#DIV/0!</v>
      </c>
      <c r="BA1800" s="4">
        <v>42851</v>
      </c>
      <c r="BB1800" s="6">
        <v>0.122317</v>
      </c>
      <c r="BC1800" s="6">
        <v>0.25869700000000001</v>
      </c>
      <c r="BD1800" s="6">
        <v>0.36179099999999997</v>
      </c>
      <c r="BE1800" s="6"/>
      <c r="BF1800" s="6"/>
      <c r="BG1800" s="6"/>
      <c r="BH1800" s="6"/>
      <c r="BI1800" s="6"/>
      <c r="BJ1800" s="6"/>
      <c r="BK1800" s="6"/>
      <c r="BL1800" s="6"/>
      <c r="BM1800" s="6"/>
      <c r="BN1800" s="6" t="e">
        <f t="shared" si="135"/>
        <v>#DIV/0!</v>
      </c>
    </row>
    <row r="1801" spans="49:66" x14ac:dyDescent="0.3">
      <c r="AW1801">
        <f t="shared" si="134"/>
        <v>0</v>
      </c>
      <c r="AX1801">
        <v>1798</v>
      </c>
      <c r="AY1801" s="4">
        <f t="shared" si="132"/>
        <v>42852</v>
      </c>
      <c r="AZ1801" s="6" t="e">
        <f t="shared" si="133"/>
        <v>#DIV/0!</v>
      </c>
      <c r="BA1801" s="4">
        <v>42852</v>
      </c>
      <c r="BB1801" s="6">
        <v>4.4613E-2</v>
      </c>
      <c r="BC1801" s="6">
        <v>0.25753399999999999</v>
      </c>
      <c r="BD1801" s="6">
        <v>0.60859300000000005</v>
      </c>
      <c r="BE1801" s="6"/>
      <c r="BF1801" s="6"/>
      <c r="BG1801" s="6"/>
      <c r="BH1801" s="6"/>
      <c r="BI1801" s="6"/>
      <c r="BJ1801" s="6"/>
      <c r="BK1801" s="6"/>
      <c r="BL1801" s="6"/>
      <c r="BM1801" s="6"/>
      <c r="BN1801" s="6" t="e">
        <f t="shared" si="135"/>
        <v>#DIV/0!</v>
      </c>
    </row>
    <row r="1802" spans="49:66" x14ac:dyDescent="0.3">
      <c r="AW1802">
        <f t="shared" si="134"/>
        <v>0</v>
      </c>
      <c r="AX1802">
        <v>1799</v>
      </c>
      <c r="AY1802" s="4">
        <f t="shared" si="132"/>
        <v>42853</v>
      </c>
      <c r="AZ1802" s="6" t="e">
        <f t="shared" si="133"/>
        <v>#DIV/0!</v>
      </c>
      <c r="BA1802" s="4">
        <v>42853</v>
      </c>
      <c r="BB1802" s="6">
        <v>-0.20213999999999999</v>
      </c>
      <c r="BC1802" s="6">
        <v>0.31584400000000001</v>
      </c>
      <c r="BD1802" s="6">
        <v>0.55083599999999999</v>
      </c>
      <c r="BE1802" s="6"/>
      <c r="BF1802" s="6"/>
      <c r="BG1802" s="6"/>
      <c r="BH1802" s="6"/>
      <c r="BI1802" s="6"/>
      <c r="BJ1802" s="6"/>
      <c r="BK1802" s="6"/>
      <c r="BL1802" s="6"/>
      <c r="BM1802" s="6"/>
      <c r="BN1802" s="6" t="e">
        <f t="shared" si="135"/>
        <v>#DIV/0!</v>
      </c>
    </row>
    <row r="1803" spans="49:66" x14ac:dyDescent="0.3">
      <c r="AW1803">
        <f t="shared" si="134"/>
        <v>0</v>
      </c>
      <c r="AX1803">
        <v>1800</v>
      </c>
      <c r="AY1803" s="4">
        <f t="shared" si="132"/>
        <v>42857</v>
      </c>
      <c r="AZ1803" s="6" t="e">
        <f t="shared" si="133"/>
        <v>#DIV/0!</v>
      </c>
      <c r="BA1803" s="4">
        <v>42857</v>
      </c>
      <c r="BB1803" s="6">
        <v>-0.38306200000000001</v>
      </c>
      <c r="BC1803" s="6">
        <v>6.8459000000000006E-2</v>
      </c>
      <c r="BD1803" s="6">
        <v>4.3171000000000001E-2</v>
      </c>
      <c r="BE1803" s="6"/>
      <c r="BF1803" s="6"/>
      <c r="BG1803" s="6"/>
      <c r="BH1803" s="6"/>
      <c r="BI1803" s="6"/>
      <c r="BJ1803" s="6"/>
      <c r="BK1803" s="6"/>
      <c r="BL1803" s="6"/>
      <c r="BM1803" s="6"/>
      <c r="BN1803" s="6" t="e">
        <f t="shared" si="135"/>
        <v>#DIV/0!</v>
      </c>
    </row>
    <row r="1804" spans="49:66" x14ac:dyDescent="0.3">
      <c r="AW1804">
        <f t="shared" si="134"/>
        <v>0</v>
      </c>
      <c r="AX1804">
        <v>1801</v>
      </c>
      <c r="AY1804" s="4">
        <f t="shared" si="132"/>
        <v>42858</v>
      </c>
      <c r="AZ1804" s="6" t="e">
        <f t="shared" si="133"/>
        <v>#DIV/0!</v>
      </c>
      <c r="BA1804" s="4">
        <v>42858</v>
      </c>
      <c r="BB1804" s="6">
        <v>-0.39247300000000002</v>
      </c>
      <c r="BC1804" s="6">
        <v>-0.299819</v>
      </c>
      <c r="BD1804" s="6">
        <v>-0.18903</v>
      </c>
      <c r="BE1804" s="6"/>
      <c r="BF1804" s="6"/>
      <c r="BG1804" s="6"/>
      <c r="BH1804" s="6"/>
      <c r="BI1804" s="6"/>
      <c r="BJ1804" s="6"/>
      <c r="BK1804" s="6"/>
      <c r="BL1804" s="6"/>
      <c r="BM1804" s="6"/>
      <c r="BN1804" s="6" t="e">
        <f t="shared" si="135"/>
        <v>#DIV/0!</v>
      </c>
    </row>
    <row r="1805" spans="49:66" x14ac:dyDescent="0.3">
      <c r="AW1805">
        <f t="shared" si="134"/>
        <v>0</v>
      </c>
      <c r="AX1805">
        <v>1802</v>
      </c>
      <c r="AY1805" s="4">
        <f t="shared" si="132"/>
        <v>42859</v>
      </c>
      <c r="AZ1805" s="6" t="e">
        <f t="shared" si="133"/>
        <v>#DIV/0!</v>
      </c>
      <c r="BA1805" s="4">
        <v>42859</v>
      </c>
      <c r="BB1805" s="6">
        <v>-0.25612299999999999</v>
      </c>
      <c r="BC1805" s="6">
        <v>-0.34163300000000002</v>
      </c>
      <c r="BD1805" s="6">
        <v>-0.33277000000000001</v>
      </c>
      <c r="BE1805" s="6"/>
      <c r="BF1805" s="6"/>
      <c r="BG1805" s="6"/>
      <c r="BH1805" s="6"/>
      <c r="BI1805" s="6"/>
      <c r="BJ1805" s="6"/>
      <c r="BK1805" s="6"/>
      <c r="BL1805" s="6"/>
      <c r="BM1805" s="6"/>
      <c r="BN1805" s="6" t="e">
        <f t="shared" si="135"/>
        <v>#DIV/0!</v>
      </c>
    </row>
    <row r="1806" spans="49:66" x14ac:dyDescent="0.3">
      <c r="AW1806">
        <f t="shared" si="134"/>
        <v>0</v>
      </c>
      <c r="AX1806">
        <v>1803</v>
      </c>
      <c r="AY1806" s="4">
        <f t="shared" si="132"/>
        <v>42860</v>
      </c>
      <c r="AZ1806" s="6" t="e">
        <f t="shared" si="133"/>
        <v>#DIV/0!</v>
      </c>
      <c r="BA1806" s="4">
        <v>42860</v>
      </c>
      <c r="BB1806" s="6">
        <v>-0.64141400000000004</v>
      </c>
      <c r="BC1806" s="6">
        <v>-1.4024970000000001</v>
      </c>
      <c r="BD1806" s="6">
        <v>-1.3365860000000001</v>
      </c>
      <c r="BE1806" s="6"/>
      <c r="BF1806" s="6"/>
      <c r="BG1806" s="6"/>
      <c r="BH1806" s="6"/>
      <c r="BI1806" s="6"/>
      <c r="BJ1806" s="6"/>
      <c r="BK1806" s="6"/>
      <c r="BL1806" s="6"/>
      <c r="BM1806" s="6"/>
      <c r="BN1806" s="6" t="e">
        <f t="shared" si="135"/>
        <v>#DIV/0!</v>
      </c>
    </row>
    <row r="1807" spans="49:66" x14ac:dyDescent="0.3">
      <c r="AW1807">
        <f t="shared" si="134"/>
        <v>0</v>
      </c>
      <c r="AX1807">
        <v>1804</v>
      </c>
      <c r="AY1807" s="4">
        <f t="shared" si="132"/>
        <v>42863</v>
      </c>
      <c r="AZ1807" s="6" t="e">
        <f t="shared" si="133"/>
        <v>#DIV/0!</v>
      </c>
      <c r="BA1807" s="4">
        <v>42863</v>
      </c>
      <c r="BB1807" s="6">
        <v>-0.70176899999999998</v>
      </c>
      <c r="BC1807" s="6">
        <v>-1.8743719999999999</v>
      </c>
      <c r="BD1807" s="6">
        <v>-1.882817</v>
      </c>
      <c r="BE1807" s="6"/>
      <c r="BF1807" s="6"/>
      <c r="BG1807" s="6"/>
      <c r="BH1807" s="6"/>
      <c r="BI1807" s="6"/>
      <c r="BJ1807" s="6"/>
      <c r="BK1807" s="6"/>
      <c r="BL1807" s="6"/>
      <c r="BM1807" s="6"/>
      <c r="BN1807" s="6" t="e">
        <f t="shared" si="135"/>
        <v>#DIV/0!</v>
      </c>
    </row>
    <row r="1808" spans="49:66" x14ac:dyDescent="0.3">
      <c r="AW1808">
        <f t="shared" si="134"/>
        <v>0</v>
      </c>
      <c r="AX1808">
        <v>1805</v>
      </c>
      <c r="AY1808" s="4">
        <f t="shared" si="132"/>
        <v>42864</v>
      </c>
      <c r="AZ1808" s="6" t="e">
        <f t="shared" si="133"/>
        <v>#DIV/0!</v>
      </c>
      <c r="BA1808" s="4">
        <v>42864</v>
      </c>
      <c r="BB1808" s="6">
        <v>-0.186974</v>
      </c>
      <c r="BC1808" s="6">
        <v>0.61018899999999998</v>
      </c>
      <c r="BD1808" s="6">
        <v>0.63106799999999996</v>
      </c>
      <c r="BE1808" s="6"/>
      <c r="BF1808" s="6"/>
      <c r="BG1808" s="6"/>
      <c r="BH1808" s="6"/>
      <c r="BI1808" s="6"/>
      <c r="BJ1808" s="6"/>
      <c r="BK1808" s="6"/>
      <c r="BL1808" s="6"/>
      <c r="BM1808" s="6"/>
      <c r="BN1808" s="6" t="e">
        <f t="shared" si="135"/>
        <v>#DIV/0!</v>
      </c>
    </row>
    <row r="1809" spans="49:66" x14ac:dyDescent="0.3">
      <c r="AW1809">
        <f t="shared" si="134"/>
        <v>0</v>
      </c>
      <c r="AX1809">
        <v>1806</v>
      </c>
      <c r="AY1809" s="4">
        <f t="shared" si="132"/>
        <v>42865</v>
      </c>
      <c r="AZ1809" s="6" t="e">
        <f t="shared" si="133"/>
        <v>#DIV/0!</v>
      </c>
      <c r="BA1809" s="4">
        <v>42865</v>
      </c>
      <c r="BB1809" s="6">
        <v>-0.44240299999999999</v>
      </c>
      <c r="BC1809" s="6">
        <v>-2.0984790000000002</v>
      </c>
      <c r="BD1809" s="6">
        <v>-1.9885120000000001</v>
      </c>
      <c r="BE1809" s="6"/>
      <c r="BF1809" s="6"/>
      <c r="BG1809" s="6"/>
      <c r="BH1809" s="6"/>
      <c r="BI1809" s="6"/>
      <c r="BJ1809" s="6"/>
      <c r="BK1809" s="6"/>
      <c r="BL1809" s="6"/>
      <c r="BM1809" s="6"/>
      <c r="BN1809" s="6" t="e">
        <f t="shared" si="135"/>
        <v>#DIV/0!</v>
      </c>
    </row>
    <row r="1810" spans="49:66" x14ac:dyDescent="0.3">
      <c r="AW1810">
        <f t="shared" si="134"/>
        <v>0</v>
      </c>
      <c r="AX1810">
        <v>1807</v>
      </c>
      <c r="AY1810" s="4">
        <f t="shared" si="132"/>
        <v>42866</v>
      </c>
      <c r="AZ1810" s="6" t="e">
        <f t="shared" si="133"/>
        <v>#DIV/0!</v>
      </c>
      <c r="BA1810" s="4">
        <v>42866</v>
      </c>
      <c r="BB1810" s="6">
        <v>0.56761200000000001</v>
      </c>
      <c r="BC1810" s="6">
        <v>-0.224299</v>
      </c>
      <c r="BD1810" s="6">
        <v>-0.86720900000000001</v>
      </c>
      <c r="BE1810" s="6"/>
      <c r="BF1810" s="6"/>
      <c r="BG1810" s="6"/>
      <c r="BH1810" s="6"/>
      <c r="BI1810" s="6"/>
      <c r="BJ1810" s="6"/>
      <c r="BK1810" s="6"/>
      <c r="BL1810" s="6"/>
      <c r="BM1810" s="6"/>
      <c r="BN1810" s="6" t="e">
        <f t="shared" si="135"/>
        <v>#DIV/0!</v>
      </c>
    </row>
    <row r="1811" spans="49:66" x14ac:dyDescent="0.3">
      <c r="AW1811">
        <f t="shared" si="134"/>
        <v>0</v>
      </c>
      <c r="AX1811">
        <v>1808</v>
      </c>
      <c r="AY1811" s="4">
        <f t="shared" si="132"/>
        <v>42867</v>
      </c>
      <c r="AZ1811" s="6" t="e">
        <f t="shared" si="133"/>
        <v>#DIV/0!</v>
      </c>
      <c r="BA1811" s="4">
        <v>42867</v>
      </c>
      <c r="BB1811" s="6">
        <v>0.85599700000000001</v>
      </c>
      <c r="BC1811" s="6">
        <v>-0.15079899999999999</v>
      </c>
      <c r="BD1811" s="6">
        <v>-0.214586</v>
      </c>
      <c r="BE1811" s="6"/>
      <c r="BF1811" s="6"/>
      <c r="BG1811" s="6"/>
      <c r="BH1811" s="6"/>
      <c r="BI1811" s="6"/>
      <c r="BJ1811" s="6"/>
      <c r="BK1811" s="6"/>
      <c r="BL1811" s="6"/>
      <c r="BM1811" s="6"/>
      <c r="BN1811" s="6" t="e">
        <f t="shared" si="135"/>
        <v>#DIV/0!</v>
      </c>
    </row>
    <row r="1812" spans="49:66" x14ac:dyDescent="0.3">
      <c r="AW1812">
        <f t="shared" si="134"/>
        <v>0</v>
      </c>
      <c r="AX1812">
        <v>1809</v>
      </c>
      <c r="AY1812" s="4">
        <f t="shared" si="132"/>
        <v>42870</v>
      </c>
      <c r="AZ1812" s="6" t="e">
        <f t="shared" si="133"/>
        <v>#DIV/0!</v>
      </c>
      <c r="BA1812" s="4">
        <v>42870</v>
      </c>
      <c r="BB1812" s="6">
        <v>0.408078</v>
      </c>
      <c r="BC1812" s="6">
        <v>0.50691299999999995</v>
      </c>
      <c r="BD1812" s="6">
        <v>0.27544400000000002</v>
      </c>
      <c r="BE1812" s="6"/>
      <c r="BF1812" s="6"/>
      <c r="BG1812" s="6"/>
      <c r="BH1812" s="6"/>
      <c r="BI1812" s="6"/>
      <c r="BJ1812" s="6"/>
      <c r="BK1812" s="6"/>
      <c r="BL1812" s="6"/>
      <c r="BM1812" s="6"/>
      <c r="BN1812" s="6" t="e">
        <f t="shared" si="135"/>
        <v>#DIV/0!</v>
      </c>
    </row>
    <row r="1813" spans="49:66" x14ac:dyDescent="0.3">
      <c r="AW1813">
        <f t="shared" si="134"/>
        <v>0</v>
      </c>
      <c r="AX1813">
        <v>1810</v>
      </c>
      <c r="AY1813" s="4">
        <f t="shared" si="132"/>
        <v>42871</v>
      </c>
      <c r="AZ1813" s="6" t="e">
        <f t="shared" si="133"/>
        <v>#DIV/0!</v>
      </c>
      <c r="BA1813" s="4">
        <v>42871</v>
      </c>
      <c r="BB1813" s="6">
        <v>0.86654100000000001</v>
      </c>
      <c r="BC1813" s="6">
        <v>2.0569570000000001</v>
      </c>
      <c r="BD1813" s="6">
        <v>2.1397179999999998</v>
      </c>
      <c r="BE1813" s="6"/>
      <c r="BF1813" s="6"/>
      <c r="BG1813" s="6"/>
      <c r="BH1813" s="6"/>
      <c r="BI1813" s="6"/>
      <c r="BJ1813" s="6"/>
      <c r="BK1813" s="6"/>
      <c r="BL1813" s="6"/>
      <c r="BM1813" s="6"/>
      <c r="BN1813" s="6" t="e">
        <f t="shared" si="135"/>
        <v>#DIV/0!</v>
      </c>
    </row>
    <row r="1814" spans="49:66" x14ac:dyDescent="0.3">
      <c r="AW1814">
        <f t="shared" si="134"/>
        <v>0</v>
      </c>
      <c r="AX1814">
        <v>1811</v>
      </c>
      <c r="AY1814" s="4">
        <f t="shared" si="132"/>
        <v>42872</v>
      </c>
      <c r="AZ1814" s="6" t="e">
        <f t="shared" si="133"/>
        <v>#DIV/0!</v>
      </c>
      <c r="BA1814" s="4">
        <v>42872</v>
      </c>
      <c r="BB1814" s="6">
        <v>-0.54492300000000005</v>
      </c>
      <c r="BC1814" s="6">
        <v>0.21473900000000001</v>
      </c>
      <c r="BD1814" s="6">
        <v>0.273835</v>
      </c>
      <c r="BE1814" s="6"/>
      <c r="BF1814" s="6"/>
      <c r="BG1814" s="6"/>
      <c r="BH1814" s="6"/>
      <c r="BI1814" s="6"/>
      <c r="BJ1814" s="6"/>
      <c r="BK1814" s="6"/>
      <c r="BL1814" s="6"/>
      <c r="BM1814" s="6"/>
      <c r="BN1814" s="6" t="e">
        <f t="shared" si="135"/>
        <v>#DIV/0!</v>
      </c>
    </row>
    <row r="1815" spans="49:66" x14ac:dyDescent="0.3">
      <c r="AW1815">
        <f t="shared" si="134"/>
        <v>0</v>
      </c>
      <c r="AX1815">
        <v>1812</v>
      </c>
      <c r="AY1815" s="4">
        <f t="shared" si="132"/>
        <v>42873</v>
      </c>
      <c r="AZ1815" s="6" t="e">
        <f t="shared" si="133"/>
        <v>#DIV/0!</v>
      </c>
      <c r="BA1815" s="4">
        <v>42873</v>
      </c>
      <c r="BB1815" s="6">
        <v>-0.34759600000000002</v>
      </c>
      <c r="BC1815" s="6">
        <v>-0.85191700000000004</v>
      </c>
      <c r="BD1815" s="6">
        <v>-0.67693999999999999</v>
      </c>
      <c r="BE1815" s="6"/>
      <c r="BF1815" s="6"/>
      <c r="BG1815" s="6"/>
      <c r="BH1815" s="6"/>
      <c r="BI1815" s="6"/>
      <c r="BJ1815" s="6"/>
      <c r="BK1815" s="6"/>
      <c r="BL1815" s="6"/>
      <c r="BM1815" s="6"/>
      <c r="BN1815" s="6" t="e">
        <f t="shared" si="135"/>
        <v>#DIV/0!</v>
      </c>
    </row>
    <row r="1816" spans="49:66" x14ac:dyDescent="0.3">
      <c r="AW1816">
        <f t="shared" si="134"/>
        <v>0</v>
      </c>
      <c r="AX1816">
        <v>1813</v>
      </c>
      <c r="AY1816" s="4">
        <f t="shared" si="132"/>
        <v>42874</v>
      </c>
      <c r="AZ1816" s="6" t="e">
        <f t="shared" si="133"/>
        <v>#DIV/0!</v>
      </c>
      <c r="BA1816" s="4">
        <v>42874</v>
      </c>
      <c r="BB1816" s="6">
        <v>0.16881399999999999</v>
      </c>
      <c r="BC1816" s="6">
        <v>-2.2131000000000001E-2</v>
      </c>
      <c r="BD1816" s="6">
        <v>-0.120825</v>
      </c>
      <c r="BE1816" s="6"/>
      <c r="BF1816" s="6"/>
      <c r="BG1816" s="6"/>
      <c r="BH1816" s="6"/>
      <c r="BI1816" s="6"/>
      <c r="BJ1816" s="6"/>
      <c r="BK1816" s="6"/>
      <c r="BL1816" s="6"/>
      <c r="BM1816" s="6"/>
      <c r="BN1816" s="6" t="e">
        <f t="shared" si="135"/>
        <v>#DIV/0!</v>
      </c>
    </row>
    <row r="1817" spans="49:66" x14ac:dyDescent="0.3">
      <c r="AW1817">
        <f t="shared" si="134"/>
        <v>0</v>
      </c>
      <c r="AX1817">
        <v>1814</v>
      </c>
      <c r="AY1817" s="4">
        <f t="shared" si="132"/>
        <v>42877</v>
      </c>
      <c r="AZ1817" s="6" t="e">
        <f t="shared" si="133"/>
        <v>#DIV/0!</v>
      </c>
      <c r="BA1817" s="4">
        <v>42877</v>
      </c>
      <c r="BB1817" s="6">
        <v>0.21709200000000001</v>
      </c>
      <c r="BC1817" s="6">
        <v>-1.442089</v>
      </c>
      <c r="BD1817" s="6">
        <v>-1.8284210000000001</v>
      </c>
      <c r="BE1817" s="6"/>
      <c r="BF1817" s="6"/>
      <c r="BG1817" s="6"/>
      <c r="BH1817" s="6"/>
      <c r="BI1817" s="6"/>
      <c r="BJ1817" s="6"/>
      <c r="BK1817" s="6"/>
      <c r="BL1817" s="6"/>
      <c r="BM1817" s="6"/>
      <c r="BN1817" s="6" t="e">
        <f t="shared" si="135"/>
        <v>#DIV/0!</v>
      </c>
    </row>
    <row r="1818" spans="49:66" x14ac:dyDescent="0.3">
      <c r="AW1818">
        <f t="shared" si="134"/>
        <v>0</v>
      </c>
      <c r="AX1818">
        <v>1815</v>
      </c>
      <c r="AY1818" s="4">
        <f t="shared" si="132"/>
        <v>42878</v>
      </c>
      <c r="AZ1818" s="6" t="e">
        <f t="shared" si="133"/>
        <v>#DIV/0!</v>
      </c>
      <c r="BA1818" s="4">
        <v>42878</v>
      </c>
      <c r="BB1818" s="6">
        <v>0.37978299999999998</v>
      </c>
      <c r="BC1818" s="6">
        <v>-2.1046140000000002</v>
      </c>
      <c r="BD1818" s="6">
        <v>-3.1813150000000001</v>
      </c>
      <c r="BE1818" s="6"/>
      <c r="BF1818" s="6"/>
      <c r="BG1818" s="6"/>
      <c r="BH1818" s="6"/>
      <c r="BI1818" s="6"/>
      <c r="BJ1818" s="6"/>
      <c r="BK1818" s="6"/>
      <c r="BL1818" s="6"/>
      <c r="BM1818" s="6"/>
      <c r="BN1818" s="6" t="e">
        <f t="shared" si="135"/>
        <v>#DIV/0!</v>
      </c>
    </row>
    <row r="1819" spans="49:66" x14ac:dyDescent="0.3">
      <c r="AW1819">
        <f t="shared" si="134"/>
        <v>0</v>
      </c>
      <c r="AX1819">
        <v>1816</v>
      </c>
      <c r="AY1819" s="4">
        <f t="shared" si="132"/>
        <v>42879</v>
      </c>
      <c r="AZ1819" s="6" t="e">
        <f t="shared" si="133"/>
        <v>#DIV/0!</v>
      </c>
      <c r="BA1819" s="4">
        <v>42879</v>
      </c>
      <c r="BB1819" s="6">
        <v>-7.9100000000000004E-4</v>
      </c>
      <c r="BC1819" s="6">
        <v>0.59626599999999996</v>
      </c>
      <c r="BD1819" s="6">
        <v>0.47497299999999998</v>
      </c>
      <c r="BE1819" s="6"/>
      <c r="BF1819" s="6"/>
      <c r="BG1819" s="6"/>
      <c r="BH1819" s="6"/>
      <c r="BI1819" s="6"/>
      <c r="BJ1819" s="6"/>
      <c r="BK1819" s="6"/>
      <c r="BL1819" s="6"/>
      <c r="BM1819" s="6"/>
      <c r="BN1819" s="6" t="e">
        <f t="shared" si="135"/>
        <v>#DIV/0!</v>
      </c>
    </row>
    <row r="1820" spans="49:66" x14ac:dyDescent="0.3">
      <c r="AW1820">
        <f t="shared" si="134"/>
        <v>0</v>
      </c>
      <c r="AX1820">
        <v>1817</v>
      </c>
      <c r="AY1820" s="4">
        <f t="shared" si="132"/>
        <v>42880</v>
      </c>
      <c r="AZ1820" s="6" t="e">
        <f t="shared" si="133"/>
        <v>#DIV/0!</v>
      </c>
      <c r="BA1820" s="4">
        <v>42880</v>
      </c>
      <c r="BB1820" s="6">
        <v>1.7958000000000001</v>
      </c>
      <c r="BC1820" s="6">
        <v>0.88892000000000004</v>
      </c>
      <c r="BD1820" s="6">
        <v>0.84337799999999996</v>
      </c>
      <c r="BE1820" s="6"/>
      <c r="BF1820" s="6"/>
      <c r="BG1820" s="6"/>
      <c r="BH1820" s="6"/>
      <c r="BI1820" s="6"/>
      <c r="BJ1820" s="6"/>
      <c r="BK1820" s="6"/>
      <c r="BL1820" s="6"/>
      <c r="BM1820" s="6"/>
      <c r="BN1820" s="6" t="e">
        <f t="shared" si="135"/>
        <v>#DIV/0!</v>
      </c>
    </row>
    <row r="1821" spans="49:66" x14ac:dyDescent="0.3">
      <c r="AW1821">
        <f t="shared" si="134"/>
        <v>0</v>
      </c>
      <c r="AX1821">
        <v>1818</v>
      </c>
      <c r="AY1821" s="4">
        <f t="shared" si="132"/>
        <v>42881</v>
      </c>
      <c r="AZ1821" s="6" t="e">
        <f t="shared" si="133"/>
        <v>#DIV/0!</v>
      </c>
      <c r="BA1821" s="4">
        <v>42881</v>
      </c>
      <c r="BB1821" s="6">
        <v>-0.14985999999999999</v>
      </c>
      <c r="BC1821" s="6">
        <v>-0.237007</v>
      </c>
      <c r="BD1821" s="6">
        <v>9.7769999999999992E-3</v>
      </c>
      <c r="BE1821" s="6"/>
      <c r="BF1821" s="6"/>
      <c r="BG1821" s="6"/>
      <c r="BH1821" s="6"/>
      <c r="BI1821" s="6"/>
      <c r="BJ1821" s="6"/>
      <c r="BK1821" s="6"/>
      <c r="BL1821" s="6"/>
      <c r="BM1821" s="6"/>
      <c r="BN1821" s="6" t="e">
        <f t="shared" si="135"/>
        <v>#DIV/0!</v>
      </c>
    </row>
    <row r="1822" spans="49:66" x14ac:dyDescent="0.3">
      <c r="AW1822">
        <f t="shared" si="134"/>
        <v>0</v>
      </c>
      <c r="AX1822">
        <v>1819</v>
      </c>
      <c r="AY1822" s="4">
        <f t="shared" si="132"/>
        <v>42886</v>
      </c>
      <c r="AZ1822" s="6" t="e">
        <f t="shared" si="133"/>
        <v>#DIV/0!</v>
      </c>
      <c r="BA1822" s="4">
        <v>42886</v>
      </c>
      <c r="BB1822" s="6">
        <v>0.35771399999999998</v>
      </c>
      <c r="BC1822" s="6">
        <v>-0.2198</v>
      </c>
      <c r="BD1822" s="6">
        <v>-0.285381</v>
      </c>
      <c r="BE1822" s="6"/>
      <c r="BF1822" s="6"/>
      <c r="BG1822" s="6"/>
      <c r="BH1822" s="6"/>
      <c r="BI1822" s="6"/>
      <c r="BJ1822" s="6"/>
      <c r="BK1822" s="6"/>
      <c r="BL1822" s="6"/>
      <c r="BM1822" s="6"/>
      <c r="BN1822" s="6" t="e">
        <f t="shared" si="135"/>
        <v>#DIV/0!</v>
      </c>
    </row>
    <row r="1823" spans="49:66" x14ac:dyDescent="0.3">
      <c r="AW1823">
        <f t="shared" si="134"/>
        <v>0</v>
      </c>
      <c r="AX1823">
        <v>1820</v>
      </c>
      <c r="AY1823" s="4">
        <f t="shared" si="132"/>
        <v>42887</v>
      </c>
      <c r="AZ1823" s="6" t="e">
        <f t="shared" si="133"/>
        <v>#DIV/0!</v>
      </c>
      <c r="BA1823" s="4">
        <v>42887</v>
      </c>
      <c r="BB1823" s="6">
        <v>0.13896</v>
      </c>
      <c r="BC1823" s="6">
        <v>-1.959182</v>
      </c>
      <c r="BD1823" s="6">
        <v>-2.7228629999999998</v>
      </c>
      <c r="BE1823" s="6"/>
      <c r="BF1823" s="6"/>
      <c r="BG1823" s="6"/>
      <c r="BH1823" s="6"/>
      <c r="BI1823" s="6"/>
      <c r="BJ1823" s="6"/>
      <c r="BK1823" s="6"/>
      <c r="BL1823" s="6"/>
      <c r="BM1823" s="6"/>
      <c r="BN1823" s="6" t="e">
        <f t="shared" si="135"/>
        <v>#DIV/0!</v>
      </c>
    </row>
    <row r="1824" spans="49:66" x14ac:dyDescent="0.3">
      <c r="AW1824">
        <f t="shared" si="134"/>
        <v>0</v>
      </c>
      <c r="AX1824">
        <v>1821</v>
      </c>
      <c r="AY1824" s="4">
        <f t="shared" si="132"/>
        <v>42888</v>
      </c>
      <c r="AZ1824" s="6" t="e">
        <f t="shared" si="133"/>
        <v>#DIV/0!</v>
      </c>
      <c r="BA1824" s="4">
        <v>42888</v>
      </c>
      <c r="BB1824" s="6">
        <v>-0.32108700000000001</v>
      </c>
      <c r="BC1824" s="6">
        <v>1.094886</v>
      </c>
      <c r="BD1824" s="6">
        <v>1.1134550000000001</v>
      </c>
      <c r="BE1824" s="6"/>
      <c r="BF1824" s="6"/>
      <c r="BG1824" s="6"/>
      <c r="BH1824" s="6"/>
      <c r="BI1824" s="6"/>
      <c r="BJ1824" s="6"/>
      <c r="BK1824" s="6"/>
      <c r="BL1824" s="6"/>
      <c r="BM1824" s="6"/>
      <c r="BN1824" s="6" t="e">
        <f t="shared" si="135"/>
        <v>#DIV/0!</v>
      </c>
    </row>
    <row r="1825" spans="49:66" x14ac:dyDescent="0.3">
      <c r="AW1825">
        <f t="shared" si="134"/>
        <v>0</v>
      </c>
      <c r="AX1825">
        <v>1822</v>
      </c>
      <c r="AY1825" s="4">
        <f t="shared" si="132"/>
        <v>42891</v>
      </c>
      <c r="AZ1825" s="6" t="e">
        <f t="shared" si="133"/>
        <v>#DIV/0!</v>
      </c>
      <c r="BA1825" s="4">
        <v>42891</v>
      </c>
      <c r="BB1825" s="6">
        <v>-0.50920900000000002</v>
      </c>
      <c r="BC1825" s="6">
        <v>0.74984300000000004</v>
      </c>
      <c r="BD1825" s="6">
        <v>0.93171599999999999</v>
      </c>
      <c r="BE1825" s="6"/>
      <c r="BF1825" s="6"/>
      <c r="BG1825" s="6"/>
      <c r="BH1825" s="6"/>
      <c r="BI1825" s="6"/>
      <c r="BJ1825" s="6"/>
      <c r="BK1825" s="6"/>
      <c r="BL1825" s="6"/>
      <c r="BM1825" s="6"/>
      <c r="BN1825" s="6" t="e">
        <f t="shared" si="135"/>
        <v>#DIV/0!</v>
      </c>
    </row>
    <row r="1826" spans="49:66" x14ac:dyDescent="0.3">
      <c r="AW1826">
        <f t="shared" si="134"/>
        <v>0</v>
      </c>
      <c r="AX1826">
        <v>1823</v>
      </c>
      <c r="AY1826" s="4">
        <f t="shared" si="132"/>
        <v>42892</v>
      </c>
      <c r="AZ1826" s="6" t="e">
        <f t="shared" si="133"/>
        <v>#DIV/0!</v>
      </c>
      <c r="BA1826" s="4">
        <v>42892</v>
      </c>
      <c r="BB1826" s="6">
        <v>0.69557500000000005</v>
      </c>
      <c r="BC1826" s="6">
        <v>0.44226100000000002</v>
      </c>
      <c r="BD1826" s="6">
        <v>0.51798299999999997</v>
      </c>
      <c r="BE1826" s="6"/>
      <c r="BF1826" s="6"/>
      <c r="BG1826" s="6"/>
      <c r="BH1826" s="6"/>
      <c r="BI1826" s="6"/>
      <c r="BJ1826" s="6"/>
      <c r="BK1826" s="6"/>
      <c r="BL1826" s="6"/>
      <c r="BM1826" s="6"/>
      <c r="BN1826" s="6" t="e">
        <f t="shared" si="135"/>
        <v>#DIV/0!</v>
      </c>
    </row>
    <row r="1827" spans="49:66" x14ac:dyDescent="0.3">
      <c r="AW1827">
        <f t="shared" si="134"/>
        <v>0</v>
      </c>
      <c r="AX1827">
        <v>1824</v>
      </c>
      <c r="AY1827" s="4">
        <f t="shared" si="132"/>
        <v>42893</v>
      </c>
      <c r="AZ1827" s="6" t="e">
        <f t="shared" si="133"/>
        <v>#DIV/0!</v>
      </c>
      <c r="BA1827" s="4">
        <v>42893</v>
      </c>
      <c r="BB1827" s="6">
        <v>1.173535</v>
      </c>
      <c r="BC1827" s="6">
        <v>1.9428510000000001</v>
      </c>
      <c r="BD1827" s="6">
        <v>2.083742</v>
      </c>
      <c r="BE1827" s="6"/>
      <c r="BF1827" s="6"/>
      <c r="BG1827" s="6"/>
      <c r="BH1827" s="6"/>
      <c r="BI1827" s="6"/>
      <c r="BJ1827" s="6"/>
      <c r="BK1827" s="6"/>
      <c r="BL1827" s="6"/>
      <c r="BM1827" s="6"/>
      <c r="BN1827" s="6" t="e">
        <f t="shared" si="135"/>
        <v>#DIV/0!</v>
      </c>
    </row>
    <row r="1828" spans="49:66" x14ac:dyDescent="0.3">
      <c r="AW1828">
        <f t="shared" si="134"/>
        <v>0</v>
      </c>
      <c r="AX1828">
        <v>1825</v>
      </c>
      <c r="AY1828" s="4">
        <f t="shared" si="132"/>
        <v>42894</v>
      </c>
      <c r="AZ1828" s="6" t="e">
        <f t="shared" si="133"/>
        <v>#DIV/0!</v>
      </c>
      <c r="BA1828" s="4">
        <v>42894</v>
      </c>
      <c r="BB1828" s="6">
        <v>0.76705699999999999</v>
      </c>
      <c r="BC1828" s="6">
        <v>6.6527000000000003E-2</v>
      </c>
      <c r="BD1828" s="6">
        <v>-6.9616999999999998E-2</v>
      </c>
      <c r="BE1828" s="6"/>
      <c r="BF1828" s="6"/>
      <c r="BG1828" s="6"/>
      <c r="BH1828" s="6"/>
      <c r="BI1828" s="6"/>
      <c r="BJ1828" s="6"/>
      <c r="BK1828" s="6"/>
      <c r="BL1828" s="6"/>
      <c r="BM1828" s="6"/>
      <c r="BN1828" s="6" t="e">
        <f t="shared" si="135"/>
        <v>#DIV/0!</v>
      </c>
    </row>
    <row r="1829" spans="49:66" x14ac:dyDescent="0.3">
      <c r="AW1829">
        <f t="shared" si="134"/>
        <v>0</v>
      </c>
      <c r="AX1829">
        <v>1826</v>
      </c>
      <c r="AY1829" s="4">
        <f t="shared" si="132"/>
        <v>42895</v>
      </c>
      <c r="AZ1829" s="6" t="e">
        <f t="shared" si="133"/>
        <v>#DIV/0!</v>
      </c>
      <c r="BA1829" s="4">
        <v>42895</v>
      </c>
      <c r="BB1829" s="6">
        <v>0.426616</v>
      </c>
      <c r="BC1829" s="6">
        <v>0.17280000000000001</v>
      </c>
      <c r="BD1829" s="6">
        <v>8.2241999999999996E-2</v>
      </c>
      <c r="BE1829" s="6"/>
      <c r="BF1829" s="6"/>
      <c r="BG1829" s="6"/>
      <c r="BH1829" s="6"/>
      <c r="BI1829" s="6"/>
      <c r="BJ1829" s="6"/>
      <c r="BK1829" s="6"/>
      <c r="BL1829" s="6"/>
      <c r="BM1829" s="6"/>
      <c r="BN1829" s="6" t="e">
        <f t="shared" si="135"/>
        <v>#DIV/0!</v>
      </c>
    </row>
    <row r="1830" spans="49:66" x14ac:dyDescent="0.3">
      <c r="AW1830">
        <f t="shared" si="134"/>
        <v>0</v>
      </c>
      <c r="AX1830">
        <v>1827</v>
      </c>
      <c r="AY1830" s="4">
        <f t="shared" si="132"/>
        <v>42898</v>
      </c>
      <c r="AZ1830" s="6" t="e">
        <f t="shared" si="133"/>
        <v>#DIV/0!</v>
      </c>
      <c r="BA1830" s="4">
        <v>42898</v>
      </c>
      <c r="BB1830" s="6">
        <v>-4.9799000000000003E-2</v>
      </c>
      <c r="BC1830" s="6">
        <v>-1.112681</v>
      </c>
      <c r="BD1830" s="6">
        <v>-1.3854230000000001</v>
      </c>
      <c r="BE1830" s="6"/>
      <c r="BF1830" s="6"/>
      <c r="BG1830" s="6"/>
      <c r="BH1830" s="6"/>
      <c r="BI1830" s="6"/>
      <c r="BJ1830" s="6"/>
      <c r="BK1830" s="6"/>
      <c r="BL1830" s="6"/>
      <c r="BM1830" s="6"/>
      <c r="BN1830" s="6" t="e">
        <f t="shared" si="135"/>
        <v>#DIV/0!</v>
      </c>
    </row>
    <row r="1831" spans="49:66" x14ac:dyDescent="0.3">
      <c r="AW1831">
        <f t="shared" si="134"/>
        <v>0</v>
      </c>
      <c r="AX1831">
        <v>1828</v>
      </c>
      <c r="AY1831" s="4">
        <f t="shared" si="132"/>
        <v>42899</v>
      </c>
      <c r="AZ1831" s="6" t="e">
        <f t="shared" si="133"/>
        <v>#DIV/0!</v>
      </c>
      <c r="BA1831" s="4">
        <v>42899</v>
      </c>
      <c r="BB1831" s="6">
        <v>0.22040100000000001</v>
      </c>
      <c r="BC1831" s="6">
        <v>1.3078669999999999</v>
      </c>
      <c r="BD1831" s="6">
        <v>1.46637</v>
      </c>
      <c r="BE1831" s="6"/>
      <c r="BF1831" s="6"/>
      <c r="BG1831" s="6"/>
      <c r="BH1831" s="6"/>
      <c r="BI1831" s="6"/>
      <c r="BJ1831" s="6"/>
      <c r="BK1831" s="6"/>
      <c r="BL1831" s="6"/>
      <c r="BM1831" s="6"/>
      <c r="BN1831" s="6" t="e">
        <f t="shared" si="135"/>
        <v>#DIV/0!</v>
      </c>
    </row>
    <row r="1832" spans="49:66" x14ac:dyDescent="0.3">
      <c r="AW1832">
        <f t="shared" si="134"/>
        <v>0</v>
      </c>
      <c r="AX1832">
        <v>1829</v>
      </c>
      <c r="AY1832" s="4">
        <f t="shared" si="132"/>
        <v>42900</v>
      </c>
      <c r="AZ1832" s="6" t="e">
        <f t="shared" si="133"/>
        <v>#DIV/0!</v>
      </c>
      <c r="BA1832" s="4">
        <v>42900</v>
      </c>
      <c r="BB1832" s="6">
        <v>-1.3111440000000001</v>
      </c>
      <c r="BC1832" s="6">
        <v>-0.22784399999999999</v>
      </c>
      <c r="BD1832" s="6">
        <v>0.13435900000000001</v>
      </c>
      <c r="BE1832" s="6"/>
      <c r="BF1832" s="6"/>
      <c r="BG1832" s="6"/>
      <c r="BH1832" s="6"/>
      <c r="BI1832" s="6"/>
      <c r="BJ1832" s="6"/>
      <c r="BK1832" s="6"/>
      <c r="BL1832" s="6"/>
      <c r="BM1832" s="6"/>
      <c r="BN1832" s="6" t="e">
        <f t="shared" si="135"/>
        <v>#DIV/0!</v>
      </c>
    </row>
    <row r="1833" spans="49:66" x14ac:dyDescent="0.3">
      <c r="AW1833">
        <f t="shared" si="134"/>
        <v>0</v>
      </c>
      <c r="AX1833">
        <v>1830</v>
      </c>
      <c r="AY1833" s="4">
        <f t="shared" si="132"/>
        <v>42901</v>
      </c>
      <c r="AZ1833" s="6" t="e">
        <f t="shared" si="133"/>
        <v>#DIV/0!</v>
      </c>
      <c r="BA1833" s="4">
        <v>42901</v>
      </c>
      <c r="BB1833" s="6">
        <v>-0.184033</v>
      </c>
      <c r="BC1833" s="6">
        <v>0.91736099999999998</v>
      </c>
      <c r="BD1833" s="6">
        <v>1.2567390000000001</v>
      </c>
      <c r="BE1833" s="6"/>
      <c r="BF1833" s="6"/>
      <c r="BG1833" s="6"/>
      <c r="BH1833" s="6"/>
      <c r="BI1833" s="6"/>
      <c r="BJ1833" s="6"/>
      <c r="BK1833" s="6"/>
      <c r="BL1833" s="6"/>
      <c r="BM1833" s="6"/>
      <c r="BN1833" s="6" t="e">
        <f t="shared" si="135"/>
        <v>#DIV/0!</v>
      </c>
    </row>
    <row r="1834" spans="49:66" x14ac:dyDescent="0.3">
      <c r="AW1834">
        <f t="shared" si="134"/>
        <v>0</v>
      </c>
      <c r="AX1834">
        <v>1831</v>
      </c>
      <c r="AY1834" s="4">
        <f t="shared" si="132"/>
        <v>42902</v>
      </c>
      <c r="AZ1834" s="6" t="e">
        <f t="shared" si="133"/>
        <v>#DIV/0!</v>
      </c>
      <c r="BA1834" s="4">
        <v>42902</v>
      </c>
      <c r="BB1834" s="6">
        <v>-0.28427599999999997</v>
      </c>
      <c r="BC1834" s="6">
        <v>-0.13561300000000001</v>
      </c>
      <c r="BD1834" s="6">
        <v>-0.16678399999999999</v>
      </c>
      <c r="BE1834" s="6"/>
      <c r="BF1834" s="6"/>
      <c r="BG1834" s="6"/>
      <c r="BH1834" s="6"/>
      <c r="BI1834" s="6"/>
      <c r="BJ1834" s="6"/>
      <c r="BK1834" s="6"/>
      <c r="BL1834" s="6"/>
      <c r="BM1834" s="6"/>
      <c r="BN1834" s="6" t="e">
        <f t="shared" si="135"/>
        <v>#DIV/0!</v>
      </c>
    </row>
    <row r="1835" spans="49:66" x14ac:dyDescent="0.3">
      <c r="AW1835">
        <f t="shared" si="134"/>
        <v>0</v>
      </c>
      <c r="AX1835">
        <v>1832</v>
      </c>
      <c r="AY1835" s="4">
        <f t="shared" si="132"/>
        <v>42905</v>
      </c>
      <c r="AZ1835" s="6" t="e">
        <f t="shared" si="133"/>
        <v>#DIV/0!</v>
      </c>
      <c r="BA1835" s="4">
        <v>42905</v>
      </c>
      <c r="BB1835" s="6">
        <v>0.99194599999999999</v>
      </c>
      <c r="BC1835" s="6">
        <v>0.73859799999999998</v>
      </c>
      <c r="BD1835" s="6">
        <v>0.62887800000000005</v>
      </c>
      <c r="BE1835" s="6"/>
      <c r="BF1835" s="6"/>
      <c r="BG1835" s="6"/>
      <c r="BH1835" s="6"/>
      <c r="BI1835" s="6"/>
      <c r="BJ1835" s="6"/>
      <c r="BK1835" s="6"/>
      <c r="BL1835" s="6"/>
      <c r="BM1835" s="6"/>
      <c r="BN1835" s="6" t="e">
        <f t="shared" si="135"/>
        <v>#DIV/0!</v>
      </c>
    </row>
    <row r="1836" spans="49:66" x14ac:dyDescent="0.3">
      <c r="AW1836">
        <f t="shared" si="134"/>
        <v>0</v>
      </c>
      <c r="AX1836">
        <v>1833</v>
      </c>
      <c r="AY1836" s="4">
        <f t="shared" si="132"/>
        <v>42906</v>
      </c>
      <c r="AZ1836" s="6" t="e">
        <f t="shared" si="133"/>
        <v>#DIV/0!</v>
      </c>
      <c r="BA1836" s="4">
        <v>42906</v>
      </c>
      <c r="BB1836" s="6">
        <v>-0.20180000000000001</v>
      </c>
      <c r="BC1836" s="6">
        <v>0.156719</v>
      </c>
      <c r="BD1836" s="6">
        <v>0.18746099999999999</v>
      </c>
      <c r="BE1836" s="6"/>
      <c r="BF1836" s="6"/>
      <c r="BG1836" s="6"/>
      <c r="BH1836" s="6"/>
      <c r="BI1836" s="6"/>
      <c r="BJ1836" s="6"/>
      <c r="BK1836" s="6"/>
      <c r="BL1836" s="6"/>
      <c r="BM1836" s="6"/>
      <c r="BN1836" s="6" t="e">
        <f t="shared" si="135"/>
        <v>#DIV/0!</v>
      </c>
    </row>
    <row r="1837" spans="49:66" x14ac:dyDescent="0.3">
      <c r="AW1837">
        <f t="shared" si="134"/>
        <v>0</v>
      </c>
      <c r="AX1837">
        <v>1834</v>
      </c>
      <c r="AY1837" s="4">
        <f t="shared" si="132"/>
        <v>42907</v>
      </c>
      <c r="AZ1837" s="6" t="e">
        <f t="shared" si="133"/>
        <v>#DIV/0!</v>
      </c>
      <c r="BA1837" s="4">
        <v>42907</v>
      </c>
      <c r="BB1837" s="6">
        <v>1.1690700000000001</v>
      </c>
      <c r="BC1837" s="6">
        <v>0.186057</v>
      </c>
      <c r="BD1837" s="6">
        <v>5.2170000000000003E-3</v>
      </c>
      <c r="BE1837" s="6"/>
      <c r="BF1837" s="6"/>
      <c r="BG1837" s="6"/>
      <c r="BH1837" s="6"/>
      <c r="BI1837" s="6"/>
      <c r="BJ1837" s="6"/>
      <c r="BK1837" s="6"/>
      <c r="BL1837" s="6"/>
      <c r="BM1837" s="6"/>
      <c r="BN1837" s="6" t="e">
        <f t="shared" si="135"/>
        <v>#DIV/0!</v>
      </c>
    </row>
    <row r="1838" spans="49:66" x14ac:dyDescent="0.3">
      <c r="AW1838">
        <f t="shared" si="134"/>
        <v>0</v>
      </c>
      <c r="AX1838">
        <v>1835</v>
      </c>
      <c r="AY1838" s="4">
        <f t="shared" si="132"/>
        <v>42908</v>
      </c>
      <c r="AZ1838" s="6" t="e">
        <f t="shared" si="133"/>
        <v>#DIV/0!</v>
      </c>
      <c r="BA1838" s="4">
        <v>42908</v>
      </c>
      <c r="BB1838" s="6">
        <v>6.6542000000000004E-2</v>
      </c>
      <c r="BC1838" s="6">
        <v>-1.412547</v>
      </c>
      <c r="BD1838" s="6">
        <v>-1.7620880000000001</v>
      </c>
      <c r="BE1838" s="6"/>
      <c r="BF1838" s="6"/>
      <c r="BG1838" s="6"/>
      <c r="BH1838" s="6"/>
      <c r="BI1838" s="6"/>
      <c r="BJ1838" s="6"/>
      <c r="BK1838" s="6"/>
      <c r="BL1838" s="6"/>
      <c r="BM1838" s="6"/>
      <c r="BN1838" s="6" t="e">
        <f t="shared" si="135"/>
        <v>#DIV/0!</v>
      </c>
    </row>
    <row r="1839" spans="49:66" x14ac:dyDescent="0.3">
      <c r="AW1839">
        <f t="shared" si="134"/>
        <v>0</v>
      </c>
      <c r="AX1839">
        <v>1836</v>
      </c>
      <c r="AY1839" s="4">
        <f t="shared" si="132"/>
        <v>42909</v>
      </c>
      <c r="AZ1839" s="6" t="e">
        <f t="shared" si="133"/>
        <v>#DIV/0!</v>
      </c>
      <c r="BA1839" s="4">
        <v>42909</v>
      </c>
      <c r="BB1839" s="6">
        <v>0.90633699999999995</v>
      </c>
      <c r="BC1839" s="6">
        <v>0.30002499999999999</v>
      </c>
      <c r="BD1839" s="6">
        <v>6.3804E-2</v>
      </c>
      <c r="BE1839" s="6"/>
      <c r="BF1839" s="6"/>
      <c r="BG1839" s="6"/>
      <c r="BH1839" s="6"/>
      <c r="BI1839" s="6"/>
      <c r="BJ1839" s="6"/>
      <c r="BK1839" s="6"/>
      <c r="BL1839" s="6"/>
      <c r="BM1839" s="6"/>
      <c r="BN1839" s="6" t="e">
        <f t="shared" si="135"/>
        <v>#DIV/0!</v>
      </c>
    </row>
    <row r="1840" spans="49:66" x14ac:dyDescent="0.3">
      <c r="AW1840">
        <f t="shared" si="134"/>
        <v>0</v>
      </c>
      <c r="AX1840">
        <v>1837</v>
      </c>
      <c r="AY1840" s="4">
        <f t="shared" si="132"/>
        <v>42912</v>
      </c>
      <c r="AZ1840" s="6" t="e">
        <f t="shared" si="133"/>
        <v>#DIV/0!</v>
      </c>
      <c r="BA1840" s="4">
        <v>42912</v>
      </c>
      <c r="BB1840" s="6">
        <v>1.247868</v>
      </c>
      <c r="BC1840" s="6">
        <v>1.6858839999999999</v>
      </c>
      <c r="BD1840" s="6">
        <v>1.158118</v>
      </c>
      <c r="BE1840" s="6"/>
      <c r="BF1840" s="6"/>
      <c r="BG1840" s="6"/>
      <c r="BH1840" s="6"/>
      <c r="BI1840" s="6"/>
      <c r="BJ1840" s="6"/>
      <c r="BK1840" s="6"/>
      <c r="BL1840" s="6"/>
      <c r="BM1840" s="6"/>
      <c r="BN1840" s="6" t="e">
        <f t="shared" si="135"/>
        <v>#DIV/0!</v>
      </c>
    </row>
    <row r="1841" spans="49:66" x14ac:dyDescent="0.3">
      <c r="AW1841">
        <f t="shared" si="134"/>
        <v>0</v>
      </c>
      <c r="AX1841">
        <v>1838</v>
      </c>
      <c r="AY1841" s="4">
        <f t="shared" si="132"/>
        <v>42913</v>
      </c>
      <c r="AZ1841" s="6" t="e">
        <f t="shared" si="133"/>
        <v>#DIV/0!</v>
      </c>
      <c r="BA1841" s="4">
        <v>42913</v>
      </c>
      <c r="BB1841" s="6">
        <v>0.180565</v>
      </c>
      <c r="BC1841" s="6">
        <v>2.4955999999999999E-2</v>
      </c>
      <c r="BD1841" s="6">
        <v>0.15997</v>
      </c>
      <c r="BE1841" s="6"/>
      <c r="BF1841" s="6"/>
      <c r="BG1841" s="6"/>
      <c r="BH1841" s="6"/>
      <c r="BI1841" s="6"/>
      <c r="BJ1841" s="6"/>
      <c r="BK1841" s="6"/>
      <c r="BL1841" s="6"/>
      <c r="BM1841" s="6"/>
      <c r="BN1841" s="6" t="e">
        <f t="shared" si="135"/>
        <v>#DIV/0!</v>
      </c>
    </row>
    <row r="1842" spans="49:66" x14ac:dyDescent="0.3">
      <c r="AW1842">
        <f t="shared" si="134"/>
        <v>0</v>
      </c>
      <c r="AX1842">
        <v>1839</v>
      </c>
      <c r="AY1842" s="4">
        <f t="shared" si="132"/>
        <v>42914</v>
      </c>
      <c r="AZ1842" s="6" t="e">
        <f t="shared" si="133"/>
        <v>#DIV/0!</v>
      </c>
      <c r="BA1842" s="4">
        <v>42914</v>
      </c>
      <c r="BB1842" s="6">
        <v>-0.77689299999999994</v>
      </c>
      <c r="BC1842" s="6">
        <v>-0.44092700000000001</v>
      </c>
      <c r="BD1842" s="6">
        <v>-0.67653799999999997</v>
      </c>
      <c r="BE1842" s="6"/>
      <c r="BF1842" s="6"/>
      <c r="BG1842" s="6"/>
      <c r="BH1842" s="6"/>
      <c r="BI1842" s="6"/>
      <c r="BJ1842" s="6"/>
      <c r="BK1842" s="6"/>
      <c r="BL1842" s="6"/>
      <c r="BM1842" s="6"/>
      <c r="BN1842" s="6" t="e">
        <f t="shared" si="135"/>
        <v>#DIV/0!</v>
      </c>
    </row>
    <row r="1843" spans="49:66" x14ac:dyDescent="0.3">
      <c r="AW1843">
        <f t="shared" si="134"/>
        <v>0</v>
      </c>
      <c r="AX1843">
        <v>1840</v>
      </c>
      <c r="AY1843" s="4">
        <f t="shared" si="132"/>
        <v>42915</v>
      </c>
      <c r="AZ1843" s="6" t="e">
        <f t="shared" si="133"/>
        <v>#DIV/0!</v>
      </c>
      <c r="BA1843" s="4">
        <v>42915</v>
      </c>
      <c r="BB1843" s="6">
        <v>0.62151000000000001</v>
      </c>
      <c r="BC1843" s="6">
        <v>0.50576600000000005</v>
      </c>
      <c r="BD1843" s="6">
        <v>0.44728000000000001</v>
      </c>
      <c r="BE1843" s="6"/>
      <c r="BF1843" s="6"/>
      <c r="BG1843" s="6"/>
      <c r="BH1843" s="6"/>
      <c r="BI1843" s="6"/>
      <c r="BJ1843" s="6"/>
      <c r="BK1843" s="6"/>
      <c r="BL1843" s="6"/>
      <c r="BM1843" s="6"/>
      <c r="BN1843" s="6" t="e">
        <f t="shared" si="135"/>
        <v>#DIV/0!</v>
      </c>
    </row>
    <row r="1844" spans="49:66" x14ac:dyDescent="0.3">
      <c r="AW1844">
        <f t="shared" si="134"/>
        <v>0</v>
      </c>
      <c r="AX1844">
        <v>1841</v>
      </c>
      <c r="AY1844" s="4">
        <f t="shared" si="132"/>
        <v>42916</v>
      </c>
      <c r="AZ1844" s="6" t="e">
        <f t="shared" si="133"/>
        <v>#DIV/0!</v>
      </c>
      <c r="BA1844" s="4">
        <v>42916</v>
      </c>
      <c r="BB1844" s="6">
        <v>-5.5336000000000003E-2</v>
      </c>
      <c r="BC1844" s="6">
        <v>0.34596100000000002</v>
      </c>
      <c r="BD1844" s="6">
        <v>0.12191</v>
      </c>
      <c r="BE1844" s="6"/>
      <c r="BF1844" s="6"/>
      <c r="BG1844" s="6"/>
      <c r="BH1844" s="6"/>
      <c r="BI1844" s="6"/>
      <c r="BJ1844" s="6"/>
      <c r="BK1844" s="6"/>
      <c r="BL1844" s="6"/>
      <c r="BM1844" s="6"/>
      <c r="BN1844" s="6" t="e">
        <f t="shared" si="135"/>
        <v>#DIV/0!</v>
      </c>
    </row>
    <row r="1845" spans="49:66" x14ac:dyDescent="0.3">
      <c r="AW1845">
        <f t="shared" si="134"/>
        <v>0</v>
      </c>
      <c r="AX1845">
        <v>1842</v>
      </c>
      <c r="AY1845" s="4">
        <f t="shared" si="132"/>
        <v>42919</v>
      </c>
      <c r="AZ1845" s="6" t="e">
        <f t="shared" si="133"/>
        <v>#DIV/0!</v>
      </c>
      <c r="BA1845" s="4">
        <v>42919</v>
      </c>
      <c r="BB1845" s="6">
        <v>-0.43502299999999999</v>
      </c>
      <c r="BC1845" s="6">
        <v>0.63927500000000004</v>
      </c>
      <c r="BD1845" s="6">
        <v>0.95561200000000002</v>
      </c>
      <c r="BE1845" s="6"/>
      <c r="BF1845" s="6"/>
      <c r="BG1845" s="6"/>
      <c r="BH1845" s="6"/>
      <c r="BI1845" s="6"/>
      <c r="BJ1845" s="6"/>
      <c r="BK1845" s="6"/>
      <c r="BL1845" s="6"/>
      <c r="BM1845" s="6"/>
      <c r="BN1845" s="6" t="e">
        <f t="shared" si="135"/>
        <v>#DIV/0!</v>
      </c>
    </row>
    <row r="1846" spans="49:66" x14ac:dyDescent="0.3">
      <c r="AW1846">
        <f t="shared" si="134"/>
        <v>0</v>
      </c>
      <c r="AX1846">
        <v>1843</v>
      </c>
      <c r="AY1846" s="4">
        <f t="shared" si="132"/>
        <v>42920</v>
      </c>
      <c r="AZ1846" s="6" t="e">
        <f t="shared" si="133"/>
        <v>#DIV/0!</v>
      </c>
      <c r="BA1846" s="4">
        <v>42920</v>
      </c>
      <c r="BB1846" s="6">
        <v>-0.84534399999999998</v>
      </c>
      <c r="BC1846" s="6">
        <v>-0.494425</v>
      </c>
      <c r="BD1846" s="6">
        <v>-0.17793</v>
      </c>
      <c r="BE1846" s="6"/>
      <c r="BF1846" s="6"/>
      <c r="BG1846" s="6"/>
      <c r="BH1846" s="6"/>
      <c r="BI1846" s="6"/>
      <c r="BJ1846" s="6"/>
      <c r="BK1846" s="6"/>
      <c r="BL1846" s="6"/>
      <c r="BM1846" s="6"/>
      <c r="BN1846" s="6" t="e">
        <f t="shared" si="135"/>
        <v>#DIV/0!</v>
      </c>
    </row>
    <row r="1847" spans="49:66" x14ac:dyDescent="0.3">
      <c r="AW1847">
        <f t="shared" si="134"/>
        <v>0</v>
      </c>
      <c r="AX1847">
        <v>1844</v>
      </c>
      <c r="AY1847" s="4">
        <f t="shared" si="132"/>
        <v>42921</v>
      </c>
      <c r="AZ1847" s="6" t="e">
        <f t="shared" si="133"/>
        <v>#DIV/0!</v>
      </c>
      <c r="BA1847" s="4">
        <v>42921</v>
      </c>
      <c r="BB1847" s="6">
        <v>1.096563</v>
      </c>
      <c r="BC1847" s="6">
        <v>0.76643099999999997</v>
      </c>
      <c r="BD1847" s="6">
        <v>0.85585299999999997</v>
      </c>
      <c r="BE1847" s="6"/>
      <c r="BF1847" s="6"/>
      <c r="BG1847" s="6"/>
      <c r="BH1847" s="6"/>
      <c r="BI1847" s="6"/>
      <c r="BJ1847" s="6"/>
      <c r="BK1847" s="6"/>
      <c r="BL1847" s="6"/>
      <c r="BM1847" s="6"/>
      <c r="BN1847" s="6" t="e">
        <f t="shared" si="135"/>
        <v>#DIV/0!</v>
      </c>
    </row>
    <row r="1848" spans="49:66" x14ac:dyDescent="0.3">
      <c r="AW1848">
        <f t="shared" si="134"/>
        <v>0</v>
      </c>
      <c r="AX1848">
        <v>1845</v>
      </c>
      <c r="AY1848" s="4">
        <f t="shared" si="132"/>
        <v>42922</v>
      </c>
      <c r="AZ1848" s="6" t="e">
        <f t="shared" si="133"/>
        <v>#DIV/0!</v>
      </c>
      <c r="BA1848" s="4">
        <v>42922</v>
      </c>
      <c r="BB1848" s="6">
        <v>1.14E-2</v>
      </c>
      <c r="BC1848" s="6">
        <v>0.124143</v>
      </c>
      <c r="BD1848" s="6">
        <v>0.18052399999999999</v>
      </c>
      <c r="BE1848" s="6"/>
      <c r="BF1848" s="6"/>
      <c r="BG1848" s="6"/>
      <c r="BH1848" s="6"/>
      <c r="BI1848" s="6"/>
      <c r="BJ1848" s="6"/>
      <c r="BK1848" s="6"/>
      <c r="BL1848" s="6"/>
      <c r="BM1848" s="6"/>
      <c r="BN1848" s="6" t="e">
        <f t="shared" si="135"/>
        <v>#DIV/0!</v>
      </c>
    </row>
    <row r="1849" spans="49:66" x14ac:dyDescent="0.3">
      <c r="AW1849">
        <f t="shared" si="134"/>
        <v>0</v>
      </c>
      <c r="AX1849">
        <v>1846</v>
      </c>
      <c r="AY1849" s="4">
        <f t="shared" si="132"/>
        <v>42923</v>
      </c>
      <c r="AZ1849" s="6" t="e">
        <f t="shared" si="133"/>
        <v>#DIV/0!</v>
      </c>
      <c r="BA1849" s="4">
        <v>42923</v>
      </c>
      <c r="BB1849" s="6">
        <v>-0.11386</v>
      </c>
      <c r="BC1849" s="6">
        <v>0.39275500000000002</v>
      </c>
      <c r="BD1849" s="6">
        <v>0.284078</v>
      </c>
      <c r="BE1849" s="6"/>
      <c r="BF1849" s="6"/>
      <c r="BG1849" s="6"/>
      <c r="BH1849" s="6"/>
      <c r="BI1849" s="6"/>
      <c r="BJ1849" s="6"/>
      <c r="BK1849" s="6"/>
      <c r="BL1849" s="6"/>
      <c r="BM1849" s="6"/>
      <c r="BN1849" s="6" t="e">
        <f t="shared" si="135"/>
        <v>#DIV/0!</v>
      </c>
    </row>
    <row r="1850" spans="49:66" x14ac:dyDescent="0.3">
      <c r="AW1850">
        <f t="shared" si="134"/>
        <v>0</v>
      </c>
      <c r="AX1850">
        <v>1847</v>
      </c>
      <c r="AY1850" s="4">
        <f t="shared" si="132"/>
        <v>42926</v>
      </c>
      <c r="AZ1850" s="6" t="e">
        <f t="shared" si="133"/>
        <v>#DIV/0!</v>
      </c>
      <c r="BA1850" s="4">
        <v>42926</v>
      </c>
      <c r="BB1850" s="6">
        <v>-6.1338999999999998E-2</v>
      </c>
      <c r="BC1850" s="6">
        <v>-0.31246299999999999</v>
      </c>
      <c r="BD1850" s="6">
        <v>-0.59766699999999995</v>
      </c>
      <c r="BE1850" s="6"/>
      <c r="BF1850" s="6"/>
      <c r="BG1850" s="6"/>
      <c r="BH1850" s="6"/>
      <c r="BI1850" s="6"/>
      <c r="BJ1850" s="6"/>
      <c r="BK1850" s="6"/>
      <c r="BL1850" s="6"/>
      <c r="BM1850" s="6"/>
      <c r="BN1850" s="6" t="e">
        <f t="shared" si="135"/>
        <v>#DIV/0!</v>
      </c>
    </row>
    <row r="1851" spans="49:66" x14ac:dyDescent="0.3">
      <c r="AW1851">
        <f t="shared" si="134"/>
        <v>0</v>
      </c>
      <c r="AX1851">
        <v>1848</v>
      </c>
      <c r="AY1851" s="4">
        <f t="shared" si="132"/>
        <v>42927</v>
      </c>
      <c r="AZ1851" s="6" t="e">
        <f t="shared" si="133"/>
        <v>#DIV/0!</v>
      </c>
      <c r="BA1851" s="4">
        <v>42927</v>
      </c>
      <c r="BB1851" s="6">
        <v>0.46861700000000001</v>
      </c>
      <c r="BC1851" s="6">
        <v>-1.2496879999999999</v>
      </c>
      <c r="BD1851" s="6">
        <v>-1.2372920000000001</v>
      </c>
      <c r="BE1851" s="6"/>
      <c r="BF1851" s="6"/>
      <c r="BG1851" s="6"/>
      <c r="BH1851" s="6"/>
      <c r="BI1851" s="6"/>
      <c r="BJ1851" s="6"/>
      <c r="BK1851" s="6"/>
      <c r="BL1851" s="6"/>
      <c r="BM1851" s="6"/>
      <c r="BN1851" s="6" t="e">
        <f t="shared" si="135"/>
        <v>#DIV/0!</v>
      </c>
    </row>
    <row r="1852" spans="49:66" x14ac:dyDescent="0.3">
      <c r="AW1852">
        <f t="shared" si="134"/>
        <v>0</v>
      </c>
      <c r="AX1852">
        <v>1849</v>
      </c>
      <c r="AY1852" s="4">
        <f t="shared" si="132"/>
        <v>42928</v>
      </c>
      <c r="AZ1852" s="6" t="e">
        <f t="shared" si="133"/>
        <v>#DIV/0!</v>
      </c>
      <c r="BA1852" s="4">
        <v>42928</v>
      </c>
      <c r="BB1852" s="6">
        <v>-0.32649499999999998</v>
      </c>
      <c r="BC1852" s="6">
        <v>6.5230999999999997E-2</v>
      </c>
      <c r="BD1852" s="6">
        <v>-0.12994700000000001</v>
      </c>
      <c r="BE1852" s="6"/>
      <c r="BF1852" s="6"/>
      <c r="BG1852" s="6"/>
      <c r="BH1852" s="6"/>
      <c r="BI1852" s="6"/>
      <c r="BJ1852" s="6"/>
      <c r="BK1852" s="6"/>
      <c r="BL1852" s="6"/>
      <c r="BM1852" s="6"/>
      <c r="BN1852" s="6" t="e">
        <f t="shared" si="135"/>
        <v>#DIV/0!</v>
      </c>
    </row>
    <row r="1853" spans="49:66" x14ac:dyDescent="0.3">
      <c r="AW1853">
        <f t="shared" si="134"/>
        <v>0</v>
      </c>
      <c r="AX1853">
        <v>1850</v>
      </c>
      <c r="AY1853" s="4">
        <f t="shared" si="132"/>
        <v>42929</v>
      </c>
      <c r="AZ1853" s="6" t="e">
        <f t="shared" si="133"/>
        <v>#DIV/0!</v>
      </c>
      <c r="BA1853" s="4">
        <v>42929</v>
      </c>
      <c r="BB1853" s="6">
        <v>0.76792199999999999</v>
      </c>
      <c r="BC1853" s="6">
        <v>0.27623500000000001</v>
      </c>
      <c r="BD1853" s="6">
        <v>-4.4700000000000002E-4</v>
      </c>
      <c r="BE1853" s="6"/>
      <c r="BF1853" s="6"/>
      <c r="BG1853" s="6"/>
      <c r="BH1853" s="6"/>
      <c r="BI1853" s="6"/>
      <c r="BJ1853" s="6"/>
      <c r="BK1853" s="6"/>
      <c r="BL1853" s="6"/>
      <c r="BM1853" s="6"/>
      <c r="BN1853" s="6" t="e">
        <f t="shared" si="135"/>
        <v>#DIV/0!</v>
      </c>
    </row>
    <row r="1854" spans="49:66" x14ac:dyDescent="0.3">
      <c r="AW1854">
        <f t="shared" si="134"/>
        <v>0</v>
      </c>
      <c r="AX1854">
        <v>1851</v>
      </c>
      <c r="AY1854" s="4">
        <f t="shared" si="132"/>
        <v>42930</v>
      </c>
      <c r="AZ1854" s="6" t="e">
        <f t="shared" si="133"/>
        <v>#DIV/0!</v>
      </c>
      <c r="BA1854" s="4">
        <v>42930</v>
      </c>
      <c r="BB1854" s="6">
        <v>0.43867200000000001</v>
      </c>
      <c r="BC1854" s="6">
        <v>-0.34462199999999998</v>
      </c>
      <c r="BD1854" s="6">
        <v>-0.55015099999999995</v>
      </c>
      <c r="BE1854" s="6"/>
      <c r="BF1854" s="6"/>
      <c r="BG1854" s="6"/>
      <c r="BH1854" s="6"/>
      <c r="BI1854" s="6"/>
      <c r="BJ1854" s="6"/>
      <c r="BK1854" s="6"/>
      <c r="BL1854" s="6"/>
      <c r="BM1854" s="6"/>
      <c r="BN1854" s="6" t="e">
        <f t="shared" si="135"/>
        <v>#DIV/0!</v>
      </c>
    </row>
    <row r="1855" spans="49:66" x14ac:dyDescent="0.3">
      <c r="AW1855">
        <f t="shared" si="134"/>
        <v>0</v>
      </c>
      <c r="AX1855">
        <v>1852</v>
      </c>
      <c r="AY1855" s="4">
        <f t="shared" si="132"/>
        <v>42933</v>
      </c>
      <c r="AZ1855" s="6" t="e">
        <f t="shared" si="133"/>
        <v>#DIV/0!</v>
      </c>
      <c r="BA1855" s="4">
        <v>42933</v>
      </c>
      <c r="BB1855" s="6">
        <v>-1.067661</v>
      </c>
      <c r="BC1855" s="6">
        <v>-4.116352</v>
      </c>
      <c r="BD1855" s="6">
        <v>-5.1746949999999998</v>
      </c>
      <c r="BE1855" s="6"/>
      <c r="BF1855" s="6"/>
      <c r="BG1855" s="6"/>
      <c r="BH1855" s="6"/>
      <c r="BI1855" s="6"/>
      <c r="BJ1855" s="6"/>
      <c r="BK1855" s="6"/>
      <c r="BL1855" s="6"/>
      <c r="BM1855" s="6"/>
      <c r="BN1855" s="6" t="e">
        <f t="shared" si="135"/>
        <v>#DIV/0!</v>
      </c>
    </row>
    <row r="1856" spans="49:66" x14ac:dyDescent="0.3">
      <c r="AW1856">
        <f t="shared" si="134"/>
        <v>0</v>
      </c>
      <c r="AX1856">
        <v>1853</v>
      </c>
      <c r="AY1856" s="4">
        <f t="shared" si="132"/>
        <v>42934</v>
      </c>
      <c r="AZ1856" s="6" t="e">
        <f t="shared" si="133"/>
        <v>#DIV/0!</v>
      </c>
      <c r="BA1856" s="4">
        <v>42934</v>
      </c>
      <c r="BB1856" s="6">
        <v>9.8898E-2</v>
      </c>
      <c r="BC1856" s="6">
        <v>1.054632</v>
      </c>
      <c r="BD1856" s="6">
        <v>0.86634699999999998</v>
      </c>
      <c r="BE1856" s="6"/>
      <c r="BF1856" s="6"/>
      <c r="BG1856" s="6"/>
      <c r="BH1856" s="6"/>
      <c r="BI1856" s="6"/>
      <c r="BJ1856" s="6"/>
      <c r="BK1856" s="6"/>
      <c r="BL1856" s="6"/>
      <c r="BM1856" s="6"/>
      <c r="BN1856" s="6" t="e">
        <f t="shared" si="135"/>
        <v>#DIV/0!</v>
      </c>
    </row>
    <row r="1857" spans="49:66" x14ac:dyDescent="0.3">
      <c r="AW1857">
        <f t="shared" si="134"/>
        <v>0</v>
      </c>
      <c r="AX1857">
        <v>1854</v>
      </c>
      <c r="AY1857" s="4">
        <f t="shared" si="132"/>
        <v>42935</v>
      </c>
      <c r="AZ1857" s="6" t="e">
        <f t="shared" si="133"/>
        <v>#DIV/0!</v>
      </c>
      <c r="BA1857" s="4">
        <v>42935</v>
      </c>
      <c r="BB1857" s="6">
        <v>1.7061040000000001</v>
      </c>
      <c r="BC1857" s="6">
        <v>2.0362939999999998</v>
      </c>
      <c r="BD1857" s="6">
        <v>1.310978</v>
      </c>
      <c r="BE1857" s="6"/>
      <c r="BF1857" s="6"/>
      <c r="BG1857" s="6"/>
      <c r="BH1857" s="6"/>
      <c r="BI1857" s="6"/>
      <c r="BJ1857" s="6"/>
      <c r="BK1857" s="6"/>
      <c r="BL1857" s="6"/>
      <c r="BM1857" s="6"/>
      <c r="BN1857" s="6" t="e">
        <f t="shared" si="135"/>
        <v>#DIV/0!</v>
      </c>
    </row>
    <row r="1858" spans="49:66" x14ac:dyDescent="0.3">
      <c r="AW1858">
        <f t="shared" si="134"/>
        <v>0</v>
      </c>
      <c r="AX1858">
        <v>1855</v>
      </c>
      <c r="AY1858" s="4">
        <f t="shared" si="132"/>
        <v>42936</v>
      </c>
      <c r="AZ1858" s="6" t="e">
        <f t="shared" si="133"/>
        <v>#DIV/0!</v>
      </c>
      <c r="BA1858" s="4">
        <v>42936</v>
      </c>
      <c r="BB1858" s="6">
        <v>0.48629800000000001</v>
      </c>
      <c r="BC1858" s="6">
        <v>0.65890300000000002</v>
      </c>
      <c r="BD1858" s="6">
        <v>0.58442499999999997</v>
      </c>
      <c r="BE1858" s="6"/>
      <c r="BF1858" s="6"/>
      <c r="BG1858" s="6"/>
      <c r="BH1858" s="6"/>
      <c r="BI1858" s="6"/>
      <c r="BJ1858" s="6"/>
      <c r="BK1858" s="6"/>
      <c r="BL1858" s="6"/>
      <c r="BM1858" s="6"/>
      <c r="BN1858" s="6" t="e">
        <f t="shared" si="135"/>
        <v>#DIV/0!</v>
      </c>
    </row>
    <row r="1859" spans="49:66" x14ac:dyDescent="0.3">
      <c r="AW1859">
        <f t="shared" si="134"/>
        <v>0</v>
      </c>
      <c r="AX1859">
        <v>1856</v>
      </c>
      <c r="AY1859" s="4">
        <f t="shared" si="132"/>
        <v>42937</v>
      </c>
      <c r="AZ1859" s="6" t="e">
        <f t="shared" si="133"/>
        <v>#DIV/0!</v>
      </c>
      <c r="BA1859" s="4">
        <v>42937</v>
      </c>
      <c r="BB1859" s="6">
        <v>-0.514602</v>
      </c>
      <c r="BC1859" s="6">
        <v>0.43980200000000003</v>
      </c>
      <c r="BD1859" s="6">
        <v>0.10775700000000001</v>
      </c>
      <c r="BE1859" s="6"/>
      <c r="BF1859" s="6"/>
      <c r="BG1859" s="6"/>
      <c r="BH1859" s="6"/>
      <c r="BI1859" s="6"/>
      <c r="BJ1859" s="6"/>
      <c r="BK1859" s="6"/>
      <c r="BL1859" s="6"/>
      <c r="BM1859" s="6"/>
      <c r="BN1859" s="6" t="e">
        <f t="shared" si="135"/>
        <v>#DIV/0!</v>
      </c>
    </row>
    <row r="1860" spans="49:66" x14ac:dyDescent="0.3">
      <c r="AW1860">
        <f t="shared" si="134"/>
        <v>0</v>
      </c>
      <c r="AX1860">
        <v>1857</v>
      </c>
      <c r="AY1860" s="4">
        <f t="shared" si="132"/>
        <v>42940</v>
      </c>
      <c r="AZ1860" s="6" t="e">
        <f t="shared" si="133"/>
        <v>#DIV/0!</v>
      </c>
      <c r="BA1860" s="4">
        <v>42940</v>
      </c>
      <c r="BB1860" s="6">
        <v>0.39883600000000002</v>
      </c>
      <c r="BC1860" s="6">
        <v>0.66959100000000005</v>
      </c>
      <c r="BD1860" s="6">
        <v>0.550709</v>
      </c>
      <c r="BE1860" s="6"/>
      <c r="BF1860" s="6"/>
      <c r="BG1860" s="6"/>
      <c r="BH1860" s="6"/>
      <c r="BI1860" s="6"/>
      <c r="BJ1860" s="6"/>
      <c r="BK1860" s="6"/>
      <c r="BL1860" s="6"/>
      <c r="BM1860" s="6"/>
      <c r="BN1860" s="6" t="e">
        <f t="shared" si="135"/>
        <v>#DIV/0!</v>
      </c>
    </row>
    <row r="1861" spans="49:66" x14ac:dyDescent="0.3">
      <c r="AW1861">
        <f t="shared" si="134"/>
        <v>0</v>
      </c>
      <c r="AX1861">
        <v>1858</v>
      </c>
      <c r="AY1861" s="4">
        <f t="shared" ref="AY1861:AY1924" si="136">BA1861</f>
        <v>42941</v>
      </c>
      <c r="AZ1861" s="6" t="e">
        <f t="shared" ref="AZ1861:AZ1924" si="137">BN1861</f>
        <v>#DIV/0!</v>
      </c>
      <c r="BA1861" s="4">
        <v>42941</v>
      </c>
      <c r="BB1861" s="6">
        <v>-0.63870199999999999</v>
      </c>
      <c r="BC1861" s="6">
        <v>-0.219386</v>
      </c>
      <c r="BD1861" s="6">
        <v>-0.189308</v>
      </c>
      <c r="BE1861" s="6"/>
      <c r="BF1861" s="6"/>
      <c r="BG1861" s="6"/>
      <c r="BH1861" s="6"/>
      <c r="BI1861" s="6"/>
      <c r="BJ1861" s="6"/>
      <c r="BK1861" s="6"/>
      <c r="BL1861" s="6"/>
      <c r="BM1861" s="6"/>
      <c r="BN1861" s="6" t="e">
        <f t="shared" si="135"/>
        <v>#DIV/0!</v>
      </c>
    </row>
    <row r="1862" spans="49:66" x14ac:dyDescent="0.3">
      <c r="AW1862">
        <f t="shared" ref="AW1862:AW1925" si="138">IF(AY1862&lt;=AY1861,1,0)</f>
        <v>0</v>
      </c>
      <c r="AX1862">
        <v>1859</v>
      </c>
      <c r="AY1862" s="4">
        <f t="shared" si="136"/>
        <v>42942</v>
      </c>
      <c r="AZ1862" s="6" t="e">
        <f t="shared" si="137"/>
        <v>#DIV/0!</v>
      </c>
      <c r="BA1862" s="4">
        <v>42942</v>
      </c>
      <c r="BB1862" s="6">
        <v>-0.38097500000000001</v>
      </c>
      <c r="BC1862" s="6">
        <v>-0.112058</v>
      </c>
      <c r="BD1862" s="6">
        <v>0.15159700000000001</v>
      </c>
      <c r="BE1862" s="6"/>
      <c r="BF1862" s="6"/>
      <c r="BG1862" s="6"/>
      <c r="BH1862" s="6"/>
      <c r="BI1862" s="6"/>
      <c r="BJ1862" s="6"/>
      <c r="BK1862" s="6"/>
      <c r="BL1862" s="6"/>
      <c r="BM1862" s="6"/>
      <c r="BN1862" s="6" t="e">
        <f t="shared" ref="BN1862:BN1925" si="139">(BM1862/BM1861-1)*100</f>
        <v>#DIV/0!</v>
      </c>
    </row>
    <row r="1863" spans="49:66" x14ac:dyDescent="0.3">
      <c r="AW1863">
        <f t="shared" si="138"/>
        <v>0</v>
      </c>
      <c r="AX1863">
        <v>1860</v>
      </c>
      <c r="AY1863" s="4">
        <f t="shared" si="136"/>
        <v>42943</v>
      </c>
      <c r="AZ1863" s="6" t="e">
        <f t="shared" si="137"/>
        <v>#DIV/0!</v>
      </c>
      <c r="BA1863" s="4">
        <v>42943</v>
      </c>
      <c r="BB1863" s="6">
        <v>0.18368699999999999</v>
      </c>
      <c r="BC1863" s="6">
        <v>0.60712100000000002</v>
      </c>
      <c r="BD1863" s="6">
        <v>1.2789980000000001</v>
      </c>
      <c r="BE1863" s="6"/>
      <c r="BF1863" s="6"/>
      <c r="BG1863" s="6"/>
      <c r="BH1863" s="6"/>
      <c r="BI1863" s="6"/>
      <c r="BJ1863" s="6"/>
      <c r="BK1863" s="6"/>
      <c r="BL1863" s="6"/>
      <c r="BM1863" s="6"/>
      <c r="BN1863" s="6" t="e">
        <f t="shared" si="139"/>
        <v>#DIV/0!</v>
      </c>
    </row>
    <row r="1864" spans="49:66" x14ac:dyDescent="0.3">
      <c r="AW1864">
        <f t="shared" si="138"/>
        <v>0</v>
      </c>
      <c r="AX1864">
        <v>1861</v>
      </c>
      <c r="AY1864" s="4">
        <f t="shared" si="136"/>
        <v>42944</v>
      </c>
      <c r="AZ1864" s="6" t="e">
        <f t="shared" si="137"/>
        <v>#DIV/0!</v>
      </c>
      <c r="BA1864" s="4">
        <v>42944</v>
      </c>
      <c r="BB1864" s="6">
        <v>0.261212</v>
      </c>
      <c r="BC1864" s="6">
        <v>0.50844900000000004</v>
      </c>
      <c r="BD1864" s="6">
        <v>4.1891999999999999E-2</v>
      </c>
      <c r="BE1864" s="6"/>
      <c r="BF1864" s="6"/>
      <c r="BG1864" s="6"/>
      <c r="BH1864" s="6"/>
      <c r="BI1864" s="6"/>
      <c r="BJ1864" s="6"/>
      <c r="BK1864" s="6"/>
      <c r="BL1864" s="6"/>
      <c r="BM1864" s="6"/>
      <c r="BN1864" s="6" t="e">
        <f t="shared" si="139"/>
        <v>#DIV/0!</v>
      </c>
    </row>
    <row r="1865" spans="49:66" x14ac:dyDescent="0.3">
      <c r="AW1865">
        <f t="shared" si="138"/>
        <v>0</v>
      </c>
      <c r="AX1865">
        <v>1862</v>
      </c>
      <c r="AY1865" s="4">
        <f t="shared" si="136"/>
        <v>42947</v>
      </c>
      <c r="AZ1865" s="6" t="e">
        <f t="shared" si="137"/>
        <v>#DIV/0!</v>
      </c>
      <c r="BA1865" s="4">
        <v>42947</v>
      </c>
      <c r="BB1865" s="6">
        <v>0.4294</v>
      </c>
      <c r="BC1865" s="6">
        <v>1.3279319999999999</v>
      </c>
      <c r="BD1865" s="6">
        <v>0.79539499999999996</v>
      </c>
      <c r="BE1865" s="6"/>
      <c r="BF1865" s="6"/>
      <c r="BG1865" s="6"/>
      <c r="BH1865" s="6"/>
      <c r="BI1865" s="6"/>
      <c r="BJ1865" s="6"/>
      <c r="BK1865" s="6"/>
      <c r="BL1865" s="6"/>
      <c r="BM1865" s="6"/>
      <c r="BN1865" s="6" t="e">
        <f t="shared" si="139"/>
        <v>#DIV/0!</v>
      </c>
    </row>
    <row r="1866" spans="49:66" x14ac:dyDescent="0.3">
      <c r="AW1866">
        <f t="shared" si="138"/>
        <v>0</v>
      </c>
      <c r="AX1866">
        <v>1863</v>
      </c>
      <c r="AY1866" s="4">
        <f t="shared" si="136"/>
        <v>42948</v>
      </c>
      <c r="AZ1866" s="6" t="e">
        <f t="shared" si="137"/>
        <v>#DIV/0!</v>
      </c>
      <c r="BA1866" s="4">
        <v>42948</v>
      </c>
      <c r="BB1866" s="6">
        <v>0.86973500000000004</v>
      </c>
      <c r="BC1866" s="6">
        <v>-0.182029</v>
      </c>
      <c r="BD1866" s="6">
        <v>0.107136</v>
      </c>
      <c r="BE1866" s="6"/>
      <c r="BF1866" s="6"/>
      <c r="BG1866" s="6"/>
      <c r="BH1866" s="6"/>
      <c r="BI1866" s="6"/>
      <c r="BJ1866" s="6"/>
      <c r="BK1866" s="6"/>
      <c r="BL1866" s="6"/>
      <c r="BM1866" s="6"/>
      <c r="BN1866" s="6" t="e">
        <f t="shared" si="139"/>
        <v>#DIV/0!</v>
      </c>
    </row>
    <row r="1867" spans="49:66" x14ac:dyDescent="0.3">
      <c r="AW1867">
        <f t="shared" si="138"/>
        <v>0</v>
      </c>
      <c r="AX1867">
        <v>1864</v>
      </c>
      <c r="AY1867" s="4">
        <f t="shared" si="136"/>
        <v>42949</v>
      </c>
      <c r="AZ1867" s="6" t="e">
        <f t="shared" si="137"/>
        <v>#DIV/0!</v>
      </c>
      <c r="BA1867" s="4">
        <v>42949</v>
      </c>
      <c r="BB1867" s="6">
        <v>-0.25276700000000002</v>
      </c>
      <c r="BC1867" s="6">
        <v>-0.55155200000000004</v>
      </c>
      <c r="BD1867" s="6">
        <v>-0.85098799999999997</v>
      </c>
      <c r="BE1867" s="6"/>
      <c r="BF1867" s="6"/>
      <c r="BG1867" s="6"/>
      <c r="BH1867" s="6"/>
      <c r="BI1867" s="6"/>
      <c r="BJ1867" s="6"/>
      <c r="BK1867" s="6"/>
      <c r="BL1867" s="6"/>
      <c r="BM1867" s="6"/>
      <c r="BN1867" s="6" t="e">
        <f t="shared" si="139"/>
        <v>#DIV/0!</v>
      </c>
    </row>
    <row r="1868" spans="49:66" x14ac:dyDescent="0.3">
      <c r="AW1868">
        <f t="shared" si="138"/>
        <v>0</v>
      </c>
      <c r="AX1868">
        <v>1865</v>
      </c>
      <c r="AY1868" s="4">
        <f t="shared" si="136"/>
        <v>42950</v>
      </c>
      <c r="AZ1868" s="6" t="e">
        <f t="shared" si="137"/>
        <v>#DIV/0!</v>
      </c>
      <c r="BA1868" s="4">
        <v>42950</v>
      </c>
      <c r="BB1868" s="6">
        <v>-0.87815500000000002</v>
      </c>
      <c r="BC1868" s="6">
        <v>0.16163</v>
      </c>
      <c r="BD1868" s="6">
        <v>0.46819499999999997</v>
      </c>
      <c r="BE1868" s="6"/>
      <c r="BF1868" s="6"/>
      <c r="BG1868" s="6"/>
      <c r="BH1868" s="6"/>
      <c r="BI1868" s="6"/>
      <c r="BJ1868" s="6"/>
      <c r="BK1868" s="6"/>
      <c r="BL1868" s="6"/>
      <c r="BM1868" s="6"/>
      <c r="BN1868" s="6" t="e">
        <f t="shared" si="139"/>
        <v>#DIV/0!</v>
      </c>
    </row>
    <row r="1869" spans="49:66" x14ac:dyDescent="0.3">
      <c r="AW1869">
        <f t="shared" si="138"/>
        <v>0</v>
      </c>
      <c r="AX1869">
        <v>1866</v>
      </c>
      <c r="AY1869" s="4">
        <f t="shared" si="136"/>
        <v>42951</v>
      </c>
      <c r="AZ1869" s="6" t="e">
        <f t="shared" si="137"/>
        <v>#DIV/0!</v>
      </c>
      <c r="BA1869" s="4">
        <v>42951</v>
      </c>
      <c r="BB1869" s="6">
        <v>-0.543126</v>
      </c>
      <c r="BC1869" s="6">
        <v>-0.58851299999999995</v>
      </c>
      <c r="BD1869" s="6">
        <v>-0.47092000000000001</v>
      </c>
      <c r="BE1869" s="6"/>
      <c r="BF1869" s="6"/>
      <c r="BG1869" s="6"/>
      <c r="BH1869" s="6"/>
      <c r="BI1869" s="6"/>
      <c r="BJ1869" s="6"/>
      <c r="BK1869" s="6"/>
      <c r="BL1869" s="6"/>
      <c r="BM1869" s="6"/>
      <c r="BN1869" s="6" t="e">
        <f t="shared" si="139"/>
        <v>#DIV/0!</v>
      </c>
    </row>
    <row r="1870" spans="49:66" x14ac:dyDescent="0.3">
      <c r="AW1870">
        <f t="shared" si="138"/>
        <v>0</v>
      </c>
      <c r="AX1870">
        <v>1867</v>
      </c>
      <c r="AY1870" s="4">
        <f t="shared" si="136"/>
        <v>42954</v>
      </c>
      <c r="AZ1870" s="6" t="e">
        <f t="shared" si="137"/>
        <v>#DIV/0!</v>
      </c>
      <c r="BA1870" s="4">
        <v>42954</v>
      </c>
      <c r="BB1870" s="6">
        <v>0.51826799999999995</v>
      </c>
      <c r="BC1870" s="6">
        <v>1.2579009999999999</v>
      </c>
      <c r="BD1870" s="6">
        <v>0.75833399999999995</v>
      </c>
      <c r="BE1870" s="6"/>
      <c r="BF1870" s="6"/>
      <c r="BG1870" s="6"/>
      <c r="BH1870" s="6"/>
      <c r="BI1870" s="6"/>
      <c r="BJ1870" s="6"/>
      <c r="BK1870" s="6"/>
      <c r="BL1870" s="6"/>
      <c r="BM1870" s="6"/>
      <c r="BN1870" s="6" t="e">
        <f t="shared" si="139"/>
        <v>#DIV/0!</v>
      </c>
    </row>
    <row r="1871" spans="49:66" x14ac:dyDescent="0.3">
      <c r="AW1871">
        <f t="shared" si="138"/>
        <v>0</v>
      </c>
      <c r="AX1871">
        <v>1868</v>
      </c>
      <c r="AY1871" s="4">
        <f t="shared" si="136"/>
        <v>42955</v>
      </c>
      <c r="AZ1871" s="6" t="e">
        <f t="shared" si="137"/>
        <v>#DIV/0!</v>
      </c>
      <c r="BA1871" s="4">
        <v>42955</v>
      </c>
      <c r="BB1871" s="6">
        <v>0.14538200000000001</v>
      </c>
      <c r="BC1871" s="6">
        <v>4.6820000000000004E-3</v>
      </c>
      <c r="BD1871" s="6">
        <v>0.34268300000000002</v>
      </c>
      <c r="BE1871" s="6"/>
      <c r="BF1871" s="6"/>
      <c r="BG1871" s="6"/>
      <c r="BH1871" s="6"/>
      <c r="BI1871" s="6"/>
      <c r="BJ1871" s="6"/>
      <c r="BK1871" s="6"/>
      <c r="BL1871" s="6"/>
      <c r="BM1871" s="6"/>
      <c r="BN1871" s="6" t="e">
        <f t="shared" si="139"/>
        <v>#DIV/0!</v>
      </c>
    </row>
    <row r="1872" spans="49:66" x14ac:dyDescent="0.3">
      <c r="AW1872">
        <f t="shared" si="138"/>
        <v>0</v>
      </c>
      <c r="AX1872">
        <v>1869</v>
      </c>
      <c r="AY1872" s="4">
        <f t="shared" si="136"/>
        <v>42956</v>
      </c>
      <c r="AZ1872" s="6" t="e">
        <f t="shared" si="137"/>
        <v>#DIV/0!</v>
      </c>
      <c r="BA1872" s="4">
        <v>42956</v>
      </c>
      <c r="BB1872" s="6">
        <v>-3.1319E-2</v>
      </c>
      <c r="BC1872" s="6">
        <v>0.57594599999999996</v>
      </c>
      <c r="BD1872" s="6">
        <v>0.33055200000000001</v>
      </c>
      <c r="BE1872" s="6"/>
      <c r="BF1872" s="6"/>
      <c r="BG1872" s="6"/>
      <c r="BH1872" s="6"/>
      <c r="BI1872" s="6"/>
      <c r="BJ1872" s="6"/>
      <c r="BK1872" s="6"/>
      <c r="BL1872" s="6"/>
      <c r="BM1872" s="6"/>
      <c r="BN1872" s="6" t="e">
        <f t="shared" si="139"/>
        <v>#DIV/0!</v>
      </c>
    </row>
    <row r="1873" spans="49:66" x14ac:dyDescent="0.3">
      <c r="AW1873">
        <f t="shared" si="138"/>
        <v>0</v>
      </c>
      <c r="AX1873">
        <v>1870</v>
      </c>
      <c r="AY1873" s="4">
        <f t="shared" si="136"/>
        <v>42957</v>
      </c>
      <c r="AZ1873" s="6" t="e">
        <f t="shared" si="137"/>
        <v>#DIV/0!</v>
      </c>
      <c r="BA1873" s="4">
        <v>42957</v>
      </c>
      <c r="BB1873" s="6">
        <v>-0.40533400000000003</v>
      </c>
      <c r="BC1873" s="6">
        <v>-0.80133200000000004</v>
      </c>
      <c r="BD1873" s="6">
        <v>-0.72246200000000005</v>
      </c>
      <c r="BE1873" s="6"/>
      <c r="BF1873" s="6"/>
      <c r="BG1873" s="6"/>
      <c r="BH1873" s="6"/>
      <c r="BI1873" s="6"/>
      <c r="BJ1873" s="6"/>
      <c r="BK1873" s="6"/>
      <c r="BL1873" s="6"/>
      <c r="BM1873" s="6"/>
      <c r="BN1873" s="6" t="e">
        <f t="shared" si="139"/>
        <v>#DIV/0!</v>
      </c>
    </row>
    <row r="1874" spans="49:66" x14ac:dyDescent="0.3">
      <c r="AW1874">
        <f t="shared" si="138"/>
        <v>0</v>
      </c>
      <c r="AX1874">
        <v>1871</v>
      </c>
      <c r="AY1874" s="4">
        <f t="shared" si="136"/>
        <v>42958</v>
      </c>
      <c r="AZ1874" s="6" t="e">
        <f t="shared" si="137"/>
        <v>#DIV/0!</v>
      </c>
      <c r="BA1874" s="4">
        <v>42958</v>
      </c>
      <c r="BB1874" s="6">
        <v>-1.8453170000000001</v>
      </c>
      <c r="BC1874" s="6">
        <v>-2.03566</v>
      </c>
      <c r="BD1874" s="6">
        <v>-1.5163469999999999</v>
      </c>
      <c r="BE1874" s="6"/>
      <c r="BF1874" s="6"/>
      <c r="BG1874" s="6"/>
      <c r="BH1874" s="6"/>
      <c r="BI1874" s="6"/>
      <c r="BJ1874" s="6"/>
      <c r="BK1874" s="6"/>
      <c r="BL1874" s="6"/>
      <c r="BM1874" s="6"/>
      <c r="BN1874" s="6" t="e">
        <f t="shared" si="139"/>
        <v>#DIV/0!</v>
      </c>
    </row>
    <row r="1875" spans="49:66" x14ac:dyDescent="0.3">
      <c r="AW1875">
        <f t="shared" si="138"/>
        <v>0</v>
      </c>
      <c r="AX1875">
        <v>1872</v>
      </c>
      <c r="AY1875" s="4">
        <f t="shared" si="136"/>
        <v>42961</v>
      </c>
      <c r="AZ1875" s="6" t="e">
        <f t="shared" si="137"/>
        <v>#DIV/0!</v>
      </c>
      <c r="BA1875" s="4">
        <v>42961</v>
      </c>
      <c r="BB1875" s="6">
        <v>1.297731</v>
      </c>
      <c r="BC1875" s="6">
        <v>2.1335410000000001</v>
      </c>
      <c r="BD1875" s="6">
        <v>1.995555</v>
      </c>
      <c r="BE1875" s="6"/>
      <c r="BF1875" s="6"/>
      <c r="BG1875" s="6"/>
      <c r="BH1875" s="6"/>
      <c r="BI1875" s="6"/>
      <c r="BJ1875" s="6"/>
      <c r="BK1875" s="6"/>
      <c r="BL1875" s="6"/>
      <c r="BM1875" s="6"/>
      <c r="BN1875" s="6" t="e">
        <f t="shared" si="139"/>
        <v>#DIV/0!</v>
      </c>
    </row>
    <row r="1876" spans="49:66" x14ac:dyDescent="0.3">
      <c r="AW1876">
        <f t="shared" si="138"/>
        <v>0</v>
      </c>
      <c r="AX1876">
        <v>1873</v>
      </c>
      <c r="AY1876" s="4">
        <f t="shared" si="136"/>
        <v>42962</v>
      </c>
      <c r="AZ1876" s="6" t="e">
        <f t="shared" si="137"/>
        <v>#DIV/0!</v>
      </c>
      <c r="BA1876" s="4">
        <v>42962</v>
      </c>
      <c r="BB1876" s="6">
        <v>0.307834</v>
      </c>
      <c r="BC1876" s="6">
        <v>0.35150599999999999</v>
      </c>
      <c r="BD1876" s="6">
        <v>0.43677700000000003</v>
      </c>
      <c r="BE1876" s="6"/>
      <c r="BF1876" s="6"/>
      <c r="BG1876" s="6"/>
      <c r="BH1876" s="6"/>
      <c r="BI1876" s="6"/>
      <c r="BJ1876" s="6"/>
      <c r="BK1876" s="6"/>
      <c r="BL1876" s="6"/>
      <c r="BM1876" s="6"/>
      <c r="BN1876" s="6" t="e">
        <f t="shared" si="139"/>
        <v>#DIV/0!</v>
      </c>
    </row>
    <row r="1877" spans="49:66" x14ac:dyDescent="0.3">
      <c r="AW1877">
        <f t="shared" si="138"/>
        <v>0</v>
      </c>
      <c r="AX1877">
        <v>1874</v>
      </c>
      <c r="AY1877" s="4">
        <f t="shared" si="136"/>
        <v>42963</v>
      </c>
      <c r="AZ1877" s="6" t="e">
        <f t="shared" si="137"/>
        <v>#DIV/0!</v>
      </c>
      <c r="BA1877" s="4">
        <v>42963</v>
      </c>
      <c r="BB1877" s="6">
        <v>-0.12509000000000001</v>
      </c>
      <c r="BC1877" s="6">
        <v>6.3941999999999999E-2</v>
      </c>
      <c r="BD1877" s="6">
        <v>0.49412899999999998</v>
      </c>
      <c r="BE1877" s="6"/>
      <c r="BF1877" s="6"/>
      <c r="BG1877" s="6"/>
      <c r="BH1877" s="6"/>
      <c r="BI1877" s="6"/>
      <c r="BJ1877" s="6"/>
      <c r="BK1877" s="6"/>
      <c r="BL1877" s="6"/>
      <c r="BM1877" s="6"/>
      <c r="BN1877" s="6" t="e">
        <f t="shared" si="139"/>
        <v>#DIV/0!</v>
      </c>
    </row>
    <row r="1878" spans="49:66" x14ac:dyDescent="0.3">
      <c r="AW1878">
        <f t="shared" si="138"/>
        <v>0</v>
      </c>
      <c r="AX1878">
        <v>1875</v>
      </c>
      <c r="AY1878" s="4">
        <f t="shared" si="136"/>
        <v>42964</v>
      </c>
      <c r="AZ1878" s="6" t="e">
        <f t="shared" si="137"/>
        <v>#DIV/0!</v>
      </c>
      <c r="BA1878" s="4">
        <v>42964</v>
      </c>
      <c r="BB1878" s="6">
        <v>0.53645100000000001</v>
      </c>
      <c r="BC1878" s="6">
        <v>0.74753800000000004</v>
      </c>
      <c r="BD1878" s="6">
        <v>0.92552400000000001</v>
      </c>
      <c r="BE1878" s="6"/>
      <c r="BF1878" s="6"/>
      <c r="BG1878" s="6"/>
      <c r="BH1878" s="6"/>
      <c r="BI1878" s="6"/>
      <c r="BJ1878" s="6"/>
      <c r="BK1878" s="6"/>
      <c r="BL1878" s="6"/>
      <c r="BM1878" s="6"/>
      <c r="BN1878" s="6" t="e">
        <f t="shared" si="139"/>
        <v>#DIV/0!</v>
      </c>
    </row>
    <row r="1879" spans="49:66" x14ac:dyDescent="0.3">
      <c r="AW1879">
        <f t="shared" si="138"/>
        <v>0</v>
      </c>
      <c r="AX1879">
        <v>1876</v>
      </c>
      <c r="AY1879" s="4">
        <f t="shared" si="136"/>
        <v>42965</v>
      </c>
      <c r="AZ1879" s="6" t="e">
        <f t="shared" si="137"/>
        <v>#DIV/0!</v>
      </c>
      <c r="BA1879" s="4">
        <v>42965</v>
      </c>
      <c r="BB1879" s="6">
        <v>9.1306999999999999E-2</v>
      </c>
      <c r="BC1879" s="6">
        <v>-0.28712199999999999</v>
      </c>
      <c r="BD1879" s="6">
        <v>-0.501135</v>
      </c>
      <c r="BE1879" s="6"/>
      <c r="BF1879" s="6"/>
      <c r="BG1879" s="6"/>
      <c r="BH1879" s="6"/>
      <c r="BI1879" s="6"/>
      <c r="BJ1879" s="6"/>
      <c r="BK1879" s="6"/>
      <c r="BL1879" s="6"/>
      <c r="BM1879" s="6"/>
      <c r="BN1879" s="6" t="e">
        <f t="shared" si="139"/>
        <v>#DIV/0!</v>
      </c>
    </row>
    <row r="1880" spans="49:66" x14ac:dyDescent="0.3">
      <c r="AW1880">
        <f t="shared" si="138"/>
        <v>0</v>
      </c>
      <c r="AX1880">
        <v>1877</v>
      </c>
      <c r="AY1880" s="4">
        <f t="shared" si="136"/>
        <v>42968</v>
      </c>
      <c r="AZ1880" s="6" t="e">
        <f t="shared" si="137"/>
        <v>#DIV/0!</v>
      </c>
      <c r="BA1880" s="4">
        <v>42968</v>
      </c>
      <c r="BB1880" s="6">
        <v>0.43813999999999997</v>
      </c>
      <c r="BC1880" s="6">
        <v>0.88258899999999996</v>
      </c>
      <c r="BD1880" s="6">
        <v>0.73514999999999997</v>
      </c>
      <c r="BE1880" s="6"/>
      <c r="BF1880" s="6"/>
      <c r="BG1880" s="6"/>
      <c r="BH1880" s="6"/>
      <c r="BI1880" s="6"/>
      <c r="BJ1880" s="6"/>
      <c r="BK1880" s="6"/>
      <c r="BL1880" s="6"/>
      <c r="BM1880" s="6"/>
      <c r="BN1880" s="6" t="e">
        <f t="shared" si="139"/>
        <v>#DIV/0!</v>
      </c>
    </row>
    <row r="1881" spans="49:66" x14ac:dyDescent="0.3">
      <c r="AW1881">
        <f t="shared" si="138"/>
        <v>0</v>
      </c>
      <c r="AX1881">
        <v>1878</v>
      </c>
      <c r="AY1881" s="4">
        <f t="shared" si="136"/>
        <v>42969</v>
      </c>
      <c r="AZ1881" s="6" t="e">
        <f t="shared" si="137"/>
        <v>#DIV/0!</v>
      </c>
      <c r="BA1881" s="4">
        <v>42969</v>
      </c>
      <c r="BB1881" s="6">
        <v>0.30216300000000001</v>
      </c>
      <c r="BC1881" s="6">
        <v>-0.43410100000000001</v>
      </c>
      <c r="BD1881" s="6">
        <v>-0.61110200000000003</v>
      </c>
      <c r="BE1881" s="6"/>
      <c r="BF1881" s="6"/>
      <c r="BG1881" s="6"/>
      <c r="BH1881" s="6"/>
      <c r="BI1881" s="6"/>
      <c r="BJ1881" s="6"/>
      <c r="BK1881" s="6"/>
      <c r="BL1881" s="6"/>
      <c r="BM1881" s="6"/>
      <c r="BN1881" s="6" t="e">
        <f t="shared" si="139"/>
        <v>#DIV/0!</v>
      </c>
    </row>
    <row r="1882" spans="49:66" x14ac:dyDescent="0.3">
      <c r="AW1882">
        <f t="shared" si="138"/>
        <v>0</v>
      </c>
      <c r="AX1882">
        <v>1879</v>
      </c>
      <c r="AY1882" s="4">
        <f t="shared" si="136"/>
        <v>42970</v>
      </c>
      <c r="AZ1882" s="6" t="e">
        <f t="shared" si="137"/>
        <v>#DIV/0!</v>
      </c>
      <c r="BA1882" s="4">
        <v>42970</v>
      </c>
      <c r="BB1882" s="6">
        <v>0.10101499999999999</v>
      </c>
      <c r="BC1882" s="6">
        <v>-0.83437399999999995</v>
      </c>
      <c r="BD1882" s="6">
        <v>-0.66777399999999998</v>
      </c>
      <c r="BE1882" s="6"/>
      <c r="BF1882" s="6"/>
      <c r="BG1882" s="6"/>
      <c r="BH1882" s="6"/>
      <c r="BI1882" s="6"/>
      <c r="BJ1882" s="6"/>
      <c r="BK1882" s="6"/>
      <c r="BL1882" s="6"/>
      <c r="BM1882" s="6"/>
      <c r="BN1882" s="6" t="e">
        <f t="shared" si="139"/>
        <v>#DIV/0!</v>
      </c>
    </row>
    <row r="1883" spans="49:66" x14ac:dyDescent="0.3">
      <c r="AW1883">
        <f t="shared" si="138"/>
        <v>0</v>
      </c>
      <c r="AX1883">
        <v>1880</v>
      </c>
      <c r="AY1883" s="4">
        <f t="shared" si="136"/>
        <v>42971</v>
      </c>
      <c r="AZ1883" s="6" t="e">
        <f t="shared" si="137"/>
        <v>#DIV/0!</v>
      </c>
      <c r="BA1883" s="4">
        <v>42971</v>
      </c>
      <c r="BB1883" s="6">
        <v>-0.57087600000000005</v>
      </c>
      <c r="BC1883" s="6">
        <v>-0.69893099999999997</v>
      </c>
      <c r="BD1883" s="6">
        <v>-0.64241999999999999</v>
      </c>
      <c r="BE1883" s="6"/>
      <c r="BF1883" s="6"/>
      <c r="BG1883" s="6"/>
      <c r="BH1883" s="6"/>
      <c r="BI1883" s="6"/>
      <c r="BJ1883" s="6"/>
      <c r="BK1883" s="6"/>
      <c r="BL1883" s="6"/>
      <c r="BM1883" s="6"/>
      <c r="BN1883" s="6" t="e">
        <f t="shared" si="139"/>
        <v>#DIV/0!</v>
      </c>
    </row>
    <row r="1884" spans="49:66" x14ac:dyDescent="0.3">
      <c r="AW1884">
        <f t="shared" si="138"/>
        <v>0</v>
      </c>
      <c r="AX1884">
        <v>1881</v>
      </c>
      <c r="AY1884" s="4">
        <f t="shared" si="136"/>
        <v>42972</v>
      </c>
      <c r="AZ1884" s="6" t="e">
        <f t="shared" si="137"/>
        <v>#DIV/0!</v>
      </c>
      <c r="BA1884" s="4">
        <v>42972</v>
      </c>
      <c r="BB1884" s="6">
        <v>1.6362620000000001</v>
      </c>
      <c r="BC1884" s="6">
        <v>1.082098</v>
      </c>
      <c r="BD1884" s="6">
        <v>0.97845400000000005</v>
      </c>
      <c r="BE1884" s="6"/>
      <c r="BF1884" s="6"/>
      <c r="BG1884" s="6"/>
      <c r="BH1884" s="6"/>
      <c r="BI1884" s="6"/>
      <c r="BJ1884" s="6"/>
      <c r="BK1884" s="6"/>
      <c r="BL1884" s="6"/>
      <c r="BM1884" s="6"/>
      <c r="BN1884" s="6" t="e">
        <f t="shared" si="139"/>
        <v>#DIV/0!</v>
      </c>
    </row>
    <row r="1885" spans="49:66" x14ac:dyDescent="0.3">
      <c r="AW1885">
        <f t="shared" si="138"/>
        <v>0</v>
      </c>
      <c r="AX1885">
        <v>1882</v>
      </c>
      <c r="AY1885" s="4">
        <f t="shared" si="136"/>
        <v>42975</v>
      </c>
      <c r="AZ1885" s="6" t="e">
        <f t="shared" si="137"/>
        <v>#DIV/0!</v>
      </c>
      <c r="BA1885" s="4">
        <v>42975</v>
      </c>
      <c r="BB1885" s="6">
        <v>1.237106</v>
      </c>
      <c r="BC1885" s="6">
        <v>1.2298629999999999</v>
      </c>
      <c r="BD1885" s="6">
        <v>1.1024929999999999</v>
      </c>
      <c r="BE1885" s="6"/>
      <c r="BF1885" s="6"/>
      <c r="BG1885" s="6"/>
      <c r="BH1885" s="6"/>
      <c r="BI1885" s="6"/>
      <c r="BJ1885" s="6"/>
      <c r="BK1885" s="6"/>
      <c r="BL1885" s="6"/>
      <c r="BM1885" s="6"/>
      <c r="BN1885" s="6" t="e">
        <f t="shared" si="139"/>
        <v>#DIV/0!</v>
      </c>
    </row>
    <row r="1886" spans="49:66" x14ac:dyDescent="0.3">
      <c r="AW1886">
        <f t="shared" si="138"/>
        <v>0</v>
      </c>
      <c r="AX1886">
        <v>1883</v>
      </c>
      <c r="AY1886" s="4">
        <f t="shared" si="136"/>
        <v>42976</v>
      </c>
      <c r="AZ1886" s="6" t="e">
        <f t="shared" si="137"/>
        <v>#DIV/0!</v>
      </c>
      <c r="BA1886" s="4">
        <v>42976</v>
      </c>
      <c r="BB1886" s="6">
        <v>-0.21272199999999999</v>
      </c>
      <c r="BC1886" s="6">
        <v>-0.25569599999999998</v>
      </c>
      <c r="BD1886" s="6">
        <v>-0.25372499999999998</v>
      </c>
      <c r="BE1886" s="6"/>
      <c r="BF1886" s="6"/>
      <c r="BG1886" s="6"/>
      <c r="BH1886" s="6"/>
      <c r="BI1886" s="6"/>
      <c r="BJ1886" s="6"/>
      <c r="BK1886" s="6"/>
      <c r="BL1886" s="6"/>
      <c r="BM1886" s="6"/>
      <c r="BN1886" s="6" t="e">
        <f t="shared" si="139"/>
        <v>#DIV/0!</v>
      </c>
    </row>
    <row r="1887" spans="49:66" x14ac:dyDescent="0.3">
      <c r="AW1887">
        <f t="shared" si="138"/>
        <v>0</v>
      </c>
      <c r="AX1887">
        <v>1884</v>
      </c>
      <c r="AY1887" s="4">
        <f t="shared" si="136"/>
        <v>42977</v>
      </c>
      <c r="AZ1887" s="6" t="e">
        <f t="shared" si="137"/>
        <v>#DIV/0!</v>
      </c>
      <c r="BA1887" s="4">
        <v>42977</v>
      </c>
      <c r="BB1887" s="6">
        <v>-6.1830000000000001E-3</v>
      </c>
      <c r="BC1887" s="6">
        <v>0.70701899999999995</v>
      </c>
      <c r="BD1887" s="6">
        <v>0.408188</v>
      </c>
      <c r="BE1887" s="6"/>
      <c r="BF1887" s="6"/>
      <c r="BG1887" s="6"/>
      <c r="BH1887" s="6"/>
      <c r="BI1887" s="6"/>
      <c r="BJ1887" s="6"/>
      <c r="BK1887" s="6"/>
      <c r="BL1887" s="6"/>
      <c r="BM1887" s="6"/>
      <c r="BN1887" s="6" t="e">
        <f t="shared" si="139"/>
        <v>#DIV/0!</v>
      </c>
    </row>
    <row r="1888" spans="49:66" x14ac:dyDescent="0.3">
      <c r="AW1888">
        <f t="shared" si="138"/>
        <v>0</v>
      </c>
      <c r="AX1888">
        <v>1885</v>
      </c>
      <c r="AY1888" s="4">
        <f t="shared" si="136"/>
        <v>42978</v>
      </c>
      <c r="AZ1888" s="6" t="e">
        <f t="shared" si="137"/>
        <v>#DIV/0!</v>
      </c>
      <c r="BA1888" s="4">
        <v>42978</v>
      </c>
      <c r="BB1888" s="6">
        <v>-0.31838100000000003</v>
      </c>
      <c r="BC1888" s="6">
        <v>0.26284000000000002</v>
      </c>
      <c r="BD1888" s="6">
        <v>0.33312700000000001</v>
      </c>
      <c r="BE1888" s="6"/>
      <c r="BF1888" s="6"/>
      <c r="BG1888" s="6"/>
      <c r="BH1888" s="6"/>
      <c r="BI1888" s="6"/>
      <c r="BJ1888" s="6"/>
      <c r="BK1888" s="6"/>
      <c r="BL1888" s="6"/>
      <c r="BM1888" s="6"/>
      <c r="BN1888" s="6" t="e">
        <f t="shared" si="139"/>
        <v>#DIV/0!</v>
      </c>
    </row>
    <row r="1889" spans="49:66" x14ac:dyDescent="0.3">
      <c r="AW1889">
        <f t="shared" si="138"/>
        <v>0</v>
      </c>
      <c r="AX1889">
        <v>1886</v>
      </c>
      <c r="AY1889" s="4">
        <f t="shared" si="136"/>
        <v>42979</v>
      </c>
      <c r="AZ1889" s="6" t="e">
        <f t="shared" si="137"/>
        <v>#DIV/0!</v>
      </c>
      <c r="BA1889" s="4">
        <v>42979</v>
      </c>
      <c r="BB1889" s="6">
        <v>0.22096499999999999</v>
      </c>
      <c r="BC1889" s="6">
        <v>0.86669300000000005</v>
      </c>
      <c r="BD1889" s="6">
        <v>0.78171000000000002</v>
      </c>
      <c r="BE1889" s="6"/>
      <c r="BF1889" s="6"/>
      <c r="BG1889" s="6"/>
      <c r="BH1889" s="6"/>
      <c r="BI1889" s="6"/>
      <c r="BJ1889" s="6"/>
      <c r="BK1889" s="6"/>
      <c r="BL1889" s="6"/>
      <c r="BM1889" s="6"/>
      <c r="BN1889" s="6" t="e">
        <f t="shared" si="139"/>
        <v>#DIV/0!</v>
      </c>
    </row>
    <row r="1890" spans="49:66" x14ac:dyDescent="0.3">
      <c r="AW1890">
        <f t="shared" si="138"/>
        <v>0</v>
      </c>
      <c r="AX1890">
        <v>1887</v>
      </c>
      <c r="AY1890" s="4">
        <f t="shared" si="136"/>
        <v>42982</v>
      </c>
      <c r="AZ1890" s="6" t="e">
        <f t="shared" si="137"/>
        <v>#DIV/0!</v>
      </c>
      <c r="BA1890" s="4">
        <v>42982</v>
      </c>
      <c r="BB1890" s="6">
        <v>0.39362599999999998</v>
      </c>
      <c r="BC1890" s="6">
        <v>0.58493499999999998</v>
      </c>
      <c r="BD1890" s="6">
        <v>0.75289399999999995</v>
      </c>
      <c r="BE1890" s="6"/>
      <c r="BF1890" s="6"/>
      <c r="BG1890" s="6"/>
      <c r="BH1890" s="6"/>
      <c r="BI1890" s="6"/>
      <c r="BJ1890" s="6"/>
      <c r="BK1890" s="6"/>
      <c r="BL1890" s="6"/>
      <c r="BM1890" s="6"/>
      <c r="BN1890" s="6" t="e">
        <f t="shared" si="139"/>
        <v>#DIV/0!</v>
      </c>
    </row>
    <row r="1891" spans="49:66" x14ac:dyDescent="0.3">
      <c r="AW1891">
        <f t="shared" si="138"/>
        <v>0</v>
      </c>
      <c r="AX1891">
        <v>1888</v>
      </c>
      <c r="AY1891" s="4">
        <f t="shared" si="136"/>
        <v>42983</v>
      </c>
      <c r="AZ1891" s="6" t="e">
        <f t="shared" si="137"/>
        <v>#DIV/0!</v>
      </c>
      <c r="BA1891" s="4">
        <v>42983</v>
      </c>
      <c r="BB1891" s="6">
        <v>0.29722399999999999</v>
      </c>
      <c r="BC1891" s="6">
        <v>0.10935300000000001</v>
      </c>
      <c r="BD1891" s="6">
        <v>3.0248000000000001E-2</v>
      </c>
      <c r="BE1891" s="6"/>
      <c r="BF1891" s="6"/>
      <c r="BG1891" s="6"/>
      <c r="BH1891" s="6"/>
      <c r="BI1891" s="6"/>
      <c r="BJ1891" s="6"/>
      <c r="BK1891" s="6"/>
      <c r="BL1891" s="6"/>
      <c r="BM1891" s="6"/>
      <c r="BN1891" s="6" t="e">
        <f t="shared" si="139"/>
        <v>#DIV/0!</v>
      </c>
    </row>
    <row r="1892" spans="49:66" x14ac:dyDescent="0.3">
      <c r="AW1892">
        <f t="shared" si="138"/>
        <v>0</v>
      </c>
      <c r="AX1892">
        <v>1889</v>
      </c>
      <c r="AY1892" s="4">
        <f t="shared" si="136"/>
        <v>42984</v>
      </c>
      <c r="AZ1892" s="6" t="e">
        <f t="shared" si="137"/>
        <v>#DIV/0!</v>
      </c>
      <c r="BA1892" s="4">
        <v>42984</v>
      </c>
      <c r="BB1892" s="6">
        <v>-0.19695099999999999</v>
      </c>
      <c r="BC1892" s="6">
        <v>0.53650699999999996</v>
      </c>
      <c r="BD1892" s="6">
        <v>0.74030200000000002</v>
      </c>
      <c r="BE1892" s="6"/>
      <c r="BF1892" s="6"/>
      <c r="BG1892" s="6"/>
      <c r="BH1892" s="6"/>
      <c r="BI1892" s="6"/>
      <c r="BJ1892" s="6"/>
      <c r="BK1892" s="6"/>
      <c r="BL1892" s="6"/>
      <c r="BM1892" s="6"/>
      <c r="BN1892" s="6" t="e">
        <f t="shared" si="139"/>
        <v>#DIV/0!</v>
      </c>
    </row>
    <row r="1893" spans="49:66" x14ac:dyDescent="0.3">
      <c r="AW1893">
        <f t="shared" si="138"/>
        <v>0</v>
      </c>
      <c r="AX1893">
        <v>1890</v>
      </c>
      <c r="AY1893" s="4">
        <f t="shared" si="136"/>
        <v>42985</v>
      </c>
      <c r="AZ1893" s="6" t="e">
        <f t="shared" si="137"/>
        <v>#DIV/0!</v>
      </c>
      <c r="BA1893" s="4">
        <v>42985</v>
      </c>
      <c r="BB1893" s="6">
        <v>-0.50860799999999995</v>
      </c>
      <c r="BC1893" s="6">
        <v>-0.734379</v>
      </c>
      <c r="BD1893" s="6">
        <v>-0.44393500000000002</v>
      </c>
      <c r="BE1893" s="6"/>
      <c r="BF1893" s="6"/>
      <c r="BG1893" s="6"/>
      <c r="BH1893" s="6"/>
      <c r="BI1893" s="6"/>
      <c r="BJ1893" s="6"/>
      <c r="BK1893" s="6"/>
      <c r="BL1893" s="6"/>
      <c r="BM1893" s="6"/>
      <c r="BN1893" s="6" t="e">
        <f t="shared" si="139"/>
        <v>#DIV/0!</v>
      </c>
    </row>
    <row r="1894" spans="49:66" x14ac:dyDescent="0.3">
      <c r="AW1894">
        <f t="shared" si="138"/>
        <v>0</v>
      </c>
      <c r="AX1894">
        <v>1891</v>
      </c>
      <c r="AY1894" s="4">
        <f t="shared" si="136"/>
        <v>42986</v>
      </c>
      <c r="AZ1894" s="6" t="e">
        <f t="shared" si="137"/>
        <v>#DIV/0!</v>
      </c>
      <c r="BA1894" s="4">
        <v>42986</v>
      </c>
      <c r="BB1894" s="6">
        <v>-0.101356</v>
      </c>
      <c r="BC1894" s="6">
        <v>0.237647</v>
      </c>
      <c r="BD1894" s="6">
        <v>0.19680300000000001</v>
      </c>
      <c r="BE1894" s="6"/>
      <c r="BF1894" s="6"/>
      <c r="BG1894" s="6"/>
      <c r="BH1894" s="6"/>
      <c r="BI1894" s="6"/>
      <c r="BJ1894" s="6"/>
      <c r="BK1894" s="6"/>
      <c r="BL1894" s="6"/>
      <c r="BM1894" s="6"/>
      <c r="BN1894" s="6" t="e">
        <f t="shared" si="139"/>
        <v>#DIV/0!</v>
      </c>
    </row>
    <row r="1895" spans="49:66" x14ac:dyDescent="0.3">
      <c r="AW1895">
        <f t="shared" si="138"/>
        <v>0</v>
      </c>
      <c r="AX1895">
        <v>1892</v>
      </c>
      <c r="AY1895" s="4">
        <f t="shared" si="136"/>
        <v>42989</v>
      </c>
      <c r="AZ1895" s="6" t="e">
        <f t="shared" si="137"/>
        <v>#DIV/0!</v>
      </c>
      <c r="BA1895" s="4">
        <v>42989</v>
      </c>
      <c r="BB1895" s="6">
        <v>-8.9960000000000005E-3</v>
      </c>
      <c r="BC1895" s="6">
        <v>1.1475949999999999</v>
      </c>
      <c r="BD1895" s="6">
        <v>1.0447329999999999</v>
      </c>
      <c r="BE1895" s="6"/>
      <c r="BF1895" s="6"/>
      <c r="BG1895" s="6"/>
      <c r="BH1895" s="6"/>
      <c r="BI1895" s="6"/>
      <c r="BJ1895" s="6"/>
      <c r="BK1895" s="6"/>
      <c r="BL1895" s="6"/>
      <c r="BM1895" s="6"/>
      <c r="BN1895" s="6" t="e">
        <f t="shared" si="139"/>
        <v>#DIV/0!</v>
      </c>
    </row>
    <row r="1896" spans="49:66" x14ac:dyDescent="0.3">
      <c r="AW1896">
        <f t="shared" si="138"/>
        <v>0</v>
      </c>
      <c r="AX1896">
        <v>1893</v>
      </c>
      <c r="AY1896" s="4">
        <f t="shared" si="136"/>
        <v>42990</v>
      </c>
      <c r="AZ1896" s="6" t="e">
        <f t="shared" si="137"/>
        <v>#DIV/0!</v>
      </c>
      <c r="BA1896" s="4">
        <v>42990</v>
      </c>
      <c r="BB1896" s="6">
        <v>0.32122200000000001</v>
      </c>
      <c r="BC1896" s="6">
        <v>-8.4453E-2</v>
      </c>
      <c r="BD1896" s="6">
        <v>-0.26849800000000001</v>
      </c>
      <c r="BE1896" s="6"/>
      <c r="BF1896" s="6"/>
      <c r="BG1896" s="6"/>
      <c r="BH1896" s="6"/>
      <c r="BI1896" s="6"/>
      <c r="BJ1896" s="6"/>
      <c r="BK1896" s="6"/>
      <c r="BL1896" s="6"/>
      <c r="BM1896" s="6"/>
      <c r="BN1896" s="6" t="e">
        <f t="shared" si="139"/>
        <v>#DIV/0!</v>
      </c>
    </row>
    <row r="1897" spans="49:66" x14ac:dyDescent="0.3">
      <c r="AW1897">
        <f t="shared" si="138"/>
        <v>0</v>
      </c>
      <c r="AX1897">
        <v>1894</v>
      </c>
      <c r="AY1897" s="4">
        <f t="shared" si="136"/>
        <v>42991</v>
      </c>
      <c r="AZ1897" s="6" t="e">
        <f t="shared" si="137"/>
        <v>#DIV/0!</v>
      </c>
      <c r="BA1897" s="4">
        <v>42991</v>
      </c>
      <c r="BB1897" s="6">
        <v>0.12173200000000001</v>
      </c>
      <c r="BC1897" s="6">
        <v>0.60758500000000004</v>
      </c>
      <c r="BD1897" s="6">
        <v>0.37126100000000001</v>
      </c>
      <c r="BE1897" s="6"/>
      <c r="BF1897" s="6"/>
      <c r="BG1897" s="6"/>
      <c r="BH1897" s="6"/>
      <c r="BI1897" s="6"/>
      <c r="BJ1897" s="6"/>
      <c r="BK1897" s="6"/>
      <c r="BL1897" s="6"/>
      <c r="BM1897" s="6"/>
      <c r="BN1897" s="6" t="e">
        <f t="shared" si="139"/>
        <v>#DIV/0!</v>
      </c>
    </row>
    <row r="1898" spans="49:66" x14ac:dyDescent="0.3">
      <c r="AW1898">
        <f t="shared" si="138"/>
        <v>0</v>
      </c>
      <c r="AX1898">
        <v>1895</v>
      </c>
      <c r="AY1898" s="4">
        <f t="shared" si="136"/>
        <v>42992</v>
      </c>
      <c r="AZ1898" s="6" t="e">
        <f t="shared" si="137"/>
        <v>#DIV/0!</v>
      </c>
      <c r="BA1898" s="4">
        <v>42992</v>
      </c>
      <c r="BB1898" s="6">
        <v>-0.32922200000000001</v>
      </c>
      <c r="BC1898" s="6">
        <v>-0.18243899999999999</v>
      </c>
      <c r="BD1898" s="6">
        <v>-0.15242600000000001</v>
      </c>
      <c r="BE1898" s="6"/>
      <c r="BF1898" s="6"/>
      <c r="BG1898" s="6"/>
      <c r="BH1898" s="6"/>
      <c r="BI1898" s="6"/>
      <c r="BJ1898" s="6"/>
      <c r="BK1898" s="6"/>
      <c r="BL1898" s="6"/>
      <c r="BM1898" s="6"/>
      <c r="BN1898" s="6" t="e">
        <f t="shared" si="139"/>
        <v>#DIV/0!</v>
      </c>
    </row>
    <row r="1899" spans="49:66" x14ac:dyDescent="0.3">
      <c r="AW1899">
        <f t="shared" si="138"/>
        <v>0</v>
      </c>
      <c r="AX1899">
        <v>1896</v>
      </c>
      <c r="AY1899" s="4">
        <f t="shared" si="136"/>
        <v>42993</v>
      </c>
      <c r="AZ1899" s="6" t="e">
        <f t="shared" si="137"/>
        <v>#DIV/0!</v>
      </c>
      <c r="BA1899" s="4">
        <v>42993</v>
      </c>
      <c r="BB1899" s="6">
        <v>3.5015999999999999E-2</v>
      </c>
      <c r="BC1899" s="6">
        <v>-0.751494</v>
      </c>
      <c r="BD1899" s="6">
        <v>-0.45598899999999998</v>
      </c>
      <c r="BE1899" s="6"/>
      <c r="BF1899" s="6"/>
      <c r="BG1899" s="6"/>
      <c r="BH1899" s="6"/>
      <c r="BI1899" s="6"/>
      <c r="BJ1899" s="6"/>
      <c r="BK1899" s="6"/>
      <c r="BL1899" s="6"/>
      <c r="BM1899" s="6"/>
      <c r="BN1899" s="6" t="e">
        <f t="shared" si="139"/>
        <v>#DIV/0!</v>
      </c>
    </row>
    <row r="1900" spans="49:66" x14ac:dyDescent="0.3">
      <c r="AW1900">
        <f t="shared" si="138"/>
        <v>0</v>
      </c>
      <c r="AX1900">
        <v>1897</v>
      </c>
      <c r="AY1900" s="4">
        <f t="shared" si="136"/>
        <v>42996</v>
      </c>
      <c r="AZ1900" s="6" t="e">
        <f t="shared" si="137"/>
        <v>#DIV/0!</v>
      </c>
      <c r="BA1900" s="4">
        <v>42996</v>
      </c>
      <c r="BB1900" s="6">
        <v>0.30919799999999997</v>
      </c>
      <c r="BC1900" s="6">
        <v>0.71595699999999995</v>
      </c>
      <c r="BD1900" s="6">
        <v>0.775532</v>
      </c>
      <c r="BE1900" s="6"/>
      <c r="BF1900" s="6"/>
      <c r="BG1900" s="6"/>
      <c r="BH1900" s="6"/>
      <c r="BI1900" s="6"/>
      <c r="BJ1900" s="6"/>
      <c r="BK1900" s="6"/>
      <c r="BL1900" s="6"/>
      <c r="BM1900" s="6"/>
      <c r="BN1900" s="6" t="e">
        <f t="shared" si="139"/>
        <v>#DIV/0!</v>
      </c>
    </row>
    <row r="1901" spans="49:66" x14ac:dyDescent="0.3">
      <c r="AW1901">
        <f t="shared" si="138"/>
        <v>0</v>
      </c>
      <c r="AX1901">
        <v>1898</v>
      </c>
      <c r="AY1901" s="4">
        <f t="shared" si="136"/>
        <v>42997</v>
      </c>
      <c r="AZ1901" s="6" t="e">
        <f t="shared" si="137"/>
        <v>#DIV/0!</v>
      </c>
      <c r="BA1901" s="4">
        <v>42997</v>
      </c>
      <c r="BB1901" s="6">
        <v>-0.28691899999999998</v>
      </c>
      <c r="BC1901" s="6">
        <v>-0.50131099999999995</v>
      </c>
      <c r="BD1901" s="6">
        <v>-0.45302399999999998</v>
      </c>
      <c r="BE1901" s="6"/>
      <c r="BF1901" s="6"/>
      <c r="BG1901" s="6"/>
      <c r="BH1901" s="6"/>
      <c r="BI1901" s="6"/>
      <c r="BJ1901" s="6"/>
      <c r="BK1901" s="6"/>
      <c r="BL1901" s="6"/>
      <c r="BM1901" s="6"/>
      <c r="BN1901" s="6" t="e">
        <f t="shared" si="139"/>
        <v>#DIV/0!</v>
      </c>
    </row>
    <row r="1902" spans="49:66" x14ac:dyDescent="0.3">
      <c r="AW1902">
        <f t="shared" si="138"/>
        <v>0</v>
      </c>
      <c r="AX1902">
        <v>1899</v>
      </c>
      <c r="AY1902" s="4">
        <f t="shared" si="136"/>
        <v>42998</v>
      </c>
      <c r="AZ1902" s="6" t="e">
        <f t="shared" si="137"/>
        <v>#DIV/0!</v>
      </c>
      <c r="BA1902" s="4">
        <v>42998</v>
      </c>
      <c r="BB1902" s="6">
        <v>0.26928200000000002</v>
      </c>
      <c r="BC1902" s="6">
        <v>0.85069499999999998</v>
      </c>
      <c r="BD1902" s="6">
        <v>0.88144999999999996</v>
      </c>
      <c r="BE1902" s="6"/>
      <c r="BF1902" s="6"/>
      <c r="BG1902" s="6"/>
      <c r="BH1902" s="6"/>
      <c r="BI1902" s="6"/>
      <c r="BJ1902" s="6"/>
      <c r="BK1902" s="6"/>
      <c r="BL1902" s="6"/>
      <c r="BM1902" s="6"/>
      <c r="BN1902" s="6" t="e">
        <f t="shared" si="139"/>
        <v>#DIV/0!</v>
      </c>
    </row>
    <row r="1903" spans="49:66" x14ac:dyDescent="0.3">
      <c r="AW1903">
        <f t="shared" si="138"/>
        <v>0</v>
      </c>
      <c r="AX1903">
        <v>1900</v>
      </c>
      <c r="AY1903" s="4">
        <f t="shared" si="136"/>
        <v>42999</v>
      </c>
      <c r="AZ1903" s="6" t="e">
        <f t="shared" si="137"/>
        <v>#DIV/0!</v>
      </c>
      <c r="BA1903" s="4">
        <v>42999</v>
      </c>
      <c r="BB1903" s="6">
        <v>-0.12017600000000001</v>
      </c>
      <c r="BC1903" s="6">
        <v>-1.2017500000000001</v>
      </c>
      <c r="BD1903" s="6">
        <v>-1.1143590000000001</v>
      </c>
      <c r="BE1903" s="6"/>
      <c r="BF1903" s="6"/>
      <c r="BG1903" s="6"/>
      <c r="BH1903" s="6"/>
      <c r="BI1903" s="6"/>
      <c r="BJ1903" s="6"/>
      <c r="BK1903" s="6"/>
      <c r="BL1903" s="6"/>
      <c r="BM1903" s="6"/>
      <c r="BN1903" s="6" t="e">
        <f t="shared" si="139"/>
        <v>#DIV/0!</v>
      </c>
    </row>
    <row r="1904" spans="49:66" x14ac:dyDescent="0.3">
      <c r="AW1904">
        <f t="shared" si="138"/>
        <v>0</v>
      </c>
      <c r="AX1904">
        <v>1901</v>
      </c>
      <c r="AY1904" s="4">
        <f t="shared" si="136"/>
        <v>43000</v>
      </c>
      <c r="AZ1904" s="6" t="e">
        <f t="shared" si="137"/>
        <v>#DIV/0!</v>
      </c>
      <c r="BA1904" s="4">
        <v>43000</v>
      </c>
      <c r="BB1904" s="6">
        <v>-2.2720000000000001E-3</v>
      </c>
      <c r="BC1904" s="6">
        <v>-0.60550099999999996</v>
      </c>
      <c r="BD1904" s="6">
        <v>-0.46647699999999997</v>
      </c>
      <c r="BE1904" s="6"/>
      <c r="BF1904" s="6"/>
      <c r="BG1904" s="6"/>
      <c r="BH1904" s="6"/>
      <c r="BI1904" s="6"/>
      <c r="BJ1904" s="6"/>
      <c r="BK1904" s="6"/>
      <c r="BL1904" s="6"/>
      <c r="BM1904" s="6"/>
      <c r="BN1904" s="6" t="e">
        <f t="shared" si="139"/>
        <v>#DIV/0!</v>
      </c>
    </row>
    <row r="1905" spans="49:66" x14ac:dyDescent="0.3">
      <c r="AW1905">
        <f t="shared" si="138"/>
        <v>0</v>
      </c>
      <c r="AX1905">
        <v>1902</v>
      </c>
      <c r="AY1905" s="4">
        <f t="shared" si="136"/>
        <v>43003</v>
      </c>
      <c r="AZ1905" s="6" t="e">
        <f t="shared" si="137"/>
        <v>#DIV/0!</v>
      </c>
      <c r="BA1905" s="4">
        <v>43003</v>
      </c>
      <c r="BB1905" s="6">
        <v>-0.51954900000000004</v>
      </c>
      <c r="BC1905" s="6">
        <v>-1.2502340000000001</v>
      </c>
      <c r="BD1905" s="6">
        <v>-1.5023299999999999</v>
      </c>
      <c r="BE1905" s="6"/>
      <c r="BF1905" s="6"/>
      <c r="BG1905" s="6"/>
      <c r="BH1905" s="6"/>
      <c r="BI1905" s="6"/>
      <c r="BJ1905" s="6"/>
      <c r="BK1905" s="6"/>
      <c r="BL1905" s="6"/>
      <c r="BM1905" s="6"/>
      <c r="BN1905" s="6" t="e">
        <f t="shared" si="139"/>
        <v>#DIV/0!</v>
      </c>
    </row>
    <row r="1906" spans="49:66" x14ac:dyDescent="0.3">
      <c r="AW1906">
        <f t="shared" si="138"/>
        <v>0</v>
      </c>
      <c r="AX1906">
        <v>1903</v>
      </c>
      <c r="AY1906" s="4">
        <f t="shared" si="136"/>
        <v>43004</v>
      </c>
      <c r="AZ1906" s="6" t="e">
        <f t="shared" si="137"/>
        <v>#DIV/0!</v>
      </c>
      <c r="BA1906" s="4">
        <v>43004</v>
      </c>
      <c r="BB1906" s="6">
        <v>7.8320000000000001E-2</v>
      </c>
      <c r="BC1906" s="6">
        <v>0.475719</v>
      </c>
      <c r="BD1906" s="6">
        <v>0.18677199999999999</v>
      </c>
      <c r="BE1906" s="6"/>
      <c r="BF1906" s="6"/>
      <c r="BG1906" s="6"/>
      <c r="BH1906" s="6"/>
      <c r="BI1906" s="6"/>
      <c r="BJ1906" s="6"/>
      <c r="BK1906" s="6"/>
      <c r="BL1906" s="6"/>
      <c r="BM1906" s="6"/>
      <c r="BN1906" s="6" t="e">
        <f t="shared" si="139"/>
        <v>#DIV/0!</v>
      </c>
    </row>
    <row r="1907" spans="49:66" x14ac:dyDescent="0.3">
      <c r="AW1907">
        <f t="shared" si="138"/>
        <v>0</v>
      </c>
      <c r="AX1907">
        <v>1904</v>
      </c>
      <c r="AY1907" s="4">
        <f t="shared" si="136"/>
        <v>43005</v>
      </c>
      <c r="AZ1907" s="6" t="e">
        <f t="shared" si="137"/>
        <v>#DIV/0!</v>
      </c>
      <c r="BA1907" s="4">
        <v>43005</v>
      </c>
      <c r="BB1907" s="6">
        <v>1.0951000000000001E-2</v>
      </c>
      <c r="BC1907" s="6">
        <v>0.95729600000000004</v>
      </c>
      <c r="BD1907" s="6">
        <v>0.82614900000000002</v>
      </c>
      <c r="BE1907" s="6"/>
      <c r="BF1907" s="6"/>
      <c r="BG1907" s="6"/>
      <c r="BH1907" s="6"/>
      <c r="BI1907" s="6"/>
      <c r="BJ1907" s="6"/>
      <c r="BK1907" s="6"/>
      <c r="BL1907" s="6"/>
      <c r="BM1907" s="6"/>
      <c r="BN1907" s="6" t="e">
        <f t="shared" si="139"/>
        <v>#DIV/0!</v>
      </c>
    </row>
    <row r="1908" spans="49:66" x14ac:dyDescent="0.3">
      <c r="AW1908">
        <f t="shared" si="138"/>
        <v>0</v>
      </c>
      <c r="AX1908">
        <v>1905</v>
      </c>
      <c r="AY1908" s="4">
        <f t="shared" si="136"/>
        <v>43006</v>
      </c>
      <c r="AZ1908" s="6" t="e">
        <f t="shared" si="137"/>
        <v>#DIV/0!</v>
      </c>
      <c r="BA1908" s="4">
        <v>43006</v>
      </c>
      <c r="BB1908" s="6">
        <v>3.5031E-2</v>
      </c>
      <c r="BC1908" s="6">
        <v>-0.23315</v>
      </c>
      <c r="BD1908" s="6">
        <v>-0.53594799999999998</v>
      </c>
      <c r="BE1908" s="6"/>
      <c r="BF1908" s="6"/>
      <c r="BG1908" s="6"/>
      <c r="BH1908" s="6"/>
      <c r="BI1908" s="6"/>
      <c r="BJ1908" s="6"/>
      <c r="BK1908" s="6"/>
      <c r="BL1908" s="6"/>
      <c r="BM1908" s="6"/>
      <c r="BN1908" s="6" t="e">
        <f t="shared" si="139"/>
        <v>#DIV/0!</v>
      </c>
    </row>
    <row r="1909" spans="49:66" x14ac:dyDescent="0.3">
      <c r="AW1909">
        <f t="shared" si="138"/>
        <v>0</v>
      </c>
      <c r="AX1909">
        <v>1906</v>
      </c>
      <c r="AY1909" s="4">
        <f t="shared" si="136"/>
        <v>43007</v>
      </c>
      <c r="AZ1909" s="6" t="e">
        <f t="shared" si="137"/>
        <v>#DIV/0!</v>
      </c>
      <c r="BA1909" s="4">
        <v>43007</v>
      </c>
      <c r="BB1909" s="6">
        <v>0.36527300000000001</v>
      </c>
      <c r="BC1909" s="6">
        <v>0.54001699999999997</v>
      </c>
      <c r="BD1909" s="6">
        <v>0.95529500000000001</v>
      </c>
      <c r="BE1909" s="6"/>
      <c r="BF1909" s="6"/>
      <c r="BG1909" s="6"/>
      <c r="BH1909" s="6"/>
      <c r="BI1909" s="6"/>
      <c r="BJ1909" s="6"/>
      <c r="BK1909" s="6"/>
      <c r="BL1909" s="6"/>
      <c r="BM1909" s="6"/>
      <c r="BN1909" s="6" t="e">
        <f t="shared" si="139"/>
        <v>#DIV/0!</v>
      </c>
    </row>
    <row r="1910" spans="49:66" x14ac:dyDescent="0.3">
      <c r="AW1910">
        <f t="shared" si="138"/>
        <v>0</v>
      </c>
      <c r="AX1910">
        <v>1907</v>
      </c>
      <c r="AY1910" s="4">
        <f t="shared" si="136"/>
        <v>43017</v>
      </c>
      <c r="AZ1910" s="6" t="e">
        <f t="shared" si="137"/>
        <v>#DIV/0!</v>
      </c>
      <c r="BA1910" s="4">
        <v>43017</v>
      </c>
      <c r="BB1910" s="6">
        <v>1.191354</v>
      </c>
      <c r="BC1910" s="6">
        <v>1.1375040000000001</v>
      </c>
      <c r="BD1910" s="6">
        <v>1.257166</v>
      </c>
      <c r="BE1910" s="6"/>
      <c r="BF1910" s="6"/>
      <c r="BG1910" s="6"/>
      <c r="BH1910" s="6"/>
      <c r="BI1910" s="6"/>
      <c r="BJ1910" s="6"/>
      <c r="BK1910" s="6"/>
      <c r="BL1910" s="6"/>
      <c r="BM1910" s="6"/>
      <c r="BN1910" s="6" t="e">
        <f t="shared" si="139"/>
        <v>#DIV/0!</v>
      </c>
    </row>
    <row r="1911" spans="49:66" x14ac:dyDescent="0.3">
      <c r="AW1911">
        <f t="shared" si="138"/>
        <v>0</v>
      </c>
      <c r="AX1911">
        <v>1908</v>
      </c>
      <c r="AY1911" s="4">
        <f t="shared" si="136"/>
        <v>43018</v>
      </c>
      <c r="AZ1911" s="6" t="e">
        <f t="shared" si="137"/>
        <v>#DIV/0!</v>
      </c>
      <c r="BA1911" s="4">
        <v>43018</v>
      </c>
      <c r="BB1911" s="6">
        <v>0.19721</v>
      </c>
      <c r="BC1911" s="6">
        <v>0.40594000000000002</v>
      </c>
      <c r="BD1911" s="6">
        <v>0.67091999999999996</v>
      </c>
      <c r="BE1911" s="6"/>
      <c r="BF1911" s="6"/>
      <c r="BG1911" s="6"/>
      <c r="BH1911" s="6"/>
      <c r="BI1911" s="6"/>
      <c r="BJ1911" s="6"/>
      <c r="BK1911" s="6"/>
      <c r="BL1911" s="6"/>
      <c r="BM1911" s="6"/>
      <c r="BN1911" s="6" t="e">
        <f t="shared" si="139"/>
        <v>#DIV/0!</v>
      </c>
    </row>
    <row r="1912" spans="49:66" x14ac:dyDescent="0.3">
      <c r="AW1912">
        <f t="shared" si="138"/>
        <v>0</v>
      </c>
      <c r="AX1912">
        <v>1909</v>
      </c>
      <c r="AY1912" s="4">
        <f t="shared" si="136"/>
        <v>43019</v>
      </c>
      <c r="AZ1912" s="6" t="e">
        <f t="shared" si="137"/>
        <v>#DIV/0!</v>
      </c>
      <c r="BA1912" s="4">
        <v>43019</v>
      </c>
      <c r="BB1912" s="6">
        <v>0.329654</v>
      </c>
      <c r="BC1912" s="6">
        <v>-0.58178700000000005</v>
      </c>
      <c r="BD1912" s="6">
        <v>-0.41715099999999999</v>
      </c>
      <c r="BE1912" s="6"/>
      <c r="BF1912" s="6"/>
      <c r="BG1912" s="6"/>
      <c r="BH1912" s="6"/>
      <c r="BI1912" s="6"/>
      <c r="BJ1912" s="6"/>
      <c r="BK1912" s="6"/>
      <c r="BL1912" s="6"/>
      <c r="BM1912" s="6"/>
      <c r="BN1912" s="6" t="e">
        <f t="shared" si="139"/>
        <v>#DIV/0!</v>
      </c>
    </row>
    <row r="1913" spans="49:66" x14ac:dyDescent="0.3">
      <c r="AW1913">
        <f t="shared" si="138"/>
        <v>0</v>
      </c>
      <c r="AX1913">
        <v>1910</v>
      </c>
      <c r="AY1913" s="4">
        <f t="shared" si="136"/>
        <v>43020</v>
      </c>
      <c r="AZ1913" s="6" t="e">
        <f t="shared" si="137"/>
        <v>#DIV/0!</v>
      </c>
      <c r="BA1913" s="4">
        <v>43020</v>
      </c>
      <c r="BB1913" s="6">
        <v>0.26307000000000003</v>
      </c>
      <c r="BC1913" s="6">
        <v>-0.110612</v>
      </c>
      <c r="BD1913" s="6">
        <v>-0.26344099999999998</v>
      </c>
      <c r="BE1913" s="6"/>
      <c r="BF1913" s="6"/>
      <c r="BG1913" s="6"/>
      <c r="BH1913" s="6"/>
      <c r="BI1913" s="6"/>
      <c r="BJ1913" s="6"/>
      <c r="BK1913" s="6"/>
      <c r="BL1913" s="6"/>
      <c r="BM1913" s="6"/>
      <c r="BN1913" s="6" t="e">
        <f t="shared" si="139"/>
        <v>#DIV/0!</v>
      </c>
    </row>
    <row r="1914" spans="49:66" x14ac:dyDescent="0.3">
      <c r="AW1914">
        <f t="shared" si="138"/>
        <v>0</v>
      </c>
      <c r="AX1914">
        <v>1911</v>
      </c>
      <c r="AY1914" s="4">
        <f t="shared" si="136"/>
        <v>43021</v>
      </c>
      <c r="AZ1914" s="6" t="e">
        <f t="shared" si="137"/>
        <v>#DIV/0!</v>
      </c>
      <c r="BA1914" s="4">
        <v>43021</v>
      </c>
      <c r="BB1914" s="6">
        <v>0.205678</v>
      </c>
      <c r="BC1914" s="6">
        <v>0.76167499999999999</v>
      </c>
      <c r="BD1914" s="6">
        <v>0.40656500000000001</v>
      </c>
      <c r="BE1914" s="6"/>
      <c r="BF1914" s="6"/>
      <c r="BG1914" s="6"/>
      <c r="BH1914" s="6"/>
      <c r="BI1914" s="6"/>
      <c r="BJ1914" s="6"/>
      <c r="BK1914" s="6"/>
      <c r="BL1914" s="6"/>
      <c r="BM1914" s="6"/>
      <c r="BN1914" s="6" t="e">
        <f t="shared" si="139"/>
        <v>#DIV/0!</v>
      </c>
    </row>
    <row r="1915" spans="49:66" x14ac:dyDescent="0.3">
      <c r="AW1915">
        <f t="shared" si="138"/>
        <v>0</v>
      </c>
      <c r="AX1915">
        <v>1912</v>
      </c>
      <c r="AY1915" s="4">
        <f t="shared" si="136"/>
        <v>43024</v>
      </c>
      <c r="AZ1915" s="6" t="e">
        <f t="shared" si="137"/>
        <v>#DIV/0!</v>
      </c>
      <c r="BA1915" s="4">
        <v>43024</v>
      </c>
      <c r="BB1915" s="6">
        <v>-0.192693</v>
      </c>
      <c r="BC1915" s="6">
        <v>-1.3504210000000001</v>
      </c>
      <c r="BD1915" s="6">
        <v>-1.917025</v>
      </c>
      <c r="BE1915" s="6"/>
      <c r="BF1915" s="6"/>
      <c r="BG1915" s="6"/>
      <c r="BH1915" s="6"/>
      <c r="BI1915" s="6"/>
      <c r="BJ1915" s="6"/>
      <c r="BK1915" s="6"/>
      <c r="BL1915" s="6"/>
      <c r="BM1915" s="6"/>
      <c r="BN1915" s="6" t="e">
        <f t="shared" si="139"/>
        <v>#DIV/0!</v>
      </c>
    </row>
    <row r="1916" spans="49:66" x14ac:dyDescent="0.3">
      <c r="AW1916">
        <f t="shared" si="138"/>
        <v>0</v>
      </c>
      <c r="AX1916">
        <v>1913</v>
      </c>
      <c r="AY1916" s="4">
        <f t="shared" si="136"/>
        <v>43025</v>
      </c>
      <c r="AZ1916" s="6" t="e">
        <f t="shared" si="137"/>
        <v>#DIV/0!</v>
      </c>
      <c r="BA1916" s="4">
        <v>43025</v>
      </c>
      <c r="BB1916" s="6">
        <v>-9.6439999999999998E-3</v>
      </c>
      <c r="BC1916" s="6">
        <v>-9.4616000000000006E-2</v>
      </c>
      <c r="BD1916" s="6">
        <v>-0.18566199999999999</v>
      </c>
      <c r="BE1916" s="6"/>
      <c r="BF1916" s="6"/>
      <c r="BG1916" s="6"/>
      <c r="BH1916" s="6"/>
      <c r="BI1916" s="6"/>
      <c r="BJ1916" s="6"/>
      <c r="BK1916" s="6"/>
      <c r="BL1916" s="6"/>
      <c r="BM1916" s="6"/>
      <c r="BN1916" s="6" t="e">
        <f t="shared" si="139"/>
        <v>#DIV/0!</v>
      </c>
    </row>
    <row r="1917" spans="49:66" x14ac:dyDescent="0.3">
      <c r="AW1917">
        <f t="shared" si="138"/>
        <v>0</v>
      </c>
      <c r="AX1917">
        <v>1914</v>
      </c>
      <c r="AY1917" s="4">
        <f t="shared" si="136"/>
        <v>43026</v>
      </c>
      <c r="AZ1917" s="6" t="e">
        <f t="shared" si="137"/>
        <v>#DIV/0!</v>
      </c>
      <c r="BA1917" s="4">
        <v>43026</v>
      </c>
      <c r="BB1917" s="6">
        <v>0.79461400000000004</v>
      </c>
      <c r="BC1917" s="6">
        <v>-0.74862099999999998</v>
      </c>
      <c r="BD1917" s="6">
        <v>-0.95830700000000002</v>
      </c>
      <c r="BE1917" s="6"/>
      <c r="BF1917" s="6"/>
      <c r="BG1917" s="6"/>
      <c r="BH1917" s="6"/>
      <c r="BI1917" s="6"/>
      <c r="BJ1917" s="6"/>
      <c r="BK1917" s="6"/>
      <c r="BL1917" s="6"/>
      <c r="BM1917" s="6"/>
      <c r="BN1917" s="6" t="e">
        <f t="shared" si="139"/>
        <v>#DIV/0!</v>
      </c>
    </row>
    <row r="1918" spans="49:66" x14ac:dyDescent="0.3">
      <c r="AW1918">
        <f t="shared" si="138"/>
        <v>0</v>
      </c>
      <c r="AX1918">
        <v>1915</v>
      </c>
      <c r="AY1918" s="4">
        <f t="shared" si="136"/>
        <v>43027</v>
      </c>
      <c r="AZ1918" s="6" t="e">
        <f t="shared" si="137"/>
        <v>#DIV/0!</v>
      </c>
      <c r="BA1918" s="4">
        <v>43027</v>
      </c>
      <c r="BB1918" s="6">
        <v>-0.32739800000000002</v>
      </c>
      <c r="BC1918" s="6">
        <v>-0.945191</v>
      </c>
      <c r="BD1918" s="6">
        <v>-0.96006800000000003</v>
      </c>
      <c r="BE1918" s="6"/>
      <c r="BF1918" s="6"/>
      <c r="BG1918" s="6"/>
      <c r="BH1918" s="6"/>
      <c r="BI1918" s="6"/>
      <c r="BJ1918" s="6"/>
      <c r="BK1918" s="6"/>
      <c r="BL1918" s="6"/>
      <c r="BM1918" s="6"/>
      <c r="BN1918" s="6" t="e">
        <f t="shared" si="139"/>
        <v>#DIV/0!</v>
      </c>
    </row>
    <row r="1919" spans="49:66" x14ac:dyDescent="0.3">
      <c r="AW1919">
        <f t="shared" si="138"/>
        <v>0</v>
      </c>
      <c r="AX1919">
        <v>1916</v>
      </c>
      <c r="AY1919" s="4">
        <f t="shared" si="136"/>
        <v>43028</v>
      </c>
      <c r="AZ1919" s="6" t="e">
        <f t="shared" si="137"/>
        <v>#DIV/0!</v>
      </c>
      <c r="BA1919" s="4">
        <v>43028</v>
      </c>
      <c r="BB1919" s="6">
        <v>-0.11186</v>
      </c>
      <c r="BC1919" s="6">
        <v>1.077062</v>
      </c>
      <c r="BD1919" s="6">
        <v>1.245711</v>
      </c>
      <c r="BE1919" s="6"/>
      <c r="BF1919" s="6"/>
      <c r="BG1919" s="6"/>
      <c r="BH1919" s="6"/>
      <c r="BI1919" s="6"/>
      <c r="BJ1919" s="6"/>
      <c r="BK1919" s="6"/>
      <c r="BL1919" s="6"/>
      <c r="BM1919" s="6"/>
      <c r="BN1919" s="6" t="e">
        <f t="shared" si="139"/>
        <v>#DIV/0!</v>
      </c>
    </row>
    <row r="1920" spans="49:66" x14ac:dyDescent="0.3">
      <c r="AW1920">
        <f t="shared" si="138"/>
        <v>0</v>
      </c>
      <c r="AX1920">
        <v>1917</v>
      </c>
      <c r="AY1920" s="4">
        <f t="shared" si="136"/>
        <v>43031</v>
      </c>
      <c r="AZ1920" s="6" t="e">
        <f t="shared" si="137"/>
        <v>#DIV/0!</v>
      </c>
      <c r="BA1920" s="4">
        <v>43031</v>
      </c>
      <c r="BB1920" s="6">
        <v>0.10049</v>
      </c>
      <c r="BC1920" s="6">
        <v>0.62908299999999995</v>
      </c>
      <c r="BD1920" s="6">
        <v>0.543238</v>
      </c>
      <c r="BE1920" s="6"/>
      <c r="BF1920" s="6"/>
      <c r="BG1920" s="6"/>
      <c r="BH1920" s="6"/>
      <c r="BI1920" s="6"/>
      <c r="BJ1920" s="6"/>
      <c r="BK1920" s="6"/>
      <c r="BL1920" s="6"/>
      <c r="BM1920" s="6"/>
      <c r="BN1920" s="6" t="e">
        <f t="shared" si="139"/>
        <v>#DIV/0!</v>
      </c>
    </row>
    <row r="1921" spans="49:66" x14ac:dyDescent="0.3">
      <c r="AW1921">
        <f t="shared" si="138"/>
        <v>0</v>
      </c>
      <c r="AX1921">
        <v>1918</v>
      </c>
      <c r="AY1921" s="4">
        <f t="shared" si="136"/>
        <v>43032</v>
      </c>
      <c r="AZ1921" s="6" t="e">
        <f t="shared" si="137"/>
        <v>#DIV/0!</v>
      </c>
      <c r="BA1921" s="4">
        <v>43032</v>
      </c>
      <c r="BB1921" s="6">
        <v>0.72751600000000005</v>
      </c>
      <c r="BC1921" s="6">
        <v>-0.14758599999999999</v>
      </c>
      <c r="BD1921" s="6">
        <v>-0.52111399999999997</v>
      </c>
      <c r="BE1921" s="6"/>
      <c r="BF1921" s="6"/>
      <c r="BG1921" s="6"/>
      <c r="BH1921" s="6"/>
      <c r="BI1921" s="6"/>
      <c r="BJ1921" s="6"/>
      <c r="BK1921" s="6"/>
      <c r="BL1921" s="6"/>
      <c r="BM1921" s="6"/>
      <c r="BN1921" s="6" t="e">
        <f t="shared" si="139"/>
        <v>#DIV/0!</v>
      </c>
    </row>
    <row r="1922" spans="49:66" x14ac:dyDescent="0.3">
      <c r="AW1922">
        <f t="shared" si="138"/>
        <v>0</v>
      </c>
      <c r="AX1922">
        <v>1919</v>
      </c>
      <c r="AY1922" s="4">
        <f t="shared" si="136"/>
        <v>43033</v>
      </c>
      <c r="AZ1922" s="6" t="e">
        <f t="shared" si="137"/>
        <v>#DIV/0!</v>
      </c>
      <c r="BA1922" s="4">
        <v>43033</v>
      </c>
      <c r="BB1922" s="6">
        <v>0.44334299999999999</v>
      </c>
      <c r="BC1922" s="6">
        <v>0.679809</v>
      </c>
      <c r="BD1922" s="6">
        <v>0.60397000000000001</v>
      </c>
      <c r="BE1922" s="6"/>
      <c r="BF1922" s="6"/>
      <c r="BG1922" s="6"/>
      <c r="BH1922" s="6"/>
      <c r="BI1922" s="6"/>
      <c r="BJ1922" s="6"/>
      <c r="BK1922" s="6"/>
      <c r="BL1922" s="6"/>
      <c r="BM1922" s="6"/>
      <c r="BN1922" s="6" t="e">
        <f t="shared" si="139"/>
        <v>#DIV/0!</v>
      </c>
    </row>
    <row r="1923" spans="49:66" x14ac:dyDescent="0.3">
      <c r="AW1923">
        <f t="shared" si="138"/>
        <v>0</v>
      </c>
      <c r="AX1923">
        <v>1920</v>
      </c>
      <c r="AY1923" s="4">
        <f t="shared" si="136"/>
        <v>43034</v>
      </c>
      <c r="AZ1923" s="6" t="e">
        <f t="shared" si="137"/>
        <v>#DIV/0!</v>
      </c>
      <c r="BA1923" s="4">
        <v>43034</v>
      </c>
      <c r="BB1923" s="6">
        <v>0.41806399999999999</v>
      </c>
      <c r="BC1923" s="6">
        <v>0.36157</v>
      </c>
      <c r="BD1923" s="6">
        <v>0.38920500000000002</v>
      </c>
      <c r="BE1923" s="6"/>
      <c r="BF1923" s="6"/>
      <c r="BG1923" s="6"/>
      <c r="BH1923" s="6"/>
      <c r="BI1923" s="6"/>
      <c r="BJ1923" s="6"/>
      <c r="BK1923" s="6"/>
      <c r="BL1923" s="6"/>
      <c r="BM1923" s="6"/>
      <c r="BN1923" s="6" t="e">
        <f t="shared" si="139"/>
        <v>#DIV/0!</v>
      </c>
    </row>
    <row r="1924" spans="49:66" x14ac:dyDescent="0.3">
      <c r="AW1924">
        <f t="shared" si="138"/>
        <v>0</v>
      </c>
      <c r="AX1924">
        <v>1921</v>
      </c>
      <c r="AY1924" s="4">
        <f t="shared" si="136"/>
        <v>43035</v>
      </c>
      <c r="AZ1924" s="6" t="e">
        <f t="shared" si="137"/>
        <v>#DIV/0!</v>
      </c>
      <c r="BA1924" s="4">
        <v>43035</v>
      </c>
      <c r="BB1924" s="6">
        <v>0.71095200000000003</v>
      </c>
      <c r="BC1924" s="6">
        <v>-0.61634500000000003</v>
      </c>
      <c r="BD1924" s="6">
        <v>-0.75852200000000003</v>
      </c>
      <c r="BE1924" s="6"/>
      <c r="BF1924" s="6"/>
      <c r="BG1924" s="6"/>
      <c r="BH1924" s="6"/>
      <c r="BI1924" s="6"/>
      <c r="BJ1924" s="6"/>
      <c r="BK1924" s="6"/>
      <c r="BL1924" s="6"/>
      <c r="BM1924" s="6"/>
      <c r="BN1924" s="6" t="e">
        <f t="shared" si="139"/>
        <v>#DIV/0!</v>
      </c>
    </row>
    <row r="1925" spans="49:66" x14ac:dyDescent="0.3">
      <c r="AW1925">
        <f t="shared" si="138"/>
        <v>0</v>
      </c>
      <c r="AX1925">
        <v>1922</v>
      </c>
      <c r="AY1925" s="4">
        <f t="shared" ref="AY1925:AY1988" si="140">BA1925</f>
        <v>43038</v>
      </c>
      <c r="AZ1925" s="6" t="e">
        <f t="shared" ref="AZ1925:AZ1988" si="141">BN1925</f>
        <v>#DIV/0!</v>
      </c>
      <c r="BA1925" s="4">
        <v>43038</v>
      </c>
      <c r="BB1925" s="6">
        <v>-0.30447299999999999</v>
      </c>
      <c r="BC1925" s="6">
        <v>-1.795334</v>
      </c>
      <c r="BD1925" s="6">
        <v>-2.5230359999999998</v>
      </c>
      <c r="BE1925" s="6"/>
      <c r="BF1925" s="6"/>
      <c r="BG1925" s="6"/>
      <c r="BH1925" s="6"/>
      <c r="BI1925" s="6"/>
      <c r="BJ1925" s="6"/>
      <c r="BK1925" s="6"/>
      <c r="BL1925" s="6"/>
      <c r="BM1925" s="6"/>
      <c r="BN1925" s="6" t="e">
        <f t="shared" si="139"/>
        <v>#DIV/0!</v>
      </c>
    </row>
    <row r="1926" spans="49:66" x14ac:dyDescent="0.3">
      <c r="AW1926">
        <f t="shared" ref="AW1926:AW1989" si="142">IF(AY1926&lt;=AY1925,1,0)</f>
        <v>0</v>
      </c>
      <c r="AX1926">
        <v>1923</v>
      </c>
      <c r="AY1926" s="4">
        <f t="shared" si="140"/>
        <v>43039</v>
      </c>
      <c r="AZ1926" s="6" t="e">
        <f t="shared" si="141"/>
        <v>#DIV/0!</v>
      </c>
      <c r="BA1926" s="4">
        <v>43039</v>
      </c>
      <c r="BB1926" s="6">
        <v>-7.4914999999999995E-2</v>
      </c>
      <c r="BC1926" s="6">
        <v>0.74394300000000002</v>
      </c>
      <c r="BD1926" s="6">
        <v>0.75090699999999999</v>
      </c>
      <c r="BE1926" s="6"/>
      <c r="BF1926" s="6"/>
      <c r="BG1926" s="6"/>
      <c r="BH1926" s="6"/>
      <c r="BI1926" s="6"/>
      <c r="BJ1926" s="6"/>
      <c r="BK1926" s="6"/>
      <c r="BL1926" s="6"/>
      <c r="BM1926" s="6"/>
      <c r="BN1926" s="6" t="e">
        <f t="shared" ref="BN1926:BN1989" si="143">(BM1926/BM1925-1)*100</f>
        <v>#DIV/0!</v>
      </c>
    </row>
    <row r="1927" spans="49:66" x14ac:dyDescent="0.3">
      <c r="AW1927">
        <f t="shared" si="142"/>
        <v>0</v>
      </c>
      <c r="AX1927">
        <v>1924</v>
      </c>
      <c r="AY1927" s="4">
        <f t="shared" si="140"/>
        <v>43040</v>
      </c>
      <c r="AZ1927" s="6" t="e">
        <f t="shared" si="141"/>
        <v>#DIV/0!</v>
      </c>
      <c r="BA1927" s="4">
        <v>43040</v>
      </c>
      <c r="BB1927" s="6">
        <v>-0.25197199999999997</v>
      </c>
      <c r="BC1927" s="6">
        <v>-0.110529</v>
      </c>
      <c r="BD1927" s="6">
        <v>5.1125999999999998E-2</v>
      </c>
      <c r="BE1927" s="6"/>
      <c r="BF1927" s="6"/>
      <c r="BG1927" s="6"/>
      <c r="BH1927" s="6"/>
      <c r="BI1927" s="6"/>
      <c r="BJ1927" s="6"/>
      <c r="BK1927" s="6"/>
      <c r="BL1927" s="6"/>
      <c r="BM1927" s="6"/>
      <c r="BN1927" s="6" t="e">
        <f t="shared" si="143"/>
        <v>#DIV/0!</v>
      </c>
    </row>
    <row r="1928" spans="49:66" x14ac:dyDescent="0.3">
      <c r="AW1928">
        <f t="shared" si="142"/>
        <v>0</v>
      </c>
      <c r="AX1928">
        <v>1925</v>
      </c>
      <c r="AY1928" s="4">
        <f t="shared" si="140"/>
        <v>43041</v>
      </c>
      <c r="AZ1928" s="6" t="e">
        <f t="shared" si="141"/>
        <v>#DIV/0!</v>
      </c>
      <c r="BA1928" s="4">
        <v>43041</v>
      </c>
      <c r="BB1928" s="6">
        <v>1.2815999999999999E-2</v>
      </c>
      <c r="BC1928" s="6">
        <v>-1.038138</v>
      </c>
      <c r="BD1928" s="6">
        <v>-1.219058</v>
      </c>
      <c r="BE1928" s="6"/>
      <c r="BF1928" s="6"/>
      <c r="BG1928" s="6"/>
      <c r="BH1928" s="6"/>
      <c r="BI1928" s="6"/>
      <c r="BJ1928" s="6"/>
      <c r="BK1928" s="6"/>
      <c r="BL1928" s="6"/>
      <c r="BM1928" s="6"/>
      <c r="BN1928" s="6" t="e">
        <f t="shared" si="143"/>
        <v>#DIV/0!</v>
      </c>
    </row>
    <row r="1929" spans="49:66" x14ac:dyDescent="0.3">
      <c r="AW1929">
        <f t="shared" si="142"/>
        <v>0</v>
      </c>
      <c r="AX1929">
        <v>1926</v>
      </c>
      <c r="AY1929" s="4">
        <f t="shared" si="140"/>
        <v>43042</v>
      </c>
      <c r="AZ1929" s="6" t="e">
        <f t="shared" si="141"/>
        <v>#DIV/0!</v>
      </c>
      <c r="BA1929" s="4">
        <v>43042</v>
      </c>
      <c r="BB1929" s="6">
        <v>-0.11099000000000001</v>
      </c>
      <c r="BC1929" s="6">
        <v>-0.89354800000000001</v>
      </c>
      <c r="BD1929" s="6">
        <v>-0.86675500000000005</v>
      </c>
      <c r="BE1929" s="6"/>
      <c r="BF1929" s="6"/>
      <c r="BG1929" s="6"/>
      <c r="BH1929" s="6"/>
      <c r="BI1929" s="6"/>
      <c r="BJ1929" s="6"/>
      <c r="BK1929" s="6"/>
      <c r="BL1929" s="6"/>
      <c r="BM1929" s="6"/>
      <c r="BN1929" s="6" t="e">
        <f t="shared" si="143"/>
        <v>#DIV/0!</v>
      </c>
    </row>
    <row r="1930" spans="49:66" x14ac:dyDescent="0.3">
      <c r="AW1930">
        <f t="shared" si="142"/>
        <v>0</v>
      </c>
      <c r="AX1930">
        <v>1927</v>
      </c>
      <c r="AY1930" s="4">
        <f t="shared" si="140"/>
        <v>43045</v>
      </c>
      <c r="AZ1930" s="6" t="e">
        <f t="shared" si="141"/>
        <v>#DIV/0!</v>
      </c>
      <c r="BA1930" s="4">
        <v>43045</v>
      </c>
      <c r="BB1930" s="6">
        <v>0.70608099999999996</v>
      </c>
      <c r="BC1930" s="6">
        <v>1.308794</v>
      </c>
      <c r="BD1930" s="6">
        <v>0.99468100000000004</v>
      </c>
      <c r="BE1930" s="6"/>
      <c r="BF1930" s="6"/>
      <c r="BG1930" s="6"/>
      <c r="BH1930" s="6"/>
      <c r="BI1930" s="6"/>
      <c r="BJ1930" s="6"/>
      <c r="BK1930" s="6"/>
      <c r="BL1930" s="6"/>
      <c r="BM1930" s="6"/>
      <c r="BN1930" s="6" t="e">
        <f t="shared" si="143"/>
        <v>#DIV/0!</v>
      </c>
    </row>
    <row r="1931" spans="49:66" x14ac:dyDescent="0.3">
      <c r="AW1931">
        <f t="shared" si="142"/>
        <v>0</v>
      </c>
      <c r="AX1931">
        <v>1928</v>
      </c>
      <c r="AY1931" s="4">
        <f t="shared" si="140"/>
        <v>43046</v>
      </c>
      <c r="AZ1931" s="6" t="e">
        <f t="shared" si="141"/>
        <v>#DIV/0!</v>
      </c>
      <c r="BA1931" s="4">
        <v>43046</v>
      </c>
      <c r="BB1931" s="6">
        <v>0.82959000000000005</v>
      </c>
      <c r="BC1931" s="6">
        <v>0.62724500000000005</v>
      </c>
      <c r="BD1931" s="6">
        <v>0.59346699999999997</v>
      </c>
      <c r="BE1931" s="6"/>
      <c r="BF1931" s="6"/>
      <c r="BG1931" s="6"/>
      <c r="BH1931" s="6"/>
      <c r="BI1931" s="6"/>
      <c r="BJ1931" s="6"/>
      <c r="BK1931" s="6"/>
      <c r="BL1931" s="6"/>
      <c r="BM1931" s="6"/>
      <c r="BN1931" s="6" t="e">
        <f t="shared" si="143"/>
        <v>#DIV/0!</v>
      </c>
    </row>
    <row r="1932" spans="49:66" x14ac:dyDescent="0.3">
      <c r="AW1932">
        <f t="shared" si="142"/>
        <v>0</v>
      </c>
      <c r="AX1932">
        <v>1929</v>
      </c>
      <c r="AY1932" s="4">
        <f t="shared" si="140"/>
        <v>43047</v>
      </c>
      <c r="AZ1932" s="6" t="e">
        <f t="shared" si="141"/>
        <v>#DIV/0!</v>
      </c>
      <c r="BA1932" s="4">
        <v>43047</v>
      </c>
      <c r="BB1932" s="6">
        <v>-0.15393200000000001</v>
      </c>
      <c r="BC1932" s="6">
        <v>0.148863</v>
      </c>
      <c r="BD1932" s="6">
        <v>0.28115099999999998</v>
      </c>
      <c r="BE1932" s="6"/>
      <c r="BF1932" s="6"/>
      <c r="BG1932" s="6"/>
      <c r="BH1932" s="6"/>
      <c r="BI1932" s="6"/>
      <c r="BJ1932" s="6"/>
      <c r="BK1932" s="6"/>
      <c r="BL1932" s="6"/>
      <c r="BM1932" s="6"/>
      <c r="BN1932" s="6" t="e">
        <f t="shared" si="143"/>
        <v>#DIV/0!</v>
      </c>
    </row>
    <row r="1933" spans="49:66" x14ac:dyDescent="0.3">
      <c r="AW1933">
        <f t="shared" si="142"/>
        <v>0</v>
      </c>
      <c r="AX1933">
        <v>1930</v>
      </c>
      <c r="AY1933" s="4">
        <f t="shared" si="140"/>
        <v>43048</v>
      </c>
      <c r="AZ1933" s="6" t="e">
        <f t="shared" si="141"/>
        <v>#DIV/0!</v>
      </c>
      <c r="BA1933" s="4">
        <v>43048</v>
      </c>
      <c r="BB1933" s="6">
        <v>0.689083</v>
      </c>
      <c r="BC1933" s="6">
        <v>0.75684799999999997</v>
      </c>
      <c r="BD1933" s="6">
        <v>0.51385999999999998</v>
      </c>
      <c r="BE1933" s="6"/>
      <c r="BF1933" s="6"/>
      <c r="BG1933" s="6"/>
      <c r="BH1933" s="6"/>
      <c r="BI1933" s="6"/>
      <c r="BJ1933" s="6"/>
      <c r="BK1933" s="6"/>
      <c r="BL1933" s="6"/>
      <c r="BM1933" s="6"/>
      <c r="BN1933" s="6" t="e">
        <f t="shared" si="143"/>
        <v>#DIV/0!</v>
      </c>
    </row>
    <row r="1934" spans="49:66" x14ac:dyDescent="0.3">
      <c r="AW1934">
        <f t="shared" si="142"/>
        <v>0</v>
      </c>
      <c r="AX1934">
        <v>1931</v>
      </c>
      <c r="AY1934" s="4">
        <f t="shared" si="140"/>
        <v>43049</v>
      </c>
      <c r="AZ1934" s="6" t="e">
        <f t="shared" si="141"/>
        <v>#DIV/0!</v>
      </c>
      <c r="BA1934" s="4">
        <v>43049</v>
      </c>
      <c r="BB1934" s="6">
        <v>0.88351999999999997</v>
      </c>
      <c r="BC1934" s="6">
        <v>0.45171899999999998</v>
      </c>
      <c r="BD1934" s="6">
        <v>0.17374400000000001</v>
      </c>
      <c r="BE1934" s="6"/>
      <c r="BF1934" s="6"/>
      <c r="BG1934" s="6"/>
      <c r="BH1934" s="6"/>
      <c r="BI1934" s="6"/>
      <c r="BJ1934" s="6"/>
      <c r="BK1934" s="6"/>
      <c r="BL1934" s="6"/>
      <c r="BM1934" s="6"/>
      <c r="BN1934" s="6" t="e">
        <f t="shared" si="143"/>
        <v>#DIV/0!</v>
      </c>
    </row>
    <row r="1935" spans="49:66" x14ac:dyDescent="0.3">
      <c r="AW1935">
        <f t="shared" si="142"/>
        <v>0</v>
      </c>
      <c r="AX1935">
        <v>1932</v>
      </c>
      <c r="AY1935" s="4">
        <f t="shared" si="140"/>
        <v>43052</v>
      </c>
      <c r="AZ1935" s="6" t="e">
        <f t="shared" si="141"/>
        <v>#DIV/0!</v>
      </c>
      <c r="BA1935" s="4">
        <v>43052</v>
      </c>
      <c r="BB1935" s="6">
        <v>0.39305600000000002</v>
      </c>
      <c r="BC1935" s="6">
        <v>0.45155899999999999</v>
      </c>
      <c r="BD1935" s="6">
        <v>0.15207200000000001</v>
      </c>
      <c r="BE1935" s="6"/>
      <c r="BF1935" s="6"/>
      <c r="BG1935" s="6"/>
      <c r="BH1935" s="6"/>
      <c r="BI1935" s="6"/>
      <c r="BJ1935" s="6"/>
      <c r="BK1935" s="6"/>
      <c r="BL1935" s="6"/>
      <c r="BM1935" s="6"/>
      <c r="BN1935" s="6" t="e">
        <f t="shared" si="143"/>
        <v>#DIV/0!</v>
      </c>
    </row>
    <row r="1936" spans="49:66" x14ac:dyDescent="0.3">
      <c r="AW1936">
        <f t="shared" si="142"/>
        <v>0</v>
      </c>
      <c r="AX1936">
        <v>1933</v>
      </c>
      <c r="AY1936" s="4">
        <f t="shared" si="140"/>
        <v>43053</v>
      </c>
      <c r="AZ1936" s="6" t="e">
        <f t="shared" si="141"/>
        <v>#DIV/0!</v>
      </c>
      <c r="BA1936" s="4">
        <v>43053</v>
      </c>
      <c r="BB1936" s="6">
        <v>-0.69577999999999995</v>
      </c>
      <c r="BC1936" s="6">
        <v>-0.84979800000000005</v>
      </c>
      <c r="BD1936" s="6">
        <v>-0.704816</v>
      </c>
      <c r="BE1936" s="6"/>
      <c r="BF1936" s="6"/>
      <c r="BG1936" s="6"/>
      <c r="BH1936" s="6"/>
      <c r="BI1936" s="6"/>
      <c r="BJ1936" s="6"/>
      <c r="BK1936" s="6"/>
      <c r="BL1936" s="6"/>
      <c r="BM1936" s="6"/>
      <c r="BN1936" s="6" t="e">
        <f t="shared" si="143"/>
        <v>#DIV/0!</v>
      </c>
    </row>
    <row r="1937" spans="49:66" x14ac:dyDescent="0.3">
      <c r="AW1937">
        <f t="shared" si="142"/>
        <v>0</v>
      </c>
      <c r="AX1937">
        <v>1934</v>
      </c>
      <c r="AY1937" s="4">
        <f t="shared" si="140"/>
        <v>43054</v>
      </c>
      <c r="AZ1937" s="6" t="e">
        <f t="shared" si="141"/>
        <v>#DIV/0!</v>
      </c>
      <c r="BA1937" s="4">
        <v>43054</v>
      </c>
      <c r="BB1937" s="6">
        <v>-0.626475</v>
      </c>
      <c r="BC1937" s="6">
        <v>-1.1619489999999999</v>
      </c>
      <c r="BD1937" s="6">
        <v>-0.93179199999999995</v>
      </c>
      <c r="BE1937" s="6"/>
      <c r="BF1937" s="6"/>
      <c r="BG1937" s="6"/>
      <c r="BH1937" s="6"/>
      <c r="BI1937" s="6"/>
      <c r="BJ1937" s="6"/>
      <c r="BK1937" s="6"/>
      <c r="BL1937" s="6"/>
      <c r="BM1937" s="6"/>
      <c r="BN1937" s="6" t="e">
        <f t="shared" si="143"/>
        <v>#DIV/0!</v>
      </c>
    </row>
    <row r="1938" spans="49:66" x14ac:dyDescent="0.3">
      <c r="AW1938">
        <f t="shared" si="142"/>
        <v>0</v>
      </c>
      <c r="AX1938">
        <v>1935</v>
      </c>
      <c r="AY1938" s="4">
        <f t="shared" si="140"/>
        <v>43055</v>
      </c>
      <c r="AZ1938" s="6" t="e">
        <f t="shared" si="141"/>
        <v>#DIV/0!</v>
      </c>
      <c r="BA1938" s="4">
        <v>43055</v>
      </c>
      <c r="BB1938" s="6">
        <v>0.76939500000000005</v>
      </c>
      <c r="BC1938" s="6">
        <v>0.31589600000000001</v>
      </c>
      <c r="BD1938" s="6">
        <v>-0.27568199999999998</v>
      </c>
      <c r="BE1938" s="6"/>
      <c r="BF1938" s="6"/>
      <c r="BG1938" s="6"/>
      <c r="BH1938" s="6"/>
      <c r="BI1938" s="6"/>
      <c r="BJ1938" s="6"/>
      <c r="BK1938" s="6"/>
      <c r="BL1938" s="6"/>
      <c r="BM1938" s="6"/>
      <c r="BN1938" s="6" t="e">
        <f t="shared" si="143"/>
        <v>#DIV/0!</v>
      </c>
    </row>
    <row r="1939" spans="49:66" x14ac:dyDescent="0.3">
      <c r="AW1939">
        <f t="shared" si="142"/>
        <v>0</v>
      </c>
      <c r="AX1939">
        <v>1936</v>
      </c>
      <c r="AY1939" s="4">
        <f t="shared" si="140"/>
        <v>43056</v>
      </c>
      <c r="AZ1939" s="6" t="e">
        <f t="shared" si="141"/>
        <v>#DIV/0!</v>
      </c>
      <c r="BA1939" s="4">
        <v>43056</v>
      </c>
      <c r="BB1939" s="6">
        <v>0.38583600000000001</v>
      </c>
      <c r="BC1939" s="6">
        <v>-2.9941710000000001</v>
      </c>
      <c r="BD1939" s="6">
        <v>-3.4892210000000001</v>
      </c>
      <c r="BE1939" s="6"/>
      <c r="BF1939" s="6"/>
      <c r="BG1939" s="6"/>
      <c r="BH1939" s="6"/>
      <c r="BI1939" s="6"/>
      <c r="BJ1939" s="6"/>
      <c r="BK1939" s="6"/>
      <c r="BL1939" s="6"/>
      <c r="BM1939" s="6"/>
      <c r="BN1939" s="6" t="e">
        <f t="shared" si="143"/>
        <v>#DIV/0!</v>
      </c>
    </row>
    <row r="1940" spans="49:66" x14ac:dyDescent="0.3">
      <c r="AW1940">
        <f t="shared" si="142"/>
        <v>0</v>
      </c>
      <c r="AX1940">
        <v>1937</v>
      </c>
      <c r="AY1940" s="4">
        <f t="shared" si="140"/>
        <v>43059</v>
      </c>
      <c r="AZ1940" s="6" t="e">
        <f t="shared" si="141"/>
        <v>#DIV/0!</v>
      </c>
      <c r="BA1940" s="4">
        <v>43059</v>
      </c>
      <c r="BB1940" s="6">
        <v>0.55771499999999996</v>
      </c>
      <c r="BC1940" s="6">
        <v>1.1196060000000001</v>
      </c>
      <c r="BD1940" s="6">
        <v>0.27225300000000002</v>
      </c>
      <c r="BE1940" s="6"/>
      <c r="BF1940" s="6"/>
      <c r="BG1940" s="6"/>
      <c r="BH1940" s="6"/>
      <c r="BI1940" s="6"/>
      <c r="BJ1940" s="6"/>
      <c r="BK1940" s="6"/>
      <c r="BL1940" s="6"/>
      <c r="BM1940" s="6"/>
      <c r="BN1940" s="6" t="e">
        <f t="shared" si="143"/>
        <v>#DIV/0!</v>
      </c>
    </row>
    <row r="1941" spans="49:66" x14ac:dyDescent="0.3">
      <c r="AW1941">
        <f t="shared" si="142"/>
        <v>0</v>
      </c>
      <c r="AX1941">
        <v>1938</v>
      </c>
      <c r="AY1941" s="4">
        <f t="shared" si="140"/>
        <v>43060</v>
      </c>
      <c r="AZ1941" s="6" t="e">
        <f t="shared" si="141"/>
        <v>#DIV/0!</v>
      </c>
      <c r="BA1941" s="4">
        <v>43060</v>
      </c>
      <c r="BB1941" s="6">
        <v>1.7826029999999999</v>
      </c>
      <c r="BC1941" s="6">
        <v>0.360348</v>
      </c>
      <c r="BD1941" s="6">
        <v>-4.3182999999999999E-2</v>
      </c>
      <c r="BE1941" s="6"/>
      <c r="BF1941" s="6"/>
      <c r="BG1941" s="6"/>
      <c r="BH1941" s="6"/>
      <c r="BI1941" s="6"/>
      <c r="BJ1941" s="6"/>
      <c r="BK1941" s="6"/>
      <c r="BL1941" s="6"/>
      <c r="BM1941" s="6"/>
      <c r="BN1941" s="6" t="e">
        <f t="shared" si="143"/>
        <v>#DIV/0!</v>
      </c>
    </row>
    <row r="1942" spans="49:66" x14ac:dyDescent="0.3">
      <c r="AW1942">
        <f t="shared" si="142"/>
        <v>0</v>
      </c>
      <c r="AX1942">
        <v>1939</v>
      </c>
      <c r="AY1942" s="4">
        <f t="shared" si="140"/>
        <v>43061</v>
      </c>
      <c r="AZ1942" s="6" t="e">
        <f t="shared" si="141"/>
        <v>#DIV/0!</v>
      </c>
      <c r="BA1942" s="4">
        <v>43061</v>
      </c>
      <c r="BB1942" s="6">
        <v>0.23389799999999999</v>
      </c>
      <c r="BC1942" s="6">
        <v>-0.26191399999999998</v>
      </c>
      <c r="BD1942" s="6">
        <v>0.110905</v>
      </c>
      <c r="BE1942" s="6"/>
      <c r="BF1942" s="6"/>
      <c r="BG1942" s="6"/>
      <c r="BH1942" s="6"/>
      <c r="BI1942" s="6"/>
      <c r="BJ1942" s="6"/>
      <c r="BK1942" s="6"/>
      <c r="BL1942" s="6"/>
      <c r="BM1942" s="6"/>
      <c r="BN1942" s="6" t="e">
        <f t="shared" si="143"/>
        <v>#DIV/0!</v>
      </c>
    </row>
    <row r="1943" spans="49:66" x14ac:dyDescent="0.3">
      <c r="AW1943">
        <f t="shared" si="142"/>
        <v>0</v>
      </c>
      <c r="AX1943">
        <v>1940</v>
      </c>
      <c r="AY1943" s="4">
        <f t="shared" si="140"/>
        <v>43062</v>
      </c>
      <c r="AZ1943" s="6" t="e">
        <f t="shared" si="141"/>
        <v>#DIV/0!</v>
      </c>
      <c r="BA1943" s="4">
        <v>43062</v>
      </c>
      <c r="BB1943" s="6">
        <v>-2.9608050000000001</v>
      </c>
      <c r="BC1943" s="6">
        <v>-2.5612509999999999</v>
      </c>
      <c r="BD1943" s="6">
        <v>-2.3068019999999998</v>
      </c>
      <c r="BE1943" s="6"/>
      <c r="BF1943" s="6"/>
      <c r="BG1943" s="6"/>
      <c r="BH1943" s="6"/>
      <c r="BI1943" s="6"/>
      <c r="BJ1943" s="6"/>
      <c r="BK1943" s="6"/>
      <c r="BL1943" s="6"/>
      <c r="BM1943" s="6"/>
      <c r="BN1943" s="6" t="e">
        <f t="shared" si="143"/>
        <v>#DIV/0!</v>
      </c>
    </row>
    <row r="1944" spans="49:66" x14ac:dyDescent="0.3">
      <c r="AW1944">
        <f t="shared" si="142"/>
        <v>0</v>
      </c>
      <c r="AX1944">
        <v>1941</v>
      </c>
      <c r="AY1944" s="4">
        <f t="shared" si="140"/>
        <v>43063</v>
      </c>
      <c r="AZ1944" s="6" t="e">
        <f t="shared" si="141"/>
        <v>#DIV/0!</v>
      </c>
      <c r="BA1944" s="4">
        <v>43063</v>
      </c>
      <c r="BB1944" s="6">
        <v>4.4042999999999999E-2</v>
      </c>
      <c r="BC1944" s="6">
        <v>5.6054E-2</v>
      </c>
      <c r="BD1944" s="6">
        <v>0.147254</v>
      </c>
      <c r="BE1944" s="6"/>
      <c r="BF1944" s="6"/>
      <c r="BG1944" s="6"/>
      <c r="BH1944" s="6"/>
      <c r="BI1944" s="6"/>
      <c r="BJ1944" s="6"/>
      <c r="BK1944" s="6"/>
      <c r="BL1944" s="6"/>
      <c r="BM1944" s="6"/>
      <c r="BN1944" s="6" t="e">
        <f t="shared" si="143"/>
        <v>#DIV/0!</v>
      </c>
    </row>
    <row r="1945" spans="49:66" x14ac:dyDescent="0.3">
      <c r="AW1945">
        <f t="shared" si="142"/>
        <v>0</v>
      </c>
      <c r="AX1945">
        <v>1942</v>
      </c>
      <c r="AY1945" s="4">
        <f t="shared" si="140"/>
        <v>43066</v>
      </c>
      <c r="AZ1945" s="6" t="e">
        <f t="shared" si="141"/>
        <v>#DIV/0!</v>
      </c>
      <c r="BA1945" s="4">
        <v>43066</v>
      </c>
      <c r="BB1945" s="6">
        <v>-1.3219590000000001</v>
      </c>
      <c r="BC1945" s="6">
        <v>-1.329661</v>
      </c>
      <c r="BD1945" s="6">
        <v>-1.032451</v>
      </c>
      <c r="BE1945" s="6"/>
      <c r="BF1945" s="6"/>
      <c r="BG1945" s="6"/>
      <c r="BH1945" s="6"/>
      <c r="BI1945" s="6"/>
      <c r="BJ1945" s="6"/>
      <c r="BK1945" s="6"/>
      <c r="BL1945" s="6"/>
      <c r="BM1945" s="6"/>
      <c r="BN1945" s="6" t="e">
        <f t="shared" si="143"/>
        <v>#DIV/0!</v>
      </c>
    </row>
    <row r="1946" spans="49:66" x14ac:dyDescent="0.3">
      <c r="AW1946">
        <f t="shared" si="142"/>
        <v>0</v>
      </c>
      <c r="AX1946">
        <v>1943</v>
      </c>
      <c r="AY1946" s="4">
        <f t="shared" si="140"/>
        <v>43067</v>
      </c>
      <c r="AZ1946" s="6" t="e">
        <f t="shared" si="141"/>
        <v>#DIV/0!</v>
      </c>
      <c r="BA1946" s="4">
        <v>43067</v>
      </c>
      <c r="BB1946" s="6">
        <v>0.14508799999999999</v>
      </c>
      <c r="BC1946" s="6">
        <v>1.691163</v>
      </c>
      <c r="BD1946" s="6">
        <v>1.5720719999999999</v>
      </c>
      <c r="BE1946" s="6"/>
      <c r="BF1946" s="6"/>
      <c r="BG1946" s="6"/>
      <c r="BH1946" s="6"/>
      <c r="BI1946" s="6"/>
      <c r="BJ1946" s="6"/>
      <c r="BK1946" s="6"/>
      <c r="BL1946" s="6"/>
      <c r="BM1946" s="6"/>
      <c r="BN1946" s="6" t="e">
        <f t="shared" si="143"/>
        <v>#DIV/0!</v>
      </c>
    </row>
    <row r="1947" spans="49:66" x14ac:dyDescent="0.3">
      <c r="AW1947">
        <f t="shared" si="142"/>
        <v>0</v>
      </c>
      <c r="AX1947">
        <v>1944</v>
      </c>
      <c r="AY1947" s="4">
        <f t="shared" si="140"/>
        <v>43068</v>
      </c>
      <c r="AZ1947" s="6" t="e">
        <f t="shared" si="141"/>
        <v>#DIV/0!</v>
      </c>
      <c r="BA1947" s="4">
        <v>43068</v>
      </c>
      <c r="BB1947" s="6">
        <v>-5.1053000000000001E-2</v>
      </c>
      <c r="BC1947" s="6">
        <v>0.302512</v>
      </c>
      <c r="BD1947" s="6">
        <v>0.225717</v>
      </c>
      <c r="BE1947" s="6"/>
      <c r="BF1947" s="6"/>
      <c r="BG1947" s="6"/>
      <c r="BH1947" s="6"/>
      <c r="BI1947" s="6"/>
      <c r="BJ1947" s="6"/>
      <c r="BK1947" s="6"/>
      <c r="BL1947" s="6"/>
      <c r="BM1947" s="6"/>
      <c r="BN1947" s="6" t="e">
        <f t="shared" si="143"/>
        <v>#DIV/0!</v>
      </c>
    </row>
    <row r="1948" spans="49:66" x14ac:dyDescent="0.3">
      <c r="AW1948">
        <f t="shared" si="142"/>
        <v>0</v>
      </c>
      <c r="AX1948">
        <v>1945</v>
      </c>
      <c r="AY1948" s="4">
        <f t="shared" si="140"/>
        <v>43069</v>
      </c>
      <c r="AZ1948" s="6" t="e">
        <f t="shared" si="141"/>
        <v>#DIV/0!</v>
      </c>
      <c r="BA1948" s="4">
        <v>43069</v>
      </c>
      <c r="BB1948" s="6">
        <v>-1.175543</v>
      </c>
      <c r="BC1948" s="6">
        <v>-0.869645</v>
      </c>
      <c r="BD1948" s="6">
        <v>-0.54979199999999995</v>
      </c>
      <c r="BE1948" s="6"/>
      <c r="BF1948" s="6"/>
      <c r="BG1948" s="6"/>
      <c r="BH1948" s="6"/>
      <c r="BI1948" s="6"/>
      <c r="BJ1948" s="6"/>
      <c r="BK1948" s="6"/>
      <c r="BL1948" s="6"/>
      <c r="BM1948" s="6"/>
      <c r="BN1948" s="6" t="e">
        <f t="shared" si="143"/>
        <v>#DIV/0!</v>
      </c>
    </row>
    <row r="1949" spans="49:66" x14ac:dyDescent="0.3">
      <c r="AW1949">
        <f t="shared" si="142"/>
        <v>0</v>
      </c>
      <c r="AX1949">
        <v>1946</v>
      </c>
      <c r="AY1949" s="4">
        <f t="shared" si="140"/>
        <v>43070</v>
      </c>
      <c r="AZ1949" s="6" t="e">
        <f t="shared" si="141"/>
        <v>#DIV/0!</v>
      </c>
      <c r="BA1949" s="4">
        <v>43070</v>
      </c>
      <c r="BB1949" s="6">
        <v>-0.198767</v>
      </c>
      <c r="BC1949" s="6">
        <v>0.84596300000000002</v>
      </c>
      <c r="BD1949" s="6">
        <v>0.86953800000000003</v>
      </c>
      <c r="BE1949" s="6"/>
      <c r="BF1949" s="6"/>
      <c r="BG1949" s="6"/>
      <c r="BH1949" s="6"/>
      <c r="BI1949" s="6"/>
      <c r="BJ1949" s="6"/>
      <c r="BK1949" s="6"/>
      <c r="BL1949" s="6"/>
      <c r="BM1949" s="6"/>
      <c r="BN1949" s="6" t="e">
        <f t="shared" si="143"/>
        <v>#DIV/0!</v>
      </c>
    </row>
    <row r="1950" spans="49:66" x14ac:dyDescent="0.3">
      <c r="AW1950">
        <f t="shared" si="142"/>
        <v>0</v>
      </c>
      <c r="AX1950">
        <v>1947</v>
      </c>
      <c r="AY1950" s="4">
        <f t="shared" si="140"/>
        <v>43073</v>
      </c>
      <c r="AZ1950" s="6" t="e">
        <f t="shared" si="141"/>
        <v>#DIV/0!</v>
      </c>
      <c r="BA1950" s="4">
        <v>43073</v>
      </c>
      <c r="BB1950" s="6">
        <v>0.51825600000000005</v>
      </c>
      <c r="BC1950" s="6">
        <v>-0.58239799999999997</v>
      </c>
      <c r="BD1950" s="6">
        <v>-1.0536179999999999</v>
      </c>
      <c r="BE1950" s="6"/>
      <c r="BF1950" s="6"/>
      <c r="BG1950" s="6"/>
      <c r="BH1950" s="6"/>
      <c r="BI1950" s="6"/>
      <c r="BJ1950" s="6"/>
      <c r="BK1950" s="6"/>
      <c r="BL1950" s="6"/>
      <c r="BM1950" s="6"/>
      <c r="BN1950" s="6" t="e">
        <f t="shared" si="143"/>
        <v>#DIV/0!</v>
      </c>
    </row>
    <row r="1951" spans="49:66" x14ac:dyDescent="0.3">
      <c r="AW1951">
        <f t="shared" si="142"/>
        <v>0</v>
      </c>
      <c r="AX1951">
        <v>1948</v>
      </c>
      <c r="AY1951" s="4">
        <f t="shared" si="140"/>
        <v>43074</v>
      </c>
      <c r="AZ1951" s="6" t="e">
        <f t="shared" si="141"/>
        <v>#DIV/0!</v>
      </c>
      <c r="BA1951" s="4">
        <v>43074</v>
      </c>
      <c r="BB1951" s="6">
        <v>0.53033200000000003</v>
      </c>
      <c r="BC1951" s="6">
        <v>-2.336265</v>
      </c>
      <c r="BD1951" s="6">
        <v>-2.705867</v>
      </c>
      <c r="BE1951" s="6"/>
      <c r="BF1951" s="6"/>
      <c r="BG1951" s="6"/>
      <c r="BH1951" s="6"/>
      <c r="BI1951" s="6"/>
      <c r="BJ1951" s="6"/>
      <c r="BK1951" s="6"/>
      <c r="BL1951" s="6"/>
      <c r="BM1951" s="6"/>
      <c r="BN1951" s="6" t="e">
        <f t="shared" si="143"/>
        <v>#DIV/0!</v>
      </c>
    </row>
    <row r="1952" spans="49:66" x14ac:dyDescent="0.3">
      <c r="AW1952">
        <f t="shared" si="142"/>
        <v>0</v>
      </c>
      <c r="AX1952">
        <v>1949</v>
      </c>
      <c r="AY1952" s="4">
        <f t="shared" si="140"/>
        <v>43075</v>
      </c>
      <c r="AZ1952" s="6" t="e">
        <f t="shared" si="141"/>
        <v>#DIV/0!</v>
      </c>
      <c r="BA1952" s="4">
        <v>43075</v>
      </c>
      <c r="BB1952" s="6">
        <v>-0.60267999999999999</v>
      </c>
      <c r="BC1952" s="6">
        <v>0.65044299999999999</v>
      </c>
      <c r="BD1952" s="6">
        <v>1.010683</v>
      </c>
      <c r="BE1952" s="6"/>
      <c r="BF1952" s="6"/>
      <c r="BG1952" s="6"/>
      <c r="BH1952" s="6"/>
      <c r="BI1952" s="6"/>
      <c r="BJ1952" s="6"/>
      <c r="BK1952" s="6"/>
      <c r="BL1952" s="6"/>
      <c r="BM1952" s="6"/>
      <c r="BN1952" s="6" t="e">
        <f t="shared" si="143"/>
        <v>#DIV/0!</v>
      </c>
    </row>
    <row r="1953" spans="49:66" x14ac:dyDescent="0.3">
      <c r="AW1953">
        <f t="shared" si="142"/>
        <v>0</v>
      </c>
      <c r="AX1953">
        <v>1950</v>
      </c>
      <c r="AY1953" s="4">
        <f t="shared" si="140"/>
        <v>43076</v>
      </c>
      <c r="AZ1953" s="6" t="e">
        <f t="shared" si="141"/>
        <v>#DIV/0!</v>
      </c>
      <c r="BA1953" s="4">
        <v>43076</v>
      </c>
      <c r="BB1953" s="6">
        <v>-1.1146959999999999</v>
      </c>
      <c r="BC1953" s="6">
        <v>-0.60479700000000003</v>
      </c>
      <c r="BD1953" s="6">
        <v>-5.7819000000000002E-2</v>
      </c>
      <c r="BE1953" s="6"/>
      <c r="BF1953" s="6"/>
      <c r="BG1953" s="6"/>
      <c r="BH1953" s="6"/>
      <c r="BI1953" s="6"/>
      <c r="BJ1953" s="6"/>
      <c r="BK1953" s="6"/>
      <c r="BL1953" s="6"/>
      <c r="BM1953" s="6"/>
      <c r="BN1953" s="6" t="e">
        <f t="shared" si="143"/>
        <v>#DIV/0!</v>
      </c>
    </row>
    <row r="1954" spans="49:66" x14ac:dyDescent="0.3">
      <c r="AW1954">
        <f t="shared" si="142"/>
        <v>0</v>
      </c>
      <c r="AX1954">
        <v>1951</v>
      </c>
      <c r="AY1954" s="4">
        <f t="shared" si="140"/>
        <v>43077</v>
      </c>
      <c r="AZ1954" s="6" t="e">
        <f t="shared" si="141"/>
        <v>#DIV/0!</v>
      </c>
      <c r="BA1954" s="4">
        <v>43077</v>
      </c>
      <c r="BB1954" s="6">
        <v>0.81394699999999998</v>
      </c>
      <c r="BC1954" s="6">
        <v>1.102981</v>
      </c>
      <c r="BD1954" s="6">
        <v>0.93106999999999995</v>
      </c>
      <c r="BE1954" s="6"/>
      <c r="BF1954" s="6"/>
      <c r="BG1954" s="6"/>
      <c r="BH1954" s="6"/>
      <c r="BI1954" s="6"/>
      <c r="BJ1954" s="6"/>
      <c r="BK1954" s="6"/>
      <c r="BL1954" s="6"/>
      <c r="BM1954" s="6"/>
      <c r="BN1954" s="6" t="e">
        <f t="shared" si="143"/>
        <v>#DIV/0!</v>
      </c>
    </row>
    <row r="1955" spans="49:66" x14ac:dyDescent="0.3">
      <c r="AW1955">
        <f t="shared" si="142"/>
        <v>0</v>
      </c>
      <c r="AX1955">
        <v>1952</v>
      </c>
      <c r="AY1955" s="4">
        <f t="shared" si="140"/>
        <v>43080</v>
      </c>
      <c r="AZ1955" s="6" t="e">
        <f t="shared" si="141"/>
        <v>#DIV/0!</v>
      </c>
      <c r="BA1955" s="4">
        <v>43080</v>
      </c>
      <c r="BB1955" s="6">
        <v>1.6516169999999999</v>
      </c>
      <c r="BC1955" s="6">
        <v>1.3383910000000001</v>
      </c>
      <c r="BD1955" s="6">
        <v>1.1645209999999999</v>
      </c>
      <c r="BE1955" s="6"/>
      <c r="BF1955" s="6"/>
      <c r="BG1955" s="6"/>
      <c r="BH1955" s="6"/>
      <c r="BI1955" s="6"/>
      <c r="BJ1955" s="6"/>
      <c r="BK1955" s="6"/>
      <c r="BL1955" s="6"/>
      <c r="BM1955" s="6"/>
      <c r="BN1955" s="6" t="e">
        <f t="shared" si="143"/>
        <v>#DIV/0!</v>
      </c>
    </row>
    <row r="1956" spans="49:66" x14ac:dyDescent="0.3">
      <c r="AW1956">
        <f t="shared" si="142"/>
        <v>0</v>
      </c>
      <c r="AX1956">
        <v>1953</v>
      </c>
      <c r="AY1956" s="4">
        <f t="shared" si="140"/>
        <v>43081</v>
      </c>
      <c r="AZ1956" s="6" t="e">
        <f t="shared" si="141"/>
        <v>#DIV/0!</v>
      </c>
      <c r="BA1956" s="4">
        <v>43081</v>
      </c>
      <c r="BB1956" s="6">
        <v>-1.3142499999999999</v>
      </c>
      <c r="BC1956" s="6">
        <v>-0.842391</v>
      </c>
      <c r="BD1956" s="6">
        <v>-0.90540399999999999</v>
      </c>
      <c r="BE1956" s="6"/>
      <c r="BF1956" s="6"/>
      <c r="BG1956" s="6"/>
      <c r="BH1956" s="6"/>
      <c r="BI1956" s="6"/>
      <c r="BJ1956" s="6"/>
      <c r="BK1956" s="6"/>
      <c r="BL1956" s="6"/>
      <c r="BM1956" s="6"/>
      <c r="BN1956" s="6" t="e">
        <f t="shared" si="143"/>
        <v>#DIV/0!</v>
      </c>
    </row>
    <row r="1957" spans="49:66" x14ac:dyDescent="0.3">
      <c r="AW1957">
        <f t="shared" si="142"/>
        <v>0</v>
      </c>
      <c r="AX1957">
        <v>1954</v>
      </c>
      <c r="AY1957" s="4">
        <f t="shared" si="140"/>
        <v>43082</v>
      </c>
      <c r="AZ1957" s="6" t="e">
        <f t="shared" si="141"/>
        <v>#DIV/0!</v>
      </c>
      <c r="BA1957" s="4">
        <v>43082</v>
      </c>
      <c r="BB1957" s="6">
        <v>0.84851200000000004</v>
      </c>
      <c r="BC1957" s="6">
        <v>0.70957800000000004</v>
      </c>
      <c r="BD1957" s="6">
        <v>0.62184899999999999</v>
      </c>
      <c r="BE1957" s="6"/>
      <c r="BF1957" s="6"/>
      <c r="BG1957" s="6"/>
      <c r="BH1957" s="6"/>
      <c r="BI1957" s="6"/>
      <c r="BJ1957" s="6"/>
      <c r="BK1957" s="6"/>
      <c r="BL1957" s="6"/>
      <c r="BM1957" s="6"/>
      <c r="BN1957" s="6" t="e">
        <f t="shared" si="143"/>
        <v>#DIV/0!</v>
      </c>
    </row>
    <row r="1958" spans="49:66" x14ac:dyDescent="0.3">
      <c r="AW1958">
        <f t="shared" si="142"/>
        <v>0</v>
      </c>
      <c r="AX1958">
        <v>1955</v>
      </c>
      <c r="AY1958" s="4">
        <f t="shared" si="140"/>
        <v>43083</v>
      </c>
      <c r="AZ1958" s="6" t="e">
        <f t="shared" si="141"/>
        <v>#DIV/0!</v>
      </c>
      <c r="BA1958" s="4">
        <v>43083</v>
      </c>
      <c r="BB1958" s="6">
        <v>-0.59112500000000001</v>
      </c>
      <c r="BC1958" s="6">
        <v>0.105771</v>
      </c>
      <c r="BD1958" s="6">
        <v>9.4272999999999996E-2</v>
      </c>
      <c r="BE1958" s="6"/>
      <c r="BF1958" s="6"/>
      <c r="BG1958" s="6"/>
      <c r="BH1958" s="6"/>
      <c r="BI1958" s="6"/>
      <c r="BJ1958" s="6"/>
      <c r="BK1958" s="6"/>
      <c r="BL1958" s="6"/>
      <c r="BM1958" s="6"/>
      <c r="BN1958" s="6" t="e">
        <f t="shared" si="143"/>
        <v>#DIV/0!</v>
      </c>
    </row>
    <row r="1959" spans="49:66" x14ac:dyDescent="0.3">
      <c r="AW1959">
        <f t="shared" si="142"/>
        <v>0</v>
      </c>
      <c r="AX1959">
        <v>1956</v>
      </c>
      <c r="AY1959" s="4">
        <f t="shared" si="140"/>
        <v>43084</v>
      </c>
      <c r="AZ1959" s="6" t="e">
        <f t="shared" si="141"/>
        <v>#DIV/0!</v>
      </c>
      <c r="BA1959" s="4">
        <v>43084</v>
      </c>
      <c r="BB1959" s="6">
        <v>-1.12504</v>
      </c>
      <c r="BC1959" s="6">
        <v>-0.768926</v>
      </c>
      <c r="BD1959" s="6">
        <v>-0.33165299999999998</v>
      </c>
      <c r="BE1959" s="6"/>
      <c r="BF1959" s="6"/>
      <c r="BG1959" s="6"/>
      <c r="BH1959" s="6"/>
      <c r="BI1959" s="6"/>
      <c r="BJ1959" s="6"/>
      <c r="BK1959" s="6"/>
      <c r="BL1959" s="6"/>
      <c r="BM1959" s="6"/>
      <c r="BN1959" s="6" t="e">
        <f t="shared" si="143"/>
        <v>#DIV/0!</v>
      </c>
    </row>
    <row r="1960" spans="49:66" x14ac:dyDescent="0.3">
      <c r="AW1960">
        <f t="shared" si="142"/>
        <v>0</v>
      </c>
      <c r="AX1960">
        <v>1957</v>
      </c>
      <c r="AY1960" s="4">
        <f t="shared" si="140"/>
        <v>43087</v>
      </c>
      <c r="AZ1960" s="6" t="e">
        <f t="shared" si="141"/>
        <v>#DIV/0!</v>
      </c>
      <c r="BA1960" s="4">
        <v>43087</v>
      </c>
      <c r="BB1960" s="6">
        <v>0.11142299999999999</v>
      </c>
      <c r="BC1960" s="6">
        <v>-0.57365699999999997</v>
      </c>
      <c r="BD1960" s="6">
        <v>-0.65820800000000002</v>
      </c>
      <c r="BE1960" s="6"/>
      <c r="BF1960" s="6"/>
      <c r="BG1960" s="6"/>
      <c r="BH1960" s="6"/>
      <c r="BI1960" s="6"/>
      <c r="BJ1960" s="6"/>
      <c r="BK1960" s="6"/>
      <c r="BL1960" s="6"/>
      <c r="BM1960" s="6"/>
      <c r="BN1960" s="6" t="e">
        <f t="shared" si="143"/>
        <v>#DIV/0!</v>
      </c>
    </row>
    <row r="1961" spans="49:66" x14ac:dyDescent="0.3">
      <c r="AW1961">
        <f t="shared" si="142"/>
        <v>0</v>
      </c>
      <c r="AX1961">
        <v>1958</v>
      </c>
      <c r="AY1961" s="4">
        <f t="shared" si="140"/>
        <v>43088</v>
      </c>
      <c r="AZ1961" s="6" t="e">
        <f t="shared" si="141"/>
        <v>#DIV/0!</v>
      </c>
      <c r="BA1961" s="4">
        <v>43088</v>
      </c>
      <c r="BB1961" s="6">
        <v>1.2555670000000001</v>
      </c>
      <c r="BC1961" s="6">
        <v>0.826658</v>
      </c>
      <c r="BD1961" s="6">
        <v>0.56510300000000002</v>
      </c>
      <c r="BE1961" s="6"/>
      <c r="BF1961" s="6"/>
      <c r="BG1961" s="6"/>
      <c r="BH1961" s="6"/>
      <c r="BI1961" s="6"/>
      <c r="BJ1961" s="6"/>
      <c r="BK1961" s="6"/>
      <c r="BL1961" s="6"/>
      <c r="BM1961" s="6"/>
      <c r="BN1961" s="6" t="e">
        <f t="shared" si="143"/>
        <v>#DIV/0!</v>
      </c>
    </row>
    <row r="1962" spans="49:66" x14ac:dyDescent="0.3">
      <c r="AW1962">
        <f t="shared" si="142"/>
        <v>0</v>
      </c>
      <c r="AX1962">
        <v>1959</v>
      </c>
      <c r="AY1962" s="4">
        <f t="shared" si="140"/>
        <v>43089</v>
      </c>
      <c r="AZ1962" s="6" t="e">
        <f t="shared" si="141"/>
        <v>#DIV/0!</v>
      </c>
      <c r="BA1962" s="4">
        <v>43089</v>
      </c>
      <c r="BB1962" s="6">
        <v>-0.119931</v>
      </c>
      <c r="BC1962" s="6">
        <v>-0.82989599999999997</v>
      </c>
      <c r="BD1962" s="6">
        <v>-1.0448710000000001</v>
      </c>
      <c r="BE1962" s="6"/>
      <c r="BF1962" s="6"/>
      <c r="BG1962" s="6"/>
      <c r="BH1962" s="6"/>
      <c r="BI1962" s="6"/>
      <c r="BJ1962" s="6"/>
      <c r="BK1962" s="6"/>
      <c r="BL1962" s="6"/>
      <c r="BM1962" s="6"/>
      <c r="BN1962" s="6" t="e">
        <f t="shared" si="143"/>
        <v>#DIV/0!</v>
      </c>
    </row>
    <row r="1963" spans="49:66" x14ac:dyDescent="0.3">
      <c r="AW1963">
        <f t="shared" si="142"/>
        <v>0</v>
      </c>
      <c r="AX1963">
        <v>1960</v>
      </c>
      <c r="AY1963" s="4">
        <f t="shared" si="140"/>
        <v>43090</v>
      </c>
      <c r="AZ1963" s="6" t="e">
        <f t="shared" si="141"/>
        <v>#DIV/0!</v>
      </c>
      <c r="BA1963" s="4">
        <v>43090</v>
      </c>
      <c r="BB1963" s="6">
        <v>0.926902</v>
      </c>
      <c r="BC1963" s="6">
        <v>0.63128899999999999</v>
      </c>
      <c r="BD1963" s="6">
        <v>0.13972999999999999</v>
      </c>
      <c r="BE1963" s="6"/>
      <c r="BF1963" s="6"/>
      <c r="BG1963" s="6"/>
      <c r="BH1963" s="6"/>
      <c r="BI1963" s="6"/>
      <c r="BJ1963" s="6"/>
      <c r="BK1963" s="6"/>
      <c r="BL1963" s="6"/>
      <c r="BM1963" s="6"/>
      <c r="BN1963" s="6" t="e">
        <f t="shared" si="143"/>
        <v>#DIV/0!</v>
      </c>
    </row>
    <row r="1964" spans="49:66" x14ac:dyDescent="0.3">
      <c r="AW1964">
        <f t="shared" si="142"/>
        <v>0</v>
      </c>
      <c r="AX1964">
        <v>1961</v>
      </c>
      <c r="AY1964" s="4">
        <f t="shared" si="140"/>
        <v>43091</v>
      </c>
      <c r="AZ1964" s="6" t="e">
        <f t="shared" si="141"/>
        <v>#DIV/0!</v>
      </c>
      <c r="BA1964" s="4">
        <v>43091</v>
      </c>
      <c r="BB1964" s="6">
        <v>-0.32572699999999999</v>
      </c>
      <c r="BC1964" s="6">
        <v>7.0305000000000006E-2</v>
      </c>
      <c r="BD1964" s="6">
        <v>-0.197717</v>
      </c>
      <c r="BE1964" s="6"/>
      <c r="BF1964" s="6"/>
      <c r="BG1964" s="6"/>
      <c r="BH1964" s="6"/>
      <c r="BI1964" s="6"/>
      <c r="BJ1964" s="6"/>
      <c r="BK1964" s="6"/>
      <c r="BL1964" s="6"/>
      <c r="BM1964" s="6"/>
      <c r="BN1964" s="6" t="e">
        <f t="shared" si="143"/>
        <v>#DIV/0!</v>
      </c>
    </row>
    <row r="1965" spans="49:66" x14ac:dyDescent="0.3">
      <c r="AW1965">
        <f t="shared" si="142"/>
        <v>0</v>
      </c>
      <c r="AX1965">
        <v>1962</v>
      </c>
      <c r="AY1965" s="4">
        <f t="shared" si="140"/>
        <v>43094</v>
      </c>
      <c r="AZ1965" s="6" t="e">
        <f t="shared" si="141"/>
        <v>#DIV/0!</v>
      </c>
      <c r="BA1965" s="4">
        <v>43094</v>
      </c>
      <c r="BB1965" s="6">
        <v>-0.32206099999999999</v>
      </c>
      <c r="BC1965" s="6">
        <v>-0.91774900000000004</v>
      </c>
      <c r="BD1965" s="6">
        <v>-1.376733</v>
      </c>
      <c r="BE1965" s="6"/>
      <c r="BF1965" s="6"/>
      <c r="BG1965" s="6"/>
      <c r="BH1965" s="6"/>
      <c r="BI1965" s="6"/>
      <c r="BJ1965" s="6"/>
      <c r="BK1965" s="6"/>
      <c r="BL1965" s="6"/>
      <c r="BM1965" s="6"/>
      <c r="BN1965" s="6" t="e">
        <f t="shared" si="143"/>
        <v>#DIV/0!</v>
      </c>
    </row>
    <row r="1966" spans="49:66" x14ac:dyDescent="0.3">
      <c r="AW1966">
        <f t="shared" si="142"/>
        <v>0</v>
      </c>
      <c r="AX1966">
        <v>1963</v>
      </c>
      <c r="AY1966" s="4">
        <f t="shared" si="140"/>
        <v>43095</v>
      </c>
      <c r="AZ1966" s="6" t="e">
        <f t="shared" si="141"/>
        <v>#DIV/0!</v>
      </c>
      <c r="BA1966" s="4">
        <v>43095</v>
      </c>
      <c r="BB1966" s="6">
        <v>0.29895300000000002</v>
      </c>
      <c r="BC1966" s="6">
        <v>0.55866300000000002</v>
      </c>
      <c r="BD1966" s="6">
        <v>0.43562499999999998</v>
      </c>
      <c r="BE1966" s="6"/>
      <c r="BF1966" s="6"/>
      <c r="BG1966" s="6"/>
      <c r="BH1966" s="6"/>
      <c r="BI1966" s="6"/>
      <c r="BJ1966" s="6"/>
      <c r="BK1966" s="6"/>
      <c r="BL1966" s="6"/>
      <c r="BM1966" s="6"/>
      <c r="BN1966" s="6" t="e">
        <f t="shared" si="143"/>
        <v>#DIV/0!</v>
      </c>
    </row>
    <row r="1967" spans="49:66" x14ac:dyDescent="0.3">
      <c r="AW1967">
        <f t="shared" si="142"/>
        <v>0</v>
      </c>
      <c r="AX1967">
        <v>1964</v>
      </c>
      <c r="AY1967" s="4">
        <f t="shared" si="140"/>
        <v>43096</v>
      </c>
      <c r="AZ1967" s="6" t="e">
        <f t="shared" si="141"/>
        <v>#DIV/0!</v>
      </c>
      <c r="BA1967" s="4">
        <v>43096</v>
      </c>
      <c r="BB1967" s="6">
        <v>-1.539731</v>
      </c>
      <c r="BC1967" s="6">
        <v>-0.755521</v>
      </c>
      <c r="BD1967" s="6">
        <v>-0.40464</v>
      </c>
      <c r="BE1967" s="6"/>
      <c r="BF1967" s="6"/>
      <c r="BG1967" s="6"/>
      <c r="BH1967" s="6"/>
      <c r="BI1967" s="6"/>
      <c r="BJ1967" s="6"/>
      <c r="BK1967" s="6"/>
      <c r="BL1967" s="6"/>
      <c r="BM1967" s="6"/>
      <c r="BN1967" s="6" t="e">
        <f t="shared" si="143"/>
        <v>#DIV/0!</v>
      </c>
    </row>
    <row r="1968" spans="49:66" x14ac:dyDescent="0.3">
      <c r="AW1968">
        <f t="shared" si="142"/>
        <v>0</v>
      </c>
      <c r="AX1968">
        <v>1965</v>
      </c>
      <c r="AY1968" s="4">
        <f t="shared" si="140"/>
        <v>43097</v>
      </c>
      <c r="AZ1968" s="6" t="e">
        <f t="shared" si="141"/>
        <v>#DIV/0!</v>
      </c>
      <c r="BA1968" s="4">
        <v>43097</v>
      </c>
      <c r="BB1968" s="6">
        <v>0.69377200000000006</v>
      </c>
      <c r="BC1968" s="6">
        <v>0.50407599999999997</v>
      </c>
      <c r="BD1968" s="6">
        <v>0.20084399999999999</v>
      </c>
      <c r="BE1968" s="6"/>
      <c r="BF1968" s="6"/>
      <c r="BG1968" s="6"/>
      <c r="BH1968" s="6"/>
      <c r="BI1968" s="6"/>
      <c r="BJ1968" s="6"/>
      <c r="BK1968" s="6"/>
      <c r="BL1968" s="6"/>
      <c r="BM1968" s="6"/>
      <c r="BN1968" s="6" t="e">
        <f t="shared" si="143"/>
        <v>#DIV/0!</v>
      </c>
    </row>
    <row r="1969" spans="49:66" x14ac:dyDescent="0.3">
      <c r="AW1969">
        <f t="shared" si="142"/>
        <v>0</v>
      </c>
      <c r="AX1969">
        <v>1966</v>
      </c>
      <c r="AY1969" s="4">
        <f t="shared" si="140"/>
        <v>43098</v>
      </c>
      <c r="AZ1969" s="6" t="e">
        <f t="shared" si="141"/>
        <v>#DIV/0!</v>
      </c>
      <c r="BA1969" s="4">
        <v>43098</v>
      </c>
      <c r="BB1969" s="6">
        <v>0.29753200000000002</v>
      </c>
      <c r="BC1969" s="6">
        <v>0.75029800000000002</v>
      </c>
      <c r="BD1969" s="6">
        <v>0.87498699999999996</v>
      </c>
      <c r="BE1969" s="6"/>
      <c r="BF1969" s="6"/>
      <c r="BG1969" s="6"/>
      <c r="BH1969" s="6"/>
      <c r="BI1969" s="6"/>
      <c r="BJ1969" s="6"/>
      <c r="BK1969" s="6"/>
      <c r="BL1969" s="6"/>
      <c r="BM1969" s="6"/>
      <c r="BN1969" s="6" t="e">
        <f t="shared" si="143"/>
        <v>#DIV/0!</v>
      </c>
    </row>
    <row r="1970" spans="49:66" x14ac:dyDescent="0.3">
      <c r="AW1970">
        <f t="shared" si="142"/>
        <v>0</v>
      </c>
      <c r="AX1970">
        <v>1967</v>
      </c>
      <c r="AY1970" s="4">
        <f t="shared" si="140"/>
        <v>43102</v>
      </c>
      <c r="AZ1970" s="6" t="e">
        <f t="shared" si="141"/>
        <v>#DIV/0!</v>
      </c>
      <c r="BA1970" s="4">
        <v>43102</v>
      </c>
      <c r="BB1970" s="6">
        <v>1.402836</v>
      </c>
      <c r="BC1970" s="6">
        <v>1.3023279999999999</v>
      </c>
      <c r="BD1970" s="6">
        <v>1.065124</v>
      </c>
      <c r="BE1970" s="6"/>
      <c r="BF1970" s="6"/>
      <c r="BG1970" s="6"/>
      <c r="BH1970" s="6"/>
      <c r="BI1970" s="6"/>
      <c r="BJ1970" s="6"/>
      <c r="BK1970" s="6"/>
      <c r="BL1970" s="6"/>
      <c r="BM1970" s="6"/>
      <c r="BN1970" s="6" t="e">
        <f t="shared" si="143"/>
        <v>#DIV/0!</v>
      </c>
    </row>
    <row r="1971" spans="49:66" x14ac:dyDescent="0.3">
      <c r="AW1971">
        <f t="shared" si="142"/>
        <v>0</v>
      </c>
      <c r="AX1971">
        <v>1968</v>
      </c>
      <c r="AY1971" s="4">
        <f t="shared" si="140"/>
        <v>43103</v>
      </c>
      <c r="AZ1971" s="6" t="e">
        <f t="shared" si="141"/>
        <v>#DIV/0!</v>
      </c>
      <c r="BA1971" s="4">
        <v>43103</v>
      </c>
      <c r="BB1971" s="6">
        <v>0.58695699999999995</v>
      </c>
      <c r="BC1971" s="6">
        <v>0.88478199999999996</v>
      </c>
      <c r="BD1971" s="6">
        <v>0.95572800000000002</v>
      </c>
      <c r="BE1971" s="6"/>
      <c r="BF1971" s="6"/>
      <c r="BG1971" s="6"/>
      <c r="BH1971" s="6"/>
      <c r="BI1971" s="6"/>
      <c r="BJ1971" s="6"/>
      <c r="BK1971" s="6"/>
      <c r="BL1971" s="6"/>
      <c r="BM1971" s="6"/>
      <c r="BN1971" s="6" t="e">
        <f t="shared" si="143"/>
        <v>#DIV/0!</v>
      </c>
    </row>
    <row r="1972" spans="49:66" x14ac:dyDescent="0.3">
      <c r="AW1972">
        <f t="shared" si="142"/>
        <v>0</v>
      </c>
      <c r="AX1972">
        <v>1969</v>
      </c>
      <c r="AY1972" s="4">
        <f t="shared" si="140"/>
        <v>43104</v>
      </c>
      <c r="AZ1972" s="6" t="e">
        <f t="shared" si="141"/>
        <v>#DIV/0!</v>
      </c>
      <c r="BA1972" s="4">
        <v>43104</v>
      </c>
      <c r="BB1972" s="6">
        <v>0.42368600000000001</v>
      </c>
      <c r="BC1972" s="6">
        <v>0.458368</v>
      </c>
      <c r="BD1972" s="6">
        <v>0.20935000000000001</v>
      </c>
      <c r="BE1972" s="6"/>
      <c r="BF1972" s="6"/>
      <c r="BG1972" s="6"/>
      <c r="BH1972" s="6"/>
      <c r="BI1972" s="6"/>
      <c r="BJ1972" s="6"/>
      <c r="BK1972" s="6"/>
      <c r="BL1972" s="6"/>
      <c r="BM1972" s="6"/>
      <c r="BN1972" s="6" t="e">
        <f t="shared" si="143"/>
        <v>#DIV/0!</v>
      </c>
    </row>
    <row r="1973" spans="49:66" x14ac:dyDescent="0.3">
      <c r="AW1973">
        <f t="shared" si="142"/>
        <v>0</v>
      </c>
      <c r="AX1973">
        <v>1970</v>
      </c>
      <c r="AY1973" s="4">
        <f t="shared" si="140"/>
        <v>43105</v>
      </c>
      <c r="AZ1973" s="6" t="e">
        <f t="shared" si="141"/>
        <v>#DIV/0!</v>
      </c>
      <c r="BA1973" s="4">
        <v>43105</v>
      </c>
      <c r="BB1973" s="6">
        <v>0.24071300000000001</v>
      </c>
      <c r="BC1973" s="6">
        <v>-4.3829999999999997E-3</v>
      </c>
      <c r="BD1973" s="6">
        <v>2.7916E-2</v>
      </c>
      <c r="BE1973" s="6"/>
      <c r="BF1973" s="6"/>
      <c r="BG1973" s="6"/>
      <c r="BH1973" s="6"/>
      <c r="BI1973" s="6"/>
      <c r="BJ1973" s="6"/>
      <c r="BK1973" s="6"/>
      <c r="BL1973" s="6"/>
      <c r="BM1973" s="6"/>
      <c r="BN1973" s="6" t="e">
        <f t="shared" si="143"/>
        <v>#DIV/0!</v>
      </c>
    </row>
    <row r="1974" spans="49:66" x14ac:dyDescent="0.3">
      <c r="AW1974">
        <f t="shared" si="142"/>
        <v>0</v>
      </c>
      <c r="AX1974">
        <v>1971</v>
      </c>
      <c r="AY1974" s="4">
        <f t="shared" si="140"/>
        <v>43108</v>
      </c>
      <c r="AZ1974" s="6" t="e">
        <f t="shared" si="141"/>
        <v>#DIV/0!</v>
      </c>
      <c r="BA1974" s="4">
        <v>43108</v>
      </c>
      <c r="BB1974" s="6">
        <v>0.51728200000000002</v>
      </c>
      <c r="BC1974" s="6">
        <v>0.45078600000000002</v>
      </c>
      <c r="BD1974" s="6">
        <v>0.15916</v>
      </c>
      <c r="BE1974" s="6"/>
      <c r="BF1974" s="6"/>
      <c r="BG1974" s="6"/>
      <c r="BH1974" s="6"/>
      <c r="BI1974" s="6"/>
      <c r="BJ1974" s="6"/>
      <c r="BK1974" s="6"/>
      <c r="BL1974" s="6"/>
      <c r="BM1974" s="6"/>
      <c r="BN1974" s="6" t="e">
        <f t="shared" si="143"/>
        <v>#DIV/0!</v>
      </c>
    </row>
    <row r="1975" spans="49:66" x14ac:dyDescent="0.3">
      <c r="AW1975">
        <f t="shared" si="142"/>
        <v>0</v>
      </c>
      <c r="AX1975">
        <v>1972</v>
      </c>
      <c r="AY1975" s="4">
        <f t="shared" si="140"/>
        <v>43109</v>
      </c>
      <c r="AZ1975" s="6" t="e">
        <f t="shared" si="141"/>
        <v>#DIV/0!</v>
      </c>
      <c r="BA1975" s="4">
        <v>43109</v>
      </c>
      <c r="BB1975" s="6">
        <v>0.70041100000000001</v>
      </c>
      <c r="BC1975" s="6">
        <v>-6.757E-3</v>
      </c>
      <c r="BD1975" s="6">
        <v>-0.160664</v>
      </c>
      <c r="BE1975" s="6"/>
      <c r="BF1975" s="6"/>
      <c r="BG1975" s="6"/>
      <c r="BH1975" s="6"/>
      <c r="BI1975" s="6"/>
      <c r="BJ1975" s="6"/>
      <c r="BK1975" s="6"/>
      <c r="BL1975" s="6"/>
      <c r="BM1975" s="6"/>
      <c r="BN1975" s="6" t="e">
        <f t="shared" si="143"/>
        <v>#DIV/0!</v>
      </c>
    </row>
    <row r="1976" spans="49:66" x14ac:dyDescent="0.3">
      <c r="AW1976">
        <f t="shared" si="142"/>
        <v>0</v>
      </c>
      <c r="AX1976">
        <v>1973</v>
      </c>
      <c r="AY1976" s="4">
        <f t="shared" si="140"/>
        <v>43110</v>
      </c>
      <c r="AZ1976" s="6" t="e">
        <f t="shared" si="141"/>
        <v>#DIV/0!</v>
      </c>
      <c r="BA1976" s="4">
        <v>43110</v>
      </c>
      <c r="BB1976" s="6">
        <v>0.441971</v>
      </c>
      <c r="BC1976" s="6">
        <v>-0.61756500000000003</v>
      </c>
      <c r="BD1976" s="6">
        <v>-0.52893900000000005</v>
      </c>
      <c r="BE1976" s="6"/>
      <c r="BF1976" s="6"/>
      <c r="BG1976" s="6"/>
      <c r="BH1976" s="6"/>
      <c r="BI1976" s="6"/>
      <c r="BJ1976" s="6"/>
      <c r="BK1976" s="6"/>
      <c r="BL1976" s="6"/>
      <c r="BM1976" s="6"/>
      <c r="BN1976" s="6" t="e">
        <f t="shared" si="143"/>
        <v>#DIV/0!</v>
      </c>
    </row>
    <row r="1977" spans="49:66" x14ac:dyDescent="0.3">
      <c r="AW1977">
        <f t="shared" si="142"/>
        <v>0</v>
      </c>
      <c r="AX1977">
        <v>1974</v>
      </c>
      <c r="AY1977" s="4">
        <f t="shared" si="140"/>
        <v>43111</v>
      </c>
      <c r="AZ1977" s="6" t="e">
        <f t="shared" si="141"/>
        <v>#DIV/0!</v>
      </c>
      <c r="BA1977" s="4">
        <v>43111</v>
      </c>
      <c r="BB1977" s="6">
        <v>-5.2922999999999998E-2</v>
      </c>
      <c r="BC1977" s="6">
        <v>0.31222</v>
      </c>
      <c r="BD1977" s="6">
        <v>0.512934</v>
      </c>
      <c r="BE1977" s="6"/>
      <c r="BF1977" s="6"/>
      <c r="BG1977" s="6"/>
      <c r="BH1977" s="6"/>
      <c r="BI1977" s="6"/>
      <c r="BJ1977" s="6"/>
      <c r="BK1977" s="6"/>
      <c r="BL1977" s="6"/>
      <c r="BM1977" s="6"/>
      <c r="BN1977" s="6" t="e">
        <f t="shared" si="143"/>
        <v>#DIV/0!</v>
      </c>
    </row>
    <row r="1978" spans="49:66" x14ac:dyDescent="0.3">
      <c r="AW1978">
        <f t="shared" si="142"/>
        <v>0</v>
      </c>
      <c r="AX1978">
        <v>1975</v>
      </c>
      <c r="AY1978" s="4">
        <f t="shared" si="140"/>
        <v>43112</v>
      </c>
      <c r="AZ1978" s="6" t="e">
        <f t="shared" si="141"/>
        <v>#DIV/0!</v>
      </c>
      <c r="BA1978" s="4">
        <v>43112</v>
      </c>
      <c r="BB1978" s="6">
        <v>0.46164100000000002</v>
      </c>
      <c r="BC1978" s="6">
        <v>-0.41342400000000001</v>
      </c>
      <c r="BD1978" s="6">
        <v>-0.66296299999999997</v>
      </c>
      <c r="BE1978" s="6"/>
      <c r="BF1978" s="6"/>
      <c r="BG1978" s="6"/>
      <c r="BH1978" s="6"/>
      <c r="BI1978" s="6"/>
      <c r="BJ1978" s="6"/>
      <c r="BK1978" s="6"/>
      <c r="BL1978" s="6"/>
      <c r="BM1978" s="6"/>
      <c r="BN1978" s="6" t="e">
        <f t="shared" si="143"/>
        <v>#DIV/0!</v>
      </c>
    </row>
    <row r="1979" spans="49:66" x14ac:dyDescent="0.3">
      <c r="AW1979">
        <f t="shared" si="142"/>
        <v>0</v>
      </c>
      <c r="AX1979">
        <v>1976</v>
      </c>
      <c r="AY1979" s="4">
        <f t="shared" si="140"/>
        <v>43115</v>
      </c>
      <c r="AZ1979" s="6" t="e">
        <f t="shared" si="141"/>
        <v>#DIV/0!</v>
      </c>
      <c r="BA1979" s="4">
        <v>43115</v>
      </c>
      <c r="BB1979" s="6">
        <v>5.64E-3</v>
      </c>
      <c r="BC1979" s="6">
        <v>-2.2814390000000002</v>
      </c>
      <c r="BD1979" s="6">
        <v>-2.7851530000000002</v>
      </c>
      <c r="BE1979" s="6"/>
      <c r="BF1979" s="6"/>
      <c r="BG1979" s="6"/>
      <c r="BH1979" s="6"/>
      <c r="BI1979" s="6"/>
      <c r="BJ1979" s="6"/>
      <c r="BK1979" s="6"/>
      <c r="BL1979" s="6"/>
      <c r="BM1979" s="6"/>
      <c r="BN1979" s="6" t="e">
        <f t="shared" si="143"/>
        <v>#DIV/0!</v>
      </c>
    </row>
    <row r="1980" spans="49:66" x14ac:dyDescent="0.3">
      <c r="AW1980">
        <f t="shared" si="142"/>
        <v>0</v>
      </c>
      <c r="AX1980">
        <v>1977</v>
      </c>
      <c r="AY1980" s="4">
        <f t="shared" si="140"/>
        <v>43116</v>
      </c>
      <c r="AZ1980" s="6" t="e">
        <f t="shared" si="141"/>
        <v>#DIV/0!</v>
      </c>
      <c r="BA1980" s="4">
        <v>43116</v>
      </c>
      <c r="BB1980" s="6">
        <v>0.78655200000000003</v>
      </c>
      <c r="BC1980" s="6">
        <v>0.76369600000000004</v>
      </c>
      <c r="BD1980" s="6">
        <v>0.45271600000000001</v>
      </c>
      <c r="BE1980" s="6"/>
      <c r="BF1980" s="6"/>
      <c r="BG1980" s="6"/>
      <c r="BH1980" s="6"/>
      <c r="BI1980" s="6"/>
      <c r="BJ1980" s="6"/>
      <c r="BK1980" s="6"/>
      <c r="BL1980" s="6"/>
      <c r="BM1980" s="6"/>
      <c r="BN1980" s="6" t="e">
        <f t="shared" si="143"/>
        <v>#DIV/0!</v>
      </c>
    </row>
    <row r="1981" spans="49:66" x14ac:dyDescent="0.3">
      <c r="AW1981">
        <f t="shared" si="142"/>
        <v>0</v>
      </c>
      <c r="AX1981">
        <v>1978</v>
      </c>
      <c r="AY1981" s="4">
        <f t="shared" si="140"/>
        <v>43117</v>
      </c>
      <c r="AZ1981" s="6" t="e">
        <f t="shared" si="141"/>
        <v>#DIV/0!</v>
      </c>
      <c r="BA1981" s="4">
        <v>43117</v>
      </c>
      <c r="BB1981" s="6">
        <v>-0.2432</v>
      </c>
      <c r="BC1981" s="6">
        <v>-0.53439300000000001</v>
      </c>
      <c r="BD1981" s="6">
        <v>-0.25592599999999999</v>
      </c>
      <c r="BE1981" s="6"/>
      <c r="BF1981" s="6"/>
      <c r="BG1981" s="6"/>
      <c r="BH1981" s="6"/>
      <c r="BI1981" s="6"/>
      <c r="BJ1981" s="6"/>
      <c r="BK1981" s="6"/>
      <c r="BL1981" s="6"/>
      <c r="BM1981" s="6"/>
      <c r="BN1981" s="6" t="e">
        <f t="shared" si="143"/>
        <v>#DIV/0!</v>
      </c>
    </row>
    <row r="1982" spans="49:66" x14ac:dyDescent="0.3">
      <c r="AW1982">
        <f t="shared" si="142"/>
        <v>0</v>
      </c>
      <c r="AX1982">
        <v>1979</v>
      </c>
      <c r="AY1982" s="4">
        <f t="shared" si="140"/>
        <v>43118</v>
      </c>
      <c r="AZ1982" s="6" t="e">
        <f t="shared" si="141"/>
        <v>#DIV/0!</v>
      </c>
      <c r="BA1982" s="4">
        <v>43118</v>
      </c>
      <c r="BB1982" s="6">
        <v>0.54848799999999998</v>
      </c>
      <c r="BC1982" s="6">
        <v>0.308591</v>
      </c>
      <c r="BD1982" s="6">
        <v>0.17815400000000001</v>
      </c>
      <c r="BE1982" s="6"/>
      <c r="BF1982" s="6"/>
      <c r="BG1982" s="6"/>
      <c r="BH1982" s="6"/>
      <c r="BI1982" s="6"/>
      <c r="BJ1982" s="6"/>
      <c r="BK1982" s="6"/>
      <c r="BL1982" s="6"/>
      <c r="BM1982" s="6"/>
      <c r="BN1982" s="6" t="e">
        <f t="shared" si="143"/>
        <v>#DIV/0!</v>
      </c>
    </row>
    <row r="1983" spans="49:66" x14ac:dyDescent="0.3">
      <c r="AW1983">
        <f t="shared" si="142"/>
        <v>0</v>
      </c>
      <c r="AX1983">
        <v>1980</v>
      </c>
      <c r="AY1983" s="4">
        <f t="shared" si="140"/>
        <v>43119</v>
      </c>
      <c r="AZ1983" s="6" t="e">
        <f t="shared" si="141"/>
        <v>#DIV/0!</v>
      </c>
      <c r="BA1983" s="4">
        <v>43119</v>
      </c>
      <c r="BB1983" s="6">
        <v>0.32724999999999999</v>
      </c>
      <c r="BC1983" s="6">
        <v>-0.229381</v>
      </c>
      <c r="BD1983" s="6">
        <v>-0.24327399999999999</v>
      </c>
      <c r="BE1983" s="6"/>
      <c r="BF1983" s="6"/>
      <c r="BG1983" s="6"/>
      <c r="BH1983" s="6"/>
      <c r="BI1983" s="6"/>
      <c r="BJ1983" s="6"/>
      <c r="BK1983" s="6"/>
      <c r="BL1983" s="6"/>
      <c r="BM1983" s="6"/>
      <c r="BN1983" s="6" t="e">
        <f t="shared" si="143"/>
        <v>#DIV/0!</v>
      </c>
    </row>
    <row r="1984" spans="49:66" x14ac:dyDescent="0.3">
      <c r="AW1984">
        <f t="shared" si="142"/>
        <v>0</v>
      </c>
      <c r="AX1984">
        <v>1981</v>
      </c>
      <c r="AY1984" s="4">
        <f t="shared" si="140"/>
        <v>43122</v>
      </c>
      <c r="AZ1984" s="6" t="e">
        <f t="shared" si="141"/>
        <v>#DIV/0!</v>
      </c>
      <c r="BA1984" s="4">
        <v>43122</v>
      </c>
      <c r="BB1984" s="6">
        <v>1.194812</v>
      </c>
      <c r="BC1984" s="6">
        <v>1.1998359999999999</v>
      </c>
      <c r="BD1984" s="6">
        <v>1.098767</v>
      </c>
      <c r="BE1984" s="6"/>
      <c r="BF1984" s="6"/>
      <c r="BG1984" s="6"/>
      <c r="BH1984" s="6"/>
      <c r="BI1984" s="6"/>
      <c r="BJ1984" s="6"/>
      <c r="BK1984" s="6"/>
      <c r="BL1984" s="6"/>
      <c r="BM1984" s="6"/>
      <c r="BN1984" s="6" t="e">
        <f t="shared" si="143"/>
        <v>#DIV/0!</v>
      </c>
    </row>
    <row r="1985" spans="49:66" x14ac:dyDescent="0.3">
      <c r="AW1985">
        <f t="shared" si="142"/>
        <v>0</v>
      </c>
      <c r="AX1985">
        <v>1982</v>
      </c>
      <c r="AY1985" s="4">
        <f t="shared" si="140"/>
        <v>43123</v>
      </c>
      <c r="AZ1985" s="6" t="e">
        <f t="shared" si="141"/>
        <v>#DIV/0!</v>
      </c>
      <c r="BA1985" s="4">
        <v>43123</v>
      </c>
      <c r="BB1985" s="6">
        <v>1.061097</v>
      </c>
      <c r="BC1985" s="6">
        <v>0.115941</v>
      </c>
      <c r="BD1985" s="6">
        <v>7.7374999999999999E-2</v>
      </c>
      <c r="BE1985" s="6"/>
      <c r="BF1985" s="6"/>
      <c r="BG1985" s="6"/>
      <c r="BH1985" s="6"/>
      <c r="BI1985" s="6"/>
      <c r="BJ1985" s="6"/>
      <c r="BK1985" s="6"/>
      <c r="BL1985" s="6"/>
      <c r="BM1985" s="6"/>
      <c r="BN1985" s="6" t="e">
        <f t="shared" si="143"/>
        <v>#DIV/0!</v>
      </c>
    </row>
    <row r="1986" spans="49:66" x14ac:dyDescent="0.3">
      <c r="AW1986">
        <f t="shared" si="142"/>
        <v>0</v>
      </c>
      <c r="AX1986">
        <v>1983</v>
      </c>
      <c r="AY1986" s="4">
        <f t="shared" si="140"/>
        <v>43124</v>
      </c>
      <c r="AZ1986" s="6" t="e">
        <f t="shared" si="141"/>
        <v>#DIV/0!</v>
      </c>
      <c r="BA1986" s="4">
        <v>43124</v>
      </c>
      <c r="BB1986" s="6">
        <v>0.165938</v>
      </c>
      <c r="BC1986" s="6">
        <v>0.61844399999999999</v>
      </c>
      <c r="BD1986" s="6">
        <v>0.74688399999999999</v>
      </c>
      <c r="BE1986" s="6"/>
      <c r="BF1986" s="6"/>
      <c r="BG1986" s="6"/>
      <c r="BH1986" s="6"/>
      <c r="BI1986" s="6"/>
      <c r="BJ1986" s="6"/>
      <c r="BK1986" s="6"/>
      <c r="BL1986" s="6"/>
      <c r="BM1986" s="6"/>
      <c r="BN1986" s="6" t="e">
        <f t="shared" si="143"/>
        <v>#DIV/0!</v>
      </c>
    </row>
    <row r="1987" spans="49:66" x14ac:dyDescent="0.3">
      <c r="AW1987">
        <f t="shared" si="142"/>
        <v>0</v>
      </c>
      <c r="AX1987">
        <v>1984</v>
      </c>
      <c r="AY1987" s="4">
        <f t="shared" si="140"/>
        <v>43125</v>
      </c>
      <c r="AZ1987" s="6" t="e">
        <f t="shared" si="141"/>
        <v>#DIV/0!</v>
      </c>
      <c r="BA1987" s="4">
        <v>43125</v>
      </c>
      <c r="BB1987" s="6">
        <v>-0.56506900000000004</v>
      </c>
      <c r="BC1987" s="6">
        <v>-0.18115200000000001</v>
      </c>
      <c r="BD1987" s="6">
        <v>-0.138158</v>
      </c>
      <c r="BE1987" s="6"/>
      <c r="BF1987" s="6"/>
      <c r="BG1987" s="6"/>
      <c r="BH1987" s="6"/>
      <c r="BI1987" s="6"/>
      <c r="BJ1987" s="6"/>
      <c r="BK1987" s="6"/>
      <c r="BL1987" s="6"/>
      <c r="BM1987" s="6"/>
      <c r="BN1987" s="6" t="e">
        <f t="shared" si="143"/>
        <v>#DIV/0!</v>
      </c>
    </row>
    <row r="1988" spans="49:66" x14ac:dyDescent="0.3">
      <c r="AW1988">
        <f t="shared" si="142"/>
        <v>0</v>
      </c>
      <c r="AX1988">
        <v>1985</v>
      </c>
      <c r="AY1988" s="4">
        <f t="shared" si="140"/>
        <v>43126</v>
      </c>
      <c r="AZ1988" s="6" t="e">
        <f t="shared" si="141"/>
        <v>#DIV/0!</v>
      </c>
      <c r="BA1988" s="4">
        <v>43126</v>
      </c>
      <c r="BB1988" s="6">
        <v>0.37158999999999998</v>
      </c>
      <c r="BC1988" s="6">
        <v>1.4331E-2</v>
      </c>
      <c r="BD1988" s="6">
        <v>-9.3757999999999994E-2</v>
      </c>
      <c r="BE1988" s="6"/>
      <c r="BF1988" s="6"/>
      <c r="BG1988" s="6"/>
      <c r="BH1988" s="6"/>
      <c r="BI1988" s="6"/>
      <c r="BJ1988" s="6"/>
      <c r="BK1988" s="6"/>
      <c r="BL1988" s="6"/>
      <c r="BM1988" s="6"/>
      <c r="BN1988" s="6" t="e">
        <f t="shared" si="143"/>
        <v>#DIV/0!</v>
      </c>
    </row>
    <row r="1989" spans="49:66" x14ac:dyDescent="0.3">
      <c r="AW1989">
        <f t="shared" si="142"/>
        <v>0</v>
      </c>
      <c r="AX1989">
        <v>1986</v>
      </c>
      <c r="AY1989" s="4">
        <f t="shared" ref="AY1989:AY2052" si="144">BA1989</f>
        <v>43129</v>
      </c>
      <c r="AZ1989" s="6" t="e">
        <f t="shared" ref="AZ1989:AZ2052" si="145">BN1989</f>
        <v>#DIV/0!</v>
      </c>
      <c r="BA1989" s="4">
        <v>43129</v>
      </c>
      <c r="BB1989" s="6">
        <v>-1.8095429999999999</v>
      </c>
      <c r="BC1989" s="6">
        <v>-1.1552610000000001</v>
      </c>
      <c r="BD1989" s="6">
        <v>-1.183872</v>
      </c>
      <c r="BE1989" s="6"/>
      <c r="BF1989" s="6"/>
      <c r="BG1989" s="6"/>
      <c r="BH1989" s="6"/>
      <c r="BI1989" s="6"/>
      <c r="BJ1989" s="6"/>
      <c r="BK1989" s="6"/>
      <c r="BL1989" s="6"/>
      <c r="BM1989" s="6"/>
      <c r="BN1989" s="6" t="e">
        <f t="shared" si="143"/>
        <v>#DIV/0!</v>
      </c>
    </row>
    <row r="1990" spans="49:66" x14ac:dyDescent="0.3">
      <c r="AW1990">
        <f t="shared" ref="AW1990:AW2053" si="146">IF(AY1990&lt;=AY1989,1,0)</f>
        <v>0</v>
      </c>
      <c r="AX1990">
        <v>1987</v>
      </c>
      <c r="AY1990" s="4">
        <f t="shared" si="144"/>
        <v>43130</v>
      </c>
      <c r="AZ1990" s="6" t="e">
        <f t="shared" si="145"/>
        <v>#DIV/0!</v>
      </c>
      <c r="BA1990" s="4">
        <v>43130</v>
      </c>
      <c r="BB1990" s="6">
        <v>-1.067313</v>
      </c>
      <c r="BC1990" s="6">
        <v>5.6394E-2</v>
      </c>
      <c r="BD1990" s="6">
        <v>-0.24720900000000001</v>
      </c>
      <c r="BE1990" s="6"/>
      <c r="BF1990" s="6"/>
      <c r="BG1990" s="6"/>
      <c r="BH1990" s="6"/>
      <c r="BI1990" s="6"/>
      <c r="BJ1990" s="6"/>
      <c r="BK1990" s="6"/>
      <c r="BL1990" s="6"/>
      <c r="BM1990" s="6"/>
      <c r="BN1990" s="6" t="e">
        <f t="shared" ref="BN1990:BN2053" si="147">(BM1990/BM1989-1)*100</f>
        <v>#DIV/0!</v>
      </c>
    </row>
    <row r="1991" spans="49:66" x14ac:dyDescent="0.3">
      <c r="AW1991">
        <f t="shared" si="146"/>
        <v>0</v>
      </c>
      <c r="AX1991">
        <v>1988</v>
      </c>
      <c r="AY1991" s="4">
        <f t="shared" si="144"/>
        <v>43131</v>
      </c>
      <c r="AZ1991" s="6" t="e">
        <f t="shared" si="145"/>
        <v>#DIV/0!</v>
      </c>
      <c r="BA1991" s="4">
        <v>43131</v>
      </c>
      <c r="BB1991" s="6">
        <v>0.46513199999999999</v>
      </c>
      <c r="BC1991" s="6">
        <v>-1.9656579999999999</v>
      </c>
      <c r="BD1991" s="6">
        <v>-2.3612850000000001</v>
      </c>
      <c r="BE1991" s="6"/>
      <c r="BF1991" s="6"/>
      <c r="BG1991" s="6"/>
      <c r="BH1991" s="6"/>
      <c r="BI1991" s="6"/>
      <c r="BJ1991" s="6"/>
      <c r="BK1991" s="6"/>
      <c r="BL1991" s="6"/>
      <c r="BM1991" s="6"/>
      <c r="BN1991" s="6" t="e">
        <f t="shared" si="147"/>
        <v>#DIV/0!</v>
      </c>
    </row>
    <row r="1992" spans="49:66" x14ac:dyDescent="0.3">
      <c r="AW1992">
        <f t="shared" si="146"/>
        <v>0</v>
      </c>
      <c r="AX1992">
        <v>1989</v>
      </c>
      <c r="AY1992" s="4">
        <f t="shared" si="144"/>
        <v>43132</v>
      </c>
      <c r="AZ1992" s="6" t="e">
        <f t="shared" si="145"/>
        <v>#DIV/0!</v>
      </c>
      <c r="BA1992" s="4">
        <v>43132</v>
      </c>
      <c r="BB1992" s="6">
        <v>-0.70162599999999997</v>
      </c>
      <c r="BC1992" s="6">
        <v>-3.3056589999999999</v>
      </c>
      <c r="BD1992" s="6">
        <v>-4.1901989999999998</v>
      </c>
      <c r="BE1992" s="6"/>
      <c r="BF1992" s="6"/>
      <c r="BG1992" s="6"/>
      <c r="BH1992" s="6"/>
      <c r="BI1992" s="6"/>
      <c r="BJ1992" s="6"/>
      <c r="BK1992" s="6"/>
      <c r="BL1992" s="6"/>
      <c r="BM1992" s="6"/>
      <c r="BN1992" s="6" t="e">
        <f t="shared" si="147"/>
        <v>#DIV/0!</v>
      </c>
    </row>
    <row r="1993" spans="49:66" x14ac:dyDescent="0.3">
      <c r="AW1993">
        <f t="shared" si="146"/>
        <v>0</v>
      </c>
      <c r="AX1993">
        <v>1990</v>
      </c>
      <c r="AY1993" s="4">
        <f t="shared" si="144"/>
        <v>43133</v>
      </c>
      <c r="AZ1993" s="6" t="e">
        <f t="shared" si="145"/>
        <v>#DIV/0!</v>
      </c>
      <c r="BA1993" s="4">
        <v>43133</v>
      </c>
      <c r="BB1993" s="6">
        <v>0.59668900000000002</v>
      </c>
      <c r="BC1993" s="6">
        <v>0.33596399999999998</v>
      </c>
      <c r="BD1993" s="6">
        <v>-0.28564699999999998</v>
      </c>
      <c r="BE1993" s="6"/>
      <c r="BF1993" s="6"/>
      <c r="BG1993" s="6"/>
      <c r="BH1993" s="6"/>
      <c r="BI1993" s="6"/>
      <c r="BJ1993" s="6"/>
      <c r="BK1993" s="6"/>
      <c r="BL1993" s="6"/>
      <c r="BM1993" s="6"/>
      <c r="BN1993" s="6" t="e">
        <f t="shared" si="147"/>
        <v>#DIV/0!</v>
      </c>
    </row>
    <row r="1994" spans="49:66" x14ac:dyDescent="0.3">
      <c r="AW1994">
        <f t="shared" si="146"/>
        <v>0</v>
      </c>
      <c r="AX1994">
        <v>1991</v>
      </c>
      <c r="AY1994" s="4">
        <f t="shared" si="144"/>
        <v>43136</v>
      </c>
      <c r="AZ1994" s="6" t="e">
        <f t="shared" si="145"/>
        <v>#DIV/0!</v>
      </c>
      <c r="BA1994" s="4">
        <v>43136</v>
      </c>
      <c r="BB1994" s="6">
        <v>6.8219000000000002E-2</v>
      </c>
      <c r="BC1994" s="6">
        <v>-0.11034099999999999</v>
      </c>
      <c r="BD1994" s="6">
        <v>-0.40158500000000003</v>
      </c>
      <c r="BE1994" s="6"/>
      <c r="BF1994" s="6"/>
      <c r="BG1994" s="6"/>
      <c r="BH1994" s="6"/>
      <c r="BI1994" s="6"/>
      <c r="BJ1994" s="6"/>
      <c r="BK1994" s="6"/>
      <c r="BL1994" s="6"/>
      <c r="BM1994" s="6"/>
      <c r="BN1994" s="6" t="e">
        <f t="shared" si="147"/>
        <v>#DIV/0!</v>
      </c>
    </row>
    <row r="1995" spans="49:66" x14ac:dyDescent="0.3">
      <c r="AW1995">
        <f t="shared" si="146"/>
        <v>0</v>
      </c>
      <c r="AX1995">
        <v>1992</v>
      </c>
      <c r="AY1995" s="4">
        <f t="shared" si="144"/>
        <v>43137</v>
      </c>
      <c r="AZ1995" s="6" t="e">
        <f t="shared" si="145"/>
        <v>#DIV/0!</v>
      </c>
      <c r="BA1995" s="4">
        <v>43137</v>
      </c>
      <c r="BB1995" s="6">
        <v>-2.9306619999999999</v>
      </c>
      <c r="BC1995" s="6">
        <v>-4.9007759999999996</v>
      </c>
      <c r="BD1995" s="6">
        <v>-4.9389339999999997</v>
      </c>
      <c r="BE1995" s="6"/>
      <c r="BF1995" s="6"/>
      <c r="BG1995" s="6"/>
      <c r="BH1995" s="6"/>
      <c r="BI1995" s="6"/>
      <c r="BJ1995" s="6"/>
      <c r="BK1995" s="6"/>
      <c r="BL1995" s="6"/>
      <c r="BM1995" s="6"/>
      <c r="BN1995" s="6" t="e">
        <f t="shared" si="147"/>
        <v>#DIV/0!</v>
      </c>
    </row>
    <row r="1996" spans="49:66" x14ac:dyDescent="0.3">
      <c r="AW1996">
        <f t="shared" si="146"/>
        <v>0</v>
      </c>
      <c r="AX1996">
        <v>1993</v>
      </c>
      <c r="AY1996" s="4">
        <f t="shared" si="144"/>
        <v>43138</v>
      </c>
      <c r="AZ1996" s="6" t="e">
        <f t="shared" si="145"/>
        <v>#DIV/0!</v>
      </c>
      <c r="BA1996" s="4">
        <v>43138</v>
      </c>
      <c r="BB1996" s="6">
        <v>-2.371442</v>
      </c>
      <c r="BC1996" s="6">
        <v>0.12390900000000001</v>
      </c>
      <c r="BD1996" s="6">
        <v>0.25378699999999998</v>
      </c>
      <c r="BE1996" s="6"/>
      <c r="BF1996" s="6"/>
      <c r="BG1996" s="6"/>
      <c r="BH1996" s="6"/>
      <c r="BI1996" s="6"/>
      <c r="BJ1996" s="6"/>
      <c r="BK1996" s="6"/>
      <c r="BL1996" s="6"/>
      <c r="BM1996" s="6"/>
      <c r="BN1996" s="6" t="e">
        <f t="shared" si="147"/>
        <v>#DIV/0!</v>
      </c>
    </row>
    <row r="1997" spans="49:66" x14ac:dyDescent="0.3">
      <c r="AW1997">
        <f t="shared" si="146"/>
        <v>0</v>
      </c>
      <c r="AX1997">
        <v>1994</v>
      </c>
      <c r="AY1997" s="4">
        <f t="shared" si="144"/>
        <v>43139</v>
      </c>
      <c r="AZ1997" s="6" t="e">
        <f t="shared" si="145"/>
        <v>#DIV/0!</v>
      </c>
      <c r="BA1997" s="4">
        <v>43139</v>
      </c>
      <c r="BB1997" s="6">
        <v>-0.94926600000000005</v>
      </c>
      <c r="BC1997" s="6">
        <v>0.96557999999999999</v>
      </c>
      <c r="BD1997" s="6">
        <v>1.298476</v>
      </c>
      <c r="BE1997" s="6"/>
      <c r="BF1997" s="6"/>
      <c r="BG1997" s="6"/>
      <c r="BH1997" s="6"/>
      <c r="BI1997" s="6"/>
      <c r="BJ1997" s="6"/>
      <c r="BK1997" s="6"/>
      <c r="BL1997" s="6"/>
      <c r="BM1997" s="6"/>
      <c r="BN1997" s="6" t="e">
        <f t="shared" si="147"/>
        <v>#DIV/0!</v>
      </c>
    </row>
    <row r="1998" spans="49:66" x14ac:dyDescent="0.3">
      <c r="AW1998">
        <f t="shared" si="146"/>
        <v>0</v>
      </c>
      <c r="AX1998">
        <v>1995</v>
      </c>
      <c r="AY1998" s="4">
        <f t="shared" si="144"/>
        <v>43140</v>
      </c>
      <c r="AZ1998" s="6" t="e">
        <f t="shared" si="145"/>
        <v>#DIV/0!</v>
      </c>
      <c r="BA1998" s="4">
        <v>43140</v>
      </c>
      <c r="BB1998" s="6">
        <v>-4.2719959999999997</v>
      </c>
      <c r="BC1998" s="6">
        <v>-3.6691760000000002</v>
      </c>
      <c r="BD1998" s="6">
        <v>-2.9688029999999999</v>
      </c>
      <c r="BE1998" s="6"/>
      <c r="BF1998" s="6"/>
      <c r="BG1998" s="6"/>
      <c r="BH1998" s="6"/>
      <c r="BI1998" s="6"/>
      <c r="BJ1998" s="6"/>
      <c r="BK1998" s="6"/>
      <c r="BL1998" s="6"/>
      <c r="BM1998" s="6"/>
      <c r="BN1998" s="6" t="e">
        <f t="shared" si="147"/>
        <v>#DIV/0!</v>
      </c>
    </row>
    <row r="1999" spans="49:66" x14ac:dyDescent="0.3">
      <c r="AW1999">
        <f t="shared" si="146"/>
        <v>0</v>
      </c>
      <c r="AX1999">
        <v>1996</v>
      </c>
      <c r="AY1999" s="4">
        <f t="shared" si="144"/>
        <v>43143</v>
      </c>
      <c r="AZ1999" s="6" t="e">
        <f t="shared" si="145"/>
        <v>#DIV/0!</v>
      </c>
      <c r="BA1999" s="4">
        <v>43143</v>
      </c>
      <c r="BB1999" s="6">
        <v>1.2875909999999999</v>
      </c>
      <c r="BC1999" s="6">
        <v>2.595917</v>
      </c>
      <c r="BD1999" s="6">
        <v>2.490183</v>
      </c>
      <c r="BE1999" s="6"/>
      <c r="BF1999" s="6"/>
      <c r="BG1999" s="6"/>
      <c r="BH1999" s="6"/>
      <c r="BI1999" s="6"/>
      <c r="BJ1999" s="6"/>
      <c r="BK1999" s="6"/>
      <c r="BL1999" s="6"/>
      <c r="BM1999" s="6"/>
      <c r="BN1999" s="6" t="e">
        <f t="shared" si="147"/>
        <v>#DIV/0!</v>
      </c>
    </row>
    <row r="2000" spans="49:66" x14ac:dyDescent="0.3">
      <c r="AW2000">
        <f t="shared" si="146"/>
        <v>0</v>
      </c>
      <c r="AX2000">
        <v>1997</v>
      </c>
      <c r="AY2000" s="4">
        <f t="shared" si="144"/>
        <v>43144</v>
      </c>
      <c r="AZ2000" s="6" t="e">
        <f t="shared" si="145"/>
        <v>#DIV/0!</v>
      </c>
      <c r="BA2000" s="4">
        <v>43144</v>
      </c>
      <c r="BB2000" s="6">
        <v>1.1703490000000001</v>
      </c>
      <c r="BC2000" s="6">
        <v>0.66418600000000005</v>
      </c>
      <c r="BD2000" s="6">
        <v>0.20565600000000001</v>
      </c>
      <c r="BE2000" s="6"/>
      <c r="BF2000" s="6"/>
      <c r="BG2000" s="6"/>
      <c r="BH2000" s="6"/>
      <c r="BI2000" s="6"/>
      <c r="BJ2000" s="6"/>
      <c r="BK2000" s="6"/>
      <c r="BL2000" s="6"/>
      <c r="BM2000" s="6"/>
      <c r="BN2000" s="6" t="e">
        <f t="shared" si="147"/>
        <v>#DIV/0!</v>
      </c>
    </row>
    <row r="2001" spans="49:66" x14ac:dyDescent="0.3">
      <c r="AW2001">
        <f t="shared" si="146"/>
        <v>0</v>
      </c>
      <c r="AX2001">
        <v>1998</v>
      </c>
      <c r="AY2001" s="4">
        <f t="shared" si="144"/>
        <v>43145</v>
      </c>
      <c r="AZ2001" s="6" t="e">
        <f t="shared" si="145"/>
        <v>#DIV/0!</v>
      </c>
      <c r="BA2001" s="4">
        <v>43145</v>
      </c>
      <c r="BB2001" s="6">
        <v>0.79603500000000005</v>
      </c>
      <c r="BC2001" s="6">
        <v>0.31173200000000001</v>
      </c>
      <c r="BD2001" s="6">
        <v>0.227663</v>
      </c>
      <c r="BE2001" s="6"/>
      <c r="BF2001" s="6"/>
      <c r="BG2001" s="6"/>
      <c r="BH2001" s="6"/>
      <c r="BI2001" s="6"/>
      <c r="BJ2001" s="6"/>
      <c r="BK2001" s="6"/>
      <c r="BL2001" s="6"/>
      <c r="BM2001" s="6"/>
      <c r="BN2001" s="6" t="e">
        <f t="shared" si="147"/>
        <v>#DIV/0!</v>
      </c>
    </row>
    <row r="2002" spans="49:66" x14ac:dyDescent="0.3">
      <c r="AW2002">
        <f t="shared" si="146"/>
        <v>0</v>
      </c>
      <c r="AX2002">
        <v>1999</v>
      </c>
      <c r="AY2002" s="4">
        <f t="shared" si="144"/>
        <v>43153</v>
      </c>
      <c r="AZ2002" s="6" t="e">
        <f t="shared" si="145"/>
        <v>#DIV/0!</v>
      </c>
      <c r="BA2002" s="4">
        <v>43153</v>
      </c>
      <c r="BB2002" s="6">
        <v>2.1621540000000001</v>
      </c>
      <c r="BC2002" s="6">
        <v>2.1007169999999999</v>
      </c>
      <c r="BD2002" s="6">
        <v>1.8684959999999999</v>
      </c>
      <c r="BE2002" s="6"/>
      <c r="BF2002" s="6"/>
      <c r="BG2002" s="6"/>
      <c r="BH2002" s="6"/>
      <c r="BI2002" s="6"/>
      <c r="BJ2002" s="6"/>
      <c r="BK2002" s="6"/>
      <c r="BL2002" s="6"/>
      <c r="BM2002" s="6"/>
      <c r="BN2002" s="6" t="e">
        <f t="shared" si="147"/>
        <v>#DIV/0!</v>
      </c>
    </row>
    <row r="2003" spans="49:66" x14ac:dyDescent="0.3">
      <c r="AW2003">
        <f t="shared" si="146"/>
        <v>0</v>
      </c>
      <c r="AX2003">
        <v>2000</v>
      </c>
      <c r="AY2003" s="4">
        <f t="shared" si="144"/>
        <v>43154</v>
      </c>
      <c r="AZ2003" s="6" t="e">
        <f t="shared" si="145"/>
        <v>#DIV/0!</v>
      </c>
      <c r="BA2003" s="4">
        <v>43154</v>
      </c>
      <c r="BB2003" s="6">
        <v>0.45292100000000002</v>
      </c>
      <c r="BC2003" s="6">
        <v>0.37355899999999997</v>
      </c>
      <c r="BD2003" s="6">
        <v>0.29673300000000002</v>
      </c>
      <c r="BE2003" s="6"/>
      <c r="BF2003" s="6"/>
      <c r="BG2003" s="6"/>
      <c r="BH2003" s="6"/>
      <c r="BI2003" s="6"/>
      <c r="BJ2003" s="6"/>
      <c r="BK2003" s="6"/>
      <c r="BL2003" s="6"/>
      <c r="BM2003" s="6"/>
      <c r="BN2003" s="6" t="e">
        <f t="shared" si="147"/>
        <v>#DIV/0!</v>
      </c>
    </row>
    <row r="2004" spans="49:66" x14ac:dyDescent="0.3">
      <c r="AW2004">
        <f t="shared" si="146"/>
        <v>0</v>
      </c>
      <c r="AX2004">
        <v>2001</v>
      </c>
      <c r="AY2004" s="4">
        <f t="shared" si="144"/>
        <v>43157</v>
      </c>
      <c r="AZ2004" s="6" t="e">
        <f t="shared" si="145"/>
        <v>#DIV/0!</v>
      </c>
      <c r="BA2004" s="4">
        <v>43157</v>
      </c>
      <c r="BB2004" s="6">
        <v>1.1625810000000001</v>
      </c>
      <c r="BC2004" s="6">
        <v>2.2382200000000001</v>
      </c>
      <c r="BD2004" s="6">
        <v>2.218245</v>
      </c>
      <c r="BE2004" s="6"/>
      <c r="BF2004" s="6"/>
      <c r="BG2004" s="6"/>
      <c r="BH2004" s="6"/>
      <c r="BI2004" s="6"/>
      <c r="BJ2004" s="6"/>
      <c r="BK2004" s="6"/>
      <c r="BL2004" s="6"/>
      <c r="BM2004" s="6"/>
      <c r="BN2004" s="6" t="e">
        <f t="shared" si="147"/>
        <v>#DIV/0!</v>
      </c>
    </row>
    <row r="2005" spans="49:66" x14ac:dyDescent="0.3">
      <c r="AW2005">
        <f t="shared" si="146"/>
        <v>0</v>
      </c>
      <c r="AX2005">
        <v>2002</v>
      </c>
      <c r="AY2005" s="4">
        <f t="shared" si="144"/>
        <v>43158</v>
      </c>
      <c r="AZ2005" s="6" t="e">
        <f t="shared" si="145"/>
        <v>#DIV/0!</v>
      </c>
      <c r="BA2005" s="4">
        <v>43158</v>
      </c>
      <c r="BB2005" s="6">
        <v>-1.4432240000000001</v>
      </c>
      <c r="BC2005" s="6">
        <v>-0.317135</v>
      </c>
      <c r="BD2005" s="6">
        <v>0.34196799999999999</v>
      </c>
      <c r="BE2005" s="6"/>
      <c r="BF2005" s="6"/>
      <c r="BG2005" s="6"/>
      <c r="BH2005" s="6"/>
      <c r="BI2005" s="6"/>
      <c r="BJ2005" s="6"/>
      <c r="BK2005" s="6"/>
      <c r="BL2005" s="6"/>
      <c r="BM2005" s="6"/>
      <c r="BN2005" s="6" t="e">
        <f t="shared" si="147"/>
        <v>#DIV/0!</v>
      </c>
    </row>
    <row r="2006" spans="49:66" x14ac:dyDescent="0.3">
      <c r="AW2006">
        <f t="shared" si="146"/>
        <v>0</v>
      </c>
      <c r="AX2006">
        <v>2003</v>
      </c>
      <c r="AY2006" s="4">
        <f t="shared" si="144"/>
        <v>43159</v>
      </c>
      <c r="AZ2006" s="6" t="e">
        <f t="shared" si="145"/>
        <v>#DIV/0!</v>
      </c>
      <c r="BA2006" s="4">
        <v>43159</v>
      </c>
      <c r="BB2006" s="6">
        <v>-0.87063999999999997</v>
      </c>
      <c r="BC2006" s="6">
        <v>0.218278</v>
      </c>
      <c r="BD2006" s="6">
        <v>0.52726700000000004</v>
      </c>
      <c r="BE2006" s="6"/>
      <c r="BF2006" s="6"/>
      <c r="BG2006" s="6"/>
      <c r="BH2006" s="6"/>
      <c r="BI2006" s="6"/>
      <c r="BJ2006" s="6"/>
      <c r="BK2006" s="6"/>
      <c r="BL2006" s="6"/>
      <c r="BM2006" s="6"/>
      <c r="BN2006" s="6" t="e">
        <f t="shared" si="147"/>
        <v>#DIV/0!</v>
      </c>
    </row>
    <row r="2007" spans="49:66" x14ac:dyDescent="0.3">
      <c r="AW2007">
        <f t="shared" si="146"/>
        <v>0</v>
      </c>
      <c r="AX2007">
        <v>2004</v>
      </c>
      <c r="AY2007" s="4">
        <f t="shared" si="144"/>
        <v>43160</v>
      </c>
      <c r="AZ2007" s="6" t="e">
        <f t="shared" si="145"/>
        <v>#DIV/0!</v>
      </c>
      <c r="BA2007" s="4">
        <v>43160</v>
      </c>
      <c r="BB2007" s="6">
        <v>0.632382</v>
      </c>
      <c r="BC2007" s="6">
        <v>1.1047689999999999</v>
      </c>
      <c r="BD2007" s="6">
        <v>1.4438359999999999</v>
      </c>
      <c r="BE2007" s="6"/>
      <c r="BF2007" s="6"/>
      <c r="BG2007" s="6"/>
      <c r="BH2007" s="6"/>
      <c r="BI2007" s="6"/>
      <c r="BJ2007" s="6"/>
      <c r="BK2007" s="6"/>
      <c r="BL2007" s="6"/>
      <c r="BM2007" s="6"/>
      <c r="BN2007" s="6" t="e">
        <f t="shared" si="147"/>
        <v>#DIV/0!</v>
      </c>
    </row>
    <row r="2008" spans="49:66" x14ac:dyDescent="0.3">
      <c r="AW2008">
        <f t="shared" si="146"/>
        <v>0</v>
      </c>
      <c r="AX2008">
        <v>2005</v>
      </c>
      <c r="AY2008" s="4">
        <f t="shared" si="144"/>
        <v>43161</v>
      </c>
      <c r="AZ2008" s="6" t="e">
        <f t="shared" si="145"/>
        <v>#DIV/0!</v>
      </c>
      <c r="BA2008" s="4">
        <v>43161</v>
      </c>
      <c r="BB2008" s="6">
        <v>-0.80574500000000004</v>
      </c>
      <c r="BC2008" s="6">
        <v>-0.556454</v>
      </c>
      <c r="BD2008" s="6">
        <v>-0.39358100000000001</v>
      </c>
      <c r="BE2008" s="6"/>
      <c r="BF2008" s="6"/>
      <c r="BG2008" s="6"/>
      <c r="BH2008" s="6"/>
      <c r="BI2008" s="6"/>
      <c r="BJ2008" s="6"/>
      <c r="BK2008" s="6"/>
      <c r="BL2008" s="6"/>
      <c r="BM2008" s="6"/>
      <c r="BN2008" s="6" t="e">
        <f t="shared" si="147"/>
        <v>#DIV/0!</v>
      </c>
    </row>
    <row r="2009" spans="49:66" x14ac:dyDescent="0.3">
      <c r="AW2009">
        <f t="shared" si="146"/>
        <v>0</v>
      </c>
      <c r="AX2009">
        <v>2006</v>
      </c>
      <c r="AY2009" s="4">
        <f t="shared" si="144"/>
        <v>43164</v>
      </c>
      <c r="AZ2009" s="6" t="e">
        <f t="shared" si="145"/>
        <v>#DIV/0!</v>
      </c>
      <c r="BA2009" s="4">
        <v>43164</v>
      </c>
      <c r="BB2009" s="6">
        <v>4.0731999999999997E-2</v>
      </c>
      <c r="BC2009" s="6">
        <v>0.12817799999999999</v>
      </c>
      <c r="BD2009" s="6">
        <v>0.63183999999999996</v>
      </c>
      <c r="BE2009" s="6"/>
      <c r="BF2009" s="6"/>
      <c r="BG2009" s="6"/>
      <c r="BH2009" s="6"/>
      <c r="BI2009" s="6"/>
      <c r="BJ2009" s="6"/>
      <c r="BK2009" s="6"/>
      <c r="BL2009" s="6"/>
      <c r="BM2009" s="6"/>
      <c r="BN2009" s="6" t="e">
        <f t="shared" si="147"/>
        <v>#DIV/0!</v>
      </c>
    </row>
    <row r="2010" spans="49:66" x14ac:dyDescent="0.3">
      <c r="AW2010">
        <f t="shared" si="146"/>
        <v>0</v>
      </c>
      <c r="AX2010">
        <v>2007</v>
      </c>
      <c r="AY2010" s="4">
        <f t="shared" si="144"/>
        <v>43165</v>
      </c>
      <c r="AZ2010" s="6" t="e">
        <f t="shared" si="145"/>
        <v>#DIV/0!</v>
      </c>
      <c r="BA2010" s="4">
        <v>43165</v>
      </c>
      <c r="BB2010" s="6">
        <v>1.2062349999999999</v>
      </c>
      <c r="BC2010" s="6">
        <v>1.343621</v>
      </c>
      <c r="BD2010" s="6">
        <v>0.92267699999999997</v>
      </c>
      <c r="BE2010" s="6"/>
      <c r="BF2010" s="6"/>
      <c r="BG2010" s="6"/>
      <c r="BH2010" s="6"/>
      <c r="BI2010" s="6"/>
      <c r="BJ2010" s="6"/>
      <c r="BK2010" s="6"/>
      <c r="BL2010" s="6"/>
      <c r="BM2010" s="6"/>
      <c r="BN2010" s="6" t="e">
        <f t="shared" si="147"/>
        <v>#DIV/0!</v>
      </c>
    </row>
    <row r="2011" spans="49:66" x14ac:dyDescent="0.3">
      <c r="AW2011">
        <f t="shared" si="146"/>
        <v>0</v>
      </c>
      <c r="AX2011">
        <v>2008</v>
      </c>
      <c r="AY2011" s="4">
        <f t="shared" si="144"/>
        <v>43166</v>
      </c>
      <c r="AZ2011" s="6" t="e">
        <f t="shared" si="145"/>
        <v>#DIV/0!</v>
      </c>
      <c r="BA2011" s="4">
        <v>43166</v>
      </c>
      <c r="BB2011" s="6">
        <v>-0.735537</v>
      </c>
      <c r="BC2011" s="6">
        <v>-0.96149499999999999</v>
      </c>
      <c r="BD2011" s="6">
        <v>-0.70242300000000002</v>
      </c>
      <c r="BE2011" s="6"/>
      <c r="BF2011" s="6"/>
      <c r="BG2011" s="6"/>
      <c r="BH2011" s="6"/>
      <c r="BI2011" s="6"/>
      <c r="BJ2011" s="6"/>
      <c r="BK2011" s="6"/>
      <c r="BL2011" s="6"/>
      <c r="BM2011" s="6"/>
      <c r="BN2011" s="6" t="e">
        <f t="shared" si="147"/>
        <v>#DIV/0!</v>
      </c>
    </row>
    <row r="2012" spans="49:66" x14ac:dyDescent="0.3">
      <c r="AW2012">
        <f t="shared" si="146"/>
        <v>0</v>
      </c>
      <c r="AX2012">
        <v>2009</v>
      </c>
      <c r="AY2012" s="4">
        <f t="shared" si="144"/>
        <v>43167</v>
      </c>
      <c r="AZ2012" s="6" t="e">
        <f t="shared" si="145"/>
        <v>#DIV/0!</v>
      </c>
      <c r="BA2012" s="4">
        <v>43167</v>
      </c>
      <c r="BB2012" s="6">
        <v>1.014367</v>
      </c>
      <c r="BC2012" s="6">
        <v>0.73978299999999997</v>
      </c>
      <c r="BD2012" s="6">
        <v>0.54776499999999995</v>
      </c>
      <c r="BE2012" s="6"/>
      <c r="BF2012" s="6"/>
      <c r="BG2012" s="6"/>
      <c r="BH2012" s="6"/>
      <c r="BI2012" s="6"/>
      <c r="BJ2012" s="6"/>
      <c r="BK2012" s="6"/>
      <c r="BL2012" s="6"/>
      <c r="BM2012" s="6"/>
      <c r="BN2012" s="6" t="e">
        <f t="shared" si="147"/>
        <v>#DIV/0!</v>
      </c>
    </row>
    <row r="2013" spans="49:66" x14ac:dyDescent="0.3">
      <c r="AW2013">
        <f t="shared" si="146"/>
        <v>0</v>
      </c>
      <c r="AX2013">
        <v>2010</v>
      </c>
      <c r="AY2013" s="4">
        <f t="shared" si="144"/>
        <v>43168</v>
      </c>
      <c r="AZ2013" s="6" t="e">
        <f t="shared" si="145"/>
        <v>#DIV/0!</v>
      </c>
      <c r="BA2013" s="4">
        <v>43168</v>
      </c>
      <c r="BB2013" s="6">
        <v>0.76675199999999999</v>
      </c>
      <c r="BC2013" s="6">
        <v>1.2307110000000001</v>
      </c>
      <c r="BD2013" s="6">
        <v>1.664547</v>
      </c>
      <c r="BE2013" s="6"/>
      <c r="BF2013" s="6"/>
      <c r="BG2013" s="6"/>
      <c r="BH2013" s="6"/>
      <c r="BI2013" s="6"/>
      <c r="BJ2013" s="6"/>
      <c r="BK2013" s="6"/>
      <c r="BL2013" s="6"/>
      <c r="BM2013" s="6"/>
      <c r="BN2013" s="6" t="e">
        <f t="shared" si="147"/>
        <v>#DIV/0!</v>
      </c>
    </row>
    <row r="2014" spans="49:66" x14ac:dyDescent="0.3">
      <c r="AW2014">
        <f t="shared" si="146"/>
        <v>0</v>
      </c>
      <c r="AX2014">
        <v>2011</v>
      </c>
      <c r="AY2014" s="4">
        <f t="shared" si="144"/>
        <v>43171</v>
      </c>
      <c r="AZ2014" s="6" t="e">
        <f t="shared" si="145"/>
        <v>#DIV/0!</v>
      </c>
      <c r="BA2014" s="4">
        <v>43171</v>
      </c>
      <c r="BB2014" s="6">
        <v>0.45757199999999998</v>
      </c>
      <c r="BC2014" s="6">
        <v>1.4306840000000001</v>
      </c>
      <c r="BD2014" s="6">
        <v>1.613745</v>
      </c>
      <c r="BE2014" s="6"/>
      <c r="BF2014" s="6"/>
      <c r="BG2014" s="6"/>
      <c r="BH2014" s="6"/>
      <c r="BI2014" s="6"/>
      <c r="BJ2014" s="6"/>
      <c r="BK2014" s="6"/>
      <c r="BL2014" s="6"/>
      <c r="BM2014" s="6"/>
      <c r="BN2014" s="6" t="e">
        <f t="shared" si="147"/>
        <v>#DIV/0!</v>
      </c>
    </row>
    <row r="2015" spans="49:66" x14ac:dyDescent="0.3">
      <c r="AW2015">
        <f t="shared" si="146"/>
        <v>0</v>
      </c>
      <c r="AX2015">
        <v>2012</v>
      </c>
      <c r="AY2015" s="4">
        <f t="shared" si="144"/>
        <v>43172</v>
      </c>
      <c r="AZ2015" s="6" t="e">
        <f t="shared" si="145"/>
        <v>#DIV/0!</v>
      </c>
      <c r="BA2015" s="4">
        <v>43172</v>
      </c>
      <c r="BB2015" s="6">
        <v>-0.88216700000000003</v>
      </c>
      <c r="BC2015" s="6">
        <v>-0.66126700000000005</v>
      </c>
      <c r="BD2015" s="6">
        <v>-0.51521700000000004</v>
      </c>
      <c r="BE2015" s="6"/>
      <c r="BF2015" s="6"/>
      <c r="BG2015" s="6"/>
      <c r="BH2015" s="6"/>
      <c r="BI2015" s="6"/>
      <c r="BJ2015" s="6"/>
      <c r="BK2015" s="6"/>
      <c r="BL2015" s="6"/>
      <c r="BM2015" s="6"/>
      <c r="BN2015" s="6" t="e">
        <f t="shared" si="147"/>
        <v>#DIV/0!</v>
      </c>
    </row>
    <row r="2016" spans="49:66" x14ac:dyDescent="0.3">
      <c r="AW2016">
        <f t="shared" si="146"/>
        <v>0</v>
      </c>
      <c r="AX2016">
        <v>2013</v>
      </c>
      <c r="AY2016" s="4">
        <f t="shared" si="144"/>
        <v>43173</v>
      </c>
      <c r="AZ2016" s="6" t="e">
        <f t="shared" si="145"/>
        <v>#DIV/0!</v>
      </c>
      <c r="BA2016" s="4">
        <v>43173</v>
      </c>
      <c r="BB2016" s="6">
        <v>-0.43772899999999998</v>
      </c>
      <c r="BC2016" s="6">
        <v>-1.036572</v>
      </c>
      <c r="BD2016" s="6">
        <v>-1.1116029999999999</v>
      </c>
      <c r="BE2016" s="6"/>
      <c r="BF2016" s="6"/>
      <c r="BG2016" s="6"/>
      <c r="BH2016" s="6"/>
      <c r="BI2016" s="6"/>
      <c r="BJ2016" s="6"/>
      <c r="BK2016" s="6"/>
      <c r="BL2016" s="6"/>
      <c r="BM2016" s="6"/>
      <c r="BN2016" s="6" t="e">
        <f t="shared" si="147"/>
        <v>#DIV/0!</v>
      </c>
    </row>
    <row r="2017" spans="49:66" x14ac:dyDescent="0.3">
      <c r="AW2017">
        <f t="shared" si="146"/>
        <v>0</v>
      </c>
      <c r="AX2017">
        <v>2014</v>
      </c>
      <c r="AY2017" s="4">
        <f t="shared" si="144"/>
        <v>43174</v>
      </c>
      <c r="AZ2017" s="6" t="e">
        <f t="shared" si="145"/>
        <v>#DIV/0!</v>
      </c>
      <c r="BA2017" s="4">
        <v>43174</v>
      </c>
      <c r="BB2017" s="6">
        <v>0.56017799999999995</v>
      </c>
      <c r="BC2017" s="6">
        <v>-0.14874299999999999</v>
      </c>
      <c r="BD2017" s="6">
        <v>-0.157778</v>
      </c>
      <c r="BE2017" s="6"/>
      <c r="BF2017" s="6"/>
      <c r="BG2017" s="6"/>
      <c r="BH2017" s="6"/>
      <c r="BI2017" s="6"/>
      <c r="BJ2017" s="6"/>
      <c r="BK2017" s="6"/>
      <c r="BL2017" s="6"/>
      <c r="BM2017" s="6"/>
      <c r="BN2017" s="6" t="e">
        <f t="shared" si="147"/>
        <v>#DIV/0!</v>
      </c>
    </row>
    <row r="2018" spans="49:66" x14ac:dyDescent="0.3">
      <c r="AW2018">
        <f t="shared" si="146"/>
        <v>0</v>
      </c>
      <c r="AX2018">
        <v>2015</v>
      </c>
      <c r="AY2018" s="4">
        <f t="shared" si="144"/>
        <v>43175</v>
      </c>
      <c r="AZ2018" s="6" t="e">
        <f t="shared" si="145"/>
        <v>#DIV/0!</v>
      </c>
      <c r="BA2018" s="4">
        <v>43175</v>
      </c>
      <c r="BB2018" s="6">
        <v>-0.97017900000000001</v>
      </c>
      <c r="BC2018" s="6">
        <v>-0.54699699999999996</v>
      </c>
      <c r="BD2018" s="6">
        <v>-0.26561800000000002</v>
      </c>
      <c r="BE2018" s="6"/>
      <c r="BF2018" s="6"/>
      <c r="BG2018" s="6"/>
      <c r="BH2018" s="6"/>
      <c r="BI2018" s="6"/>
      <c r="BJ2018" s="6"/>
      <c r="BK2018" s="6"/>
      <c r="BL2018" s="6"/>
      <c r="BM2018" s="6"/>
      <c r="BN2018" s="6" t="e">
        <f t="shared" si="147"/>
        <v>#DIV/0!</v>
      </c>
    </row>
    <row r="2019" spans="49:66" x14ac:dyDescent="0.3">
      <c r="AW2019">
        <f t="shared" si="146"/>
        <v>0</v>
      </c>
      <c r="AX2019">
        <v>2016</v>
      </c>
      <c r="AY2019" s="4">
        <f t="shared" si="144"/>
        <v>43178</v>
      </c>
      <c r="AZ2019" s="6" t="e">
        <f t="shared" si="145"/>
        <v>#DIV/0!</v>
      </c>
      <c r="BA2019" s="4">
        <v>43178</v>
      </c>
      <c r="BB2019" s="6">
        <v>0.43943399999999999</v>
      </c>
      <c r="BC2019" s="6">
        <v>0.12248199999999999</v>
      </c>
      <c r="BD2019" s="6">
        <v>0.214166</v>
      </c>
      <c r="BE2019" s="6"/>
      <c r="BF2019" s="6"/>
      <c r="BG2019" s="6"/>
      <c r="BH2019" s="6"/>
      <c r="BI2019" s="6"/>
      <c r="BJ2019" s="6"/>
      <c r="BK2019" s="6"/>
      <c r="BL2019" s="6"/>
      <c r="BM2019" s="6"/>
      <c r="BN2019" s="6" t="e">
        <f t="shared" si="147"/>
        <v>#DIV/0!</v>
      </c>
    </row>
    <row r="2020" spans="49:66" x14ac:dyDescent="0.3">
      <c r="AW2020">
        <f t="shared" si="146"/>
        <v>0</v>
      </c>
      <c r="AX2020">
        <v>2017</v>
      </c>
      <c r="AY2020" s="4">
        <f t="shared" si="144"/>
        <v>43179</v>
      </c>
      <c r="AZ2020" s="6" t="e">
        <f t="shared" si="145"/>
        <v>#DIV/0!</v>
      </c>
      <c r="BA2020" s="4">
        <v>43179</v>
      </c>
      <c r="BB2020" s="6">
        <v>8.4830000000000003E-2</v>
      </c>
      <c r="BC2020" s="6">
        <v>0.322799</v>
      </c>
      <c r="BD2020" s="6">
        <v>2.5706E-2</v>
      </c>
      <c r="BE2020" s="6"/>
      <c r="BF2020" s="6"/>
      <c r="BG2020" s="6"/>
      <c r="BH2020" s="6"/>
      <c r="BI2020" s="6"/>
      <c r="BJ2020" s="6"/>
      <c r="BK2020" s="6"/>
      <c r="BL2020" s="6"/>
      <c r="BM2020" s="6"/>
      <c r="BN2020" s="6" t="e">
        <f t="shared" si="147"/>
        <v>#DIV/0!</v>
      </c>
    </row>
    <row r="2021" spans="49:66" x14ac:dyDescent="0.3">
      <c r="AW2021">
        <f t="shared" si="146"/>
        <v>0</v>
      </c>
      <c r="AX2021">
        <v>2018</v>
      </c>
      <c r="AY2021" s="4">
        <f t="shared" si="144"/>
        <v>43180</v>
      </c>
      <c r="AZ2021" s="6" t="e">
        <f t="shared" si="145"/>
        <v>#DIV/0!</v>
      </c>
      <c r="BA2021" s="4">
        <v>43180</v>
      </c>
      <c r="BB2021" s="6">
        <v>-0.408414</v>
      </c>
      <c r="BC2021" s="6">
        <v>-0.72070599999999996</v>
      </c>
      <c r="BD2021" s="6">
        <v>-0.75047799999999998</v>
      </c>
      <c r="BE2021" s="6"/>
      <c r="BF2021" s="6"/>
      <c r="BG2021" s="6"/>
      <c r="BH2021" s="6"/>
      <c r="BI2021" s="6"/>
      <c r="BJ2021" s="6"/>
      <c r="BK2021" s="6"/>
      <c r="BL2021" s="6"/>
      <c r="BM2021" s="6"/>
      <c r="BN2021" s="6" t="e">
        <f t="shared" si="147"/>
        <v>#DIV/0!</v>
      </c>
    </row>
    <row r="2022" spans="49:66" x14ac:dyDescent="0.3">
      <c r="AW2022">
        <f t="shared" si="146"/>
        <v>0</v>
      </c>
      <c r="AX2022">
        <v>2019</v>
      </c>
      <c r="AY2022" s="4">
        <f t="shared" si="144"/>
        <v>43181</v>
      </c>
      <c r="AZ2022" s="6" t="e">
        <f t="shared" si="145"/>
        <v>#DIV/0!</v>
      </c>
      <c r="BA2022" s="4">
        <v>43181</v>
      </c>
      <c r="BB2022" s="6">
        <v>-1.0022329999999999</v>
      </c>
      <c r="BC2022" s="6">
        <v>-0.45644800000000002</v>
      </c>
      <c r="BD2022" s="6">
        <v>-9.4011999999999998E-2</v>
      </c>
      <c r="BE2022" s="6"/>
      <c r="BF2022" s="6"/>
      <c r="BG2022" s="6"/>
      <c r="BH2022" s="6"/>
      <c r="BI2022" s="6"/>
      <c r="BJ2022" s="6"/>
      <c r="BK2022" s="6"/>
      <c r="BL2022" s="6"/>
      <c r="BM2022" s="6"/>
      <c r="BN2022" s="6" t="e">
        <f t="shared" si="147"/>
        <v>#DIV/0!</v>
      </c>
    </row>
    <row r="2023" spans="49:66" x14ac:dyDescent="0.3">
      <c r="AW2023">
        <f t="shared" si="146"/>
        <v>0</v>
      </c>
      <c r="AX2023">
        <v>2020</v>
      </c>
      <c r="AY2023" s="4">
        <f t="shared" si="144"/>
        <v>43182</v>
      </c>
      <c r="AZ2023" s="6" t="e">
        <f t="shared" si="145"/>
        <v>#DIV/0!</v>
      </c>
      <c r="BA2023" s="4">
        <v>43182</v>
      </c>
      <c r="BB2023" s="6">
        <v>-2.870733</v>
      </c>
      <c r="BC2023" s="6">
        <v>-5.1477389999999996</v>
      </c>
      <c r="BD2023" s="6">
        <v>-5.3483150000000004</v>
      </c>
      <c r="BE2023" s="6"/>
      <c r="BF2023" s="6"/>
      <c r="BG2023" s="6"/>
      <c r="BH2023" s="6"/>
      <c r="BI2023" s="6"/>
      <c r="BJ2023" s="6"/>
      <c r="BK2023" s="6"/>
      <c r="BL2023" s="6"/>
      <c r="BM2023" s="6"/>
      <c r="BN2023" s="6" t="e">
        <f t="shared" si="147"/>
        <v>#DIV/0!</v>
      </c>
    </row>
    <row r="2024" spans="49:66" x14ac:dyDescent="0.3">
      <c r="AW2024">
        <f t="shared" si="146"/>
        <v>0</v>
      </c>
      <c r="AX2024">
        <v>2021</v>
      </c>
      <c r="AY2024" s="4">
        <f t="shared" si="144"/>
        <v>43185</v>
      </c>
      <c r="AZ2024" s="6" t="e">
        <f t="shared" si="145"/>
        <v>#DIV/0!</v>
      </c>
      <c r="BA2024" s="4">
        <v>43185</v>
      </c>
      <c r="BB2024" s="6">
        <v>-0.64130399999999999</v>
      </c>
      <c r="BC2024" s="6">
        <v>2.001096</v>
      </c>
      <c r="BD2024" s="6">
        <v>1.754799</v>
      </c>
      <c r="BE2024" s="6"/>
      <c r="BF2024" s="6"/>
      <c r="BG2024" s="6"/>
      <c r="BH2024" s="6"/>
      <c r="BI2024" s="6"/>
      <c r="BJ2024" s="6"/>
      <c r="BK2024" s="6"/>
      <c r="BL2024" s="6"/>
      <c r="BM2024" s="6"/>
      <c r="BN2024" s="6" t="e">
        <f t="shared" si="147"/>
        <v>#DIV/0!</v>
      </c>
    </row>
    <row r="2025" spans="49:66" x14ac:dyDescent="0.3">
      <c r="AW2025">
        <f t="shared" si="146"/>
        <v>0</v>
      </c>
      <c r="AX2025">
        <v>2022</v>
      </c>
      <c r="AY2025" s="4">
        <f t="shared" si="144"/>
        <v>43186</v>
      </c>
      <c r="AZ2025" s="6" t="e">
        <f t="shared" si="145"/>
        <v>#DIV/0!</v>
      </c>
      <c r="BA2025" s="4">
        <v>43186</v>
      </c>
      <c r="BB2025" s="6">
        <v>0.86022699999999996</v>
      </c>
      <c r="BC2025" s="6">
        <v>2.233053</v>
      </c>
      <c r="BD2025" s="6">
        <v>2.5416180000000002</v>
      </c>
      <c r="BE2025" s="6"/>
      <c r="BF2025" s="6"/>
      <c r="BG2025" s="6"/>
      <c r="BH2025" s="6"/>
      <c r="BI2025" s="6"/>
      <c r="BJ2025" s="6"/>
      <c r="BK2025" s="6"/>
      <c r="BL2025" s="6"/>
      <c r="BM2025" s="6"/>
      <c r="BN2025" s="6" t="e">
        <f t="shared" si="147"/>
        <v>#DIV/0!</v>
      </c>
    </row>
    <row r="2026" spans="49:66" x14ac:dyDescent="0.3">
      <c r="AW2026">
        <f t="shared" si="146"/>
        <v>0</v>
      </c>
      <c r="AX2026">
        <v>2023</v>
      </c>
      <c r="AY2026" s="4">
        <f t="shared" si="144"/>
        <v>43187</v>
      </c>
      <c r="AZ2026" s="6" t="e">
        <f t="shared" si="145"/>
        <v>#DIV/0!</v>
      </c>
      <c r="BA2026" s="4">
        <v>43187</v>
      </c>
      <c r="BB2026" s="6">
        <v>-1.8029269999999999</v>
      </c>
      <c r="BC2026" s="6">
        <v>-1.0179929999999999</v>
      </c>
      <c r="BD2026" s="6">
        <v>-0.673126</v>
      </c>
      <c r="BE2026" s="6"/>
      <c r="BF2026" s="6"/>
      <c r="BG2026" s="6"/>
      <c r="BH2026" s="6"/>
      <c r="BI2026" s="6"/>
      <c r="BJ2026" s="6"/>
      <c r="BK2026" s="6"/>
      <c r="BL2026" s="6"/>
      <c r="BM2026" s="6"/>
      <c r="BN2026" s="6" t="e">
        <f t="shared" si="147"/>
        <v>#DIV/0!</v>
      </c>
    </row>
    <row r="2027" spans="49:66" x14ac:dyDescent="0.3">
      <c r="AW2027">
        <f t="shared" si="146"/>
        <v>0</v>
      </c>
      <c r="AX2027">
        <v>2024</v>
      </c>
      <c r="AY2027" s="4">
        <f t="shared" si="144"/>
        <v>43188</v>
      </c>
      <c r="AZ2027" s="6" t="e">
        <f t="shared" si="145"/>
        <v>#DIV/0!</v>
      </c>
      <c r="BA2027" s="4">
        <v>43188</v>
      </c>
      <c r="BB2027" s="6">
        <v>1.3358859999999999</v>
      </c>
      <c r="BC2027" s="6">
        <v>1.0298389999999999</v>
      </c>
      <c r="BD2027" s="6">
        <v>0.72940199999999999</v>
      </c>
      <c r="BE2027" s="6"/>
      <c r="BF2027" s="6"/>
      <c r="BG2027" s="6"/>
      <c r="BH2027" s="6"/>
      <c r="BI2027" s="6"/>
      <c r="BJ2027" s="6"/>
      <c r="BK2027" s="6"/>
      <c r="BL2027" s="6"/>
      <c r="BM2027" s="6"/>
      <c r="BN2027" s="6" t="e">
        <f t="shared" si="147"/>
        <v>#DIV/0!</v>
      </c>
    </row>
    <row r="2028" spans="49:66" x14ac:dyDescent="0.3">
      <c r="AW2028">
        <f t="shared" si="146"/>
        <v>0</v>
      </c>
      <c r="AX2028">
        <v>2025</v>
      </c>
      <c r="AY2028" s="4">
        <f t="shared" si="144"/>
        <v>43189</v>
      </c>
      <c r="AZ2028" s="6" t="e">
        <f t="shared" si="145"/>
        <v>#DIV/0!</v>
      </c>
      <c r="BA2028" s="4">
        <v>43189</v>
      </c>
      <c r="BB2028" s="6">
        <v>0.11422300000000001</v>
      </c>
      <c r="BC2028" s="6">
        <v>1.3236600000000001</v>
      </c>
      <c r="BD2028" s="6">
        <v>1.711376</v>
      </c>
      <c r="BE2028" s="6"/>
      <c r="BF2028" s="6"/>
      <c r="BG2028" s="6"/>
      <c r="BH2028" s="6"/>
      <c r="BI2028" s="6"/>
      <c r="BJ2028" s="6"/>
      <c r="BK2028" s="6"/>
      <c r="BL2028" s="6"/>
      <c r="BM2028" s="6"/>
      <c r="BN2028" s="6" t="e">
        <f t="shared" si="147"/>
        <v>#DIV/0!</v>
      </c>
    </row>
    <row r="2029" spans="49:66" x14ac:dyDescent="0.3">
      <c r="AW2029">
        <f t="shared" si="146"/>
        <v>0</v>
      </c>
      <c r="AX2029">
        <v>2026</v>
      </c>
      <c r="AY2029" s="4">
        <f t="shared" si="144"/>
        <v>43192</v>
      </c>
      <c r="AZ2029" s="6" t="e">
        <f t="shared" si="145"/>
        <v>#DIV/0!</v>
      </c>
      <c r="BA2029" s="4">
        <v>43192</v>
      </c>
      <c r="BB2029" s="6">
        <v>-0.29700700000000002</v>
      </c>
      <c r="BC2029" s="6">
        <v>0.118173</v>
      </c>
      <c r="BD2029" s="6">
        <v>0.54725699999999999</v>
      </c>
      <c r="BE2029" s="6"/>
      <c r="BF2029" s="6"/>
      <c r="BG2029" s="6"/>
      <c r="BH2029" s="6"/>
      <c r="BI2029" s="6"/>
      <c r="BJ2029" s="6"/>
      <c r="BK2029" s="6"/>
      <c r="BL2029" s="6"/>
      <c r="BM2029" s="6"/>
      <c r="BN2029" s="6" t="e">
        <f t="shared" si="147"/>
        <v>#DIV/0!</v>
      </c>
    </row>
    <row r="2030" spans="49:66" x14ac:dyDescent="0.3">
      <c r="AW2030">
        <f t="shared" si="146"/>
        <v>0</v>
      </c>
      <c r="AX2030">
        <v>2027</v>
      </c>
      <c r="AY2030" s="4">
        <f t="shared" si="144"/>
        <v>43193</v>
      </c>
      <c r="AZ2030" s="6" t="e">
        <f t="shared" si="145"/>
        <v>#DIV/0!</v>
      </c>
      <c r="BA2030" s="4">
        <v>43193</v>
      </c>
      <c r="BB2030" s="6">
        <v>-0.62875800000000004</v>
      </c>
      <c r="BC2030" s="6">
        <v>-1.0169170000000001</v>
      </c>
      <c r="BD2030" s="6">
        <v>-0.97012600000000004</v>
      </c>
      <c r="BE2030" s="6"/>
      <c r="BF2030" s="6"/>
      <c r="BG2030" s="6"/>
      <c r="BH2030" s="6"/>
      <c r="BI2030" s="6"/>
      <c r="BJ2030" s="6"/>
      <c r="BK2030" s="6"/>
      <c r="BL2030" s="6"/>
      <c r="BM2030" s="6"/>
      <c r="BN2030" s="6" t="e">
        <f t="shared" si="147"/>
        <v>#DIV/0!</v>
      </c>
    </row>
    <row r="2031" spans="49:66" x14ac:dyDescent="0.3">
      <c r="AW2031">
        <f t="shared" si="146"/>
        <v>0</v>
      </c>
      <c r="AX2031">
        <v>2028</v>
      </c>
      <c r="AY2031" s="4">
        <f t="shared" si="144"/>
        <v>43194</v>
      </c>
      <c r="AZ2031" s="6" t="e">
        <f t="shared" si="145"/>
        <v>#DIV/0!</v>
      </c>
      <c r="BA2031" s="4">
        <v>43194</v>
      </c>
      <c r="BB2031" s="6">
        <v>-0.19720799999999999</v>
      </c>
      <c r="BC2031" s="6">
        <v>-0.69347599999999998</v>
      </c>
      <c r="BD2031" s="6">
        <v>-0.89571699999999999</v>
      </c>
      <c r="BE2031" s="6"/>
      <c r="BF2031" s="6"/>
      <c r="BG2031" s="6"/>
      <c r="BH2031" s="6"/>
      <c r="BI2031" s="6"/>
      <c r="BJ2031" s="6"/>
      <c r="BK2031" s="6"/>
      <c r="BL2031" s="6"/>
      <c r="BM2031" s="6"/>
      <c r="BN2031" s="6" t="e">
        <f t="shared" si="147"/>
        <v>#DIV/0!</v>
      </c>
    </row>
    <row r="2032" spans="49:66" x14ac:dyDescent="0.3">
      <c r="AW2032">
        <f t="shared" si="146"/>
        <v>0</v>
      </c>
      <c r="AX2032">
        <v>2029</v>
      </c>
      <c r="AY2032" s="4">
        <f t="shared" si="144"/>
        <v>43199</v>
      </c>
      <c r="AZ2032" s="6" t="e">
        <f t="shared" si="145"/>
        <v>#DIV/0!</v>
      </c>
      <c r="BA2032" s="4">
        <v>43199</v>
      </c>
      <c r="BB2032" s="6">
        <v>-5.0152000000000002E-2</v>
      </c>
      <c r="BC2032" s="6">
        <v>0.132327</v>
      </c>
      <c r="BD2032" s="6">
        <v>0.14499200000000001</v>
      </c>
      <c r="BE2032" s="6"/>
      <c r="BF2032" s="6"/>
      <c r="BG2032" s="6"/>
      <c r="BH2032" s="6"/>
      <c r="BI2032" s="6"/>
      <c r="BJ2032" s="6"/>
      <c r="BK2032" s="6"/>
      <c r="BL2032" s="6"/>
      <c r="BM2032" s="6"/>
      <c r="BN2032" s="6" t="e">
        <f t="shared" si="147"/>
        <v>#DIV/0!</v>
      </c>
    </row>
    <row r="2033" spans="49:66" x14ac:dyDescent="0.3">
      <c r="AW2033">
        <f t="shared" si="146"/>
        <v>0</v>
      </c>
      <c r="AX2033">
        <v>2030</v>
      </c>
      <c r="AY2033" s="4">
        <f t="shared" si="144"/>
        <v>43200</v>
      </c>
      <c r="AZ2033" s="6" t="e">
        <f t="shared" si="145"/>
        <v>#DIV/0!</v>
      </c>
      <c r="BA2033" s="4">
        <v>43200</v>
      </c>
      <c r="BB2033" s="6">
        <v>1.9269419999999999</v>
      </c>
      <c r="BC2033" s="6">
        <v>0.63218099999999999</v>
      </c>
      <c r="BD2033" s="6">
        <v>3.1619000000000001E-2</v>
      </c>
      <c r="BE2033" s="6"/>
      <c r="BF2033" s="6"/>
      <c r="BG2033" s="6"/>
      <c r="BH2033" s="6"/>
      <c r="BI2033" s="6"/>
      <c r="BJ2033" s="6"/>
      <c r="BK2033" s="6"/>
      <c r="BL2033" s="6"/>
      <c r="BM2033" s="6"/>
      <c r="BN2033" s="6" t="e">
        <f t="shared" si="147"/>
        <v>#DIV/0!</v>
      </c>
    </row>
    <row r="2034" spans="49:66" x14ac:dyDescent="0.3">
      <c r="AW2034">
        <f t="shared" si="146"/>
        <v>0</v>
      </c>
      <c r="AX2034">
        <v>2031</v>
      </c>
      <c r="AY2034" s="4">
        <f t="shared" si="144"/>
        <v>43201</v>
      </c>
      <c r="AZ2034" s="6" t="e">
        <f t="shared" si="145"/>
        <v>#DIV/0!</v>
      </c>
      <c r="BA2034" s="4">
        <v>43201</v>
      </c>
      <c r="BB2034" s="6">
        <v>0.284441</v>
      </c>
      <c r="BC2034" s="6">
        <v>0.37716499999999997</v>
      </c>
      <c r="BD2034" s="6">
        <v>0.58085699999999996</v>
      </c>
      <c r="BE2034" s="6"/>
      <c r="BF2034" s="6"/>
      <c r="BG2034" s="6"/>
      <c r="BH2034" s="6"/>
      <c r="BI2034" s="6"/>
      <c r="BJ2034" s="6"/>
      <c r="BK2034" s="6"/>
      <c r="BL2034" s="6"/>
      <c r="BM2034" s="6"/>
      <c r="BN2034" s="6" t="e">
        <f t="shared" si="147"/>
        <v>#DIV/0!</v>
      </c>
    </row>
    <row r="2035" spans="49:66" x14ac:dyDescent="0.3">
      <c r="AW2035">
        <f t="shared" si="146"/>
        <v>0</v>
      </c>
      <c r="AX2035">
        <v>2032</v>
      </c>
      <c r="AY2035" s="4">
        <f t="shared" si="144"/>
        <v>43202</v>
      </c>
      <c r="AZ2035" s="6" t="e">
        <f t="shared" si="145"/>
        <v>#DIV/0!</v>
      </c>
      <c r="BA2035" s="4">
        <v>43202</v>
      </c>
      <c r="BB2035" s="6">
        <v>-1.0082409999999999</v>
      </c>
      <c r="BC2035" s="6">
        <v>-0.5796</v>
      </c>
      <c r="BD2035" s="6">
        <v>-0.475858</v>
      </c>
      <c r="BE2035" s="6"/>
      <c r="BF2035" s="6"/>
      <c r="BG2035" s="6"/>
      <c r="BH2035" s="6"/>
      <c r="BI2035" s="6"/>
      <c r="BJ2035" s="6"/>
      <c r="BK2035" s="6"/>
      <c r="BL2035" s="6"/>
      <c r="BM2035" s="6"/>
      <c r="BN2035" s="6" t="e">
        <f t="shared" si="147"/>
        <v>#DIV/0!</v>
      </c>
    </row>
    <row r="2036" spans="49:66" x14ac:dyDescent="0.3">
      <c r="AW2036">
        <f t="shared" si="146"/>
        <v>0</v>
      </c>
      <c r="AX2036">
        <v>2033</v>
      </c>
      <c r="AY2036" s="4">
        <f t="shared" si="144"/>
        <v>43203</v>
      </c>
      <c r="AZ2036" s="6" t="e">
        <f t="shared" si="145"/>
        <v>#DIV/0!</v>
      </c>
      <c r="BA2036" s="4">
        <v>43203</v>
      </c>
      <c r="BB2036" s="6">
        <v>-0.70514699999999997</v>
      </c>
      <c r="BC2036" s="6">
        <v>-0.39905099999999999</v>
      </c>
      <c r="BD2036" s="6">
        <v>-8.8914000000000007E-2</v>
      </c>
      <c r="BE2036" s="6"/>
      <c r="BF2036" s="6"/>
      <c r="BG2036" s="6"/>
      <c r="BH2036" s="6"/>
      <c r="BI2036" s="6"/>
      <c r="BJ2036" s="6"/>
      <c r="BK2036" s="6"/>
      <c r="BL2036" s="6"/>
      <c r="BM2036" s="6"/>
      <c r="BN2036" s="6" t="e">
        <f t="shared" si="147"/>
        <v>#DIV/0!</v>
      </c>
    </row>
    <row r="2037" spans="49:66" x14ac:dyDescent="0.3">
      <c r="AW2037">
        <f t="shared" si="146"/>
        <v>0</v>
      </c>
      <c r="AX2037">
        <v>2034</v>
      </c>
      <c r="AY2037" s="4">
        <f t="shared" si="144"/>
        <v>43206</v>
      </c>
      <c r="AZ2037" s="6" t="e">
        <f t="shared" si="145"/>
        <v>#DIV/0!</v>
      </c>
      <c r="BA2037" s="4">
        <v>43206</v>
      </c>
      <c r="BB2037" s="6">
        <v>-1.60886</v>
      </c>
      <c r="BC2037" s="6">
        <v>-0.24524499999999999</v>
      </c>
      <c r="BD2037" s="6">
        <v>-5.5518999999999999E-2</v>
      </c>
      <c r="BE2037" s="6"/>
      <c r="BF2037" s="6"/>
      <c r="BG2037" s="6"/>
      <c r="BH2037" s="6"/>
      <c r="BI2037" s="6"/>
      <c r="BJ2037" s="6"/>
      <c r="BK2037" s="6"/>
      <c r="BL2037" s="6"/>
      <c r="BM2037" s="6"/>
      <c r="BN2037" s="6" t="e">
        <f t="shared" si="147"/>
        <v>#DIV/0!</v>
      </c>
    </row>
    <row r="2038" spans="49:66" x14ac:dyDescent="0.3">
      <c r="AW2038">
        <f t="shared" si="146"/>
        <v>0</v>
      </c>
      <c r="AX2038">
        <v>2035</v>
      </c>
      <c r="AY2038" s="4">
        <f t="shared" si="144"/>
        <v>43207</v>
      </c>
      <c r="AZ2038" s="6" t="e">
        <f t="shared" si="145"/>
        <v>#DIV/0!</v>
      </c>
      <c r="BA2038" s="4">
        <v>43207</v>
      </c>
      <c r="BB2038" s="6">
        <v>-1.581097</v>
      </c>
      <c r="BC2038" s="6">
        <v>-2.0216240000000001</v>
      </c>
      <c r="BD2038" s="6">
        <v>-2.2810480000000002</v>
      </c>
      <c r="BE2038" s="6"/>
      <c r="BF2038" s="6"/>
      <c r="BG2038" s="6"/>
      <c r="BH2038" s="6"/>
      <c r="BI2038" s="6"/>
      <c r="BJ2038" s="6"/>
      <c r="BK2038" s="6"/>
      <c r="BL2038" s="6"/>
      <c r="BM2038" s="6"/>
      <c r="BN2038" s="6" t="e">
        <f t="shared" si="147"/>
        <v>#DIV/0!</v>
      </c>
    </row>
    <row r="2039" spans="49:66" x14ac:dyDescent="0.3">
      <c r="AW2039">
        <f t="shared" si="146"/>
        <v>0</v>
      </c>
      <c r="AX2039">
        <v>2036</v>
      </c>
      <c r="AY2039" s="4">
        <f t="shared" si="144"/>
        <v>43208</v>
      </c>
      <c r="AZ2039" s="6" t="e">
        <f t="shared" si="145"/>
        <v>#DIV/0!</v>
      </c>
      <c r="BA2039" s="4">
        <v>43208</v>
      </c>
      <c r="BB2039" s="6">
        <v>0.47059200000000001</v>
      </c>
      <c r="BC2039" s="6">
        <v>1.354652</v>
      </c>
      <c r="BD2039" s="6">
        <v>1.4714989999999999</v>
      </c>
      <c r="BE2039" s="6"/>
      <c r="BF2039" s="6"/>
      <c r="BG2039" s="6"/>
      <c r="BH2039" s="6"/>
      <c r="BI2039" s="6"/>
      <c r="BJ2039" s="6"/>
      <c r="BK2039" s="6"/>
      <c r="BL2039" s="6"/>
      <c r="BM2039" s="6"/>
      <c r="BN2039" s="6" t="e">
        <f t="shared" si="147"/>
        <v>#DIV/0!</v>
      </c>
    </row>
    <row r="2040" spans="49:66" x14ac:dyDescent="0.3">
      <c r="AW2040">
        <f t="shared" si="146"/>
        <v>0</v>
      </c>
      <c r="AX2040">
        <v>2037</v>
      </c>
      <c r="AY2040" s="4">
        <f t="shared" si="144"/>
        <v>43209</v>
      </c>
      <c r="AZ2040" s="6" t="e">
        <f t="shared" si="145"/>
        <v>#DIV/0!</v>
      </c>
      <c r="BA2040" s="4">
        <v>43209</v>
      </c>
      <c r="BB2040" s="6">
        <v>1.209708</v>
      </c>
      <c r="BC2040" s="6">
        <v>0.57071899999999998</v>
      </c>
      <c r="BD2040" s="6">
        <v>0.23717199999999999</v>
      </c>
      <c r="BE2040" s="6"/>
      <c r="BF2040" s="6"/>
      <c r="BG2040" s="6"/>
      <c r="BH2040" s="6"/>
      <c r="BI2040" s="6"/>
      <c r="BJ2040" s="6"/>
      <c r="BK2040" s="6"/>
      <c r="BL2040" s="6"/>
      <c r="BM2040" s="6"/>
      <c r="BN2040" s="6" t="e">
        <f t="shared" si="147"/>
        <v>#DIV/0!</v>
      </c>
    </row>
    <row r="2041" spans="49:66" x14ac:dyDescent="0.3">
      <c r="AW2041">
        <f t="shared" si="146"/>
        <v>0</v>
      </c>
      <c r="AX2041">
        <v>2038</v>
      </c>
      <c r="AY2041" s="4">
        <f t="shared" si="144"/>
        <v>43210</v>
      </c>
      <c r="AZ2041" s="6" t="e">
        <f t="shared" si="145"/>
        <v>#DIV/0!</v>
      </c>
      <c r="BA2041" s="4">
        <v>43210</v>
      </c>
      <c r="BB2041" s="6">
        <v>-1.337639</v>
      </c>
      <c r="BC2041" s="6">
        <v>-2.0633309999999998</v>
      </c>
      <c r="BD2041" s="6">
        <v>-2.1135959999999998</v>
      </c>
      <c r="BE2041" s="6"/>
      <c r="BF2041" s="6"/>
      <c r="BG2041" s="6"/>
      <c r="BH2041" s="6"/>
      <c r="BI2041" s="6"/>
      <c r="BJ2041" s="6"/>
      <c r="BK2041" s="6"/>
      <c r="BL2041" s="6"/>
      <c r="BM2041" s="6"/>
      <c r="BN2041" s="6" t="e">
        <f t="shared" si="147"/>
        <v>#DIV/0!</v>
      </c>
    </row>
    <row r="2042" spans="49:66" x14ac:dyDescent="0.3">
      <c r="AW2042">
        <f t="shared" si="146"/>
        <v>0</v>
      </c>
      <c r="AX2042">
        <v>2039</v>
      </c>
      <c r="AY2042" s="4">
        <f t="shared" si="144"/>
        <v>43213</v>
      </c>
      <c r="AZ2042" s="6" t="e">
        <f t="shared" si="145"/>
        <v>#DIV/0!</v>
      </c>
      <c r="BA2042" s="4">
        <v>43213</v>
      </c>
      <c r="BB2042" s="6">
        <v>0.145483</v>
      </c>
      <c r="BC2042" s="6">
        <v>-0.96781099999999998</v>
      </c>
      <c r="BD2042" s="6">
        <v>-1.0625009999999999</v>
      </c>
      <c r="BE2042" s="6"/>
      <c r="BF2042" s="6"/>
      <c r="BG2042" s="6"/>
      <c r="BH2042" s="6"/>
      <c r="BI2042" s="6"/>
      <c r="BJ2042" s="6"/>
      <c r="BK2042" s="6"/>
      <c r="BL2042" s="6"/>
      <c r="BM2042" s="6"/>
      <c r="BN2042" s="6" t="e">
        <f t="shared" si="147"/>
        <v>#DIV/0!</v>
      </c>
    </row>
    <row r="2043" spans="49:66" x14ac:dyDescent="0.3">
      <c r="AW2043">
        <f t="shared" si="146"/>
        <v>0</v>
      </c>
      <c r="AX2043">
        <v>2040</v>
      </c>
      <c r="AY2043" s="4">
        <f t="shared" si="144"/>
        <v>43214</v>
      </c>
      <c r="AZ2043" s="6" t="e">
        <f t="shared" si="145"/>
        <v>#DIV/0!</v>
      </c>
      <c r="BA2043" s="4">
        <v>43214</v>
      </c>
      <c r="BB2043" s="6">
        <v>2.0487579999999999</v>
      </c>
      <c r="BC2043" s="6">
        <v>2.2883589999999998</v>
      </c>
      <c r="BD2043" s="6">
        <v>2.1660080000000002</v>
      </c>
      <c r="BE2043" s="6"/>
      <c r="BF2043" s="6"/>
      <c r="BG2043" s="6"/>
      <c r="BH2043" s="6"/>
      <c r="BI2043" s="6"/>
      <c r="BJ2043" s="6"/>
      <c r="BK2043" s="6"/>
      <c r="BL2043" s="6"/>
      <c r="BM2043" s="6"/>
      <c r="BN2043" s="6" t="e">
        <f t="shared" si="147"/>
        <v>#DIV/0!</v>
      </c>
    </row>
    <row r="2044" spans="49:66" x14ac:dyDescent="0.3">
      <c r="AW2044">
        <f t="shared" si="146"/>
        <v>0</v>
      </c>
      <c r="AX2044">
        <v>2041</v>
      </c>
      <c r="AY2044" s="4">
        <f t="shared" si="144"/>
        <v>43215</v>
      </c>
      <c r="AZ2044" s="6" t="e">
        <f t="shared" si="145"/>
        <v>#DIV/0!</v>
      </c>
      <c r="BA2044" s="4">
        <v>43215</v>
      </c>
      <c r="BB2044" s="6">
        <v>-0.38473099999999999</v>
      </c>
      <c r="BC2044" s="6">
        <v>3.7421999999999997E-2</v>
      </c>
      <c r="BD2044" s="6">
        <v>0.38499</v>
      </c>
      <c r="BE2044" s="6"/>
      <c r="BF2044" s="6"/>
      <c r="BG2044" s="6"/>
      <c r="BH2044" s="6"/>
      <c r="BI2044" s="6"/>
      <c r="BJ2044" s="6"/>
      <c r="BK2044" s="6"/>
      <c r="BL2044" s="6"/>
      <c r="BM2044" s="6"/>
      <c r="BN2044" s="6" t="e">
        <f t="shared" si="147"/>
        <v>#DIV/0!</v>
      </c>
    </row>
    <row r="2045" spans="49:66" x14ac:dyDescent="0.3">
      <c r="AW2045">
        <f t="shared" si="146"/>
        <v>0</v>
      </c>
      <c r="AX2045">
        <v>2042</v>
      </c>
      <c r="AY2045" s="4">
        <f t="shared" si="144"/>
        <v>43216</v>
      </c>
      <c r="AZ2045" s="6" t="e">
        <f t="shared" si="145"/>
        <v>#DIV/0!</v>
      </c>
      <c r="BA2045" s="4">
        <v>43216</v>
      </c>
      <c r="BB2045" s="6">
        <v>-1.912069</v>
      </c>
      <c r="BC2045" s="6">
        <v>-1.870071</v>
      </c>
      <c r="BD2045" s="6">
        <v>-1.831785</v>
      </c>
      <c r="BE2045" s="6"/>
      <c r="BF2045" s="6"/>
      <c r="BG2045" s="6"/>
      <c r="BH2045" s="6"/>
      <c r="BI2045" s="6"/>
      <c r="BJ2045" s="6"/>
      <c r="BK2045" s="6"/>
      <c r="BL2045" s="6"/>
      <c r="BM2045" s="6"/>
      <c r="BN2045" s="6" t="e">
        <f t="shared" si="147"/>
        <v>#DIV/0!</v>
      </c>
    </row>
    <row r="2046" spans="49:66" x14ac:dyDescent="0.3">
      <c r="AW2046">
        <f t="shared" si="146"/>
        <v>0</v>
      </c>
      <c r="AX2046">
        <v>2043</v>
      </c>
      <c r="AY2046" s="4">
        <f t="shared" si="144"/>
        <v>43217</v>
      </c>
      <c r="AZ2046" s="6" t="e">
        <f t="shared" si="145"/>
        <v>#DIV/0!</v>
      </c>
      <c r="BA2046" s="4">
        <v>43217</v>
      </c>
      <c r="BB2046" s="6">
        <v>3.6810000000000002E-2</v>
      </c>
      <c r="BC2046" s="6">
        <v>0.22241900000000001</v>
      </c>
      <c r="BD2046" s="6">
        <v>0.10014199999999999</v>
      </c>
      <c r="BE2046" s="6"/>
      <c r="BF2046" s="6"/>
      <c r="BG2046" s="6"/>
      <c r="BH2046" s="6"/>
      <c r="BI2046" s="6"/>
      <c r="BJ2046" s="6"/>
      <c r="BK2046" s="6"/>
      <c r="BL2046" s="6"/>
      <c r="BM2046" s="6"/>
      <c r="BN2046" s="6" t="e">
        <f t="shared" si="147"/>
        <v>#DIV/0!</v>
      </c>
    </row>
    <row r="2047" spans="49:66" x14ac:dyDescent="0.3">
      <c r="AW2047">
        <f t="shared" si="146"/>
        <v>0</v>
      </c>
      <c r="AX2047">
        <v>2044</v>
      </c>
      <c r="AY2047" s="4">
        <f t="shared" si="144"/>
        <v>43222</v>
      </c>
      <c r="AZ2047" s="6" t="e">
        <f t="shared" si="145"/>
        <v>#DIV/0!</v>
      </c>
      <c r="BA2047" s="4">
        <v>43222</v>
      </c>
      <c r="BB2047" s="6">
        <v>0.18019199999999999</v>
      </c>
      <c r="BC2047" s="6">
        <v>-9.6575999999999995E-2</v>
      </c>
      <c r="BD2047" s="6">
        <v>-0.46400999999999998</v>
      </c>
      <c r="BE2047" s="6"/>
      <c r="BF2047" s="6"/>
      <c r="BG2047" s="6"/>
      <c r="BH2047" s="6"/>
      <c r="BI2047" s="6"/>
      <c r="BJ2047" s="6"/>
      <c r="BK2047" s="6"/>
      <c r="BL2047" s="6"/>
      <c r="BM2047" s="6"/>
      <c r="BN2047" s="6" t="e">
        <f t="shared" si="147"/>
        <v>#DIV/0!</v>
      </c>
    </row>
    <row r="2048" spans="49:66" x14ac:dyDescent="0.3">
      <c r="AW2048">
        <f t="shared" si="146"/>
        <v>0</v>
      </c>
      <c r="AX2048">
        <v>2045</v>
      </c>
      <c r="AY2048" s="4">
        <f t="shared" si="144"/>
        <v>43223</v>
      </c>
      <c r="AZ2048" s="6" t="e">
        <f t="shared" si="145"/>
        <v>#DIV/0!</v>
      </c>
      <c r="BA2048" s="4">
        <v>43223</v>
      </c>
      <c r="BB2048" s="6">
        <v>0.77993500000000004</v>
      </c>
      <c r="BC2048" s="6">
        <v>0.94414100000000001</v>
      </c>
      <c r="BD2048" s="6">
        <v>0.90120999999999996</v>
      </c>
      <c r="BE2048" s="6"/>
      <c r="BF2048" s="6"/>
      <c r="BG2048" s="6"/>
      <c r="BH2048" s="6"/>
      <c r="BI2048" s="6"/>
      <c r="BJ2048" s="6"/>
      <c r="BK2048" s="6"/>
      <c r="BL2048" s="6"/>
      <c r="BM2048" s="6"/>
      <c r="BN2048" s="6" t="e">
        <f t="shared" si="147"/>
        <v>#DIV/0!</v>
      </c>
    </row>
    <row r="2049" spans="49:66" x14ac:dyDescent="0.3">
      <c r="AW2049">
        <f t="shared" si="146"/>
        <v>0</v>
      </c>
      <c r="AX2049">
        <v>2046</v>
      </c>
      <c r="AY2049" s="4">
        <f t="shared" si="144"/>
        <v>43224</v>
      </c>
      <c r="AZ2049" s="6" t="e">
        <f t="shared" si="145"/>
        <v>#DIV/0!</v>
      </c>
      <c r="BA2049" s="4">
        <v>43224</v>
      </c>
      <c r="BB2049" s="6">
        <v>-0.485157</v>
      </c>
      <c r="BC2049" s="6">
        <v>-2.2186999999999998E-2</v>
      </c>
      <c r="BD2049" s="6">
        <v>-0.21360899999999999</v>
      </c>
      <c r="BE2049" s="6"/>
      <c r="BF2049" s="6"/>
      <c r="BG2049" s="6"/>
      <c r="BH2049" s="6"/>
      <c r="BI2049" s="6"/>
      <c r="BJ2049" s="6"/>
      <c r="BK2049" s="6"/>
      <c r="BL2049" s="6"/>
      <c r="BM2049" s="6"/>
      <c r="BN2049" s="6" t="e">
        <f t="shared" si="147"/>
        <v>#DIV/0!</v>
      </c>
    </row>
    <row r="2050" spans="49:66" x14ac:dyDescent="0.3">
      <c r="AW2050">
        <f t="shared" si="146"/>
        <v>0</v>
      </c>
      <c r="AX2050">
        <v>2047</v>
      </c>
      <c r="AY2050" s="4">
        <f t="shared" si="144"/>
        <v>43227</v>
      </c>
      <c r="AZ2050" s="6" t="e">
        <f t="shared" si="145"/>
        <v>#DIV/0!</v>
      </c>
      <c r="BA2050" s="4">
        <v>43227</v>
      </c>
      <c r="BB2050" s="6">
        <v>1.5787009999999999</v>
      </c>
      <c r="BC2050" s="6">
        <v>1.8588769999999999</v>
      </c>
      <c r="BD2050" s="6">
        <v>1.765209</v>
      </c>
      <c r="BE2050" s="6"/>
      <c r="BF2050" s="6"/>
      <c r="BG2050" s="6"/>
      <c r="BH2050" s="6"/>
      <c r="BI2050" s="6"/>
      <c r="BJ2050" s="6"/>
      <c r="BK2050" s="6"/>
      <c r="BL2050" s="6"/>
      <c r="BM2050" s="6"/>
      <c r="BN2050" s="6" t="e">
        <f t="shared" si="147"/>
        <v>#DIV/0!</v>
      </c>
    </row>
    <row r="2051" spans="49:66" x14ac:dyDescent="0.3">
      <c r="AW2051">
        <f t="shared" si="146"/>
        <v>0</v>
      </c>
      <c r="AX2051">
        <v>2048</v>
      </c>
      <c r="AY2051" s="4">
        <f t="shared" si="144"/>
        <v>43228</v>
      </c>
      <c r="AZ2051" s="6" t="e">
        <f t="shared" si="145"/>
        <v>#DIV/0!</v>
      </c>
      <c r="BA2051" s="4">
        <v>43228</v>
      </c>
      <c r="BB2051" s="6">
        <v>1.1603239999999999</v>
      </c>
      <c r="BC2051" s="6">
        <v>0.37668800000000002</v>
      </c>
      <c r="BD2051" s="6">
        <v>0.47484399999999999</v>
      </c>
      <c r="BE2051" s="6"/>
      <c r="BF2051" s="6"/>
      <c r="BG2051" s="6"/>
      <c r="BH2051" s="6"/>
      <c r="BI2051" s="6"/>
      <c r="BJ2051" s="6"/>
      <c r="BK2051" s="6"/>
      <c r="BL2051" s="6"/>
      <c r="BM2051" s="6"/>
      <c r="BN2051" s="6" t="e">
        <f t="shared" si="147"/>
        <v>#DIV/0!</v>
      </c>
    </row>
    <row r="2052" spans="49:66" x14ac:dyDescent="0.3">
      <c r="AW2052">
        <f t="shared" si="146"/>
        <v>0</v>
      </c>
      <c r="AX2052">
        <v>2049</v>
      </c>
      <c r="AY2052" s="4">
        <f t="shared" si="144"/>
        <v>43229</v>
      </c>
      <c r="AZ2052" s="6" t="e">
        <f t="shared" si="145"/>
        <v>#DIV/0!</v>
      </c>
      <c r="BA2052" s="4">
        <v>43229</v>
      </c>
      <c r="BB2052" s="6">
        <v>-0.18206</v>
      </c>
      <c r="BC2052" s="6">
        <v>-0.20823900000000001</v>
      </c>
      <c r="BD2052" s="6">
        <v>-4.8446000000000003E-2</v>
      </c>
      <c r="BE2052" s="6"/>
      <c r="BF2052" s="6"/>
      <c r="BG2052" s="6"/>
      <c r="BH2052" s="6"/>
      <c r="BI2052" s="6"/>
      <c r="BJ2052" s="6"/>
      <c r="BK2052" s="6"/>
      <c r="BL2052" s="6"/>
      <c r="BM2052" s="6"/>
      <c r="BN2052" s="6" t="e">
        <f t="shared" si="147"/>
        <v>#DIV/0!</v>
      </c>
    </row>
    <row r="2053" spans="49:66" x14ac:dyDescent="0.3">
      <c r="AW2053">
        <f t="shared" si="146"/>
        <v>0</v>
      </c>
      <c r="AX2053">
        <v>2050</v>
      </c>
      <c r="AY2053" s="4">
        <f t="shared" ref="AY2053:AY2116" si="148">BA2053</f>
        <v>43230</v>
      </c>
      <c r="AZ2053" s="6" t="e">
        <f t="shared" ref="AZ2053:AZ2116" si="149">BN2053</f>
        <v>#DIV/0!</v>
      </c>
      <c r="BA2053" s="4">
        <v>43230</v>
      </c>
      <c r="BB2053" s="6">
        <v>0.55380799999999997</v>
      </c>
      <c r="BC2053" s="6">
        <v>0.18806200000000001</v>
      </c>
      <c r="BD2053" s="6">
        <v>0.42399999999999999</v>
      </c>
      <c r="BE2053" s="6"/>
      <c r="BF2053" s="6"/>
      <c r="BG2053" s="6"/>
      <c r="BH2053" s="6"/>
      <c r="BI2053" s="6"/>
      <c r="BJ2053" s="6"/>
      <c r="BK2053" s="6"/>
      <c r="BL2053" s="6"/>
      <c r="BM2053" s="6"/>
      <c r="BN2053" s="6" t="e">
        <f t="shared" si="147"/>
        <v>#DIV/0!</v>
      </c>
    </row>
    <row r="2054" spans="49:66" x14ac:dyDescent="0.3">
      <c r="AW2054">
        <f t="shared" ref="AW2054:AW2117" si="150">IF(AY2054&lt;=AY2053,1,0)</f>
        <v>0</v>
      </c>
      <c r="AX2054">
        <v>2051</v>
      </c>
      <c r="AY2054" s="4">
        <f t="shared" si="148"/>
        <v>43231</v>
      </c>
      <c r="AZ2054" s="6" t="e">
        <f t="shared" si="149"/>
        <v>#DIV/0!</v>
      </c>
      <c r="BA2054" s="4">
        <v>43231</v>
      </c>
      <c r="BB2054" s="6">
        <v>-0.51934000000000002</v>
      </c>
      <c r="BC2054" s="6">
        <v>-0.81497600000000003</v>
      </c>
      <c r="BD2054" s="6">
        <v>-0.991232</v>
      </c>
      <c r="BE2054" s="6"/>
      <c r="BF2054" s="6"/>
      <c r="BG2054" s="6"/>
      <c r="BH2054" s="6"/>
      <c r="BI2054" s="6"/>
      <c r="BJ2054" s="6"/>
      <c r="BK2054" s="6"/>
      <c r="BL2054" s="6"/>
      <c r="BM2054" s="6"/>
      <c r="BN2054" s="6" t="e">
        <f t="shared" ref="BN2054:BN2096" si="151">(BM2054/BM2053-1)*100</f>
        <v>#DIV/0!</v>
      </c>
    </row>
    <row r="2055" spans="49:66" x14ac:dyDescent="0.3">
      <c r="AW2055">
        <f t="shared" si="150"/>
        <v>0</v>
      </c>
      <c r="AX2055">
        <v>2052</v>
      </c>
      <c r="AY2055" s="4">
        <f t="shared" si="148"/>
        <v>43234</v>
      </c>
      <c r="AZ2055" s="6" t="e">
        <f t="shared" si="149"/>
        <v>#DIV/0!</v>
      </c>
      <c r="BA2055" s="4">
        <v>43234</v>
      </c>
      <c r="BB2055" s="6">
        <v>0.941299</v>
      </c>
      <c r="BC2055" s="6">
        <v>-0.39704499999999998</v>
      </c>
      <c r="BD2055" s="6">
        <v>-0.67858799999999997</v>
      </c>
      <c r="BE2055" s="6"/>
      <c r="BF2055" s="6"/>
      <c r="BG2055" s="6"/>
      <c r="BH2055" s="6"/>
      <c r="BI2055" s="6"/>
      <c r="BJ2055" s="6"/>
      <c r="BK2055" s="6"/>
      <c r="BL2055" s="6"/>
      <c r="BM2055" s="6"/>
      <c r="BN2055" s="6" t="e">
        <f t="shared" si="151"/>
        <v>#DIV/0!</v>
      </c>
    </row>
    <row r="2056" spans="49:66" x14ac:dyDescent="0.3">
      <c r="AW2056">
        <f t="shared" si="150"/>
        <v>0</v>
      </c>
      <c r="AX2056">
        <v>2053</v>
      </c>
      <c r="AY2056" s="4">
        <f t="shared" si="148"/>
        <v>43235</v>
      </c>
      <c r="AZ2056" s="6" t="e">
        <f t="shared" si="149"/>
        <v>#DIV/0!</v>
      </c>
      <c r="BA2056" s="4">
        <v>43235</v>
      </c>
      <c r="BB2056" s="6">
        <v>0.37869199999999997</v>
      </c>
      <c r="BC2056" s="6">
        <v>0.88839699999999999</v>
      </c>
      <c r="BD2056" s="6">
        <v>1.0528120000000001</v>
      </c>
      <c r="BE2056" s="6"/>
      <c r="BF2056" s="6"/>
      <c r="BG2056" s="6"/>
      <c r="BH2056" s="6"/>
      <c r="BI2056" s="6"/>
      <c r="BJ2056" s="6"/>
      <c r="BK2056" s="6"/>
      <c r="BL2056" s="6"/>
      <c r="BM2056" s="6"/>
      <c r="BN2056" s="6" t="e">
        <f t="shared" si="151"/>
        <v>#DIV/0!</v>
      </c>
    </row>
    <row r="2057" spans="49:66" x14ac:dyDescent="0.3">
      <c r="AW2057">
        <f t="shared" si="150"/>
        <v>0</v>
      </c>
      <c r="AX2057">
        <v>2054</v>
      </c>
      <c r="AY2057" s="4">
        <f t="shared" si="148"/>
        <v>43236</v>
      </c>
      <c r="AZ2057" s="6" t="e">
        <f t="shared" si="149"/>
        <v>#DIV/0!</v>
      </c>
      <c r="BA2057" s="4">
        <v>43236</v>
      </c>
      <c r="BB2057" s="6">
        <v>-0.79644599999999999</v>
      </c>
      <c r="BC2057" s="6">
        <v>-0.27406199999999997</v>
      </c>
      <c r="BD2057" s="6">
        <v>-0.57779100000000005</v>
      </c>
      <c r="BE2057" s="6"/>
      <c r="BF2057" s="6"/>
      <c r="BG2057" s="6"/>
      <c r="BH2057" s="6"/>
      <c r="BI2057" s="6"/>
      <c r="BJ2057" s="6"/>
      <c r="BK2057" s="6"/>
      <c r="BL2057" s="6"/>
      <c r="BM2057" s="6"/>
      <c r="BN2057" s="6" t="e">
        <f t="shared" si="151"/>
        <v>#DIV/0!</v>
      </c>
    </row>
    <row r="2058" spans="49:66" x14ac:dyDescent="0.3">
      <c r="AW2058">
        <f t="shared" si="150"/>
        <v>0</v>
      </c>
      <c r="AX2058">
        <v>2055</v>
      </c>
      <c r="AY2058" s="4">
        <f t="shared" si="148"/>
        <v>43237</v>
      </c>
      <c r="AZ2058" s="6" t="e">
        <f t="shared" si="149"/>
        <v>#DIV/0!</v>
      </c>
      <c r="BA2058" s="4">
        <v>43237</v>
      </c>
      <c r="BB2058" s="6">
        <v>-0.73965199999999998</v>
      </c>
      <c r="BC2058" s="6">
        <v>-0.50450899999999999</v>
      </c>
      <c r="BD2058" s="6">
        <v>-0.47392600000000001</v>
      </c>
      <c r="BE2058" s="6"/>
      <c r="BF2058" s="6"/>
      <c r="BG2058" s="6"/>
      <c r="BH2058" s="6"/>
      <c r="BI2058" s="6"/>
      <c r="BJ2058" s="6"/>
      <c r="BK2058" s="6"/>
      <c r="BL2058" s="6"/>
      <c r="BM2058" s="6"/>
      <c r="BN2058" s="6" t="e">
        <f t="shared" si="151"/>
        <v>#DIV/0!</v>
      </c>
    </row>
    <row r="2059" spans="49:66" x14ac:dyDescent="0.3">
      <c r="AW2059">
        <f t="shared" si="150"/>
        <v>0</v>
      </c>
      <c r="AX2059">
        <v>2056</v>
      </c>
      <c r="AY2059" s="4">
        <f t="shared" si="148"/>
        <v>43238</v>
      </c>
      <c r="AZ2059" s="6" t="e">
        <f t="shared" si="149"/>
        <v>#DIV/0!</v>
      </c>
      <c r="BA2059" s="4">
        <v>43238</v>
      </c>
      <c r="BB2059" s="6">
        <v>1.0096400000000001</v>
      </c>
      <c r="BC2059" s="6">
        <v>0.35775000000000001</v>
      </c>
      <c r="BD2059" s="6">
        <v>0.44786199999999998</v>
      </c>
      <c r="BE2059" s="6"/>
      <c r="BF2059" s="6"/>
      <c r="BG2059" s="6"/>
      <c r="BH2059" s="6"/>
      <c r="BI2059" s="6"/>
      <c r="BJ2059" s="6"/>
      <c r="BK2059" s="6"/>
      <c r="BL2059" s="6"/>
      <c r="BM2059" s="6"/>
      <c r="BN2059" s="6" t="e">
        <f t="shared" si="151"/>
        <v>#DIV/0!</v>
      </c>
    </row>
    <row r="2060" spans="49:66" x14ac:dyDescent="0.3">
      <c r="AW2060">
        <f t="shared" si="150"/>
        <v>0</v>
      </c>
      <c r="AX2060">
        <v>2057</v>
      </c>
      <c r="AY2060" s="4">
        <f t="shared" si="148"/>
        <v>43241</v>
      </c>
      <c r="AZ2060" s="6" t="e">
        <f t="shared" si="149"/>
        <v>#DIV/0!</v>
      </c>
      <c r="BA2060" s="4">
        <v>43241</v>
      </c>
      <c r="BB2060" s="6">
        <v>0.46574700000000002</v>
      </c>
      <c r="BC2060" s="6">
        <v>1.285196</v>
      </c>
      <c r="BD2060" s="6">
        <v>1.153483</v>
      </c>
      <c r="BE2060" s="6"/>
      <c r="BF2060" s="6"/>
      <c r="BG2060" s="6"/>
      <c r="BH2060" s="6"/>
      <c r="BI2060" s="6"/>
      <c r="BJ2060" s="6"/>
      <c r="BK2060" s="6"/>
      <c r="BL2060" s="6"/>
      <c r="BM2060" s="6"/>
      <c r="BN2060" s="6" t="e">
        <f t="shared" si="151"/>
        <v>#DIV/0!</v>
      </c>
    </row>
    <row r="2061" spans="49:66" x14ac:dyDescent="0.3">
      <c r="AW2061">
        <f t="shared" si="150"/>
        <v>0</v>
      </c>
      <c r="AX2061">
        <v>2058</v>
      </c>
      <c r="AY2061" s="4">
        <f t="shared" si="148"/>
        <v>43242</v>
      </c>
      <c r="AZ2061" s="6" t="e">
        <f t="shared" si="149"/>
        <v>#DIV/0!</v>
      </c>
      <c r="BA2061" s="4">
        <v>43242</v>
      </c>
      <c r="BB2061" s="6">
        <v>-0.38339899999999999</v>
      </c>
      <c r="BC2061" s="6">
        <v>0.341026</v>
      </c>
      <c r="BD2061" s="6">
        <v>0.40695300000000001</v>
      </c>
      <c r="BE2061" s="6"/>
      <c r="BF2061" s="6"/>
      <c r="BG2061" s="6"/>
      <c r="BH2061" s="6"/>
      <c r="BI2061" s="6"/>
      <c r="BJ2061" s="6"/>
      <c r="BK2061" s="6"/>
      <c r="BL2061" s="6"/>
      <c r="BM2061" s="6"/>
      <c r="BN2061" s="6" t="e">
        <f t="shared" si="151"/>
        <v>#DIV/0!</v>
      </c>
    </row>
    <row r="2062" spans="49:66" x14ac:dyDescent="0.3">
      <c r="AW2062">
        <f t="shared" si="150"/>
        <v>0</v>
      </c>
      <c r="AX2062">
        <v>2059</v>
      </c>
      <c r="AY2062" s="4">
        <f t="shared" si="148"/>
        <v>43243</v>
      </c>
      <c r="AZ2062" s="6" t="e">
        <f t="shared" si="149"/>
        <v>#DIV/0!</v>
      </c>
      <c r="BA2062" s="4">
        <v>43243</v>
      </c>
      <c r="BB2062" s="6">
        <v>-1.3216300000000001</v>
      </c>
      <c r="BC2062" s="6">
        <v>-1.297569</v>
      </c>
      <c r="BD2062" s="6">
        <v>-1.0723039999999999</v>
      </c>
      <c r="BE2062" s="6"/>
      <c r="BF2062" s="6"/>
      <c r="BG2062" s="6"/>
      <c r="BH2062" s="6"/>
      <c r="BI2062" s="6"/>
      <c r="BJ2062" s="6"/>
      <c r="BK2062" s="6"/>
      <c r="BL2062" s="6"/>
      <c r="BM2062" s="6"/>
      <c r="BN2062" s="6" t="e">
        <f t="shared" si="151"/>
        <v>#DIV/0!</v>
      </c>
    </row>
    <row r="2063" spans="49:66" x14ac:dyDescent="0.3">
      <c r="AW2063">
        <f t="shared" si="150"/>
        <v>0</v>
      </c>
      <c r="AX2063">
        <v>2060</v>
      </c>
      <c r="AY2063" s="4">
        <f t="shared" si="148"/>
        <v>43244</v>
      </c>
      <c r="AZ2063" s="6" t="e">
        <f t="shared" si="149"/>
        <v>#DIV/0!</v>
      </c>
      <c r="BA2063" s="4">
        <v>43244</v>
      </c>
      <c r="BB2063" s="6">
        <v>-0.70994699999999999</v>
      </c>
      <c r="BC2063" s="6">
        <v>-0.35295700000000002</v>
      </c>
      <c r="BD2063" s="6">
        <v>-0.35762100000000002</v>
      </c>
      <c r="BE2063" s="6"/>
      <c r="BF2063" s="6"/>
      <c r="BG2063" s="6"/>
      <c r="BH2063" s="6"/>
      <c r="BI2063" s="6"/>
      <c r="BJ2063" s="6"/>
      <c r="BK2063" s="6"/>
      <c r="BL2063" s="6"/>
      <c r="BM2063" s="6"/>
      <c r="BN2063" s="6" t="e">
        <f t="shared" si="151"/>
        <v>#DIV/0!</v>
      </c>
    </row>
    <row r="2064" spans="49:66" x14ac:dyDescent="0.3">
      <c r="AW2064">
        <f t="shared" si="150"/>
        <v>0</v>
      </c>
      <c r="AX2064">
        <v>2061</v>
      </c>
      <c r="AY2064" s="4">
        <f t="shared" si="148"/>
        <v>43245</v>
      </c>
      <c r="AZ2064" s="6" t="e">
        <f t="shared" si="149"/>
        <v>#DIV/0!</v>
      </c>
      <c r="BA2064" s="4">
        <v>43245</v>
      </c>
      <c r="BB2064" s="6">
        <v>-0.28007300000000002</v>
      </c>
      <c r="BC2064" s="6">
        <v>-1.2485869999999999</v>
      </c>
      <c r="BD2064" s="6">
        <v>-1.3133090000000001</v>
      </c>
      <c r="BE2064" s="6"/>
      <c r="BF2064" s="6"/>
      <c r="BG2064" s="6"/>
      <c r="BH2064" s="6"/>
      <c r="BI2064" s="6"/>
      <c r="BJ2064" s="6"/>
      <c r="BK2064" s="6"/>
      <c r="BL2064" s="6"/>
      <c r="BM2064" s="6"/>
      <c r="BN2064" s="6" t="e">
        <f t="shared" si="151"/>
        <v>#DIV/0!</v>
      </c>
    </row>
    <row r="2065" spans="49:66" x14ac:dyDescent="0.3">
      <c r="AW2065">
        <f t="shared" si="150"/>
        <v>0</v>
      </c>
      <c r="AX2065">
        <v>2062</v>
      </c>
      <c r="AY2065" s="4">
        <f t="shared" si="148"/>
        <v>43248</v>
      </c>
      <c r="AZ2065" s="6" t="e">
        <f t="shared" si="149"/>
        <v>#DIV/0!</v>
      </c>
      <c r="BA2065" s="4">
        <v>43248</v>
      </c>
      <c r="BB2065" s="6">
        <v>0.43919599999999998</v>
      </c>
      <c r="BC2065" s="6">
        <v>-0.44839499999999999</v>
      </c>
      <c r="BD2065" s="6">
        <v>-0.78032999999999997</v>
      </c>
      <c r="BE2065" s="6"/>
      <c r="BF2065" s="6"/>
      <c r="BG2065" s="6"/>
      <c r="BH2065" s="6"/>
      <c r="BI2065" s="6"/>
      <c r="BJ2065" s="6"/>
      <c r="BK2065" s="6"/>
      <c r="BL2065" s="6"/>
      <c r="BM2065" s="6"/>
      <c r="BN2065" s="6" t="e">
        <f t="shared" si="151"/>
        <v>#DIV/0!</v>
      </c>
    </row>
    <row r="2066" spans="49:66" x14ac:dyDescent="0.3">
      <c r="AW2066">
        <f t="shared" si="150"/>
        <v>0</v>
      </c>
      <c r="AX2066">
        <v>2063</v>
      </c>
      <c r="AY2066" s="4">
        <f t="shared" si="148"/>
        <v>43249</v>
      </c>
      <c r="AZ2066" s="6" t="e">
        <f t="shared" si="149"/>
        <v>#DIV/0!</v>
      </c>
      <c r="BA2066" s="4">
        <v>43249</v>
      </c>
      <c r="BB2066" s="6">
        <v>-0.76307400000000003</v>
      </c>
      <c r="BC2066" s="6">
        <v>-0.94745599999999996</v>
      </c>
      <c r="BD2066" s="6">
        <v>-0.82633199999999996</v>
      </c>
      <c r="BE2066" s="6"/>
      <c r="BF2066" s="6"/>
      <c r="BG2066" s="6"/>
      <c r="BH2066" s="6"/>
      <c r="BI2066" s="6"/>
      <c r="BJ2066" s="6"/>
      <c r="BK2066" s="6"/>
      <c r="BL2066" s="6"/>
      <c r="BM2066" s="6"/>
      <c r="BN2066" s="6" t="e">
        <f t="shared" si="151"/>
        <v>#DIV/0!</v>
      </c>
    </row>
    <row r="2067" spans="49:66" x14ac:dyDescent="0.3">
      <c r="AW2067">
        <f t="shared" si="150"/>
        <v>0</v>
      </c>
      <c r="AX2067">
        <v>2064</v>
      </c>
      <c r="AY2067" s="4">
        <f t="shared" si="148"/>
        <v>43250</v>
      </c>
      <c r="AZ2067" s="6" t="e">
        <f t="shared" si="149"/>
        <v>#DIV/0!</v>
      </c>
      <c r="BA2067" s="4">
        <v>43250</v>
      </c>
      <c r="BB2067" s="6">
        <v>-2.1197870000000001</v>
      </c>
      <c r="BC2067" s="6">
        <v>-2.6194660000000001</v>
      </c>
      <c r="BD2067" s="6">
        <v>-3.174833</v>
      </c>
      <c r="BE2067" s="6"/>
      <c r="BF2067" s="6"/>
      <c r="BG2067" s="6"/>
      <c r="BH2067" s="6"/>
      <c r="BI2067" s="6"/>
      <c r="BJ2067" s="6"/>
      <c r="BK2067" s="6"/>
      <c r="BL2067" s="6"/>
      <c r="BM2067" s="6"/>
      <c r="BN2067" s="6" t="e">
        <f t="shared" si="151"/>
        <v>#DIV/0!</v>
      </c>
    </row>
    <row r="2068" spans="49:66" x14ac:dyDescent="0.3">
      <c r="AW2068">
        <f t="shared" si="150"/>
        <v>0</v>
      </c>
      <c r="AX2068">
        <v>2065</v>
      </c>
      <c r="AY2068" s="4">
        <f t="shared" si="148"/>
        <v>43251</v>
      </c>
      <c r="AZ2068" s="6" t="e">
        <f t="shared" si="149"/>
        <v>#DIV/0!</v>
      </c>
      <c r="BA2068" s="4">
        <v>43251</v>
      </c>
      <c r="BB2068" s="6">
        <v>2.121826</v>
      </c>
      <c r="BC2068" s="6">
        <v>1.265031</v>
      </c>
      <c r="BD2068" s="6">
        <v>1.3278380000000001</v>
      </c>
      <c r="BE2068" s="6"/>
      <c r="BF2068" s="6"/>
      <c r="BG2068" s="6"/>
      <c r="BH2068" s="6"/>
      <c r="BI2068" s="6"/>
      <c r="BJ2068" s="6"/>
      <c r="BK2068" s="6"/>
      <c r="BL2068" s="6"/>
      <c r="BM2068" s="6"/>
      <c r="BN2068" s="6" t="e">
        <f t="shared" si="151"/>
        <v>#DIV/0!</v>
      </c>
    </row>
    <row r="2069" spans="49:66" x14ac:dyDescent="0.3">
      <c r="AW2069">
        <f t="shared" si="150"/>
        <v>0</v>
      </c>
      <c r="AX2069">
        <v>2066</v>
      </c>
      <c r="AY2069" s="4">
        <f t="shared" si="148"/>
        <v>43252</v>
      </c>
      <c r="AZ2069" s="6" t="e">
        <f t="shared" si="149"/>
        <v>#DIV/0!</v>
      </c>
      <c r="BA2069" s="4">
        <v>43252</v>
      </c>
      <c r="BB2069" s="6">
        <v>-0.83597200000000005</v>
      </c>
      <c r="BC2069" s="6">
        <v>-1.2053069999999999</v>
      </c>
      <c r="BD2069" s="6">
        <v>-1.1312489999999999</v>
      </c>
      <c r="BE2069" s="6"/>
      <c r="BF2069" s="6"/>
      <c r="BG2069" s="6"/>
      <c r="BH2069" s="6"/>
      <c r="BI2069" s="6"/>
      <c r="BJ2069" s="6"/>
      <c r="BK2069" s="6"/>
      <c r="BL2069" s="6"/>
      <c r="BM2069" s="6"/>
      <c r="BN2069" s="6" t="e">
        <f t="shared" si="151"/>
        <v>#DIV/0!</v>
      </c>
    </row>
    <row r="2070" spans="49:66" x14ac:dyDescent="0.3">
      <c r="AW2070">
        <f t="shared" si="150"/>
        <v>0</v>
      </c>
      <c r="AX2070">
        <v>2067</v>
      </c>
      <c r="AY2070" s="4">
        <f t="shared" si="148"/>
        <v>43255</v>
      </c>
      <c r="AZ2070" s="6" t="e">
        <f t="shared" si="149"/>
        <v>#DIV/0!</v>
      </c>
      <c r="BA2070" s="4">
        <v>43255</v>
      </c>
      <c r="BB2070" s="6">
        <v>0.98098700000000005</v>
      </c>
      <c r="BC2070" s="6">
        <v>-3.4597000000000003E-2</v>
      </c>
      <c r="BD2070" s="6">
        <v>-0.45042500000000002</v>
      </c>
      <c r="BE2070" s="6"/>
      <c r="BF2070" s="6"/>
      <c r="BG2070" s="6"/>
      <c r="BH2070" s="6"/>
      <c r="BI2070" s="6"/>
      <c r="BJ2070" s="6"/>
      <c r="BK2070" s="6"/>
      <c r="BL2070" s="6"/>
      <c r="BM2070" s="6"/>
      <c r="BN2070" s="6" t="e">
        <f t="shared" si="151"/>
        <v>#DIV/0!</v>
      </c>
    </row>
    <row r="2071" spans="49:66" x14ac:dyDescent="0.3">
      <c r="AW2071">
        <f t="shared" si="150"/>
        <v>0</v>
      </c>
      <c r="AX2071">
        <v>2068</v>
      </c>
      <c r="AY2071" s="4">
        <f t="shared" si="148"/>
        <v>43256</v>
      </c>
      <c r="AZ2071" s="6" t="e">
        <f t="shared" si="149"/>
        <v>#DIV/0!</v>
      </c>
      <c r="BA2071" s="4">
        <v>43256</v>
      </c>
      <c r="BB2071" s="6">
        <v>0.99113700000000005</v>
      </c>
      <c r="BC2071" s="6">
        <v>1.687959</v>
      </c>
      <c r="BD2071" s="6">
        <v>1.621893</v>
      </c>
      <c r="BE2071" s="6"/>
      <c r="BF2071" s="6"/>
      <c r="BG2071" s="6"/>
      <c r="BH2071" s="6"/>
      <c r="BI2071" s="6"/>
      <c r="BJ2071" s="6"/>
      <c r="BK2071" s="6"/>
      <c r="BL2071" s="6"/>
      <c r="BM2071" s="6"/>
      <c r="BN2071" s="6" t="e">
        <f t="shared" si="151"/>
        <v>#DIV/0!</v>
      </c>
    </row>
    <row r="2072" spans="49:66" x14ac:dyDescent="0.3">
      <c r="AW2072">
        <f t="shared" si="150"/>
        <v>0</v>
      </c>
      <c r="AX2072">
        <v>2069</v>
      </c>
      <c r="AY2072" s="4">
        <f t="shared" si="148"/>
        <v>43257</v>
      </c>
      <c r="AZ2072" s="6" t="e">
        <f t="shared" si="149"/>
        <v>#DIV/0!</v>
      </c>
      <c r="BA2072" s="4">
        <v>43257</v>
      </c>
      <c r="BB2072" s="6">
        <v>-0.20714299999999999</v>
      </c>
      <c r="BC2072" s="6">
        <v>-8.3409999999999998E-2</v>
      </c>
      <c r="BD2072" s="6">
        <v>6.4195000000000002E-2</v>
      </c>
      <c r="BE2072" s="6"/>
      <c r="BF2072" s="6"/>
      <c r="BG2072" s="6"/>
      <c r="BH2072" s="6"/>
      <c r="BI2072" s="6"/>
      <c r="BJ2072" s="6"/>
      <c r="BK2072" s="6"/>
      <c r="BL2072" s="6"/>
      <c r="BM2072" s="6"/>
      <c r="BN2072" s="6" t="e">
        <f t="shared" si="151"/>
        <v>#DIV/0!</v>
      </c>
    </row>
    <row r="2073" spans="49:66" x14ac:dyDescent="0.3">
      <c r="AW2073">
        <f t="shared" si="150"/>
        <v>0</v>
      </c>
      <c r="AX2073">
        <v>2070</v>
      </c>
      <c r="AY2073" s="4">
        <f t="shared" si="148"/>
        <v>43258</v>
      </c>
      <c r="AZ2073" s="6" t="e">
        <f t="shared" si="149"/>
        <v>#DIV/0!</v>
      </c>
      <c r="BA2073" s="4">
        <v>43258</v>
      </c>
      <c r="BB2073" s="6">
        <v>-0.16517399999999999</v>
      </c>
      <c r="BC2073" s="6">
        <v>-0.62761100000000003</v>
      </c>
      <c r="BD2073" s="6">
        <v>-0.72130700000000003</v>
      </c>
      <c r="BE2073" s="6"/>
      <c r="BF2073" s="6"/>
      <c r="BG2073" s="6"/>
      <c r="BH2073" s="6"/>
      <c r="BI2073" s="6"/>
      <c r="BJ2073" s="6"/>
      <c r="BK2073" s="6"/>
      <c r="BL2073" s="6"/>
      <c r="BM2073" s="6"/>
      <c r="BN2073" s="6" t="e">
        <f t="shared" si="151"/>
        <v>#DIV/0!</v>
      </c>
    </row>
    <row r="2074" spans="49:66" x14ac:dyDescent="0.3">
      <c r="AW2074">
        <f t="shared" si="150"/>
        <v>0</v>
      </c>
      <c r="AX2074">
        <v>2071</v>
      </c>
      <c r="AY2074" s="4">
        <f t="shared" si="148"/>
        <v>43259</v>
      </c>
      <c r="AZ2074" s="6" t="e">
        <f t="shared" si="149"/>
        <v>#DIV/0!</v>
      </c>
      <c r="BA2074" s="4">
        <v>43259</v>
      </c>
      <c r="BB2074" s="6">
        <v>-1.341601</v>
      </c>
      <c r="BC2074" s="6">
        <v>-1.19753</v>
      </c>
      <c r="BD2074" s="6">
        <v>-1.098476</v>
      </c>
      <c r="BE2074" s="6"/>
      <c r="BF2074" s="6"/>
      <c r="BG2074" s="6"/>
      <c r="BH2074" s="6"/>
      <c r="BI2074" s="6"/>
      <c r="BJ2074" s="6"/>
      <c r="BK2074" s="6"/>
      <c r="BL2074" s="6"/>
      <c r="BM2074" s="6"/>
      <c r="BN2074" s="6" t="e">
        <f t="shared" si="151"/>
        <v>#DIV/0!</v>
      </c>
    </row>
    <row r="2075" spans="49:66" x14ac:dyDescent="0.3">
      <c r="AW2075">
        <f t="shared" si="150"/>
        <v>0</v>
      </c>
      <c r="AX2075">
        <v>2072</v>
      </c>
      <c r="AY2075" s="4">
        <f t="shared" si="148"/>
        <v>43262</v>
      </c>
      <c r="AZ2075" s="6" t="e">
        <f t="shared" si="149"/>
        <v>#DIV/0!</v>
      </c>
      <c r="BA2075" s="4">
        <v>43262</v>
      </c>
      <c r="BB2075" s="6">
        <v>9.6810000000000004E-3</v>
      </c>
      <c r="BC2075" s="6">
        <v>-0.651694</v>
      </c>
      <c r="BD2075" s="6">
        <v>-0.87041199999999996</v>
      </c>
      <c r="BE2075" s="6"/>
      <c r="BF2075" s="6"/>
      <c r="BG2075" s="6"/>
      <c r="BH2075" s="6"/>
      <c r="BI2075" s="6"/>
      <c r="BJ2075" s="6"/>
      <c r="BK2075" s="6"/>
      <c r="BL2075" s="6"/>
      <c r="BM2075" s="6"/>
      <c r="BN2075" s="6" t="e">
        <f t="shared" si="151"/>
        <v>#DIV/0!</v>
      </c>
    </row>
    <row r="2076" spans="49:66" x14ac:dyDescent="0.3">
      <c r="AW2076">
        <f t="shared" si="150"/>
        <v>0</v>
      </c>
      <c r="AX2076">
        <v>2073</v>
      </c>
      <c r="AY2076" s="4">
        <f t="shared" si="148"/>
        <v>43263</v>
      </c>
      <c r="AZ2076" s="6" t="e">
        <f t="shared" si="149"/>
        <v>#DIV/0!</v>
      </c>
      <c r="BA2076" s="4">
        <v>43263</v>
      </c>
      <c r="BB2076" s="6">
        <v>1.216186</v>
      </c>
      <c r="BC2076" s="6">
        <v>1.0828420000000001</v>
      </c>
      <c r="BD2076" s="6">
        <v>0.76749999999999996</v>
      </c>
      <c r="BE2076" s="6"/>
      <c r="BF2076" s="6"/>
      <c r="BG2076" s="6"/>
      <c r="BH2076" s="6"/>
      <c r="BI2076" s="6"/>
      <c r="BJ2076" s="6"/>
      <c r="BK2076" s="6"/>
      <c r="BL2076" s="6"/>
      <c r="BM2076" s="6"/>
      <c r="BN2076" s="6" t="e">
        <f t="shared" si="151"/>
        <v>#DIV/0!</v>
      </c>
    </row>
    <row r="2077" spans="49:66" x14ac:dyDescent="0.3">
      <c r="AW2077">
        <f t="shared" si="150"/>
        <v>0</v>
      </c>
      <c r="AX2077">
        <v>2074</v>
      </c>
      <c r="AY2077" s="4">
        <f t="shared" si="148"/>
        <v>43264</v>
      </c>
      <c r="AZ2077" s="6" t="e">
        <f t="shared" si="149"/>
        <v>#DIV/0!</v>
      </c>
      <c r="BA2077" s="4">
        <v>43264</v>
      </c>
      <c r="BB2077" s="6">
        <v>-0.98313499999999998</v>
      </c>
      <c r="BC2077" s="6">
        <v>-1.51631</v>
      </c>
      <c r="BD2077" s="6">
        <v>-1.7229749999999999</v>
      </c>
      <c r="BE2077" s="6"/>
      <c r="BF2077" s="6"/>
      <c r="BG2077" s="6"/>
      <c r="BH2077" s="6"/>
      <c r="BI2077" s="6"/>
      <c r="BJ2077" s="6"/>
      <c r="BK2077" s="6"/>
      <c r="BL2077" s="6"/>
      <c r="BM2077" s="6"/>
      <c r="BN2077" s="6" t="e">
        <f t="shared" si="151"/>
        <v>#DIV/0!</v>
      </c>
    </row>
    <row r="2078" spans="49:66" x14ac:dyDescent="0.3">
      <c r="AW2078">
        <f t="shared" si="150"/>
        <v>0</v>
      </c>
      <c r="AX2078">
        <v>2075</v>
      </c>
      <c r="AY2078" s="4">
        <f t="shared" si="148"/>
        <v>43265</v>
      </c>
      <c r="AZ2078" s="6" t="e">
        <f t="shared" si="149"/>
        <v>#DIV/0!</v>
      </c>
      <c r="BA2078" s="4">
        <v>43265</v>
      </c>
      <c r="BB2078" s="6">
        <v>-0.39525500000000002</v>
      </c>
      <c r="BC2078" s="6">
        <v>-0.35822799999999999</v>
      </c>
      <c r="BD2078" s="6">
        <v>-0.52879200000000004</v>
      </c>
      <c r="BE2078" s="6"/>
      <c r="BF2078" s="6"/>
      <c r="BG2078" s="6"/>
      <c r="BH2078" s="6"/>
      <c r="BI2078" s="6"/>
      <c r="BJ2078" s="6"/>
      <c r="BK2078" s="6"/>
      <c r="BL2078" s="6"/>
      <c r="BM2078" s="6"/>
      <c r="BN2078" s="6" t="e">
        <f t="shared" si="151"/>
        <v>#DIV/0!</v>
      </c>
    </row>
    <row r="2079" spans="49:66" x14ac:dyDescent="0.3">
      <c r="AW2079">
        <f t="shared" si="150"/>
        <v>0</v>
      </c>
      <c r="AX2079">
        <v>2076</v>
      </c>
      <c r="AY2079" s="4">
        <f t="shared" si="148"/>
        <v>43266</v>
      </c>
      <c r="AZ2079" s="6" t="e">
        <f t="shared" si="149"/>
        <v>#DIV/0!</v>
      </c>
      <c r="BA2079" s="4">
        <v>43266</v>
      </c>
      <c r="BB2079" s="6">
        <v>-0.52822100000000005</v>
      </c>
      <c r="BC2079" s="6">
        <v>-1.8433520000000001</v>
      </c>
      <c r="BD2079" s="6">
        <v>-2.1790989999999999</v>
      </c>
      <c r="BE2079" s="6"/>
      <c r="BF2079" s="6"/>
      <c r="BG2079" s="6"/>
      <c r="BH2079" s="6"/>
      <c r="BI2079" s="6"/>
      <c r="BJ2079" s="6"/>
      <c r="BK2079" s="6"/>
      <c r="BL2079" s="6"/>
      <c r="BM2079" s="6"/>
      <c r="BN2079" s="6" t="e">
        <f t="shared" si="151"/>
        <v>#DIV/0!</v>
      </c>
    </row>
    <row r="2080" spans="49:66" x14ac:dyDescent="0.3">
      <c r="AW2080">
        <f t="shared" si="150"/>
        <v>0</v>
      </c>
      <c r="AX2080">
        <v>2077</v>
      </c>
      <c r="AY2080" s="4">
        <f t="shared" si="148"/>
        <v>43270</v>
      </c>
      <c r="AZ2080" s="6" t="e">
        <f t="shared" si="149"/>
        <v>#DIV/0!</v>
      </c>
      <c r="BA2080" s="4">
        <v>43270</v>
      </c>
      <c r="BB2080" s="6">
        <v>-3.5252309999999998</v>
      </c>
      <c r="BC2080" s="6">
        <v>-6.2406740000000003</v>
      </c>
      <c r="BD2080" s="6">
        <v>-6.841075</v>
      </c>
      <c r="BE2080" s="6"/>
      <c r="BF2080" s="6"/>
      <c r="BG2080" s="6"/>
      <c r="BH2080" s="6"/>
      <c r="BI2080" s="6"/>
      <c r="BJ2080" s="6"/>
      <c r="BK2080" s="6"/>
      <c r="BL2080" s="6"/>
      <c r="BM2080" s="6"/>
      <c r="BN2080" s="6" t="e">
        <f t="shared" si="151"/>
        <v>#DIV/0!</v>
      </c>
    </row>
    <row r="2081" spans="49:66" x14ac:dyDescent="0.3">
      <c r="AW2081">
        <f t="shared" si="150"/>
        <v>0</v>
      </c>
      <c r="AX2081">
        <v>2078</v>
      </c>
      <c r="AY2081" s="4">
        <f t="shared" si="148"/>
        <v>43271</v>
      </c>
      <c r="AZ2081" s="6" t="e">
        <f t="shared" si="149"/>
        <v>#DIV/0!</v>
      </c>
      <c r="BA2081" s="4">
        <v>43271</v>
      </c>
      <c r="BB2081" s="6">
        <v>0.39565099999999997</v>
      </c>
      <c r="BC2081" s="6">
        <v>1.1024350000000001</v>
      </c>
      <c r="BD2081" s="6">
        <v>1.1904220000000001</v>
      </c>
      <c r="BE2081" s="6"/>
      <c r="BF2081" s="6"/>
      <c r="BG2081" s="6"/>
      <c r="BH2081" s="6"/>
      <c r="BI2081" s="6"/>
      <c r="BJ2081" s="6"/>
      <c r="BK2081" s="6"/>
      <c r="BL2081" s="6"/>
      <c r="BM2081" s="6"/>
      <c r="BN2081" s="6" t="e">
        <f t="shared" si="151"/>
        <v>#DIV/0!</v>
      </c>
    </row>
    <row r="2082" spans="49:66" x14ac:dyDescent="0.3">
      <c r="AW2082">
        <f t="shared" si="150"/>
        <v>0</v>
      </c>
      <c r="AX2082">
        <v>2079</v>
      </c>
      <c r="AY2082" s="4">
        <f t="shared" si="148"/>
        <v>43272</v>
      </c>
      <c r="AZ2082" s="6" t="e">
        <f t="shared" si="149"/>
        <v>#DIV/0!</v>
      </c>
      <c r="BA2082" s="4">
        <v>43272</v>
      </c>
      <c r="BB2082" s="6">
        <v>-1.1684570000000001</v>
      </c>
      <c r="BC2082" s="6">
        <v>-2.0995200000000001</v>
      </c>
      <c r="BD2082" s="6">
        <v>-2.3506290000000001</v>
      </c>
      <c r="BE2082" s="6"/>
      <c r="BF2082" s="6"/>
      <c r="BG2082" s="6"/>
      <c r="BH2082" s="6"/>
      <c r="BI2082" s="6"/>
      <c r="BJ2082" s="6"/>
      <c r="BK2082" s="6"/>
      <c r="BL2082" s="6"/>
      <c r="BM2082" s="6"/>
      <c r="BN2082" s="6" t="e">
        <f t="shared" si="151"/>
        <v>#DIV/0!</v>
      </c>
    </row>
    <row r="2083" spans="49:66" x14ac:dyDescent="0.3">
      <c r="AW2083">
        <f t="shared" si="150"/>
        <v>0</v>
      </c>
      <c r="AX2083">
        <v>2080</v>
      </c>
      <c r="AY2083" s="4">
        <f t="shared" si="148"/>
        <v>43273</v>
      </c>
      <c r="AZ2083" s="6" t="e">
        <f t="shared" si="149"/>
        <v>#DIV/0!</v>
      </c>
      <c r="BA2083" s="4">
        <v>43273</v>
      </c>
      <c r="BB2083" s="6">
        <v>0.44363399999999997</v>
      </c>
      <c r="BC2083" s="6">
        <v>1.3925540000000001</v>
      </c>
      <c r="BD2083" s="6">
        <v>1.54783</v>
      </c>
      <c r="BE2083" s="6"/>
      <c r="BF2083" s="6"/>
      <c r="BG2083" s="6"/>
      <c r="BH2083" s="6"/>
      <c r="BI2083" s="6"/>
      <c r="BJ2083" s="6"/>
      <c r="BK2083" s="6"/>
      <c r="BL2083" s="6"/>
      <c r="BM2083" s="6"/>
      <c r="BN2083" s="6" t="e">
        <f t="shared" si="151"/>
        <v>#DIV/0!</v>
      </c>
    </row>
    <row r="2084" spans="49:66" x14ac:dyDescent="0.3">
      <c r="AW2084">
        <f t="shared" si="150"/>
        <v>0</v>
      </c>
      <c r="AX2084">
        <v>2081</v>
      </c>
      <c r="AY2084" s="4">
        <f t="shared" si="148"/>
        <v>43276</v>
      </c>
      <c r="AZ2084" s="6" t="e">
        <f t="shared" si="149"/>
        <v>#DIV/0!</v>
      </c>
      <c r="BA2084" s="4">
        <v>43276</v>
      </c>
      <c r="BB2084" s="6">
        <v>-1.3418730000000001</v>
      </c>
      <c r="BC2084" s="6">
        <v>-0.68001299999999998</v>
      </c>
      <c r="BD2084" s="6">
        <v>-0.52227299999999999</v>
      </c>
      <c r="BE2084" s="6"/>
      <c r="BF2084" s="6"/>
      <c r="BG2084" s="6"/>
      <c r="BH2084" s="6"/>
      <c r="BI2084" s="6"/>
      <c r="BJ2084" s="6"/>
      <c r="BK2084" s="6"/>
      <c r="BL2084" s="6"/>
      <c r="BM2084" s="6"/>
      <c r="BN2084" s="6" t="e">
        <f t="shared" si="151"/>
        <v>#DIV/0!</v>
      </c>
    </row>
    <row r="2085" spans="49:66" x14ac:dyDescent="0.3">
      <c r="AW2085">
        <f t="shared" si="150"/>
        <v>0</v>
      </c>
      <c r="AX2085">
        <v>2082</v>
      </c>
      <c r="AY2085" s="4">
        <f t="shared" si="148"/>
        <v>43277</v>
      </c>
      <c r="AZ2085" s="6" t="e">
        <f t="shared" si="149"/>
        <v>#DIV/0!</v>
      </c>
      <c r="BA2085" s="4">
        <v>43277</v>
      </c>
      <c r="BB2085" s="6">
        <v>-0.82479100000000005</v>
      </c>
      <c r="BC2085" s="6">
        <v>0.68779299999999999</v>
      </c>
      <c r="BD2085" s="6">
        <v>0.83956900000000001</v>
      </c>
      <c r="BE2085" s="6"/>
      <c r="BF2085" s="6"/>
      <c r="BG2085" s="6"/>
      <c r="BH2085" s="6"/>
      <c r="BI2085" s="6"/>
      <c r="BJ2085" s="6"/>
      <c r="BK2085" s="6"/>
      <c r="BL2085" s="6"/>
      <c r="BM2085" s="6"/>
      <c r="BN2085" s="6" t="e">
        <f t="shared" si="151"/>
        <v>#DIV/0!</v>
      </c>
    </row>
    <row r="2086" spans="49:66" x14ac:dyDescent="0.3">
      <c r="AW2086">
        <f t="shared" si="150"/>
        <v>0</v>
      </c>
      <c r="AX2086">
        <v>2083</v>
      </c>
      <c r="AY2086" s="4">
        <f t="shared" si="148"/>
        <v>43278</v>
      </c>
      <c r="AZ2086" s="6" t="e">
        <f t="shared" si="149"/>
        <v>#DIV/0!</v>
      </c>
      <c r="BA2086" s="4">
        <v>43278</v>
      </c>
      <c r="BB2086" s="6">
        <v>-2.034745</v>
      </c>
      <c r="BC2086" s="6">
        <v>-0.98415900000000001</v>
      </c>
      <c r="BD2086" s="6">
        <v>-0.89586600000000005</v>
      </c>
      <c r="BE2086" s="6"/>
      <c r="BF2086" s="6"/>
      <c r="BG2086" s="6"/>
      <c r="BH2086" s="6"/>
      <c r="BI2086" s="6"/>
      <c r="BJ2086" s="6"/>
      <c r="BK2086" s="6"/>
      <c r="BL2086" s="6"/>
      <c r="BM2086" s="6"/>
      <c r="BN2086" s="6" t="e">
        <f t="shared" si="151"/>
        <v>#DIV/0!</v>
      </c>
    </row>
    <row r="2087" spans="49:66" x14ac:dyDescent="0.3">
      <c r="AW2087">
        <f t="shared" si="150"/>
        <v>0</v>
      </c>
      <c r="AX2087">
        <v>2084</v>
      </c>
      <c r="AY2087" s="4">
        <f t="shared" si="148"/>
        <v>43279</v>
      </c>
      <c r="AZ2087" s="6" t="e">
        <f t="shared" si="149"/>
        <v>#DIV/0!</v>
      </c>
      <c r="BA2087" s="4">
        <v>43279</v>
      </c>
      <c r="BB2087" s="6">
        <v>-1.0330699999999999</v>
      </c>
      <c r="BC2087" s="6">
        <v>-1.0644530000000001</v>
      </c>
      <c r="BD2087" s="6">
        <v>-1.1811050000000001</v>
      </c>
      <c r="BE2087" s="6"/>
      <c r="BF2087" s="6"/>
      <c r="BG2087" s="6"/>
      <c r="BH2087" s="6"/>
      <c r="BI2087" s="6"/>
      <c r="BJ2087" s="6"/>
      <c r="BK2087" s="6"/>
      <c r="BL2087" s="6"/>
      <c r="BM2087" s="6"/>
      <c r="BN2087" s="6" t="e">
        <f t="shared" si="151"/>
        <v>#DIV/0!</v>
      </c>
    </row>
    <row r="2088" spans="49:66" x14ac:dyDescent="0.3">
      <c r="AW2088">
        <f t="shared" si="150"/>
        <v>0</v>
      </c>
      <c r="AX2088">
        <v>2085</v>
      </c>
      <c r="AY2088" s="4">
        <f t="shared" si="148"/>
        <v>43280</v>
      </c>
      <c r="AZ2088" s="6" t="e">
        <f t="shared" si="149"/>
        <v>#DIV/0!</v>
      </c>
      <c r="BA2088" s="4">
        <v>43280</v>
      </c>
      <c r="BB2088" s="6">
        <v>2.5546470000000001</v>
      </c>
      <c r="BC2088" s="6">
        <v>3.2176360000000002</v>
      </c>
      <c r="BD2088" s="6">
        <v>3.0251890000000001</v>
      </c>
      <c r="BE2088" s="6"/>
      <c r="BF2088" s="6"/>
      <c r="BG2088" s="6"/>
      <c r="BH2088" s="6"/>
      <c r="BI2088" s="6"/>
      <c r="BJ2088" s="6"/>
      <c r="BK2088" s="6"/>
      <c r="BL2088" s="6"/>
      <c r="BM2088" s="6"/>
      <c r="BN2088" s="6" t="e">
        <f t="shared" si="151"/>
        <v>#DIV/0!</v>
      </c>
    </row>
    <row r="2089" spans="49:66" x14ac:dyDescent="0.3">
      <c r="AW2089">
        <f t="shared" si="150"/>
        <v>0</v>
      </c>
      <c r="AX2089">
        <v>2086</v>
      </c>
      <c r="AY2089" s="4">
        <f t="shared" si="148"/>
        <v>43283</v>
      </c>
      <c r="AZ2089" s="6" t="e">
        <f t="shared" si="149"/>
        <v>#DIV/0!</v>
      </c>
      <c r="BA2089" s="4">
        <v>43283</v>
      </c>
      <c r="BB2089" s="6">
        <v>-2.93424</v>
      </c>
      <c r="BC2089" s="6">
        <v>-1.5137080000000001</v>
      </c>
      <c r="BD2089" s="6">
        <v>-1.256003</v>
      </c>
      <c r="BE2089" s="6"/>
      <c r="BF2089" s="6"/>
      <c r="BG2089" s="6"/>
      <c r="BH2089" s="6"/>
      <c r="BI2089" s="6"/>
      <c r="BJ2089" s="6"/>
      <c r="BK2089" s="6"/>
      <c r="BL2089" s="6"/>
      <c r="BM2089" s="6"/>
      <c r="BN2089" s="6" t="e">
        <f t="shared" si="151"/>
        <v>#DIV/0!</v>
      </c>
    </row>
    <row r="2090" spans="49:66" x14ac:dyDescent="0.3">
      <c r="AW2090">
        <f t="shared" si="150"/>
        <v>0</v>
      </c>
      <c r="AX2090">
        <v>2087</v>
      </c>
      <c r="AY2090" s="4">
        <f t="shared" si="148"/>
        <v>43284</v>
      </c>
      <c r="AZ2090" s="6" t="e">
        <f t="shared" si="149"/>
        <v>#DIV/0!</v>
      </c>
      <c r="BA2090" s="4">
        <v>43284</v>
      </c>
      <c r="BB2090" s="6">
        <v>3.8623999999999999E-2</v>
      </c>
      <c r="BC2090" s="6">
        <v>1.1354580000000001</v>
      </c>
      <c r="BD2090" s="6">
        <v>1.1465719999999999</v>
      </c>
      <c r="BE2090" s="6"/>
      <c r="BF2090" s="6"/>
      <c r="BG2090" s="6"/>
      <c r="BH2090" s="6"/>
      <c r="BI2090" s="6"/>
      <c r="BJ2090" s="6"/>
      <c r="BK2090" s="6"/>
      <c r="BL2090" s="6"/>
      <c r="BM2090" s="6"/>
      <c r="BN2090" s="6" t="e">
        <f t="shared" si="151"/>
        <v>#DIV/0!</v>
      </c>
    </row>
    <row r="2091" spans="49:66" x14ac:dyDescent="0.3">
      <c r="AW2091">
        <f t="shared" si="150"/>
        <v>0</v>
      </c>
      <c r="AX2091">
        <v>2088</v>
      </c>
      <c r="AY2091" s="4">
        <f t="shared" si="148"/>
        <v>43285</v>
      </c>
      <c r="AZ2091" s="6" t="e">
        <f t="shared" si="149"/>
        <v>#DIV/0!</v>
      </c>
      <c r="BA2091" s="4">
        <v>43285</v>
      </c>
      <c r="BB2091" s="6">
        <v>-1.335555</v>
      </c>
      <c r="BC2091" s="6">
        <v>-1.4582599999999999</v>
      </c>
      <c r="BD2091" s="6">
        <v>-1.8017240000000001</v>
      </c>
      <c r="BE2091" s="6"/>
      <c r="BF2091" s="6"/>
      <c r="BG2091" s="6"/>
      <c r="BH2091" s="6"/>
      <c r="BI2091" s="6"/>
      <c r="BJ2091" s="6"/>
      <c r="BK2091" s="6"/>
      <c r="BL2091" s="6"/>
      <c r="BM2091" s="6"/>
      <c r="BN2091" s="6" t="e">
        <f t="shared" si="151"/>
        <v>#DIV/0!</v>
      </c>
    </row>
    <row r="2092" spans="49:66" x14ac:dyDescent="0.3">
      <c r="AW2092">
        <f t="shared" si="150"/>
        <v>0</v>
      </c>
      <c r="AX2092">
        <v>2089</v>
      </c>
      <c r="AY2092" s="4">
        <f t="shared" si="148"/>
        <v>43286</v>
      </c>
      <c r="AZ2092" s="6" t="e">
        <f t="shared" si="149"/>
        <v>#DIV/0!</v>
      </c>
      <c r="BA2092" s="4">
        <v>43286</v>
      </c>
      <c r="BB2092" s="6">
        <v>-0.63350200000000001</v>
      </c>
      <c r="BC2092" s="6">
        <v>-2.7059479999999998</v>
      </c>
      <c r="BD2092" s="6">
        <v>-2.69068</v>
      </c>
      <c r="BE2092" s="6"/>
      <c r="BF2092" s="6"/>
      <c r="BG2092" s="6"/>
      <c r="BH2092" s="6"/>
      <c r="BI2092" s="6"/>
      <c r="BJ2092" s="6"/>
      <c r="BK2092" s="6"/>
      <c r="BL2092" s="6"/>
      <c r="BM2092" s="6"/>
      <c r="BN2092" s="6" t="e">
        <f t="shared" si="151"/>
        <v>#DIV/0!</v>
      </c>
    </row>
    <row r="2093" spans="49:66" x14ac:dyDescent="0.3">
      <c r="AW2093">
        <f t="shared" si="150"/>
        <v>0</v>
      </c>
      <c r="AX2093">
        <v>2090</v>
      </c>
      <c r="AY2093" s="4">
        <f t="shared" si="148"/>
        <v>43287</v>
      </c>
      <c r="AZ2093" s="6" t="e">
        <f t="shared" si="149"/>
        <v>#DIV/0!</v>
      </c>
      <c r="BA2093" s="4">
        <v>43287</v>
      </c>
      <c r="BB2093" s="6">
        <v>0.67869000000000002</v>
      </c>
      <c r="BC2093" s="6">
        <v>0.27830300000000002</v>
      </c>
      <c r="BD2093" s="6">
        <v>0.40951599999999999</v>
      </c>
      <c r="BE2093" s="6"/>
      <c r="BF2093" s="6"/>
      <c r="BG2093" s="6"/>
      <c r="BH2093" s="6"/>
      <c r="BI2093" s="6"/>
      <c r="BJ2093" s="6"/>
      <c r="BK2093" s="6"/>
      <c r="BL2093" s="6"/>
      <c r="BM2093" s="6"/>
      <c r="BN2093" s="6" t="e">
        <f t="shared" si="151"/>
        <v>#DIV/0!</v>
      </c>
    </row>
    <row r="2094" spans="49:66" x14ac:dyDescent="0.3">
      <c r="AW2094">
        <f t="shared" si="150"/>
        <v>0</v>
      </c>
      <c r="AX2094">
        <v>2091</v>
      </c>
      <c r="AY2094" s="4">
        <f t="shared" si="148"/>
        <v>43290</v>
      </c>
      <c r="AZ2094" s="6" t="e">
        <f t="shared" si="149"/>
        <v>#DIV/0!</v>
      </c>
      <c r="BA2094" s="4">
        <v>43290</v>
      </c>
      <c r="BB2094" s="6">
        <v>2.7951730000000001</v>
      </c>
      <c r="BC2094" s="6">
        <v>2.2199119999999999</v>
      </c>
      <c r="BD2094" s="6">
        <v>2.101909</v>
      </c>
      <c r="BE2094" s="6"/>
      <c r="BF2094" s="6"/>
      <c r="BG2094" s="6"/>
      <c r="BH2094" s="6"/>
      <c r="BI2094" s="6"/>
      <c r="BJ2094" s="6"/>
      <c r="BK2094" s="6"/>
      <c r="BL2094" s="6"/>
      <c r="BM2094" s="6"/>
      <c r="BN2094" s="6" t="e">
        <f t="shared" si="151"/>
        <v>#DIV/0!</v>
      </c>
    </row>
    <row r="2095" spans="49:66" x14ac:dyDescent="0.3">
      <c r="AW2095">
        <f t="shared" si="150"/>
        <v>0</v>
      </c>
      <c r="AX2095">
        <v>2092</v>
      </c>
      <c r="AY2095" s="4">
        <f t="shared" si="148"/>
        <v>43291</v>
      </c>
      <c r="AZ2095" s="6" t="e">
        <f t="shared" si="149"/>
        <v>#DIV/0!</v>
      </c>
      <c r="BA2095" s="4">
        <v>43291</v>
      </c>
      <c r="BB2095" s="6">
        <v>0.24085999999999999</v>
      </c>
      <c r="BC2095" s="6">
        <v>0.56743200000000005</v>
      </c>
      <c r="BD2095" s="6">
        <v>0.678871</v>
      </c>
      <c r="BE2095" s="6"/>
      <c r="BF2095" s="6"/>
      <c r="BG2095" s="6"/>
      <c r="BH2095" s="6"/>
      <c r="BI2095" s="6"/>
      <c r="BJ2095" s="6"/>
      <c r="BK2095" s="6"/>
      <c r="BL2095" s="6"/>
      <c r="BM2095" s="6"/>
      <c r="BN2095" s="6" t="e">
        <f t="shared" si="151"/>
        <v>#DIV/0!</v>
      </c>
    </row>
    <row r="2096" spans="49:66" x14ac:dyDescent="0.3">
      <c r="AW2096">
        <f t="shared" si="150"/>
        <v>0</v>
      </c>
      <c r="AX2096">
        <v>2093</v>
      </c>
      <c r="AY2096" s="4">
        <f t="shared" si="148"/>
        <v>43292</v>
      </c>
      <c r="AZ2096" s="6" t="e">
        <f t="shared" si="149"/>
        <v>#DIV/0!</v>
      </c>
      <c r="BA2096" s="4">
        <v>43292</v>
      </c>
      <c r="BB2096" s="6">
        <v>-1.7299359999999999</v>
      </c>
      <c r="BC2096" s="6">
        <v>-1.954161</v>
      </c>
      <c r="BD2096" s="6">
        <v>-2.3256999999999999</v>
      </c>
      <c r="BE2096" s="6"/>
      <c r="BF2096" s="6"/>
      <c r="BG2096" s="6"/>
      <c r="BH2096" s="6"/>
      <c r="BI2096" s="6"/>
      <c r="BJ2096" s="6"/>
      <c r="BK2096" s="6"/>
      <c r="BL2096" s="6"/>
      <c r="BM2096" s="6"/>
      <c r="BN2096" s="6" t="e">
        <f t="shared" si="151"/>
        <v>#DIV/0!</v>
      </c>
    </row>
    <row r="2097" spans="49:52" x14ac:dyDescent="0.3">
      <c r="AW2097">
        <f t="shared" si="150"/>
        <v>1</v>
      </c>
      <c r="AX2097">
        <v>2094</v>
      </c>
      <c r="AY2097" s="4">
        <f t="shared" si="148"/>
        <v>0</v>
      </c>
      <c r="AZ2097" s="6">
        <f t="shared" si="149"/>
        <v>0</v>
      </c>
    </row>
    <row r="2098" spans="49:52" x14ac:dyDescent="0.3">
      <c r="AW2098">
        <f t="shared" si="150"/>
        <v>1</v>
      </c>
      <c r="AX2098">
        <v>2095</v>
      </c>
      <c r="AY2098" s="4">
        <f t="shared" si="148"/>
        <v>0</v>
      </c>
      <c r="AZ2098" s="6">
        <f t="shared" si="149"/>
        <v>0</v>
      </c>
    </row>
    <row r="2099" spans="49:52" x14ac:dyDescent="0.3">
      <c r="AW2099">
        <f t="shared" si="150"/>
        <v>1</v>
      </c>
      <c r="AX2099">
        <v>2096</v>
      </c>
      <c r="AY2099" s="4">
        <f t="shared" si="148"/>
        <v>0</v>
      </c>
      <c r="AZ2099" s="6">
        <f t="shared" si="149"/>
        <v>0</v>
      </c>
    </row>
    <row r="2100" spans="49:52" x14ac:dyDescent="0.3">
      <c r="AW2100">
        <f t="shared" si="150"/>
        <v>1</v>
      </c>
      <c r="AX2100">
        <v>2097</v>
      </c>
      <c r="AY2100" s="4">
        <f t="shared" si="148"/>
        <v>0</v>
      </c>
      <c r="AZ2100" s="6">
        <f t="shared" si="149"/>
        <v>0</v>
      </c>
    </row>
    <row r="2101" spans="49:52" x14ac:dyDescent="0.3">
      <c r="AW2101">
        <f t="shared" si="150"/>
        <v>1</v>
      </c>
      <c r="AX2101">
        <v>2098</v>
      </c>
      <c r="AY2101" s="4">
        <f t="shared" si="148"/>
        <v>0</v>
      </c>
      <c r="AZ2101" s="6">
        <f t="shared" si="149"/>
        <v>0</v>
      </c>
    </row>
    <row r="2102" spans="49:52" x14ac:dyDescent="0.3">
      <c r="AW2102">
        <f t="shared" si="150"/>
        <v>1</v>
      </c>
      <c r="AX2102">
        <v>2099</v>
      </c>
      <c r="AY2102" s="4">
        <f t="shared" si="148"/>
        <v>0</v>
      </c>
      <c r="AZ2102" s="6">
        <f t="shared" si="149"/>
        <v>0</v>
      </c>
    </row>
    <row r="2103" spans="49:52" x14ac:dyDescent="0.3">
      <c r="AW2103">
        <f t="shared" si="150"/>
        <v>1</v>
      </c>
      <c r="AX2103">
        <v>2100</v>
      </c>
      <c r="AY2103" s="4">
        <f t="shared" si="148"/>
        <v>0</v>
      </c>
      <c r="AZ2103" s="6">
        <f t="shared" si="149"/>
        <v>0</v>
      </c>
    </row>
    <row r="2104" spans="49:52" x14ac:dyDescent="0.3">
      <c r="AW2104">
        <f t="shared" si="150"/>
        <v>1</v>
      </c>
      <c r="AX2104">
        <v>2101</v>
      </c>
      <c r="AY2104" s="4">
        <f t="shared" si="148"/>
        <v>0</v>
      </c>
      <c r="AZ2104" s="6">
        <f t="shared" si="149"/>
        <v>0</v>
      </c>
    </row>
    <row r="2105" spans="49:52" x14ac:dyDescent="0.3">
      <c r="AW2105">
        <f t="shared" si="150"/>
        <v>1</v>
      </c>
      <c r="AX2105">
        <v>2102</v>
      </c>
      <c r="AY2105" s="4">
        <f t="shared" si="148"/>
        <v>0</v>
      </c>
      <c r="AZ2105" s="6">
        <f t="shared" si="149"/>
        <v>0</v>
      </c>
    </row>
    <row r="2106" spans="49:52" x14ac:dyDescent="0.3">
      <c r="AW2106">
        <f t="shared" si="150"/>
        <v>1</v>
      </c>
      <c r="AX2106">
        <v>2103</v>
      </c>
      <c r="AY2106" s="4">
        <f t="shared" si="148"/>
        <v>0</v>
      </c>
      <c r="AZ2106" s="6">
        <f t="shared" si="149"/>
        <v>0</v>
      </c>
    </row>
    <row r="2107" spans="49:52" x14ac:dyDescent="0.3">
      <c r="AW2107">
        <f t="shared" si="150"/>
        <v>1</v>
      </c>
      <c r="AX2107">
        <v>2104</v>
      </c>
      <c r="AY2107" s="4">
        <f t="shared" si="148"/>
        <v>0</v>
      </c>
      <c r="AZ2107" s="6">
        <f t="shared" si="149"/>
        <v>0</v>
      </c>
    </row>
    <row r="2108" spans="49:52" x14ac:dyDescent="0.3">
      <c r="AW2108">
        <f t="shared" si="150"/>
        <v>1</v>
      </c>
      <c r="AX2108">
        <v>2105</v>
      </c>
      <c r="AY2108" s="4">
        <f t="shared" si="148"/>
        <v>0</v>
      </c>
      <c r="AZ2108" s="6">
        <f t="shared" si="149"/>
        <v>0</v>
      </c>
    </row>
    <row r="2109" spans="49:52" x14ac:dyDescent="0.3">
      <c r="AW2109">
        <f t="shared" si="150"/>
        <v>1</v>
      </c>
      <c r="AX2109">
        <v>2106</v>
      </c>
      <c r="AY2109" s="4">
        <f t="shared" si="148"/>
        <v>0</v>
      </c>
      <c r="AZ2109" s="6">
        <f t="shared" si="149"/>
        <v>0</v>
      </c>
    </row>
    <row r="2110" spans="49:52" x14ac:dyDescent="0.3">
      <c r="AW2110">
        <f t="shared" si="150"/>
        <v>1</v>
      </c>
      <c r="AX2110">
        <v>2107</v>
      </c>
      <c r="AY2110" s="4">
        <f t="shared" si="148"/>
        <v>0</v>
      </c>
      <c r="AZ2110" s="6">
        <f t="shared" si="149"/>
        <v>0</v>
      </c>
    </row>
    <row r="2111" spans="49:52" x14ac:dyDescent="0.3">
      <c r="AW2111">
        <f t="shared" si="150"/>
        <v>1</v>
      </c>
      <c r="AX2111">
        <v>2108</v>
      </c>
      <c r="AY2111" s="4">
        <f t="shared" si="148"/>
        <v>0</v>
      </c>
      <c r="AZ2111" s="6">
        <f t="shared" si="149"/>
        <v>0</v>
      </c>
    </row>
    <row r="2112" spans="49:52" x14ac:dyDescent="0.3">
      <c r="AW2112">
        <f t="shared" si="150"/>
        <v>1</v>
      </c>
      <c r="AX2112">
        <v>2109</v>
      </c>
      <c r="AY2112" s="4">
        <f t="shared" si="148"/>
        <v>0</v>
      </c>
      <c r="AZ2112" s="6">
        <f t="shared" si="149"/>
        <v>0</v>
      </c>
    </row>
    <row r="2113" spans="49:52" x14ac:dyDescent="0.3">
      <c r="AW2113">
        <f t="shared" si="150"/>
        <v>1</v>
      </c>
      <c r="AX2113">
        <v>2110</v>
      </c>
      <c r="AY2113" s="4">
        <f t="shared" si="148"/>
        <v>0</v>
      </c>
      <c r="AZ2113" s="6">
        <f t="shared" si="149"/>
        <v>0</v>
      </c>
    </row>
    <row r="2114" spans="49:52" x14ac:dyDescent="0.3">
      <c r="AW2114">
        <f t="shared" si="150"/>
        <v>1</v>
      </c>
      <c r="AX2114">
        <v>2111</v>
      </c>
      <c r="AY2114" s="4">
        <f t="shared" si="148"/>
        <v>0</v>
      </c>
      <c r="AZ2114" s="6">
        <f t="shared" si="149"/>
        <v>0</v>
      </c>
    </row>
    <row r="2115" spans="49:52" x14ac:dyDescent="0.3">
      <c r="AW2115">
        <f t="shared" si="150"/>
        <v>1</v>
      </c>
      <c r="AX2115">
        <v>2112</v>
      </c>
      <c r="AY2115" s="4">
        <f t="shared" si="148"/>
        <v>0</v>
      </c>
      <c r="AZ2115" s="6">
        <f t="shared" si="149"/>
        <v>0</v>
      </c>
    </row>
    <row r="2116" spans="49:52" x14ac:dyDescent="0.3">
      <c r="AW2116">
        <f t="shared" si="150"/>
        <v>1</v>
      </c>
      <c r="AX2116">
        <v>2113</v>
      </c>
      <c r="AY2116" s="4">
        <f t="shared" si="148"/>
        <v>0</v>
      </c>
      <c r="AZ2116" s="6">
        <f t="shared" si="149"/>
        <v>0</v>
      </c>
    </row>
    <row r="2117" spans="49:52" x14ac:dyDescent="0.3">
      <c r="AW2117">
        <f t="shared" si="150"/>
        <v>1</v>
      </c>
      <c r="AX2117">
        <v>2114</v>
      </c>
      <c r="AY2117" s="4">
        <f t="shared" ref="AY2117:AY2125" si="152">BA2117</f>
        <v>0</v>
      </c>
      <c r="AZ2117" s="6">
        <f t="shared" ref="AZ2117:AZ2125" si="153">BN2117</f>
        <v>0</v>
      </c>
    </row>
    <row r="2118" spans="49:52" x14ac:dyDescent="0.3">
      <c r="AW2118">
        <f t="shared" ref="AW2118:AW2125" si="154">IF(AY2118&lt;=AY2117,1,0)</f>
        <v>1</v>
      </c>
      <c r="AX2118">
        <v>2115</v>
      </c>
      <c r="AY2118" s="4">
        <f t="shared" si="152"/>
        <v>0</v>
      </c>
      <c r="AZ2118" s="6">
        <f t="shared" si="153"/>
        <v>0</v>
      </c>
    </row>
    <row r="2119" spans="49:52" x14ac:dyDescent="0.3">
      <c r="AW2119">
        <f t="shared" si="154"/>
        <v>1</v>
      </c>
      <c r="AX2119">
        <v>2116</v>
      </c>
      <c r="AY2119" s="4">
        <f t="shared" si="152"/>
        <v>0</v>
      </c>
      <c r="AZ2119" s="6">
        <f t="shared" si="153"/>
        <v>0</v>
      </c>
    </row>
    <row r="2120" spans="49:52" x14ac:dyDescent="0.3">
      <c r="AW2120">
        <f t="shared" si="154"/>
        <v>1</v>
      </c>
      <c r="AX2120">
        <v>2117</v>
      </c>
      <c r="AY2120" s="4">
        <f t="shared" si="152"/>
        <v>0</v>
      </c>
      <c r="AZ2120" s="6">
        <f t="shared" si="153"/>
        <v>0</v>
      </c>
    </row>
    <row r="2121" spans="49:52" x14ac:dyDescent="0.3">
      <c r="AW2121">
        <f t="shared" si="154"/>
        <v>1</v>
      </c>
      <c r="AX2121">
        <v>2118</v>
      </c>
      <c r="AY2121" s="4">
        <f t="shared" si="152"/>
        <v>0</v>
      </c>
      <c r="AZ2121" s="6">
        <f t="shared" si="153"/>
        <v>0</v>
      </c>
    </row>
    <row r="2122" spans="49:52" x14ac:dyDescent="0.3">
      <c r="AW2122">
        <f t="shared" si="154"/>
        <v>1</v>
      </c>
      <c r="AX2122">
        <v>2119</v>
      </c>
      <c r="AY2122" s="4">
        <f t="shared" si="152"/>
        <v>0</v>
      </c>
      <c r="AZ2122" s="6">
        <f t="shared" si="153"/>
        <v>0</v>
      </c>
    </row>
    <row r="2123" spans="49:52" x14ac:dyDescent="0.3">
      <c r="AW2123">
        <f t="shared" si="154"/>
        <v>1</v>
      </c>
      <c r="AX2123">
        <v>2120</v>
      </c>
      <c r="AY2123" s="4">
        <f t="shared" si="152"/>
        <v>0</v>
      </c>
      <c r="AZ2123" s="6">
        <f t="shared" si="153"/>
        <v>0</v>
      </c>
    </row>
    <row r="2124" spans="49:52" x14ac:dyDescent="0.3">
      <c r="AW2124">
        <f t="shared" si="154"/>
        <v>1</v>
      </c>
      <c r="AX2124">
        <v>2121</v>
      </c>
      <c r="AY2124" s="4">
        <f t="shared" si="152"/>
        <v>0</v>
      </c>
      <c r="AZ2124" s="6">
        <f t="shared" si="153"/>
        <v>0</v>
      </c>
    </row>
    <row r="2125" spans="49:52" x14ac:dyDescent="0.3">
      <c r="AW2125">
        <f t="shared" si="154"/>
        <v>1</v>
      </c>
      <c r="AX2125">
        <v>2122</v>
      </c>
      <c r="AY2125" s="4">
        <f t="shared" si="152"/>
        <v>0</v>
      </c>
      <c r="AZ2125" s="6">
        <f t="shared" si="153"/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ocessData">
                <anchor moveWithCells="1" sizeWithCells="1">
                  <from>
                    <xdr:col>25</xdr:col>
                    <xdr:colOff>866775</xdr:colOff>
                    <xdr:row>2</xdr:row>
                    <xdr:rowOff>161925</xdr:rowOff>
                  </from>
                  <to>
                    <xdr:col>26</xdr:col>
                    <xdr:colOff>1000125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114"/>
  <sheetViews>
    <sheetView topLeftCell="B1" workbookViewId="0">
      <selection activeCell="J13" sqref="J13"/>
    </sheetView>
  </sheetViews>
  <sheetFormatPr defaultRowHeight="13.5" x14ac:dyDescent="0.3"/>
  <cols>
    <col min="1" max="1" width="12.3984375" customWidth="1"/>
    <col min="5" max="5" width="21.1328125" customWidth="1"/>
    <col min="7" max="8" width="10.06640625" bestFit="1" customWidth="1"/>
    <col min="9" max="9" width="12.73046875" bestFit="1" customWidth="1"/>
  </cols>
  <sheetData>
    <row r="1" spans="1:11" x14ac:dyDescent="0.3">
      <c r="A1" s="24" t="s">
        <v>79</v>
      </c>
      <c r="B1" s="25" t="s">
        <v>80</v>
      </c>
      <c r="C1" s="25" t="s">
        <v>81</v>
      </c>
      <c r="D1" s="25" t="s">
        <v>82</v>
      </c>
      <c r="E1" s="25" t="s">
        <v>83</v>
      </c>
      <c r="G1" s="7"/>
      <c r="H1" s="7"/>
    </row>
    <row r="2" spans="1:11" x14ac:dyDescent="0.3">
      <c r="A2" s="13">
        <v>41641</v>
      </c>
      <c r="B2">
        <v>1</v>
      </c>
      <c r="C2">
        <v>1</v>
      </c>
      <c r="D2">
        <v>1</v>
      </c>
      <c r="E2">
        <v>1</v>
      </c>
      <c r="G2" s="7"/>
      <c r="H2" s="7"/>
      <c r="J2" s="26"/>
    </row>
    <row r="3" spans="1:11" x14ac:dyDescent="0.3">
      <c r="A3" s="13">
        <v>41642</v>
      </c>
      <c r="B3">
        <v>0.99157701346976646</v>
      </c>
      <c r="C3">
        <v>0.99351870582211299</v>
      </c>
      <c r="D3">
        <v>1.0028395262186121</v>
      </c>
      <c r="E3">
        <v>0.99939831685578129</v>
      </c>
      <c r="G3" s="7"/>
      <c r="H3" s="7"/>
      <c r="I3" s="26"/>
      <c r="J3" s="26"/>
      <c r="K3" s="11"/>
    </row>
    <row r="4" spans="1:11" x14ac:dyDescent="0.3">
      <c r="A4" s="13">
        <v>41645</v>
      </c>
      <c r="B4">
        <v>0.97305525583558894</v>
      </c>
      <c r="C4">
        <v>0.97388647312819077</v>
      </c>
      <c r="D4">
        <v>0.98622521496949767</v>
      </c>
      <c r="E4">
        <v>0.97848063673745211</v>
      </c>
      <c r="G4" s="7"/>
      <c r="H4" s="7"/>
      <c r="I4" s="26"/>
      <c r="K4" s="11"/>
    </row>
    <row r="5" spans="1:11" x14ac:dyDescent="0.3">
      <c r="A5" s="13">
        <v>41646</v>
      </c>
      <c r="B5">
        <v>0.97666212181007861</v>
      </c>
      <c r="C5">
        <v>0.9787889421750805</v>
      </c>
      <c r="D5">
        <v>0.99646099356636797</v>
      </c>
      <c r="E5">
        <v>0.98832482530702293</v>
      </c>
      <c r="G5" s="7"/>
      <c r="H5" s="7"/>
      <c r="I5" s="26"/>
      <c r="K5" s="11"/>
    </row>
    <row r="6" spans="1:11" x14ac:dyDescent="0.3">
      <c r="A6" s="13">
        <v>41647</v>
      </c>
      <c r="B6">
        <v>0.98230870382932012</v>
      </c>
      <c r="C6">
        <v>0.98581464704914534</v>
      </c>
      <c r="D6">
        <v>1.0065096966914651</v>
      </c>
      <c r="E6">
        <v>1.0005949260493809</v>
      </c>
      <c r="G6" s="7"/>
      <c r="H6" s="7"/>
      <c r="J6" s="26"/>
      <c r="K6" s="11"/>
    </row>
    <row r="7" spans="1:11" x14ac:dyDescent="0.3">
      <c r="A7" s="13">
        <v>41648</v>
      </c>
      <c r="B7">
        <v>0.97314044143336997</v>
      </c>
      <c r="C7">
        <v>0.97559051554479326</v>
      </c>
      <c r="D7">
        <v>0.9969466292184137</v>
      </c>
      <c r="E7">
        <v>0.9898916103493699</v>
      </c>
      <c r="G7" s="7"/>
      <c r="H7" s="7"/>
      <c r="I7" s="26"/>
      <c r="J7" s="26"/>
      <c r="K7" s="11"/>
    </row>
    <row r="8" spans="1:11" x14ac:dyDescent="0.3">
      <c r="A8" s="13">
        <v>41649</v>
      </c>
      <c r="B8">
        <v>0.96477116067087887</v>
      </c>
      <c r="C8">
        <v>0.96686326020912594</v>
      </c>
      <c r="D8">
        <v>0.98306433912279267</v>
      </c>
      <c r="E8">
        <v>0.97595726833984509</v>
      </c>
      <c r="G8" s="7"/>
      <c r="H8" s="7"/>
      <c r="I8" s="26"/>
      <c r="K8" s="11"/>
    </row>
    <row r="9" spans="1:11" x14ac:dyDescent="0.3">
      <c r="A9" s="13">
        <v>41652</v>
      </c>
      <c r="B9">
        <v>0.96307828017192776</v>
      </c>
      <c r="C9">
        <v>0.9639145879419817</v>
      </c>
      <c r="D9">
        <v>0.98150729779861956</v>
      </c>
      <c r="E9">
        <v>0.9742923626181893</v>
      </c>
      <c r="G9" s="7"/>
      <c r="H9" s="7"/>
      <c r="J9" s="26"/>
      <c r="K9" s="11"/>
    </row>
    <row r="10" spans="1:11" x14ac:dyDescent="0.3">
      <c r="A10" s="13">
        <v>41653</v>
      </c>
      <c r="B10">
        <v>0.97657379619968532</v>
      </c>
      <c r="C10">
        <v>0.97831852686340071</v>
      </c>
      <c r="D10">
        <v>0.99869442679014298</v>
      </c>
      <c r="E10">
        <v>0.98974749643747961</v>
      </c>
      <c r="G10" s="7"/>
      <c r="H10" s="7"/>
      <c r="I10" s="26"/>
      <c r="J10" s="26"/>
      <c r="K10" s="11"/>
    </row>
    <row r="11" spans="1:11" x14ac:dyDescent="0.3">
      <c r="A11" s="13">
        <v>41654</v>
      </c>
      <c r="B11">
        <v>0.98363134454933765</v>
      </c>
      <c r="C11">
        <v>0.98416000546554405</v>
      </c>
      <c r="D11">
        <v>1.0089582510927999</v>
      </c>
      <c r="E11">
        <v>1.0006586660899781</v>
      </c>
      <c r="G11" s="13"/>
      <c r="H11" s="13"/>
      <c r="I11" s="26"/>
    </row>
    <row r="12" spans="1:11" x14ac:dyDescent="0.3">
      <c r="A12" s="13">
        <v>41655</v>
      </c>
      <c r="B12">
        <v>0.98294629602835015</v>
      </c>
      <c r="C12">
        <v>0.98199145292450907</v>
      </c>
      <c r="D12">
        <v>1.0054519458408111</v>
      </c>
      <c r="E12">
        <v>0.99418272756772652</v>
      </c>
    </row>
    <row r="13" spans="1:11" x14ac:dyDescent="0.3">
      <c r="A13" s="13">
        <v>41656</v>
      </c>
      <c r="B13">
        <v>0.97583385525898392</v>
      </c>
      <c r="C13">
        <v>0.96935279083842463</v>
      </c>
      <c r="D13">
        <v>0.99931796903377546</v>
      </c>
      <c r="E13">
        <v>0.98252041143913549</v>
      </c>
      <c r="J13" s="26"/>
    </row>
    <row r="14" spans="1:11" x14ac:dyDescent="0.3">
      <c r="A14" s="13">
        <v>41659</v>
      </c>
      <c r="B14">
        <v>0.9696794268918838</v>
      </c>
      <c r="C14">
        <v>0.95973075481746084</v>
      </c>
      <c r="D14">
        <v>0.99096191909426734</v>
      </c>
      <c r="E14">
        <v>0.96963861488418157</v>
      </c>
    </row>
    <row r="15" spans="1:11" x14ac:dyDescent="0.3">
      <c r="A15" s="13">
        <v>41660</v>
      </c>
      <c r="B15">
        <v>0.98327302525754035</v>
      </c>
      <c r="C15">
        <v>0.96952064114604475</v>
      </c>
      <c r="D15">
        <v>1.004756804083788</v>
      </c>
      <c r="E15">
        <v>0.98262013757486699</v>
      </c>
    </row>
    <row r="16" spans="1:11" x14ac:dyDescent="0.3">
      <c r="A16" s="13">
        <v>41661</v>
      </c>
      <c r="B16">
        <v>1.0043880809659149</v>
      </c>
      <c r="C16">
        <v>0.99018171658985132</v>
      </c>
      <c r="D16">
        <v>1.022420409622002</v>
      </c>
      <c r="E16">
        <v>1.002031163297942</v>
      </c>
    </row>
    <row r="17" spans="1:5" x14ac:dyDescent="0.3">
      <c r="A17" s="13">
        <v>41662</v>
      </c>
      <c r="B17">
        <v>1.01046123176734</v>
      </c>
      <c r="C17">
        <v>0.99562879585006958</v>
      </c>
      <c r="D17">
        <v>1.034331509359488</v>
      </c>
      <c r="E17">
        <v>1.0127894188098789</v>
      </c>
    </row>
    <row r="18" spans="1:5" x14ac:dyDescent="0.3">
      <c r="A18" s="13">
        <v>41663</v>
      </c>
      <c r="B18">
        <v>1.0210352152180779</v>
      </c>
      <c r="C18">
        <v>1.00389301428503</v>
      </c>
      <c r="D18">
        <v>1.045531443405592</v>
      </c>
      <c r="E18">
        <v>1.025013569151688</v>
      </c>
    </row>
    <row r="19" spans="1:5" x14ac:dyDescent="0.3">
      <c r="A19" s="13">
        <v>41666</v>
      </c>
      <c r="B19">
        <v>1.014503877748308</v>
      </c>
      <c r="C19">
        <v>0.99499230955977602</v>
      </c>
      <c r="D19">
        <v>1.042438640646266</v>
      </c>
      <c r="E19">
        <v>1.017406870730015</v>
      </c>
    </row>
    <row r="20" spans="1:5" x14ac:dyDescent="0.3">
      <c r="A20" s="13">
        <v>41667</v>
      </c>
      <c r="B20">
        <v>1.013155153503454</v>
      </c>
      <c r="C20">
        <v>0.99163502760334321</v>
      </c>
      <c r="D20">
        <v>1.0383010597088851</v>
      </c>
      <c r="E20">
        <v>1.0123150178249669</v>
      </c>
    </row>
    <row r="21" spans="1:5" x14ac:dyDescent="0.3">
      <c r="A21" s="13">
        <v>41668</v>
      </c>
      <c r="B21">
        <v>1.0232992604355251</v>
      </c>
      <c r="C21">
        <v>0.99761289174063994</v>
      </c>
      <c r="D21">
        <v>1.049407619007982</v>
      </c>
      <c r="E21">
        <v>1.022664301815247</v>
      </c>
    </row>
    <row r="22" spans="1:5" x14ac:dyDescent="0.3">
      <c r="A22" s="13">
        <v>41669</v>
      </c>
      <c r="B22">
        <v>1.018771414083848</v>
      </c>
      <c r="C22">
        <v>0.98945638792834234</v>
      </c>
      <c r="D22">
        <v>1.044141884764862</v>
      </c>
      <c r="E22">
        <v>1.018799651440135</v>
      </c>
    </row>
    <row r="23" spans="1:5" x14ac:dyDescent="0.3">
      <c r="A23" s="13">
        <v>41677</v>
      </c>
      <c r="B23">
        <v>1.032768273745172</v>
      </c>
      <c r="C23">
        <v>0.99948081608306372</v>
      </c>
      <c r="D23">
        <v>1.0600360833137339</v>
      </c>
      <c r="E23">
        <v>1.035594710173118</v>
      </c>
    </row>
    <row r="24" spans="1:5" x14ac:dyDescent="0.3">
      <c r="A24" s="13">
        <v>41680</v>
      </c>
      <c r="B24">
        <v>1.0547227640394741</v>
      </c>
      <c r="C24">
        <v>1.0233205462286681</v>
      </c>
      <c r="D24">
        <v>1.0835474212564971</v>
      </c>
      <c r="E24">
        <v>1.059321260295411</v>
      </c>
    </row>
    <row r="25" spans="1:5" x14ac:dyDescent="0.3">
      <c r="A25" s="13">
        <v>41681</v>
      </c>
      <c r="B25">
        <v>1.050168289918596</v>
      </c>
      <c r="C25">
        <v>1.0207593097092571</v>
      </c>
      <c r="D25">
        <v>1.076677224543892</v>
      </c>
      <c r="E25">
        <v>1.052224980021321</v>
      </c>
    </row>
    <row r="26" spans="1:5" x14ac:dyDescent="0.3">
      <c r="A26" s="13">
        <v>41682</v>
      </c>
      <c r="B26">
        <v>1.056664251769609</v>
      </c>
      <c r="C26">
        <v>1.026387417947227</v>
      </c>
      <c r="D26">
        <v>1.083859436859101</v>
      </c>
      <c r="E26">
        <v>1.055965267670337</v>
      </c>
    </row>
    <row r="27" spans="1:5" x14ac:dyDescent="0.3">
      <c r="A27" s="13">
        <v>41683</v>
      </c>
      <c r="B27">
        <v>1.0422954912668241</v>
      </c>
      <c r="C27">
        <v>1.0116862355349749</v>
      </c>
      <c r="D27">
        <v>1.064023052355737</v>
      </c>
      <c r="E27">
        <v>1.033243777282975</v>
      </c>
    </row>
    <row r="28" spans="1:5" x14ac:dyDescent="0.3">
      <c r="A28" s="13">
        <v>41684</v>
      </c>
      <c r="B28">
        <v>1.0556579154169841</v>
      </c>
      <c r="C28">
        <v>1.02389702935533</v>
      </c>
      <c r="D28">
        <v>1.0777294231850629</v>
      </c>
      <c r="E28">
        <v>1.0479476741619329</v>
      </c>
    </row>
    <row r="29" spans="1:5" x14ac:dyDescent="0.3">
      <c r="A29" s="13">
        <v>41687</v>
      </c>
      <c r="B29">
        <v>1.075173723068622</v>
      </c>
      <c r="C29">
        <v>1.037174545244872</v>
      </c>
      <c r="D29">
        <v>1.096412896041864</v>
      </c>
      <c r="E29">
        <v>1.065648764589193</v>
      </c>
    </row>
    <row r="30" spans="1:5" x14ac:dyDescent="0.3">
      <c r="A30" s="13">
        <v>41688</v>
      </c>
      <c r="B30">
        <v>1.070324370162032</v>
      </c>
      <c r="C30">
        <v>1.030709902079824</v>
      </c>
      <c r="D30">
        <v>1.0954043951128141</v>
      </c>
      <c r="E30">
        <v>1.0619588640698969</v>
      </c>
    </row>
    <row r="31" spans="1:5" x14ac:dyDescent="0.3">
      <c r="A31" s="13">
        <v>41689</v>
      </c>
      <c r="B31">
        <v>1.0695208458677159</v>
      </c>
      <c r="C31">
        <v>1.030390289528762</v>
      </c>
      <c r="D31">
        <v>1.094209988404488</v>
      </c>
      <c r="E31">
        <v>1.0608776597695611</v>
      </c>
    </row>
    <row r="32" spans="1:5" x14ac:dyDescent="0.3">
      <c r="A32" s="13">
        <v>41690</v>
      </c>
      <c r="B32">
        <v>1.0575404684747669</v>
      </c>
      <c r="C32">
        <v>1.019923040165245</v>
      </c>
      <c r="D32">
        <v>1.082544439246014</v>
      </c>
      <c r="E32">
        <v>1.0461522730659709</v>
      </c>
    </row>
    <row r="33" spans="1:5" x14ac:dyDescent="0.3">
      <c r="A33" s="13">
        <v>41691</v>
      </c>
      <c r="B33">
        <v>1.0528151061047071</v>
      </c>
      <c r="C33">
        <v>1.0151470039709629</v>
      </c>
      <c r="D33">
        <v>1.0819546269636331</v>
      </c>
      <c r="E33">
        <v>1.0441126839128241</v>
      </c>
    </row>
    <row r="34" spans="1:5" x14ac:dyDescent="0.3">
      <c r="A34" s="13">
        <v>41694</v>
      </c>
      <c r="B34">
        <v>1.046874222748402</v>
      </c>
      <c r="C34">
        <v>1.0040866395652459</v>
      </c>
      <c r="D34">
        <v>1.0887943610204891</v>
      </c>
      <c r="E34">
        <v>1.0449250986681831</v>
      </c>
    </row>
    <row r="35" spans="1:5" x14ac:dyDescent="0.3">
      <c r="A35" s="13">
        <v>41695</v>
      </c>
      <c r="B35">
        <v>1.017534024079785</v>
      </c>
      <c r="C35">
        <v>0.97545613168579282</v>
      </c>
      <c r="D35">
        <v>1.05684469912831</v>
      </c>
      <c r="E35">
        <v>1.0090509380088031</v>
      </c>
    </row>
    <row r="36" spans="1:5" x14ac:dyDescent="0.3">
      <c r="A36" s="13">
        <v>41696</v>
      </c>
      <c r="B36">
        <v>1.0228693459650571</v>
      </c>
      <c r="C36">
        <v>0.97811705880522437</v>
      </c>
      <c r="D36">
        <v>1.0568640362640449</v>
      </c>
      <c r="E36">
        <v>1.009610965970694</v>
      </c>
    </row>
    <row r="37" spans="1:5" x14ac:dyDescent="0.3">
      <c r="A37" s="13">
        <v>41697</v>
      </c>
      <c r="B37">
        <v>1.014377570230016</v>
      </c>
      <c r="C37">
        <v>0.96580660162027443</v>
      </c>
      <c r="D37">
        <v>1.0392757405623521</v>
      </c>
      <c r="E37">
        <v>0.98913570656834049</v>
      </c>
    </row>
    <row r="38" spans="1:5" x14ac:dyDescent="0.3">
      <c r="A38" s="13">
        <v>41698</v>
      </c>
      <c r="B38">
        <v>1.022513039058583</v>
      </c>
      <c r="C38">
        <v>0.97627009587689539</v>
      </c>
      <c r="D38">
        <v>1.0461610009344131</v>
      </c>
      <c r="E38">
        <v>0.99898030734821097</v>
      </c>
    </row>
    <row r="39" spans="1:5" x14ac:dyDescent="0.3">
      <c r="A39" s="13">
        <v>41701</v>
      </c>
      <c r="B39">
        <v>1.0332666751149591</v>
      </c>
      <c r="C39">
        <v>0.98845396155750953</v>
      </c>
      <c r="D39">
        <v>1.0631716644043969</v>
      </c>
      <c r="E39">
        <v>1.013049903412232</v>
      </c>
    </row>
    <row r="40" spans="1:5" x14ac:dyDescent="0.3">
      <c r="A40" s="13">
        <v>41702</v>
      </c>
      <c r="B40">
        <v>1.031041564666539</v>
      </c>
      <c r="C40">
        <v>0.98124151236125312</v>
      </c>
      <c r="D40">
        <v>1.062390222037104</v>
      </c>
      <c r="E40">
        <v>1.006988669458321</v>
      </c>
    </row>
    <row r="41" spans="1:5" x14ac:dyDescent="0.3">
      <c r="A41" s="13">
        <v>41703</v>
      </c>
      <c r="B41">
        <v>1.027897035630287</v>
      </c>
      <c r="C41">
        <v>0.97570369060248108</v>
      </c>
      <c r="D41">
        <v>1.0598262889557519</v>
      </c>
      <c r="E41">
        <v>1.0032162034905481</v>
      </c>
    </row>
    <row r="42" spans="1:5" x14ac:dyDescent="0.3">
      <c r="A42" s="13">
        <v>41704</v>
      </c>
      <c r="B42">
        <v>1.029984405009235</v>
      </c>
      <c r="C42">
        <v>0.97535759426048618</v>
      </c>
      <c r="D42">
        <v>1.056992324425051</v>
      </c>
      <c r="E42">
        <v>0.99982222692862144</v>
      </c>
    </row>
    <row r="43" spans="1:5" x14ac:dyDescent="0.3">
      <c r="A43" s="13">
        <v>41705</v>
      </c>
      <c r="B43">
        <v>1.0290590246032341</v>
      </c>
      <c r="C43">
        <v>0.97648350227493697</v>
      </c>
      <c r="D43">
        <v>1.0565085840168069</v>
      </c>
      <c r="E43">
        <v>0.99820281241871123</v>
      </c>
    </row>
    <row r="44" spans="1:5" x14ac:dyDescent="0.3">
      <c r="A44" s="13">
        <v>41708</v>
      </c>
      <c r="B44">
        <v>1.0021889935216499</v>
      </c>
      <c r="C44">
        <v>0.95256637281153733</v>
      </c>
      <c r="D44">
        <v>1.0279254732801371</v>
      </c>
      <c r="E44">
        <v>0.96924863738594269</v>
      </c>
    </row>
    <row r="45" spans="1:5" x14ac:dyDescent="0.3">
      <c r="A45" s="13">
        <v>41709</v>
      </c>
      <c r="B45">
        <v>1.0040723853769371</v>
      </c>
      <c r="C45">
        <v>0.95507586923498378</v>
      </c>
      <c r="D45">
        <v>1.025915610473439</v>
      </c>
      <c r="E45">
        <v>0.96858032061813759</v>
      </c>
    </row>
    <row r="46" spans="1:5" x14ac:dyDescent="0.3">
      <c r="A46" s="13">
        <v>41710</v>
      </c>
      <c r="B46">
        <v>1.002629254396175</v>
      </c>
      <c r="C46">
        <v>0.95560756791450485</v>
      </c>
      <c r="D46">
        <v>1.0236448563995031</v>
      </c>
      <c r="E46">
        <v>0.96813154113217992</v>
      </c>
    </row>
    <row r="47" spans="1:5" x14ac:dyDescent="0.3">
      <c r="A47" s="13">
        <v>41711</v>
      </c>
      <c r="B47">
        <v>1.0174973155219891</v>
      </c>
      <c r="C47">
        <v>0.9676638290016516</v>
      </c>
      <c r="D47">
        <v>1.038683170763433</v>
      </c>
      <c r="E47">
        <v>0.98309314307301876</v>
      </c>
    </row>
    <row r="48" spans="1:5" x14ac:dyDescent="0.3">
      <c r="A48" s="13">
        <v>41712</v>
      </c>
      <c r="B48">
        <v>1.014460263578842</v>
      </c>
      <c r="C48">
        <v>0.9620463737295476</v>
      </c>
      <c r="D48">
        <v>1.038636096159069</v>
      </c>
      <c r="E48">
        <v>0.98030849827604005</v>
      </c>
    </row>
    <row r="49" spans="1:5" x14ac:dyDescent="0.3">
      <c r="A49" s="13">
        <v>41715</v>
      </c>
      <c r="B49">
        <v>1.0283316581479649</v>
      </c>
      <c r="C49">
        <v>0.97569024244245539</v>
      </c>
      <c r="D49">
        <v>1.0560998869227789</v>
      </c>
      <c r="E49">
        <v>0.99858702995529125</v>
      </c>
    </row>
    <row r="50" spans="1:5" x14ac:dyDescent="0.3">
      <c r="A50" s="13">
        <v>41716</v>
      </c>
      <c r="B50">
        <v>1.031021815579821</v>
      </c>
      <c r="C50">
        <v>0.97611661924261017</v>
      </c>
      <c r="D50">
        <v>1.062799993157646</v>
      </c>
      <c r="E50">
        <v>1.0019413776486319</v>
      </c>
    </row>
    <row r="51" spans="1:5" x14ac:dyDescent="0.3">
      <c r="A51" s="13">
        <v>41717</v>
      </c>
      <c r="B51">
        <v>1.0261687638175789</v>
      </c>
      <c r="C51">
        <v>0.96485262258622062</v>
      </c>
      <c r="D51">
        <v>1.0572770795128421</v>
      </c>
      <c r="E51">
        <v>0.99039268052658125</v>
      </c>
    </row>
    <row r="52" spans="1:5" x14ac:dyDescent="0.3">
      <c r="A52" s="13">
        <v>41718</v>
      </c>
      <c r="B52">
        <v>1.0061320178133339</v>
      </c>
      <c r="C52">
        <v>0.94389968911736932</v>
      </c>
      <c r="D52">
        <v>1.03255970018048</v>
      </c>
      <c r="E52">
        <v>0.9642782570737205</v>
      </c>
    </row>
    <row r="53" spans="1:5" x14ac:dyDescent="0.3">
      <c r="A53" s="13">
        <v>41719</v>
      </c>
      <c r="B53">
        <v>1.0229149130422901</v>
      </c>
      <c r="C53">
        <v>0.9592387374086464</v>
      </c>
      <c r="D53">
        <v>1.039146388573426</v>
      </c>
      <c r="E53">
        <v>0.97562419732650463</v>
      </c>
    </row>
    <row r="54" spans="1:5" x14ac:dyDescent="0.3">
      <c r="A54" s="13">
        <v>41722</v>
      </c>
      <c r="B54">
        <v>1.0267212022827701</v>
      </c>
      <c r="C54">
        <v>0.95890472908842539</v>
      </c>
      <c r="D54">
        <v>1.0371069742152521</v>
      </c>
      <c r="E54">
        <v>0.97280518871624877</v>
      </c>
    </row>
    <row r="55" spans="1:5" x14ac:dyDescent="0.3">
      <c r="A55" s="13">
        <v>41723</v>
      </c>
      <c r="B55">
        <v>1.023825253062971</v>
      </c>
      <c r="C55">
        <v>0.95959900663385589</v>
      </c>
      <c r="D55">
        <v>1.0367802219144051</v>
      </c>
      <c r="E55">
        <v>0.97305272491594186</v>
      </c>
    </row>
    <row r="56" spans="1:5" x14ac:dyDescent="0.3">
      <c r="A56" s="13">
        <v>41724</v>
      </c>
      <c r="B56">
        <v>1.0254621779418089</v>
      </c>
      <c r="C56">
        <v>0.96342914741670194</v>
      </c>
      <c r="D56">
        <v>1.0469042382463341</v>
      </c>
      <c r="E56">
        <v>0.98209806576026271</v>
      </c>
    </row>
    <row r="57" spans="1:5" x14ac:dyDescent="0.3">
      <c r="A57" s="13">
        <v>41725</v>
      </c>
      <c r="B57">
        <v>1.011087439870207</v>
      </c>
      <c r="C57">
        <v>0.9492589992057513</v>
      </c>
      <c r="D57">
        <v>1.028792750020654</v>
      </c>
      <c r="E57">
        <v>0.96269268606504066</v>
      </c>
    </row>
    <row r="58" spans="1:5" x14ac:dyDescent="0.3">
      <c r="A58" s="13">
        <v>41726</v>
      </c>
      <c r="B58">
        <v>0.99872609592266404</v>
      </c>
      <c r="C58">
        <v>0.93806669347743898</v>
      </c>
      <c r="D58">
        <v>1.0087745191540549</v>
      </c>
      <c r="E58">
        <v>0.94035038378137448</v>
      </c>
    </row>
    <row r="59" spans="1:5" x14ac:dyDescent="0.3">
      <c r="A59" s="13">
        <v>41729</v>
      </c>
      <c r="B59">
        <v>0.9972387092749726</v>
      </c>
      <c r="C59">
        <v>0.93897165442587438</v>
      </c>
      <c r="D59">
        <v>1.0075681941272761</v>
      </c>
      <c r="E59">
        <v>0.93835333613719485</v>
      </c>
    </row>
    <row r="60" spans="1:5" x14ac:dyDescent="0.3">
      <c r="A60" s="13">
        <v>41730</v>
      </c>
      <c r="B60">
        <v>1.0082569192795321</v>
      </c>
      <c r="C60">
        <v>0.95021942242463664</v>
      </c>
      <c r="D60">
        <v>1.0215550336006669</v>
      </c>
      <c r="E60">
        <v>0.95263307340654368</v>
      </c>
    </row>
    <row r="61" spans="1:5" x14ac:dyDescent="0.3">
      <c r="A61" s="13">
        <v>41731</v>
      </c>
      <c r="B61">
        <v>1.013501532594326</v>
      </c>
      <c r="C61">
        <v>0.94923501836578383</v>
      </c>
      <c r="D61">
        <v>1.0147910117905079</v>
      </c>
      <c r="E61">
        <v>0.94539593945283273</v>
      </c>
    </row>
    <row r="62" spans="1:5" x14ac:dyDescent="0.3">
      <c r="A62" s="13">
        <v>41732</v>
      </c>
      <c r="B62">
        <v>1.0096446882455541</v>
      </c>
      <c r="C62">
        <v>0.94551158996494933</v>
      </c>
      <c r="D62">
        <v>1.013968099607987</v>
      </c>
      <c r="E62">
        <v>0.94390275592142359</v>
      </c>
    </row>
    <row r="63" spans="1:5" x14ac:dyDescent="0.3">
      <c r="A63" s="13">
        <v>41733</v>
      </c>
      <c r="B63">
        <v>1.0175553462526159</v>
      </c>
      <c r="C63">
        <v>0.95429465163040483</v>
      </c>
      <c r="D63">
        <v>1.024890121122616</v>
      </c>
      <c r="E63">
        <v>0.95650175113428004</v>
      </c>
    </row>
    <row r="64" spans="1:5" x14ac:dyDescent="0.3">
      <c r="A64" s="13">
        <v>41737</v>
      </c>
      <c r="B64">
        <v>1.0310054920005689</v>
      </c>
      <c r="C64">
        <v>0.96764130477822297</v>
      </c>
      <c r="D64">
        <v>1.031554987401603</v>
      </c>
      <c r="E64">
        <v>0.96595282283812101</v>
      </c>
    </row>
    <row r="65" spans="1:5" x14ac:dyDescent="0.3">
      <c r="A65" s="13">
        <v>41738</v>
      </c>
      <c r="B65">
        <v>1.0353149058418341</v>
      </c>
      <c r="C65">
        <v>0.97293637960140855</v>
      </c>
      <c r="D65">
        <v>1.0407407761891401</v>
      </c>
      <c r="E65">
        <v>0.97461516881721111</v>
      </c>
    </row>
    <row r="66" spans="1:5" x14ac:dyDescent="0.3">
      <c r="A66" s="13">
        <v>41739</v>
      </c>
      <c r="B66">
        <v>1.043164453676596</v>
      </c>
      <c r="C66">
        <v>0.97908371582520148</v>
      </c>
      <c r="D66">
        <v>1.0445703508284889</v>
      </c>
      <c r="E66">
        <v>0.98093382429899578</v>
      </c>
    </row>
    <row r="67" spans="1:5" x14ac:dyDescent="0.3">
      <c r="A67" s="13">
        <v>41740</v>
      </c>
      <c r="B67">
        <v>1.041009027255595</v>
      </c>
      <c r="C67">
        <v>0.97770706760708326</v>
      </c>
      <c r="D67">
        <v>1.041117427564809</v>
      </c>
      <c r="E67">
        <v>0.97670018907851652</v>
      </c>
    </row>
    <row r="68" spans="1:5" x14ac:dyDescent="0.3">
      <c r="A68" s="13">
        <v>41743</v>
      </c>
      <c r="B68">
        <v>1.0434869715497681</v>
      </c>
      <c r="C68">
        <v>0.98186500126731235</v>
      </c>
      <c r="D68">
        <v>1.0440994021433041</v>
      </c>
      <c r="E68">
        <v>0.97937380430545229</v>
      </c>
    </row>
    <row r="69" spans="1:5" x14ac:dyDescent="0.3">
      <c r="A69" s="13">
        <v>41744</v>
      </c>
      <c r="B69">
        <v>1.030611813601148</v>
      </c>
      <c r="C69">
        <v>0.97263515263363465</v>
      </c>
      <c r="D69">
        <v>1.038526056316091</v>
      </c>
      <c r="E69">
        <v>0.97277972882291386</v>
      </c>
    </row>
    <row r="70" spans="1:5" x14ac:dyDescent="0.3">
      <c r="A70" s="13">
        <v>41745</v>
      </c>
      <c r="B70">
        <v>1.02988074290317</v>
      </c>
      <c r="C70">
        <v>0.97106044434005812</v>
      </c>
      <c r="D70">
        <v>1.0365115788195509</v>
      </c>
      <c r="E70">
        <v>0.96987152131117171</v>
      </c>
    </row>
    <row r="71" spans="1:5" x14ac:dyDescent="0.3">
      <c r="A71" s="13">
        <v>41746</v>
      </c>
      <c r="B71">
        <v>1.027198730715126</v>
      </c>
      <c r="C71">
        <v>0.97015439708650997</v>
      </c>
      <c r="D71">
        <v>1.03866675525435</v>
      </c>
      <c r="E71">
        <v>0.97114247043553514</v>
      </c>
    </row>
    <row r="72" spans="1:5" x14ac:dyDescent="0.3">
      <c r="A72" s="13">
        <v>41747</v>
      </c>
      <c r="B72">
        <v>1.0284705694894749</v>
      </c>
      <c r="C72">
        <v>0.97154777294604966</v>
      </c>
      <c r="D72">
        <v>1.0423239353866589</v>
      </c>
      <c r="E72">
        <v>0.9752302430411206</v>
      </c>
    </row>
    <row r="73" spans="1:5" x14ac:dyDescent="0.3">
      <c r="A73" s="13">
        <v>41750</v>
      </c>
      <c r="B73">
        <v>1.0143278581964239</v>
      </c>
      <c r="C73">
        <v>0.95994274701303717</v>
      </c>
      <c r="D73">
        <v>1.0332979438759129</v>
      </c>
      <c r="E73">
        <v>0.96545224395168272</v>
      </c>
    </row>
    <row r="74" spans="1:5" x14ac:dyDescent="0.3">
      <c r="A74" s="13">
        <v>41751</v>
      </c>
      <c r="B74">
        <v>1.0102302597338</v>
      </c>
      <c r="C74">
        <v>0.95389296972589188</v>
      </c>
      <c r="D74">
        <v>1.0227539488689921</v>
      </c>
      <c r="E74">
        <v>0.9563762991670044</v>
      </c>
    </row>
    <row r="75" spans="1:5" x14ac:dyDescent="0.3">
      <c r="A75" s="13">
        <v>41752</v>
      </c>
      <c r="B75">
        <v>1.0109357065832021</v>
      </c>
      <c r="C75">
        <v>0.95233283149600456</v>
      </c>
      <c r="D75">
        <v>1.018342346327008</v>
      </c>
      <c r="E75">
        <v>0.95233936290688737</v>
      </c>
    </row>
    <row r="76" spans="1:5" x14ac:dyDescent="0.3">
      <c r="A76" s="13">
        <v>41753</v>
      </c>
      <c r="B76">
        <v>1.0086004862137461</v>
      </c>
      <c r="C76">
        <v>0.94898574797124635</v>
      </c>
      <c r="D76">
        <v>1.012314633646985</v>
      </c>
      <c r="E76">
        <v>0.94365085497754342</v>
      </c>
    </row>
    <row r="77" spans="1:5" x14ac:dyDescent="0.3">
      <c r="A77" s="13">
        <v>41754</v>
      </c>
      <c r="B77">
        <v>0.99390859692849265</v>
      </c>
      <c r="C77">
        <v>0.93545786512638041</v>
      </c>
      <c r="D77">
        <v>0.99753440101648805</v>
      </c>
      <c r="E77">
        <v>0.92602871560453959</v>
      </c>
    </row>
    <row r="78" spans="1:5" x14ac:dyDescent="0.3">
      <c r="A78" s="13">
        <v>41757</v>
      </c>
      <c r="B78">
        <v>0.97495582895245969</v>
      </c>
      <c r="C78">
        <v>0.91740095099593899</v>
      </c>
      <c r="D78">
        <v>0.97536941920861375</v>
      </c>
      <c r="E78">
        <v>0.90432549404644269</v>
      </c>
    </row>
    <row r="79" spans="1:5" x14ac:dyDescent="0.3">
      <c r="A79" s="13">
        <v>41758</v>
      </c>
      <c r="B79">
        <v>0.98392049610903709</v>
      </c>
      <c r="C79">
        <v>0.9290114989963365</v>
      </c>
      <c r="D79">
        <v>0.98411460876443435</v>
      </c>
      <c r="E79">
        <v>0.91646249402814883</v>
      </c>
    </row>
    <row r="80" spans="1:5" x14ac:dyDescent="0.3">
      <c r="A80" s="13">
        <v>41759</v>
      </c>
      <c r="B80">
        <v>0.98907121895050254</v>
      </c>
      <c r="C80">
        <v>0.93429929409863843</v>
      </c>
      <c r="D80">
        <v>0.9900289843938247</v>
      </c>
      <c r="E80">
        <v>0.92576542124240224</v>
      </c>
    </row>
    <row r="81" spans="1:5" x14ac:dyDescent="0.3">
      <c r="A81" s="13">
        <v>41764</v>
      </c>
      <c r="B81">
        <v>0.9927206676632242</v>
      </c>
      <c r="C81">
        <v>0.93925345116426551</v>
      </c>
      <c r="D81">
        <v>0.99906871517452012</v>
      </c>
      <c r="E81">
        <v>0.93370805021079695</v>
      </c>
    </row>
    <row r="82" spans="1:5" x14ac:dyDescent="0.3">
      <c r="A82" s="13">
        <v>41765</v>
      </c>
      <c r="B82">
        <v>0.99563453422410719</v>
      </c>
      <c r="C82">
        <v>0.94217731058271148</v>
      </c>
      <c r="D82">
        <v>1.004566375192703</v>
      </c>
      <c r="E82">
        <v>0.94029006028082862</v>
      </c>
    </row>
    <row r="83" spans="1:5" x14ac:dyDescent="0.3">
      <c r="A83" s="13">
        <v>41766</v>
      </c>
      <c r="B83">
        <v>0.98524172043136582</v>
      </c>
      <c r="C83">
        <v>0.9309925279127329</v>
      </c>
      <c r="D83">
        <v>0.9917576807504962</v>
      </c>
      <c r="E83">
        <v>0.92556850213416031</v>
      </c>
    </row>
    <row r="84" spans="1:5" x14ac:dyDescent="0.3">
      <c r="A84" s="13">
        <v>41767</v>
      </c>
      <c r="B84">
        <v>0.98373654961825385</v>
      </c>
      <c r="C84">
        <v>0.92815627852121307</v>
      </c>
      <c r="D84">
        <v>0.9882398352339431</v>
      </c>
      <c r="E84">
        <v>0.92135591539069661</v>
      </c>
    </row>
    <row r="85" spans="1:5" x14ac:dyDescent="0.3">
      <c r="A85" s="13">
        <v>41768</v>
      </c>
      <c r="B85">
        <v>0.97787956189449099</v>
      </c>
      <c r="C85">
        <v>0.9214730954349083</v>
      </c>
      <c r="D85">
        <v>0.97837191529696399</v>
      </c>
      <c r="E85">
        <v>0.91145981672398435</v>
      </c>
    </row>
    <row r="86" spans="1:5" x14ac:dyDescent="0.3">
      <c r="A86" s="13">
        <v>41771</v>
      </c>
      <c r="B86">
        <v>0.99181173390687027</v>
      </c>
      <c r="C86">
        <v>0.93589852355492353</v>
      </c>
      <c r="D86">
        <v>0.99109688922632821</v>
      </c>
      <c r="E86">
        <v>0.92427794335595204</v>
      </c>
    </row>
    <row r="87" spans="1:5" x14ac:dyDescent="0.3">
      <c r="A87" s="13">
        <v>41772</v>
      </c>
      <c r="B87">
        <v>0.9941135814187112</v>
      </c>
      <c r="C87">
        <v>0.93535465481995794</v>
      </c>
      <c r="D87">
        <v>0.98945737462963335</v>
      </c>
      <c r="E87">
        <v>0.9239228250096293</v>
      </c>
    </row>
    <row r="88" spans="1:5" x14ac:dyDescent="0.3">
      <c r="A88" s="13">
        <v>41773</v>
      </c>
      <c r="B88">
        <v>0.99441556733008185</v>
      </c>
      <c r="C88">
        <v>0.93443851762951835</v>
      </c>
      <c r="D88">
        <v>0.99147942096507136</v>
      </c>
      <c r="E88">
        <v>0.92444967943025114</v>
      </c>
    </row>
    <row r="89" spans="1:5" x14ac:dyDescent="0.3">
      <c r="A89" s="13">
        <v>41774</v>
      </c>
      <c r="B89">
        <v>0.98195096314354002</v>
      </c>
      <c r="C89">
        <v>0.92211159559548894</v>
      </c>
      <c r="D89">
        <v>0.97925714423813381</v>
      </c>
      <c r="E89">
        <v>0.91051576904257114</v>
      </c>
    </row>
    <row r="90" spans="1:5" x14ac:dyDescent="0.3">
      <c r="A90" s="13">
        <v>41775</v>
      </c>
      <c r="B90">
        <v>0.98019208016163017</v>
      </c>
      <c r="C90">
        <v>0.91803821201262348</v>
      </c>
      <c r="D90">
        <v>0.97274386734285556</v>
      </c>
      <c r="E90">
        <v>0.90233964690865687</v>
      </c>
    </row>
    <row r="91" spans="1:5" x14ac:dyDescent="0.3">
      <c r="A91" s="13">
        <v>41778</v>
      </c>
      <c r="B91">
        <v>0.97453248085273381</v>
      </c>
      <c r="C91">
        <v>0.91015606090891144</v>
      </c>
      <c r="D91">
        <v>0.96903726920218047</v>
      </c>
      <c r="E91">
        <v>0.89612270518901216</v>
      </c>
    </row>
    <row r="92" spans="1:5" x14ac:dyDescent="0.3">
      <c r="A92" s="13">
        <v>41779</v>
      </c>
      <c r="B92">
        <v>0.97622681728684257</v>
      </c>
      <c r="C92">
        <v>0.91145031650604358</v>
      </c>
      <c r="D92">
        <v>0.9733413872588389</v>
      </c>
      <c r="E92">
        <v>0.89973079165120207</v>
      </c>
    </row>
    <row r="93" spans="1:5" x14ac:dyDescent="0.3">
      <c r="A93" s="13">
        <v>41780</v>
      </c>
      <c r="B93">
        <v>0.98315257881799845</v>
      </c>
      <c r="C93">
        <v>0.92001910159190814</v>
      </c>
      <c r="D93">
        <v>0.98018715842397952</v>
      </c>
      <c r="E93">
        <v>0.90765595026452672</v>
      </c>
    </row>
    <row r="94" spans="1:5" x14ac:dyDescent="0.3">
      <c r="A94" s="13">
        <v>41781</v>
      </c>
      <c r="B94">
        <v>0.98354024851208588</v>
      </c>
      <c r="C94">
        <v>0.92167164599218121</v>
      </c>
      <c r="D94">
        <v>0.98431246754607515</v>
      </c>
      <c r="E94">
        <v>0.91324155520723072</v>
      </c>
    </row>
    <row r="95" spans="1:5" x14ac:dyDescent="0.3">
      <c r="A95" s="13">
        <v>41782</v>
      </c>
      <c r="B95">
        <v>0.99325945675287475</v>
      </c>
      <c r="C95">
        <v>0.93066956465253237</v>
      </c>
      <c r="D95">
        <v>0.99434328843140973</v>
      </c>
      <c r="E95">
        <v>0.92537327679330705</v>
      </c>
    </row>
    <row r="96" spans="1:5" x14ac:dyDescent="0.3">
      <c r="A96" s="13">
        <v>41785</v>
      </c>
      <c r="B96">
        <v>0.99896647341105882</v>
      </c>
      <c r="C96">
        <v>0.93822224730150661</v>
      </c>
      <c r="D96">
        <v>1.006521973088234</v>
      </c>
      <c r="E96">
        <v>0.93603857654155342</v>
      </c>
    </row>
    <row r="97" spans="1:5" x14ac:dyDescent="0.3">
      <c r="A97" s="13">
        <v>41786</v>
      </c>
      <c r="B97">
        <v>0.99667442760358826</v>
      </c>
      <c r="C97">
        <v>0.93537323712096854</v>
      </c>
      <c r="D97">
        <v>1.001773458241453</v>
      </c>
      <c r="E97">
        <v>0.93149468028631954</v>
      </c>
    </row>
    <row r="98" spans="1:5" x14ac:dyDescent="0.3">
      <c r="A98" s="13">
        <v>41787</v>
      </c>
      <c r="B98">
        <v>1.0066967685661881</v>
      </c>
      <c r="C98">
        <v>0.94613192927539846</v>
      </c>
      <c r="D98">
        <v>1.014695819643527</v>
      </c>
      <c r="E98">
        <v>0.94525150152104875</v>
      </c>
    </row>
    <row r="99" spans="1:5" x14ac:dyDescent="0.3">
      <c r="A99" s="13">
        <v>41788</v>
      </c>
      <c r="B99">
        <v>0.99953452408255217</v>
      </c>
      <c r="C99">
        <v>0.93884338188690197</v>
      </c>
      <c r="D99">
        <v>1.0059467361212091</v>
      </c>
      <c r="E99">
        <v>0.93654208153922325</v>
      </c>
    </row>
    <row r="100" spans="1:5" x14ac:dyDescent="0.3">
      <c r="A100" s="13">
        <v>41789</v>
      </c>
      <c r="B100">
        <v>1.000725867154127</v>
      </c>
      <c r="C100">
        <v>0.93937886648647939</v>
      </c>
      <c r="D100">
        <v>1.0074067460474621</v>
      </c>
      <c r="E100">
        <v>0.93810009788293536</v>
      </c>
    </row>
    <row r="101" spans="1:5" x14ac:dyDescent="0.3">
      <c r="A101" s="13">
        <v>41793</v>
      </c>
      <c r="B101">
        <v>0.99886207541249594</v>
      </c>
      <c r="C101">
        <v>0.93659352760428449</v>
      </c>
      <c r="D101">
        <v>1.00633984236647</v>
      </c>
      <c r="E101">
        <v>0.9364876540979119</v>
      </c>
    </row>
    <row r="102" spans="1:5" x14ac:dyDescent="0.3">
      <c r="A102" s="13">
        <v>41794</v>
      </c>
      <c r="B102">
        <v>0.99187383436478682</v>
      </c>
      <c r="C102">
        <v>0.929451904760901</v>
      </c>
      <c r="D102">
        <v>1.001832017443175</v>
      </c>
      <c r="E102">
        <v>0.93029163096704337</v>
      </c>
    </row>
    <row r="103" spans="1:5" x14ac:dyDescent="0.3">
      <c r="A103" s="13">
        <v>41795</v>
      </c>
      <c r="B103">
        <v>1.0018504890506019</v>
      </c>
      <c r="C103">
        <v>0.93981433525441371</v>
      </c>
      <c r="D103">
        <v>1.0132446778554971</v>
      </c>
      <c r="E103">
        <v>0.94224685414623655</v>
      </c>
    </row>
    <row r="104" spans="1:5" x14ac:dyDescent="0.3">
      <c r="A104" s="13">
        <v>41796</v>
      </c>
      <c r="B104">
        <v>0.99956657857634634</v>
      </c>
      <c r="C104">
        <v>0.93585726429049387</v>
      </c>
      <c r="D104">
        <v>1.0130857683443351</v>
      </c>
      <c r="E104">
        <v>0.93996513436404694</v>
      </c>
    </row>
    <row r="105" spans="1:5" x14ac:dyDescent="0.3">
      <c r="A105" s="13">
        <v>41799</v>
      </c>
      <c r="B105">
        <v>0.99683075399043219</v>
      </c>
      <c r="C105">
        <v>0.93186499365928088</v>
      </c>
      <c r="D105">
        <v>1.006510411739294</v>
      </c>
      <c r="E105">
        <v>0.93217217830073784</v>
      </c>
    </row>
    <row r="106" spans="1:5" x14ac:dyDescent="0.3">
      <c r="A106" s="13">
        <v>41800</v>
      </c>
      <c r="B106">
        <v>1.0064058814958989</v>
      </c>
      <c r="C106">
        <v>0.94286429569812535</v>
      </c>
      <c r="D106">
        <v>1.0179810162243601</v>
      </c>
      <c r="E106">
        <v>0.94505823454279503</v>
      </c>
    </row>
    <row r="107" spans="1:5" x14ac:dyDescent="0.3">
      <c r="A107" s="13">
        <v>41801</v>
      </c>
      <c r="B107">
        <v>1.009863919240102</v>
      </c>
      <c r="C107">
        <v>0.94684883458909486</v>
      </c>
      <c r="D107">
        <v>1.0226290823932671</v>
      </c>
      <c r="E107">
        <v>0.95001750202239577</v>
      </c>
    </row>
    <row r="108" spans="1:5" x14ac:dyDescent="0.3">
      <c r="A108" s="13">
        <v>41802</v>
      </c>
      <c r="B108">
        <v>1.006329775943029</v>
      </c>
      <c r="C108">
        <v>0.94536406630578107</v>
      </c>
      <c r="D108">
        <v>1.0216633401630579</v>
      </c>
      <c r="E108">
        <v>0.94874599851459895</v>
      </c>
    </row>
    <row r="109" spans="1:5" x14ac:dyDescent="0.3">
      <c r="A109" s="13">
        <v>41803</v>
      </c>
      <c r="B109">
        <v>1.015721570227895</v>
      </c>
      <c r="C109">
        <v>0.95357351079600505</v>
      </c>
      <c r="D109">
        <v>1.031233945689024</v>
      </c>
      <c r="E109">
        <v>0.95831310058580788</v>
      </c>
    </row>
    <row r="110" spans="1:5" x14ac:dyDescent="0.3">
      <c r="A110" s="13">
        <v>41806</v>
      </c>
      <c r="B110">
        <v>1.0211596205946429</v>
      </c>
      <c r="C110">
        <v>0.95827197651998053</v>
      </c>
      <c r="D110">
        <v>1.0363819805495711</v>
      </c>
      <c r="E110">
        <v>0.96318347159436357</v>
      </c>
    </row>
    <row r="111" spans="1:5" x14ac:dyDescent="0.3">
      <c r="A111" s="13">
        <v>41807</v>
      </c>
      <c r="B111">
        <v>1.0118161885205459</v>
      </c>
      <c r="C111">
        <v>0.9491491884575588</v>
      </c>
      <c r="D111">
        <v>1.0274186728504739</v>
      </c>
      <c r="E111">
        <v>0.95308048602946627</v>
      </c>
    </row>
    <row r="112" spans="1:5" x14ac:dyDescent="0.3">
      <c r="A112" s="13">
        <v>41808</v>
      </c>
      <c r="B112">
        <v>1.005671888380028</v>
      </c>
      <c r="C112">
        <v>0.94500185208086041</v>
      </c>
      <c r="D112">
        <v>1.021746622419496</v>
      </c>
      <c r="E112">
        <v>0.94765565492953319</v>
      </c>
    </row>
    <row r="113" spans="1:5" x14ac:dyDescent="0.3">
      <c r="A113" s="13">
        <v>41809</v>
      </c>
      <c r="B113">
        <v>0.98895264392770676</v>
      </c>
      <c r="C113">
        <v>0.92874760824724745</v>
      </c>
      <c r="D113">
        <v>1.004404732932531</v>
      </c>
      <c r="E113">
        <v>0.92726058445566462</v>
      </c>
    </row>
    <row r="114" spans="1:5" x14ac:dyDescent="0.3">
      <c r="A114" s="13">
        <v>41810</v>
      </c>
      <c r="B114">
        <v>0.99640811051328504</v>
      </c>
      <c r="C114">
        <v>0.93453898982684047</v>
      </c>
      <c r="D114">
        <v>1.011751526183909</v>
      </c>
      <c r="E114">
        <v>0.93388697208043814</v>
      </c>
    </row>
    <row r="115" spans="1:5" x14ac:dyDescent="0.3">
      <c r="A115" s="13">
        <v>41813</v>
      </c>
      <c r="B115">
        <v>1.0020775982237149</v>
      </c>
      <c r="C115">
        <v>0.94047901829153158</v>
      </c>
      <c r="D115">
        <v>1.0210165099526809</v>
      </c>
      <c r="E115">
        <v>0.94312838433979052</v>
      </c>
    </row>
    <row r="116" spans="1:5" x14ac:dyDescent="0.3">
      <c r="A116" s="13">
        <v>41814</v>
      </c>
      <c r="B116">
        <v>1.0079438951595061</v>
      </c>
      <c r="C116">
        <v>0.9460792602750544</v>
      </c>
      <c r="D116">
        <v>1.0265010919344111</v>
      </c>
      <c r="E116">
        <v>0.94851592215863789</v>
      </c>
    </row>
    <row r="117" spans="1:5" x14ac:dyDescent="0.3">
      <c r="A117" s="13">
        <v>41815</v>
      </c>
      <c r="B117">
        <v>1.0052999265784479</v>
      </c>
      <c r="C117">
        <v>0.9432671275293123</v>
      </c>
      <c r="D117">
        <v>1.0238062933860539</v>
      </c>
      <c r="E117">
        <v>0.94344422414276474</v>
      </c>
    </row>
    <row r="118" spans="1:5" x14ac:dyDescent="0.3">
      <c r="A118" s="13">
        <v>41816</v>
      </c>
      <c r="B118">
        <v>1.0165005395951601</v>
      </c>
      <c r="C118">
        <v>0.95213232911223333</v>
      </c>
      <c r="D118">
        <v>1.034336922046204</v>
      </c>
      <c r="E118">
        <v>0.95445684251862117</v>
      </c>
    </row>
    <row r="119" spans="1:5" x14ac:dyDescent="0.3">
      <c r="A119" s="13">
        <v>41817</v>
      </c>
      <c r="B119">
        <v>1.0194929144840881</v>
      </c>
      <c r="C119">
        <v>0.95536875842808577</v>
      </c>
      <c r="D119">
        <v>1.038348862639761</v>
      </c>
      <c r="E119">
        <v>0.95759205391573532</v>
      </c>
    </row>
    <row r="120" spans="1:5" x14ac:dyDescent="0.3">
      <c r="A120" s="13">
        <v>41820</v>
      </c>
      <c r="B120">
        <v>1.026528606028809</v>
      </c>
      <c r="C120">
        <v>0.96241990366759811</v>
      </c>
      <c r="D120">
        <v>1.0471650764589919</v>
      </c>
      <c r="E120">
        <v>0.96736080887191056</v>
      </c>
    </row>
    <row r="121" spans="1:5" x14ac:dyDescent="0.3">
      <c r="A121" s="13">
        <v>41821</v>
      </c>
      <c r="B121">
        <v>1.02958812431916</v>
      </c>
      <c r="C121">
        <v>0.96346214956499554</v>
      </c>
      <c r="D121">
        <v>1.0484872268971051</v>
      </c>
      <c r="E121">
        <v>0.9689695967324754</v>
      </c>
    </row>
    <row r="122" spans="1:5" x14ac:dyDescent="0.3">
      <c r="A122" s="13">
        <v>41822</v>
      </c>
      <c r="B122">
        <v>1.031953981883007</v>
      </c>
      <c r="C122">
        <v>0.96541619210344165</v>
      </c>
      <c r="D122">
        <v>1.052747158230803</v>
      </c>
      <c r="E122">
        <v>0.97370264784922311</v>
      </c>
    </row>
    <row r="123" spans="1:5" x14ac:dyDescent="0.3">
      <c r="A123" s="13">
        <v>41823</v>
      </c>
      <c r="B123">
        <v>1.0377741166796639</v>
      </c>
      <c r="C123">
        <v>0.96987792195899103</v>
      </c>
      <c r="D123">
        <v>1.0566217998912439</v>
      </c>
      <c r="E123">
        <v>0.97722169453651997</v>
      </c>
    </row>
    <row r="124" spans="1:5" x14ac:dyDescent="0.3">
      <c r="A124" s="13">
        <v>41824</v>
      </c>
      <c r="B124">
        <v>1.037245501320166</v>
      </c>
      <c r="C124">
        <v>0.96848438373965584</v>
      </c>
      <c r="D124">
        <v>1.053939688976635</v>
      </c>
      <c r="E124">
        <v>0.97550560358419125</v>
      </c>
    </row>
    <row r="125" spans="1:5" x14ac:dyDescent="0.3">
      <c r="A125" s="13">
        <v>41827</v>
      </c>
      <c r="B125">
        <v>1.0370653609989371</v>
      </c>
      <c r="C125">
        <v>0.96554772964629654</v>
      </c>
      <c r="D125">
        <v>1.050680747600004</v>
      </c>
      <c r="E125">
        <v>0.97033257670302131</v>
      </c>
    </row>
    <row r="126" spans="1:5" x14ac:dyDescent="0.3">
      <c r="A126" s="13">
        <v>41828</v>
      </c>
      <c r="B126">
        <v>1.040711437036514</v>
      </c>
      <c r="C126">
        <v>0.97080198252519589</v>
      </c>
      <c r="D126">
        <v>1.054860118726604</v>
      </c>
      <c r="E126">
        <v>0.97658568819415592</v>
      </c>
    </row>
    <row r="127" spans="1:5" x14ac:dyDescent="0.3">
      <c r="A127" s="13">
        <v>41829</v>
      </c>
      <c r="B127">
        <v>1.026438882762039</v>
      </c>
      <c r="C127">
        <v>0.95750727061568386</v>
      </c>
      <c r="D127">
        <v>1.0432593578633209</v>
      </c>
      <c r="E127">
        <v>0.9629887420808414</v>
      </c>
    </row>
    <row r="128" spans="1:5" x14ac:dyDescent="0.3">
      <c r="A128" s="13">
        <v>41830</v>
      </c>
      <c r="B128">
        <v>1.024234692084893</v>
      </c>
      <c r="C128">
        <v>0.95350681179612773</v>
      </c>
      <c r="D128">
        <v>1.037892889231224</v>
      </c>
      <c r="E128">
        <v>0.95599050344869008</v>
      </c>
    </row>
    <row r="129" spans="1:5" x14ac:dyDescent="0.3">
      <c r="A129" s="13">
        <v>41831</v>
      </c>
      <c r="B129">
        <v>1.031678648530499</v>
      </c>
      <c r="C129">
        <v>0.95797696916265562</v>
      </c>
      <c r="D129">
        <v>1.0424656194790149</v>
      </c>
      <c r="E129">
        <v>0.95752642710117664</v>
      </c>
    </row>
    <row r="130" spans="1:5" x14ac:dyDescent="0.3">
      <c r="A130" s="13">
        <v>41834</v>
      </c>
      <c r="B130">
        <v>1.046679120527986</v>
      </c>
      <c r="C130">
        <v>0.97026456007575879</v>
      </c>
      <c r="D130">
        <v>1.049891321659961</v>
      </c>
      <c r="E130">
        <v>0.96611666871072543</v>
      </c>
    </row>
    <row r="131" spans="1:5" x14ac:dyDescent="0.3">
      <c r="A131" s="13">
        <v>41835</v>
      </c>
      <c r="B131">
        <v>1.045219797121794</v>
      </c>
      <c r="C131">
        <v>0.96957064703954721</v>
      </c>
      <c r="D131">
        <v>1.044314599527538</v>
      </c>
      <c r="E131">
        <v>0.96108950948508909</v>
      </c>
    </row>
    <row r="132" spans="1:5" x14ac:dyDescent="0.3">
      <c r="A132" s="13">
        <v>41836</v>
      </c>
      <c r="B132">
        <v>1.0373424839807439</v>
      </c>
      <c r="C132">
        <v>0.96367323788450399</v>
      </c>
      <c r="D132">
        <v>1.035833009606566</v>
      </c>
      <c r="E132">
        <v>0.95037988260563344</v>
      </c>
    </row>
    <row r="133" spans="1:5" x14ac:dyDescent="0.3">
      <c r="A133" s="13">
        <v>41837</v>
      </c>
      <c r="B133">
        <v>1.032928800396631</v>
      </c>
      <c r="C133">
        <v>0.95874572871551678</v>
      </c>
      <c r="D133">
        <v>1.0320111148999049</v>
      </c>
      <c r="E133">
        <v>0.94569995598267231</v>
      </c>
    </row>
    <row r="134" spans="1:5" x14ac:dyDescent="0.3">
      <c r="A134" s="13">
        <v>41838</v>
      </c>
      <c r="B134">
        <v>1.039190184083753</v>
      </c>
      <c r="C134">
        <v>0.9638365290480031</v>
      </c>
      <c r="D134">
        <v>1.033672654024522</v>
      </c>
      <c r="E134">
        <v>0.94731395408590213</v>
      </c>
    </row>
    <row r="135" spans="1:5" x14ac:dyDescent="0.3">
      <c r="A135" s="13">
        <v>41841</v>
      </c>
      <c r="B135">
        <v>1.039538548910609</v>
      </c>
      <c r="C135">
        <v>0.96649040322698998</v>
      </c>
      <c r="D135">
        <v>1.0346377346669451</v>
      </c>
      <c r="E135">
        <v>0.94907988374854158</v>
      </c>
    </row>
    <row r="136" spans="1:5" x14ac:dyDescent="0.3">
      <c r="A136" s="13">
        <v>41842</v>
      </c>
      <c r="B136">
        <v>1.0515282356494371</v>
      </c>
      <c r="C136">
        <v>0.97884474043868863</v>
      </c>
      <c r="D136">
        <v>1.043574188996057</v>
      </c>
      <c r="E136">
        <v>0.96053082811361312</v>
      </c>
    </row>
    <row r="137" spans="1:5" x14ac:dyDescent="0.3">
      <c r="A137" s="13">
        <v>41843</v>
      </c>
      <c r="B137">
        <v>1.047712056773787</v>
      </c>
      <c r="C137">
        <v>0.97325844886793722</v>
      </c>
      <c r="D137">
        <v>1.0342517840465739</v>
      </c>
      <c r="E137">
        <v>0.94900638381852076</v>
      </c>
    </row>
    <row r="138" spans="1:5" x14ac:dyDescent="0.3">
      <c r="A138" s="13">
        <v>41844</v>
      </c>
      <c r="B138">
        <v>1.053748906460763</v>
      </c>
      <c r="C138">
        <v>0.97791934796219826</v>
      </c>
      <c r="D138">
        <v>1.0316110752072121</v>
      </c>
      <c r="E138">
        <v>0.94630450641411035</v>
      </c>
    </row>
    <row r="139" spans="1:5" x14ac:dyDescent="0.3">
      <c r="A139" s="13">
        <v>41845</v>
      </c>
      <c r="B139">
        <v>1.0623843912789259</v>
      </c>
      <c r="C139">
        <v>0.98610725836275992</v>
      </c>
      <c r="D139">
        <v>1.0375138184667161</v>
      </c>
      <c r="E139">
        <v>0.95327485479389817</v>
      </c>
    </row>
    <row r="140" spans="1:5" x14ac:dyDescent="0.3">
      <c r="A140" s="13">
        <v>41848</v>
      </c>
      <c r="B140">
        <v>1.0802340461820501</v>
      </c>
      <c r="C140">
        <v>1.002215832174383</v>
      </c>
      <c r="D140">
        <v>1.0498346170423249</v>
      </c>
      <c r="E140">
        <v>0.96934901322689881</v>
      </c>
    </row>
    <row r="141" spans="1:5" x14ac:dyDescent="0.3">
      <c r="A141" s="13">
        <v>41849</v>
      </c>
      <c r="B141">
        <v>1.0842411712495399</v>
      </c>
      <c r="C141">
        <v>1.007427398077392</v>
      </c>
      <c r="D141">
        <v>1.056993953298381</v>
      </c>
      <c r="E141">
        <v>0.97842540870991968</v>
      </c>
    </row>
    <row r="142" spans="1:5" x14ac:dyDescent="0.3">
      <c r="A142" s="13">
        <v>41850</v>
      </c>
      <c r="B142">
        <v>1.081723816510892</v>
      </c>
      <c r="C142">
        <v>1.0071180145806991</v>
      </c>
      <c r="D142">
        <v>1.058831401395502</v>
      </c>
      <c r="E142">
        <v>0.98181517697434706</v>
      </c>
    </row>
    <row r="143" spans="1:5" x14ac:dyDescent="0.3">
      <c r="A143" s="13">
        <v>41851</v>
      </c>
      <c r="B143">
        <v>1.0916262731496249</v>
      </c>
      <c r="C143">
        <v>1.016432849126242</v>
      </c>
      <c r="D143">
        <v>1.064538627339471</v>
      </c>
      <c r="E143">
        <v>0.9866084805852412</v>
      </c>
    </row>
    <row r="144" spans="1:5" x14ac:dyDescent="0.3">
      <c r="A144" s="13">
        <v>41852</v>
      </c>
      <c r="B144">
        <v>1.0831944941158631</v>
      </c>
      <c r="C144">
        <v>1.009989341875434</v>
      </c>
      <c r="D144">
        <v>1.056971887580527</v>
      </c>
      <c r="E144">
        <v>0.9795532218560018</v>
      </c>
    </row>
    <row r="145" spans="1:5" x14ac:dyDescent="0.3">
      <c r="A145" s="13">
        <v>41855</v>
      </c>
      <c r="B145">
        <v>1.0997469748966839</v>
      </c>
      <c r="C145">
        <v>1.022800060607967</v>
      </c>
      <c r="D145">
        <v>1.0674995743504909</v>
      </c>
      <c r="E145">
        <v>0.98897529108619775</v>
      </c>
    </row>
    <row r="146" spans="1:5" x14ac:dyDescent="0.3">
      <c r="A146" s="13">
        <v>41856</v>
      </c>
      <c r="B146">
        <v>1.1016656513555501</v>
      </c>
      <c r="C146">
        <v>1.0243212743752581</v>
      </c>
      <c r="D146">
        <v>1.0728337687710019</v>
      </c>
      <c r="E146">
        <v>0.99463643803982327</v>
      </c>
    </row>
    <row r="147" spans="1:5" x14ac:dyDescent="0.3">
      <c r="A147" s="13">
        <v>41857</v>
      </c>
      <c r="B147">
        <v>1.1017368401744729</v>
      </c>
      <c r="C147">
        <v>1.024218411843218</v>
      </c>
      <c r="D147">
        <v>1.074715700081698</v>
      </c>
      <c r="E147">
        <v>0.99663102335933662</v>
      </c>
    </row>
    <row r="148" spans="1:5" x14ac:dyDescent="0.3">
      <c r="A148" s="13">
        <v>41858</v>
      </c>
      <c r="B148">
        <v>1.0914637044379181</v>
      </c>
      <c r="C148">
        <v>1.0136166526239001</v>
      </c>
      <c r="D148">
        <v>1.0688304561113391</v>
      </c>
      <c r="E148">
        <v>0.98950544160709075</v>
      </c>
    </row>
    <row r="149" spans="1:5" x14ac:dyDescent="0.3">
      <c r="A149" s="13">
        <v>41859</v>
      </c>
      <c r="B149">
        <v>1.0962630054685529</v>
      </c>
      <c r="C149">
        <v>1.0171489875535571</v>
      </c>
      <c r="D149">
        <v>1.0749141231369519</v>
      </c>
      <c r="E149">
        <v>0.99513446699129593</v>
      </c>
    </row>
    <row r="150" spans="1:5" x14ac:dyDescent="0.3">
      <c r="A150" s="13">
        <v>41862</v>
      </c>
      <c r="B150">
        <v>1.112861186121975</v>
      </c>
      <c r="C150">
        <v>1.0310961689299909</v>
      </c>
      <c r="D150">
        <v>1.0876997172187499</v>
      </c>
      <c r="E150">
        <v>1.008318721158737</v>
      </c>
    </row>
    <row r="151" spans="1:5" x14ac:dyDescent="0.3">
      <c r="A151" s="13">
        <v>41863</v>
      </c>
      <c r="B151">
        <v>1.113962161326802</v>
      </c>
      <c r="C151">
        <v>1.0311317774718061</v>
      </c>
      <c r="D151">
        <v>1.090392181190182</v>
      </c>
      <c r="E151">
        <v>1.009639120947512</v>
      </c>
    </row>
    <row r="152" spans="1:5" x14ac:dyDescent="0.3">
      <c r="A152" s="13">
        <v>41864</v>
      </c>
      <c r="B152">
        <v>1.1151951673129969</v>
      </c>
      <c r="C152">
        <v>1.029908774878979</v>
      </c>
      <c r="D152">
        <v>1.0879599072171331</v>
      </c>
      <c r="E152">
        <v>1.0077011684386681</v>
      </c>
    </row>
    <row r="153" spans="1:5" x14ac:dyDescent="0.3">
      <c r="A153" s="13">
        <v>41865</v>
      </c>
      <c r="B153">
        <v>1.1084735234867911</v>
      </c>
      <c r="C153">
        <v>1.021798726103748</v>
      </c>
      <c r="D153">
        <v>1.081882909741281</v>
      </c>
      <c r="E153">
        <v>1.0022904104249579</v>
      </c>
    </row>
    <row r="154" spans="1:5" x14ac:dyDescent="0.3">
      <c r="A154" s="13">
        <v>41866</v>
      </c>
      <c r="B154">
        <v>1.119129962594311</v>
      </c>
      <c r="C154">
        <v>1.0306952786059089</v>
      </c>
      <c r="D154">
        <v>1.0911036523603139</v>
      </c>
      <c r="E154">
        <v>1.0114380456065271</v>
      </c>
    </row>
    <row r="155" spans="1:5" x14ac:dyDescent="0.3">
      <c r="A155" s="13">
        <v>41869</v>
      </c>
      <c r="B155">
        <v>1.13042118514071</v>
      </c>
      <c r="C155">
        <v>1.039157211317552</v>
      </c>
      <c r="D155">
        <v>1.1024688459717391</v>
      </c>
      <c r="E155">
        <v>1.0245450264010609</v>
      </c>
    </row>
    <row r="156" spans="1:5" x14ac:dyDescent="0.3">
      <c r="A156" s="13">
        <v>41870</v>
      </c>
      <c r="B156">
        <v>1.132161290454724</v>
      </c>
      <c r="C156">
        <v>1.0409270792696019</v>
      </c>
      <c r="D156">
        <v>1.105502340413947</v>
      </c>
      <c r="E156">
        <v>1.0268056308511611</v>
      </c>
    </row>
    <row r="157" spans="1:5" x14ac:dyDescent="0.3">
      <c r="A157" s="13">
        <v>41871</v>
      </c>
      <c r="B157">
        <v>1.130531496670665</v>
      </c>
      <c r="C157">
        <v>1.0367481862339241</v>
      </c>
      <c r="D157">
        <v>1.102436274898287</v>
      </c>
      <c r="E157">
        <v>1.0239044752929429</v>
      </c>
    </row>
    <row r="158" spans="1:5" x14ac:dyDescent="0.3">
      <c r="A158" s="13">
        <v>41872</v>
      </c>
      <c r="B158">
        <v>1.1305637152957111</v>
      </c>
      <c r="C158">
        <v>1.0354729074932649</v>
      </c>
      <c r="D158">
        <v>1.1050300990926381</v>
      </c>
      <c r="E158">
        <v>1.025072737711441</v>
      </c>
    </row>
    <row r="159" spans="1:5" x14ac:dyDescent="0.3">
      <c r="A159" s="13">
        <v>41873</v>
      </c>
      <c r="B159">
        <v>1.138901580211847</v>
      </c>
      <c r="C159">
        <v>1.0400191711700379</v>
      </c>
      <c r="D159">
        <v>1.1116213092645899</v>
      </c>
      <c r="E159">
        <v>1.0318092383153941</v>
      </c>
    </row>
    <row r="160" spans="1:5" x14ac:dyDescent="0.3">
      <c r="A160" s="13">
        <v>41876</v>
      </c>
      <c r="B160">
        <v>1.1304307489092811</v>
      </c>
      <c r="C160">
        <v>1.0317409538917699</v>
      </c>
      <c r="D160">
        <v>1.106008386482503</v>
      </c>
      <c r="E160">
        <v>1.0259714794258299</v>
      </c>
    </row>
    <row r="161" spans="1:5" x14ac:dyDescent="0.3">
      <c r="A161" s="13">
        <v>41877</v>
      </c>
      <c r="B161">
        <v>1.113584346085541</v>
      </c>
      <c r="C161">
        <v>1.018998256024243</v>
      </c>
      <c r="D161">
        <v>1.0910637724434891</v>
      </c>
      <c r="E161">
        <v>1.0109178938969261</v>
      </c>
    </row>
    <row r="162" spans="1:5" x14ac:dyDescent="0.3">
      <c r="A162" s="13">
        <v>41878</v>
      </c>
      <c r="B162">
        <v>1.1186679432173841</v>
      </c>
      <c r="C162">
        <v>1.0212495006934521</v>
      </c>
      <c r="D162">
        <v>1.093863038721715</v>
      </c>
      <c r="E162">
        <v>1.0153621574071949</v>
      </c>
    </row>
    <row r="163" spans="1:5" x14ac:dyDescent="0.3">
      <c r="A163" s="13">
        <v>41879</v>
      </c>
      <c r="B163">
        <v>1.110058382565795</v>
      </c>
      <c r="C163">
        <v>1.015752605837519</v>
      </c>
      <c r="D163">
        <v>1.08683575938499</v>
      </c>
      <c r="E163">
        <v>1.0084819295657561</v>
      </c>
    </row>
    <row r="164" spans="1:5" x14ac:dyDescent="0.3">
      <c r="A164" s="13">
        <v>41880</v>
      </c>
      <c r="B164">
        <v>1.1213691599566029</v>
      </c>
      <c r="C164">
        <v>1.0265941432189809</v>
      </c>
      <c r="D164">
        <v>1.096674613504367</v>
      </c>
      <c r="E164">
        <v>1.0188465738304</v>
      </c>
    </row>
    <row r="165" spans="1:5" x14ac:dyDescent="0.3">
      <c r="A165" s="13">
        <v>41883</v>
      </c>
      <c r="B165">
        <v>1.134078461868681</v>
      </c>
      <c r="C165">
        <v>1.037904513582572</v>
      </c>
      <c r="D165">
        <v>1.111020406920443</v>
      </c>
      <c r="E165">
        <v>1.035398972916326</v>
      </c>
    </row>
    <row r="166" spans="1:5" x14ac:dyDescent="0.3">
      <c r="A166" s="13">
        <v>41884</v>
      </c>
      <c r="B166">
        <v>1.1481640725452631</v>
      </c>
      <c r="C166">
        <v>1.0480285649982199</v>
      </c>
      <c r="D166">
        <v>1.1219101250953021</v>
      </c>
      <c r="E166">
        <v>1.047736887747029</v>
      </c>
    </row>
    <row r="167" spans="1:5" x14ac:dyDescent="0.3">
      <c r="A167" s="13">
        <v>41885</v>
      </c>
      <c r="B167">
        <v>1.159022040906587</v>
      </c>
      <c r="C167">
        <v>1.0558486155875419</v>
      </c>
      <c r="D167">
        <v>1.1291991966850581</v>
      </c>
      <c r="E167">
        <v>1.0557837500689</v>
      </c>
    </row>
    <row r="168" spans="1:5" x14ac:dyDescent="0.3">
      <c r="A168" s="13">
        <v>41886</v>
      </c>
      <c r="B168">
        <v>1.1687458446351191</v>
      </c>
      <c r="C168">
        <v>1.0600615648310581</v>
      </c>
      <c r="D168">
        <v>1.136063892048286</v>
      </c>
      <c r="E168">
        <v>1.0628840432015541</v>
      </c>
    </row>
    <row r="169" spans="1:5" x14ac:dyDescent="0.3">
      <c r="A169" s="13">
        <v>41887</v>
      </c>
      <c r="B169">
        <v>1.176680369578381</v>
      </c>
      <c r="C169">
        <v>1.0650068464288851</v>
      </c>
      <c r="D169">
        <v>1.138239263268092</v>
      </c>
      <c r="E169">
        <v>1.066146665639135</v>
      </c>
    </row>
    <row r="170" spans="1:5" x14ac:dyDescent="0.3">
      <c r="A170" s="13">
        <v>41891</v>
      </c>
      <c r="B170">
        <v>1.177587483488908</v>
      </c>
      <c r="C170">
        <v>1.064217606907008</v>
      </c>
      <c r="D170">
        <v>1.141469457885661</v>
      </c>
      <c r="E170">
        <v>1.0683093075462879</v>
      </c>
    </row>
    <row r="171" spans="1:5" x14ac:dyDescent="0.3">
      <c r="A171" s="13">
        <v>41892</v>
      </c>
      <c r="B171">
        <v>1.1778134986748361</v>
      </c>
      <c r="C171">
        <v>1.0635961779524561</v>
      </c>
      <c r="D171">
        <v>1.1436500936409419</v>
      </c>
      <c r="E171">
        <v>1.070714642012401</v>
      </c>
    </row>
    <row r="172" spans="1:5" x14ac:dyDescent="0.3">
      <c r="A172" s="13">
        <v>41893</v>
      </c>
      <c r="B172">
        <v>1.1754629953460729</v>
      </c>
      <c r="C172">
        <v>1.0612642921272739</v>
      </c>
      <c r="D172">
        <v>1.143039418805966</v>
      </c>
      <c r="E172">
        <v>1.070242605033207</v>
      </c>
    </row>
    <row r="173" spans="1:5" x14ac:dyDescent="0.3">
      <c r="A173" s="13">
        <v>41894</v>
      </c>
      <c r="B173">
        <v>1.18499405020344</v>
      </c>
      <c r="C173">
        <v>1.066163163829019</v>
      </c>
      <c r="D173">
        <v>1.151728269273008</v>
      </c>
      <c r="E173">
        <v>1.0788386127070031</v>
      </c>
    </row>
    <row r="174" spans="1:5" x14ac:dyDescent="0.3">
      <c r="A174" s="13">
        <v>41897</v>
      </c>
      <c r="B174">
        <v>1.187880714752672</v>
      </c>
      <c r="C174">
        <v>1.067947424086896</v>
      </c>
      <c r="D174">
        <v>1.1569858376274369</v>
      </c>
      <c r="E174">
        <v>1.083268829356185</v>
      </c>
    </row>
    <row r="175" spans="1:5" x14ac:dyDescent="0.3">
      <c r="A175" s="13">
        <v>41898</v>
      </c>
      <c r="B175">
        <v>1.1557661288912291</v>
      </c>
      <c r="C175">
        <v>1.0416781812212379</v>
      </c>
      <c r="D175">
        <v>1.1257141768107941</v>
      </c>
      <c r="E175">
        <v>1.0510850551687101</v>
      </c>
    </row>
    <row r="176" spans="1:5" x14ac:dyDescent="0.3">
      <c r="A176" s="13">
        <v>41899</v>
      </c>
      <c r="B176">
        <v>1.161958200392526</v>
      </c>
      <c r="C176">
        <v>1.046297867035813</v>
      </c>
      <c r="D176">
        <v>1.1305106589341649</v>
      </c>
      <c r="E176">
        <v>1.055316513934383</v>
      </c>
    </row>
    <row r="177" spans="1:5" x14ac:dyDescent="0.3">
      <c r="A177" s="13">
        <v>41900</v>
      </c>
      <c r="B177">
        <v>1.168354467405319</v>
      </c>
      <c r="C177">
        <v>1.052010126689642</v>
      </c>
      <c r="D177">
        <v>1.137142428429045</v>
      </c>
      <c r="E177">
        <v>1.0630193865121109</v>
      </c>
    </row>
    <row r="178" spans="1:5" x14ac:dyDescent="0.3">
      <c r="A178" s="13">
        <v>41901</v>
      </c>
      <c r="B178">
        <v>1.1793958769445601</v>
      </c>
      <c r="C178">
        <v>1.05859653002498</v>
      </c>
      <c r="D178">
        <v>1.146142464092375</v>
      </c>
      <c r="E178">
        <v>1.0729241687190409</v>
      </c>
    </row>
    <row r="179" spans="1:5" x14ac:dyDescent="0.3">
      <c r="A179" s="13">
        <v>41904</v>
      </c>
      <c r="B179">
        <v>1.164330721157965</v>
      </c>
      <c r="C179">
        <v>1.0459692536993079</v>
      </c>
      <c r="D179">
        <v>1.1363309244277531</v>
      </c>
      <c r="E179">
        <v>1.0618654120109281</v>
      </c>
    </row>
    <row r="180" spans="1:5" x14ac:dyDescent="0.3">
      <c r="A180" s="13">
        <v>41905</v>
      </c>
      <c r="B180">
        <v>1.178607659261816</v>
      </c>
      <c r="C180">
        <v>1.054370064938509</v>
      </c>
      <c r="D180">
        <v>1.146407813722063</v>
      </c>
      <c r="E180">
        <v>1.073056961485634</v>
      </c>
    </row>
    <row r="181" spans="1:5" x14ac:dyDescent="0.3">
      <c r="A181" s="13">
        <v>41906</v>
      </c>
      <c r="B181">
        <v>1.194498170076375</v>
      </c>
      <c r="C181">
        <v>1.066424589012799</v>
      </c>
      <c r="D181">
        <v>1.1569653535427009</v>
      </c>
      <c r="E181">
        <v>1.0847549108742329</v>
      </c>
    </row>
    <row r="182" spans="1:5" x14ac:dyDescent="0.3">
      <c r="A182" s="13">
        <v>41907</v>
      </c>
      <c r="B182">
        <v>1.194288718696396</v>
      </c>
      <c r="C182">
        <v>1.0647984755554121</v>
      </c>
      <c r="D182">
        <v>1.1573769070545501</v>
      </c>
      <c r="E182">
        <v>1.0851724577546491</v>
      </c>
    </row>
    <row r="183" spans="1:5" x14ac:dyDescent="0.3">
      <c r="A183" s="13">
        <v>41908</v>
      </c>
      <c r="B183">
        <v>1.197429554081622</v>
      </c>
      <c r="C183">
        <v>1.06556624573964</v>
      </c>
      <c r="D183">
        <v>1.1599598200150101</v>
      </c>
      <c r="E183">
        <v>1.087438643637429</v>
      </c>
    </row>
    <row r="184" spans="1:5" x14ac:dyDescent="0.3">
      <c r="A184" s="13">
        <v>41911</v>
      </c>
      <c r="B184">
        <v>1.2066200260157349</v>
      </c>
      <c r="C184">
        <v>1.071012428984641</v>
      </c>
      <c r="D184">
        <v>1.1670603637875681</v>
      </c>
      <c r="E184">
        <v>1.095411030542716</v>
      </c>
    </row>
    <row r="185" spans="1:5" x14ac:dyDescent="0.3">
      <c r="A185" s="13">
        <v>41912</v>
      </c>
      <c r="B185">
        <v>1.2094417702234059</v>
      </c>
      <c r="C185">
        <v>1.0744171089469801</v>
      </c>
      <c r="D185">
        <v>1.172968348633906</v>
      </c>
      <c r="E185">
        <v>1.100832473012995</v>
      </c>
    </row>
    <row r="186" spans="1:5" x14ac:dyDescent="0.3">
      <c r="A186" s="13">
        <v>41920</v>
      </c>
      <c r="B186">
        <v>1.2226249452604809</v>
      </c>
      <c r="C186">
        <v>1.0870093895454409</v>
      </c>
      <c r="D186">
        <v>1.183826366498695</v>
      </c>
      <c r="E186">
        <v>1.1145684649532099</v>
      </c>
    </row>
    <row r="187" spans="1:5" x14ac:dyDescent="0.3">
      <c r="A187" s="13">
        <v>41921</v>
      </c>
      <c r="B187">
        <v>1.222737775820973</v>
      </c>
      <c r="C187">
        <v>1.0887112540435311</v>
      </c>
      <c r="D187">
        <v>1.1839682156128839</v>
      </c>
      <c r="E187">
        <v>1.115146485868926</v>
      </c>
    </row>
    <row r="188" spans="1:5" x14ac:dyDescent="0.3">
      <c r="A188" s="13">
        <v>41922</v>
      </c>
      <c r="B188">
        <v>1.2165502763598499</v>
      </c>
      <c r="C188">
        <v>1.082309152989118</v>
      </c>
      <c r="D188">
        <v>1.1765970088112969</v>
      </c>
      <c r="E188">
        <v>1.110361200394985</v>
      </c>
    </row>
    <row r="189" spans="1:5" x14ac:dyDescent="0.3">
      <c r="A189" s="13">
        <v>41925</v>
      </c>
      <c r="B189">
        <v>1.2122630559269409</v>
      </c>
      <c r="C189">
        <v>1.078483142907642</v>
      </c>
      <c r="D189">
        <v>1.1728392376065311</v>
      </c>
      <c r="E189">
        <v>1.104438399382949</v>
      </c>
    </row>
    <row r="190" spans="1:5" x14ac:dyDescent="0.3">
      <c r="A190" s="13">
        <v>41926</v>
      </c>
      <c r="B190">
        <v>1.20874900370488</v>
      </c>
      <c r="C190">
        <v>1.073254683673452</v>
      </c>
      <c r="D190">
        <v>1.1693757004498291</v>
      </c>
      <c r="E190">
        <v>1.099294605725299</v>
      </c>
    </row>
    <row r="191" spans="1:5" x14ac:dyDescent="0.3">
      <c r="A191" s="13">
        <v>41927</v>
      </c>
      <c r="B191">
        <v>1.2143527998310299</v>
      </c>
      <c r="C191">
        <v>1.0768495392271069</v>
      </c>
      <c r="D191">
        <v>1.172750749185415</v>
      </c>
      <c r="E191">
        <v>1.103832916673595</v>
      </c>
    </row>
    <row r="192" spans="1:5" x14ac:dyDescent="0.3">
      <c r="A192" s="13">
        <v>41928</v>
      </c>
      <c r="B192">
        <v>1.202521160131516</v>
      </c>
      <c r="C192">
        <v>1.065928831217692</v>
      </c>
      <c r="D192">
        <v>1.1605845402696899</v>
      </c>
      <c r="E192">
        <v>1.092529508294948</v>
      </c>
    </row>
    <row r="193" spans="1:5" x14ac:dyDescent="0.3">
      <c r="A193" s="13">
        <v>41929</v>
      </c>
      <c r="B193">
        <v>1.1971325480142141</v>
      </c>
      <c r="C193">
        <v>1.06384604118823</v>
      </c>
      <c r="D193">
        <v>1.152263726544122</v>
      </c>
      <c r="E193">
        <v>1.084016660653512</v>
      </c>
    </row>
    <row r="194" spans="1:5" x14ac:dyDescent="0.3">
      <c r="A194" s="13">
        <v>41932</v>
      </c>
      <c r="B194">
        <v>1.209518135463501</v>
      </c>
      <c r="C194">
        <v>1.072094992537385</v>
      </c>
      <c r="D194">
        <v>1.165390512862932</v>
      </c>
      <c r="E194">
        <v>1.09688397292797</v>
      </c>
    </row>
    <row r="195" spans="1:5" x14ac:dyDescent="0.3">
      <c r="A195" s="13">
        <v>41933</v>
      </c>
      <c r="B195">
        <v>1.20081358080024</v>
      </c>
      <c r="C195">
        <v>1.0647983979003179</v>
      </c>
      <c r="D195">
        <v>1.157846724737015</v>
      </c>
      <c r="E195">
        <v>1.0889821940620099</v>
      </c>
    </row>
    <row r="196" spans="1:5" x14ac:dyDescent="0.3">
      <c r="A196" s="13">
        <v>41934</v>
      </c>
      <c r="B196">
        <v>1.1910496634953469</v>
      </c>
      <c r="C196">
        <v>1.057193102039756</v>
      </c>
      <c r="D196">
        <v>1.148389604632795</v>
      </c>
      <c r="E196">
        <v>1.079413916447699</v>
      </c>
    </row>
    <row r="197" spans="1:5" x14ac:dyDescent="0.3">
      <c r="A197" s="13">
        <v>41935</v>
      </c>
      <c r="B197">
        <v>1.177008612862767</v>
      </c>
      <c r="C197">
        <v>1.0471130256922261</v>
      </c>
      <c r="D197">
        <v>1.136673353795808</v>
      </c>
      <c r="E197">
        <v>1.067353974415173</v>
      </c>
    </row>
    <row r="198" spans="1:5" x14ac:dyDescent="0.3">
      <c r="A198" s="13">
        <v>41936</v>
      </c>
      <c r="B198">
        <v>1.178487722237695</v>
      </c>
      <c r="C198">
        <v>1.048675574409992</v>
      </c>
      <c r="D198">
        <v>1.1389892596426701</v>
      </c>
      <c r="E198">
        <v>1.068167721730277</v>
      </c>
    </row>
    <row r="199" spans="1:5" x14ac:dyDescent="0.3">
      <c r="A199" s="13">
        <v>41939</v>
      </c>
      <c r="B199">
        <v>1.17994840229386</v>
      </c>
      <c r="C199">
        <v>1.0501839290520361</v>
      </c>
      <c r="D199">
        <v>1.1474881920570521</v>
      </c>
      <c r="E199">
        <v>1.076215704637145</v>
      </c>
    </row>
    <row r="200" spans="1:5" x14ac:dyDescent="0.3">
      <c r="A200" s="13">
        <v>41940</v>
      </c>
      <c r="B200">
        <v>1.2036981952324031</v>
      </c>
      <c r="C200">
        <v>1.0666735516864569</v>
      </c>
      <c r="D200">
        <v>1.1669846729191251</v>
      </c>
      <c r="E200">
        <v>1.0994995931267919</v>
      </c>
    </row>
    <row r="201" spans="1:5" x14ac:dyDescent="0.3">
      <c r="A201" s="13">
        <v>41941</v>
      </c>
      <c r="B201">
        <v>1.219542166776223</v>
      </c>
      <c r="C201">
        <v>1.0749944373838809</v>
      </c>
      <c r="D201">
        <v>1.1734480755180861</v>
      </c>
      <c r="E201">
        <v>1.111345166906279</v>
      </c>
    </row>
    <row r="202" spans="1:5" x14ac:dyDescent="0.3">
      <c r="A202" s="13">
        <v>41942</v>
      </c>
      <c r="B202">
        <v>1.2207809027411569</v>
      </c>
      <c r="C202">
        <v>1.074739295652213</v>
      </c>
      <c r="D202">
        <v>1.1713110251607659</v>
      </c>
      <c r="E202">
        <v>1.109659959147254</v>
      </c>
    </row>
    <row r="203" spans="1:5" x14ac:dyDescent="0.3">
      <c r="A203" s="13">
        <v>41943</v>
      </c>
      <c r="B203">
        <v>1.2277921265713021</v>
      </c>
      <c r="C203">
        <v>1.0774563815563429</v>
      </c>
      <c r="D203">
        <v>1.1666241346498949</v>
      </c>
      <c r="E203">
        <v>1.106076014030962</v>
      </c>
    </row>
    <row r="204" spans="1:5" x14ac:dyDescent="0.3">
      <c r="A204" s="13">
        <v>41946</v>
      </c>
      <c r="B204">
        <v>1.2336169749917441</v>
      </c>
      <c r="C204">
        <v>1.0801142323872721</v>
      </c>
      <c r="D204">
        <v>1.170527237788753</v>
      </c>
      <c r="E204">
        <v>1.113048605309729</v>
      </c>
    </row>
    <row r="205" spans="1:5" x14ac:dyDescent="0.3">
      <c r="A205" s="13">
        <v>41947</v>
      </c>
      <c r="B205">
        <v>1.224731717631619</v>
      </c>
      <c r="C205">
        <v>1.075066665426281</v>
      </c>
      <c r="D205">
        <v>1.163474418606016</v>
      </c>
      <c r="E205">
        <v>1.1054808381567709</v>
      </c>
    </row>
    <row r="206" spans="1:5" x14ac:dyDescent="0.3">
      <c r="A206" s="13">
        <v>41948</v>
      </c>
      <c r="B206">
        <v>1.224617498329196</v>
      </c>
      <c r="C206">
        <v>1.0709870484319679</v>
      </c>
      <c r="D206">
        <v>1.1634718381464699</v>
      </c>
      <c r="E206">
        <v>1.105636770313726</v>
      </c>
    </row>
    <row r="207" spans="1:5" x14ac:dyDescent="0.3">
      <c r="A207" s="13">
        <v>41949</v>
      </c>
      <c r="B207">
        <v>1.2305601118836811</v>
      </c>
      <c r="C207">
        <v>1.074815410009319</v>
      </c>
      <c r="D207">
        <v>1.1716575162401759</v>
      </c>
      <c r="E207">
        <v>1.115801457016991</v>
      </c>
    </row>
    <row r="208" spans="1:5" x14ac:dyDescent="0.3">
      <c r="A208" s="13">
        <v>41950</v>
      </c>
      <c r="B208">
        <v>1.2274436948793119</v>
      </c>
      <c r="C208">
        <v>1.070141537210046</v>
      </c>
      <c r="D208">
        <v>1.1670020059858679</v>
      </c>
      <c r="E208">
        <v>1.1107849299788599</v>
      </c>
    </row>
    <row r="209" spans="1:5" x14ac:dyDescent="0.3">
      <c r="A209" s="13">
        <v>41953</v>
      </c>
      <c r="B209">
        <v>1.2465953006436601</v>
      </c>
      <c r="C209">
        <v>1.0842049353830789</v>
      </c>
      <c r="D209">
        <v>1.1722844526235281</v>
      </c>
      <c r="E209">
        <v>1.1188241918616699</v>
      </c>
    </row>
    <row r="210" spans="1:5" x14ac:dyDescent="0.3">
      <c r="A210" s="13">
        <v>41954</v>
      </c>
      <c r="B210">
        <v>1.228741702818571</v>
      </c>
      <c r="C210">
        <v>1.070606298226642</v>
      </c>
      <c r="D210">
        <v>1.1460581513446739</v>
      </c>
      <c r="E210">
        <v>1.0917359054419169</v>
      </c>
    </row>
    <row r="211" spans="1:5" x14ac:dyDescent="0.3">
      <c r="A211" s="13">
        <v>41955</v>
      </c>
      <c r="B211">
        <v>1.247338235296017</v>
      </c>
      <c r="C211">
        <v>1.081697883569622</v>
      </c>
      <c r="D211">
        <v>1.158248844653927</v>
      </c>
      <c r="E211">
        <v>1.1070957105249231</v>
      </c>
    </row>
    <row r="212" spans="1:5" x14ac:dyDescent="0.3">
      <c r="A212" s="13">
        <v>41956</v>
      </c>
      <c r="B212">
        <v>1.235059526429261</v>
      </c>
      <c r="C212">
        <v>1.0724537322680721</v>
      </c>
      <c r="D212">
        <v>1.144197747821291</v>
      </c>
      <c r="E212">
        <v>1.092029334877697</v>
      </c>
    </row>
    <row r="213" spans="1:5" x14ac:dyDescent="0.3">
      <c r="A213" s="13">
        <v>41957</v>
      </c>
      <c r="B213">
        <v>1.22891250864153</v>
      </c>
      <c r="C213">
        <v>1.072274190180192</v>
      </c>
      <c r="D213">
        <v>1.1438569609498479</v>
      </c>
      <c r="E213">
        <v>1.088989104815796</v>
      </c>
    </row>
    <row r="214" spans="1:5" x14ac:dyDescent="0.3">
      <c r="A214" s="13">
        <v>41960</v>
      </c>
      <c r="B214">
        <v>1.2340206299231009</v>
      </c>
      <c r="C214">
        <v>1.075685114715645</v>
      </c>
      <c r="D214">
        <v>1.1547880538877631</v>
      </c>
      <c r="E214">
        <v>1.099712146712408</v>
      </c>
    </row>
    <row r="215" spans="1:5" x14ac:dyDescent="0.3">
      <c r="A215" s="13">
        <v>41961</v>
      </c>
      <c r="B215">
        <v>1.230772663544863</v>
      </c>
      <c r="C215">
        <v>1.0712500694751621</v>
      </c>
      <c r="D215">
        <v>1.1567666564749439</v>
      </c>
      <c r="E215">
        <v>1.0997586943465889</v>
      </c>
    </row>
    <row r="216" spans="1:5" x14ac:dyDescent="0.3">
      <c r="A216" s="13">
        <v>41962</v>
      </c>
      <c r="B216">
        <v>1.23417744373514</v>
      </c>
      <c r="C216">
        <v>1.0733073675877871</v>
      </c>
      <c r="D216">
        <v>1.1643380032929049</v>
      </c>
      <c r="E216">
        <v>1.106524839294049</v>
      </c>
    </row>
    <row r="217" spans="1:5" x14ac:dyDescent="0.3">
      <c r="A217" s="13">
        <v>41963</v>
      </c>
      <c r="B217">
        <v>1.237188145271759</v>
      </c>
      <c r="C217">
        <v>1.069398987998176</v>
      </c>
      <c r="D217">
        <v>1.160462038862194</v>
      </c>
      <c r="E217">
        <v>1.1041531125613699</v>
      </c>
    </row>
    <row r="218" spans="1:5" x14ac:dyDescent="0.3">
      <c r="A218" s="13">
        <v>41964</v>
      </c>
      <c r="B218">
        <v>1.2559365425465161</v>
      </c>
      <c r="C218">
        <v>1.0790152161799851</v>
      </c>
      <c r="D218">
        <v>1.1676067159638031</v>
      </c>
      <c r="E218">
        <v>1.1182694747392341</v>
      </c>
    </row>
    <row r="219" spans="1:5" x14ac:dyDescent="0.3">
      <c r="A219" s="13">
        <v>41967</v>
      </c>
      <c r="B219">
        <v>1.279884015658221</v>
      </c>
      <c r="C219">
        <v>1.093485727962354</v>
      </c>
      <c r="D219">
        <v>1.175623516882071</v>
      </c>
      <c r="E219">
        <v>1.1324957590719931</v>
      </c>
    </row>
    <row r="220" spans="1:5" x14ac:dyDescent="0.3">
      <c r="A220" s="13">
        <v>41968</v>
      </c>
      <c r="B220">
        <v>1.2943994252439801</v>
      </c>
      <c r="C220">
        <v>1.1080437533397181</v>
      </c>
      <c r="D220">
        <v>1.1898161368264899</v>
      </c>
      <c r="E220">
        <v>1.147939746936675</v>
      </c>
    </row>
    <row r="221" spans="1:5" x14ac:dyDescent="0.3">
      <c r="A221" s="13">
        <v>41969</v>
      </c>
      <c r="B221">
        <v>1.3115703476737599</v>
      </c>
      <c r="C221">
        <v>1.113967506826947</v>
      </c>
      <c r="D221">
        <v>1.1961308479092889</v>
      </c>
      <c r="E221">
        <v>1.1611118745703239</v>
      </c>
    </row>
    <row r="222" spans="1:5" x14ac:dyDescent="0.3">
      <c r="A222" s="13">
        <v>41970</v>
      </c>
      <c r="B222">
        <v>1.324912635383126</v>
      </c>
      <c r="C222">
        <v>1.118923798761011</v>
      </c>
      <c r="D222">
        <v>1.1995741541048</v>
      </c>
      <c r="E222">
        <v>1.171806780434838</v>
      </c>
    </row>
    <row r="223" spans="1:5" x14ac:dyDescent="0.3">
      <c r="A223" s="13">
        <v>41971</v>
      </c>
      <c r="B223">
        <v>1.3428324180090221</v>
      </c>
      <c r="C223">
        <v>1.125319529402965</v>
      </c>
      <c r="D223">
        <v>1.201950422637718</v>
      </c>
      <c r="E223">
        <v>1.180824868364134</v>
      </c>
    </row>
    <row r="224" spans="1:5" x14ac:dyDescent="0.3">
      <c r="A224" s="13">
        <v>41974</v>
      </c>
      <c r="B224">
        <v>1.339337054166631</v>
      </c>
      <c r="C224">
        <v>1.127075507871655</v>
      </c>
      <c r="D224">
        <v>1.1914724714418561</v>
      </c>
      <c r="E224">
        <v>1.1732990718528109</v>
      </c>
    </row>
    <row r="225" spans="1:5" x14ac:dyDescent="0.3">
      <c r="A225" s="13">
        <v>41975</v>
      </c>
      <c r="B225">
        <v>1.376296711538614</v>
      </c>
      <c r="C225">
        <v>1.1464258744863709</v>
      </c>
      <c r="D225">
        <v>1.207398037776944</v>
      </c>
      <c r="E225">
        <v>1.197833608590918</v>
      </c>
    </row>
    <row r="226" spans="1:5" x14ac:dyDescent="0.3">
      <c r="A226" s="13">
        <v>41976</v>
      </c>
      <c r="B226">
        <v>1.38441269912404</v>
      </c>
      <c r="C226">
        <v>1.162767344323737</v>
      </c>
      <c r="D226">
        <v>1.2148559604624951</v>
      </c>
      <c r="E226">
        <v>1.205561532991215</v>
      </c>
    </row>
    <row r="227" spans="1:5" x14ac:dyDescent="0.3">
      <c r="A227" s="13">
        <v>41977</v>
      </c>
      <c r="B227">
        <v>1.4312716343431251</v>
      </c>
      <c r="C227">
        <v>1.194765985968999</v>
      </c>
      <c r="D227">
        <v>1.2373335803406991</v>
      </c>
      <c r="E227">
        <v>1.242026066338656</v>
      </c>
    </row>
    <row r="228" spans="1:5" x14ac:dyDescent="0.3">
      <c r="A228" s="13">
        <v>41978</v>
      </c>
      <c r="B228">
        <v>1.425324755065928</v>
      </c>
      <c r="C228">
        <v>1.177191292623849</v>
      </c>
      <c r="D228">
        <v>1.2208346959910541</v>
      </c>
      <c r="E228">
        <v>1.234541801862914</v>
      </c>
    </row>
    <row r="229" spans="1:5" x14ac:dyDescent="0.3">
      <c r="A229" s="13">
        <v>41981</v>
      </c>
      <c r="B229">
        <v>1.4562266888654281</v>
      </c>
      <c r="C229">
        <v>1.197922392607166</v>
      </c>
      <c r="D229">
        <v>1.2268769476732859</v>
      </c>
      <c r="E229">
        <v>1.252679523484336</v>
      </c>
    </row>
    <row r="230" spans="1:5" x14ac:dyDescent="0.3">
      <c r="A230" s="13">
        <v>41982</v>
      </c>
      <c r="B230">
        <v>1.3814672155167349</v>
      </c>
      <c r="C230">
        <v>1.150688690335546</v>
      </c>
      <c r="D230">
        <v>1.1797072477325139</v>
      </c>
      <c r="E230">
        <v>1.1904057514601989</v>
      </c>
    </row>
    <row r="231" spans="1:5" x14ac:dyDescent="0.3">
      <c r="A231" s="13">
        <v>41983</v>
      </c>
      <c r="B231">
        <v>1.4220489062028721</v>
      </c>
      <c r="C231">
        <v>1.1908447212184281</v>
      </c>
      <c r="D231">
        <v>1.2145151141974231</v>
      </c>
      <c r="E231">
        <v>1.2243073372750779</v>
      </c>
    </row>
    <row r="232" spans="1:5" x14ac:dyDescent="0.3">
      <c r="A232" s="13">
        <v>41984</v>
      </c>
      <c r="B232">
        <v>1.4270493106177631</v>
      </c>
      <c r="C232">
        <v>1.1916396043357671</v>
      </c>
      <c r="D232">
        <v>1.2214807006227499</v>
      </c>
      <c r="E232">
        <v>1.222289519479921</v>
      </c>
    </row>
    <row r="233" spans="1:5" x14ac:dyDescent="0.3">
      <c r="A233" s="13">
        <v>41985</v>
      </c>
      <c r="B233">
        <v>1.4364538728966141</v>
      </c>
      <c r="C233">
        <v>1.1977119337886091</v>
      </c>
      <c r="D233">
        <v>1.230734254248568</v>
      </c>
      <c r="E233">
        <v>1.2349403239538621</v>
      </c>
    </row>
    <row r="234" spans="1:5" x14ac:dyDescent="0.3">
      <c r="A234" s="13">
        <v>41988</v>
      </c>
      <c r="B234">
        <v>1.446622933626305</v>
      </c>
      <c r="C234">
        <v>1.2072329405085009</v>
      </c>
      <c r="D234">
        <v>1.247874223062585</v>
      </c>
      <c r="E234">
        <v>1.254427113748672</v>
      </c>
    </row>
    <row r="235" spans="1:5" x14ac:dyDescent="0.3">
      <c r="A235" s="13">
        <v>41989</v>
      </c>
      <c r="B235">
        <v>1.468523519342726</v>
      </c>
      <c r="C235">
        <v>1.2149183148078671</v>
      </c>
      <c r="D235">
        <v>1.251899301865965</v>
      </c>
      <c r="E235">
        <v>1.2711801161062179</v>
      </c>
    </row>
    <row r="236" spans="1:5" x14ac:dyDescent="0.3">
      <c r="A236" s="13">
        <v>41990</v>
      </c>
      <c r="B236">
        <v>1.4772514273066779</v>
      </c>
      <c r="C236">
        <v>1.2129638393746729</v>
      </c>
      <c r="D236">
        <v>1.249402035020615</v>
      </c>
      <c r="E236">
        <v>1.2741432344401631</v>
      </c>
    </row>
    <row r="237" spans="1:5" x14ac:dyDescent="0.3">
      <c r="A237" s="13">
        <v>41991</v>
      </c>
      <c r="B237">
        <v>1.469048082756029</v>
      </c>
      <c r="C237">
        <v>1.214625894141345</v>
      </c>
      <c r="D237">
        <v>1.249753390678211</v>
      </c>
      <c r="E237">
        <v>1.2663850052787311</v>
      </c>
    </row>
    <row r="238" spans="1:5" x14ac:dyDescent="0.3">
      <c r="A238" s="13">
        <v>41992</v>
      </c>
      <c r="B238">
        <v>1.4644445961655279</v>
      </c>
      <c r="C238">
        <v>1.2110722105215781</v>
      </c>
      <c r="D238">
        <v>1.2395790213414211</v>
      </c>
      <c r="E238">
        <v>1.258799869875217</v>
      </c>
    </row>
    <row r="239" spans="1:5" x14ac:dyDescent="0.3">
      <c r="A239" s="13">
        <v>41995</v>
      </c>
      <c r="B239">
        <v>1.432832594851996</v>
      </c>
      <c r="C239">
        <v>1.2002286548459631</v>
      </c>
      <c r="D239">
        <v>1.207126987740015</v>
      </c>
      <c r="E239">
        <v>1.224714852260999</v>
      </c>
    </row>
    <row r="240" spans="1:5" x14ac:dyDescent="0.3">
      <c r="A240" s="13">
        <v>41996</v>
      </c>
      <c r="B240">
        <v>1.409554629885458</v>
      </c>
      <c r="C240">
        <v>1.1857800371499441</v>
      </c>
      <c r="D240">
        <v>1.191837916485363</v>
      </c>
      <c r="E240">
        <v>1.2017138181675051</v>
      </c>
    </row>
    <row r="241" spans="1:5" x14ac:dyDescent="0.3">
      <c r="A241" s="13">
        <v>41997</v>
      </c>
      <c r="B241">
        <v>1.3956890941768989</v>
      </c>
      <c r="C241">
        <v>1.178253094442435</v>
      </c>
      <c r="D241">
        <v>1.1942522539202549</v>
      </c>
      <c r="E241">
        <v>1.19279499242292</v>
      </c>
    </row>
    <row r="242" spans="1:5" x14ac:dyDescent="0.3">
      <c r="A242" s="13">
        <v>41998</v>
      </c>
      <c r="B242">
        <v>1.4315285053325431</v>
      </c>
      <c r="C242">
        <v>1.1986708277522411</v>
      </c>
      <c r="D242">
        <v>1.211985649042076</v>
      </c>
      <c r="E242">
        <v>1.221032207962123</v>
      </c>
    </row>
    <row r="243" spans="1:5" x14ac:dyDescent="0.3">
      <c r="A243" s="13">
        <v>41999</v>
      </c>
      <c r="B243">
        <v>1.4631947368004981</v>
      </c>
      <c r="C243">
        <v>1.2145776988576149</v>
      </c>
      <c r="D243">
        <v>1.225863494497907</v>
      </c>
      <c r="E243">
        <v>1.24685347040306</v>
      </c>
    </row>
    <row r="244" spans="1:5" x14ac:dyDescent="0.3">
      <c r="A244" s="13">
        <v>42002</v>
      </c>
      <c r="B244">
        <v>1.465346166205139</v>
      </c>
      <c r="C244">
        <v>1.213580752995465</v>
      </c>
      <c r="D244">
        <v>1.2209705880667701</v>
      </c>
      <c r="E244">
        <v>1.2386812680148089</v>
      </c>
    </row>
    <row r="245" spans="1:5" x14ac:dyDescent="0.3">
      <c r="A245" s="13">
        <v>42003</v>
      </c>
      <c r="B245">
        <v>1.459472616724441</v>
      </c>
      <c r="C245">
        <v>1.2034917199068571</v>
      </c>
      <c r="D245">
        <v>1.209820278794334</v>
      </c>
      <c r="E245">
        <v>1.2318592265762061</v>
      </c>
    </row>
    <row r="246" spans="1:5" x14ac:dyDescent="0.3">
      <c r="A246" s="13">
        <v>42004</v>
      </c>
      <c r="B246">
        <v>1.4855856788149799</v>
      </c>
      <c r="C246">
        <v>1.2259268943252819</v>
      </c>
      <c r="D246">
        <v>1.2273844374126639</v>
      </c>
      <c r="E246">
        <v>1.252749076570921</v>
      </c>
    </row>
    <row r="247" spans="1:5" x14ac:dyDescent="0.3">
      <c r="A247" s="13">
        <v>42009</v>
      </c>
      <c r="B247">
        <v>1.5232138679360041</v>
      </c>
      <c r="C247">
        <v>1.264627763348807</v>
      </c>
      <c r="D247">
        <v>1.2484332113528109</v>
      </c>
      <c r="E247">
        <v>1.2710433316466281</v>
      </c>
    </row>
    <row r="248" spans="1:5" x14ac:dyDescent="0.3">
      <c r="A248" s="13">
        <v>42010</v>
      </c>
      <c r="B248">
        <v>1.5267216107990209</v>
      </c>
      <c r="C248">
        <v>1.277503171917675</v>
      </c>
      <c r="D248">
        <v>1.2580917518873409</v>
      </c>
      <c r="E248">
        <v>1.277213412798081</v>
      </c>
    </row>
    <row r="249" spans="1:5" x14ac:dyDescent="0.3">
      <c r="A249" s="13">
        <v>42011</v>
      </c>
      <c r="B249">
        <v>1.528436394870802</v>
      </c>
      <c r="C249">
        <v>1.272833033013232</v>
      </c>
      <c r="D249">
        <v>1.25499208808758</v>
      </c>
      <c r="E249">
        <v>1.2779624771676701</v>
      </c>
    </row>
    <row r="250" spans="1:5" x14ac:dyDescent="0.3">
      <c r="A250" s="13">
        <v>42012</v>
      </c>
      <c r="B250">
        <v>1.5075947006953769</v>
      </c>
      <c r="C250">
        <v>1.265501399248919</v>
      </c>
      <c r="D250">
        <v>1.2487797338510589</v>
      </c>
      <c r="E250">
        <v>1.265369658554405</v>
      </c>
    </row>
    <row r="251" spans="1:5" x14ac:dyDescent="0.3">
      <c r="A251" s="13">
        <v>42013</v>
      </c>
      <c r="B251">
        <v>1.5043784509685381</v>
      </c>
      <c r="C251">
        <v>1.262983453525768</v>
      </c>
      <c r="D251">
        <v>1.24604005302718</v>
      </c>
      <c r="E251">
        <v>1.266500489330203</v>
      </c>
    </row>
    <row r="252" spans="1:5" x14ac:dyDescent="0.3">
      <c r="A252" s="13">
        <v>42016</v>
      </c>
      <c r="B252">
        <v>1.49394784801571</v>
      </c>
      <c r="C252">
        <v>1.263715886048099</v>
      </c>
      <c r="D252">
        <v>1.2436454201089731</v>
      </c>
      <c r="E252">
        <v>1.266987827592051</v>
      </c>
    </row>
    <row r="253" spans="1:5" x14ac:dyDescent="0.3">
      <c r="A253" s="13">
        <v>42017</v>
      </c>
      <c r="B253">
        <v>1.5042706470580589</v>
      </c>
      <c r="C253">
        <v>1.2759929667398571</v>
      </c>
      <c r="D253">
        <v>1.255678459992364</v>
      </c>
      <c r="E253">
        <v>1.2784654057678411</v>
      </c>
    </row>
    <row r="254" spans="1:5" x14ac:dyDescent="0.3">
      <c r="A254" s="13">
        <v>42018</v>
      </c>
      <c r="B254">
        <v>1.4995125182706139</v>
      </c>
      <c r="C254">
        <v>1.2663555032966261</v>
      </c>
      <c r="D254">
        <v>1.250075520354347</v>
      </c>
      <c r="E254">
        <v>1.2746760490153151</v>
      </c>
    </row>
    <row r="255" spans="1:5" x14ac:dyDescent="0.3">
      <c r="A255" s="13">
        <v>42019</v>
      </c>
      <c r="B255">
        <v>1.532379241916465</v>
      </c>
      <c r="C255">
        <v>1.2832164910686921</v>
      </c>
      <c r="D255">
        <v>1.2638815355791111</v>
      </c>
      <c r="E255">
        <v>1.2941465538420349</v>
      </c>
    </row>
    <row r="256" spans="1:5" x14ac:dyDescent="0.3">
      <c r="A256" s="13">
        <v>42020</v>
      </c>
      <c r="B256">
        <v>1.546379436788182</v>
      </c>
      <c r="C256">
        <v>1.296720471801968</v>
      </c>
      <c r="D256">
        <v>1.276384676811205</v>
      </c>
      <c r="E256">
        <v>1.3157461302862179</v>
      </c>
    </row>
    <row r="257" spans="1:5" x14ac:dyDescent="0.3">
      <c r="A257" s="13">
        <v>42023</v>
      </c>
      <c r="B257">
        <v>1.468389588316078</v>
      </c>
      <c r="C257">
        <v>1.2396441574902199</v>
      </c>
      <c r="D257">
        <v>1.2367537705797731</v>
      </c>
      <c r="E257">
        <v>1.2646327799021571</v>
      </c>
    </row>
    <row r="258" spans="1:5" x14ac:dyDescent="0.3">
      <c r="A258" s="13">
        <v>42024</v>
      </c>
      <c r="B258">
        <v>1.50103713922824</v>
      </c>
      <c r="C258">
        <v>1.275282476044125</v>
      </c>
      <c r="D258">
        <v>1.270669404453056</v>
      </c>
      <c r="E258">
        <v>1.301337337503919</v>
      </c>
    </row>
    <row r="259" spans="1:5" x14ac:dyDescent="0.3">
      <c r="A259" s="13">
        <v>42025</v>
      </c>
      <c r="B259">
        <v>1.545936050880339</v>
      </c>
      <c r="C259">
        <v>1.309323128561837</v>
      </c>
      <c r="D259">
        <v>1.2991369647357709</v>
      </c>
      <c r="E259">
        <v>1.3321324536742549</v>
      </c>
    </row>
    <row r="260" spans="1:5" x14ac:dyDescent="0.3">
      <c r="A260" s="13">
        <v>42026</v>
      </c>
      <c r="B260">
        <v>1.5583438806244569</v>
      </c>
      <c r="C260">
        <v>1.319509439761883</v>
      </c>
      <c r="D260">
        <v>1.3096747030665821</v>
      </c>
      <c r="E260">
        <v>1.34439125471459</v>
      </c>
    </row>
    <row r="261" spans="1:5" x14ac:dyDescent="0.3">
      <c r="A261" s="13">
        <v>42027</v>
      </c>
      <c r="B261">
        <v>1.549196336565076</v>
      </c>
      <c r="C261">
        <v>1.308768859049775</v>
      </c>
      <c r="D261">
        <v>1.3015770854448849</v>
      </c>
      <c r="E261">
        <v>1.3268603332349489</v>
      </c>
    </row>
    <row r="262" spans="1:5" x14ac:dyDescent="0.3">
      <c r="A262" s="13">
        <v>42030</v>
      </c>
      <c r="B262">
        <v>1.571881848209677</v>
      </c>
      <c r="C262">
        <v>1.3251122328730589</v>
      </c>
      <c r="D262">
        <v>1.3185945596173501</v>
      </c>
      <c r="E262">
        <v>1.353584995185521</v>
      </c>
    </row>
    <row r="263" spans="1:5" x14ac:dyDescent="0.3">
      <c r="A263" s="13">
        <v>42031</v>
      </c>
      <c r="B263">
        <v>1.56656263800805</v>
      </c>
      <c r="C263">
        <v>1.3224685369410889</v>
      </c>
      <c r="D263">
        <v>1.3177371195236161</v>
      </c>
      <c r="E263">
        <v>1.3554549524153561</v>
      </c>
    </row>
    <row r="264" spans="1:5" x14ac:dyDescent="0.3">
      <c r="A264" s="13">
        <v>42032</v>
      </c>
      <c r="B264">
        <v>1.5523374260122971</v>
      </c>
      <c r="C264">
        <v>1.3090563388872709</v>
      </c>
      <c r="D264">
        <v>1.305750888118135</v>
      </c>
      <c r="E264">
        <v>1.3429502603122949</v>
      </c>
    </row>
    <row r="265" spans="1:5" x14ac:dyDescent="0.3">
      <c r="A265" s="13">
        <v>42033</v>
      </c>
      <c r="B265">
        <v>1.5435973909099241</v>
      </c>
      <c r="C265">
        <v>1.2992434339897041</v>
      </c>
      <c r="D265">
        <v>1.2966392904612269</v>
      </c>
      <c r="E265">
        <v>1.332378208863823</v>
      </c>
    </row>
    <row r="266" spans="1:5" x14ac:dyDescent="0.3">
      <c r="A266" s="13">
        <v>42034</v>
      </c>
      <c r="B266">
        <v>1.52663819784821</v>
      </c>
      <c r="C266">
        <v>1.289596309912465</v>
      </c>
      <c r="D266">
        <v>1.286142198341421</v>
      </c>
      <c r="E266">
        <v>1.316321534846729</v>
      </c>
    </row>
    <row r="267" spans="1:5" x14ac:dyDescent="0.3">
      <c r="A267" s="13">
        <v>42037</v>
      </c>
      <c r="B267">
        <v>1.511481678777304</v>
      </c>
      <c r="C267">
        <v>1.2789845518527909</v>
      </c>
      <c r="D267">
        <v>1.282744599152744</v>
      </c>
      <c r="E267">
        <v>1.317364374997678</v>
      </c>
    </row>
    <row r="268" spans="1:5" x14ac:dyDescent="0.3">
      <c r="A268" s="13">
        <v>42038</v>
      </c>
      <c r="B268">
        <v>1.539327376159906</v>
      </c>
      <c r="C268">
        <v>1.298825140736527</v>
      </c>
      <c r="D268">
        <v>1.302608344063761</v>
      </c>
      <c r="E268">
        <v>1.349095714693116</v>
      </c>
    </row>
    <row r="269" spans="1:5" x14ac:dyDescent="0.3">
      <c r="A269" s="13">
        <v>42039</v>
      </c>
      <c r="B269">
        <v>1.5322999391054331</v>
      </c>
      <c r="C269">
        <v>1.291630248263802</v>
      </c>
      <c r="D269">
        <v>1.2977446722435071</v>
      </c>
      <c r="E269">
        <v>1.3482654680835091</v>
      </c>
    </row>
    <row r="270" spans="1:5" x14ac:dyDescent="0.3">
      <c r="A270" s="13">
        <v>42040</v>
      </c>
      <c r="B270">
        <v>1.5247259239659889</v>
      </c>
      <c r="C270">
        <v>1.2825125108652371</v>
      </c>
      <c r="D270">
        <v>1.295174601790686</v>
      </c>
      <c r="E270">
        <v>1.350250397657607</v>
      </c>
    </row>
    <row r="271" spans="1:5" x14ac:dyDescent="0.3">
      <c r="A271" s="13">
        <v>42041</v>
      </c>
      <c r="B271">
        <v>1.495263933583739</v>
      </c>
      <c r="C271">
        <v>1.26176261170118</v>
      </c>
      <c r="D271">
        <v>1.274758946700814</v>
      </c>
      <c r="E271">
        <v>1.32226129103533</v>
      </c>
    </row>
    <row r="272" spans="1:5" x14ac:dyDescent="0.3">
      <c r="A272" s="13">
        <v>42044</v>
      </c>
      <c r="B272">
        <v>1.490650776157356</v>
      </c>
      <c r="C272">
        <v>1.2601445788683381</v>
      </c>
      <c r="D272">
        <v>1.27037764053191</v>
      </c>
      <c r="E272">
        <v>1.3158646464085699</v>
      </c>
    </row>
    <row r="273" spans="1:5" x14ac:dyDescent="0.3">
      <c r="A273" s="13">
        <v>42045</v>
      </c>
      <c r="B273">
        <v>1.5104114772618431</v>
      </c>
      <c r="C273">
        <v>1.278202789374324</v>
      </c>
      <c r="D273">
        <v>1.285187496301033</v>
      </c>
      <c r="E273">
        <v>1.3385684429637279</v>
      </c>
    </row>
    <row r="274" spans="1:5" x14ac:dyDescent="0.3">
      <c r="A274" s="13">
        <v>42046</v>
      </c>
      <c r="B274">
        <v>1.52684379912822</v>
      </c>
      <c r="C274">
        <v>1.2900747193582069</v>
      </c>
      <c r="D274">
        <v>1.30028633881158</v>
      </c>
      <c r="E274">
        <v>1.360494962622397</v>
      </c>
    </row>
    <row r="275" spans="1:5" x14ac:dyDescent="0.3">
      <c r="A275" s="13">
        <v>42047</v>
      </c>
      <c r="B275">
        <v>1.536125783100359</v>
      </c>
      <c r="C275">
        <v>1.296124815216753</v>
      </c>
      <c r="D275">
        <v>1.3077375356877581</v>
      </c>
      <c r="E275">
        <v>1.3673214816167889</v>
      </c>
    </row>
    <row r="276" spans="1:5" x14ac:dyDescent="0.3">
      <c r="A276" s="13">
        <v>42048</v>
      </c>
      <c r="B276">
        <v>1.558250461770923</v>
      </c>
      <c r="C276">
        <v>1.3101933800628529</v>
      </c>
      <c r="D276">
        <v>1.325878514899838</v>
      </c>
      <c r="E276">
        <v>1.385896328697142</v>
      </c>
    </row>
    <row r="277" spans="1:5" x14ac:dyDescent="0.3">
      <c r="A277" s="13">
        <v>42051</v>
      </c>
      <c r="B277">
        <v>1.58154281426651</v>
      </c>
      <c r="C277">
        <v>1.3257857924485901</v>
      </c>
      <c r="D277">
        <v>1.3519473573901151</v>
      </c>
      <c r="E277">
        <v>1.416904585017781</v>
      </c>
    </row>
    <row r="278" spans="1:5" x14ac:dyDescent="0.3">
      <c r="A278" s="13">
        <v>42052</v>
      </c>
      <c r="B278">
        <v>1.595705439708738</v>
      </c>
      <c r="C278">
        <v>1.3332365382990219</v>
      </c>
      <c r="D278">
        <v>1.3585461632472819</v>
      </c>
      <c r="E278">
        <v>1.425650322083494</v>
      </c>
    </row>
    <row r="279" spans="1:5" x14ac:dyDescent="0.3">
      <c r="A279" s="13">
        <v>42060</v>
      </c>
      <c r="B279">
        <v>1.578805726975284</v>
      </c>
      <c r="C279">
        <v>1.323148027384117</v>
      </c>
      <c r="D279">
        <v>1.3442742093638691</v>
      </c>
      <c r="E279">
        <v>1.40147084229776</v>
      </c>
    </row>
    <row r="280" spans="1:5" x14ac:dyDescent="0.3">
      <c r="A280" s="13">
        <v>42061</v>
      </c>
      <c r="B280">
        <v>1.598023198002277</v>
      </c>
      <c r="C280">
        <v>1.336135861118062</v>
      </c>
      <c r="D280">
        <v>1.3545570635375179</v>
      </c>
      <c r="E280">
        <v>1.410106643802729</v>
      </c>
    </row>
    <row r="281" spans="1:5" x14ac:dyDescent="0.3">
      <c r="A281" s="13">
        <v>42062</v>
      </c>
      <c r="B281">
        <v>1.6076658067654419</v>
      </c>
      <c r="C281">
        <v>1.3438728790700809</v>
      </c>
      <c r="D281">
        <v>1.36605176974766</v>
      </c>
      <c r="E281">
        <v>1.4282481187462721</v>
      </c>
    </row>
    <row r="282" spans="1:5" x14ac:dyDescent="0.3">
      <c r="A282" s="13">
        <v>42065</v>
      </c>
      <c r="B282">
        <v>1.6292079141686699</v>
      </c>
      <c r="C282">
        <v>1.359600410047491</v>
      </c>
      <c r="D282">
        <v>1.389338220646043</v>
      </c>
      <c r="E282">
        <v>1.463740476355663</v>
      </c>
    </row>
    <row r="283" spans="1:5" x14ac:dyDescent="0.3">
      <c r="A283" s="13">
        <v>42066</v>
      </c>
      <c r="B283">
        <v>1.6035095299883491</v>
      </c>
      <c r="C283">
        <v>1.3401862734773</v>
      </c>
      <c r="D283">
        <v>1.3759878583334511</v>
      </c>
      <c r="E283">
        <v>1.447124131291992</v>
      </c>
    </row>
    <row r="284" spans="1:5" x14ac:dyDescent="0.3">
      <c r="A284" s="13">
        <v>42067</v>
      </c>
      <c r="B284">
        <v>1.624324760518667</v>
      </c>
      <c r="C284">
        <v>1.3593488967528531</v>
      </c>
      <c r="D284">
        <v>1.395308066412132</v>
      </c>
      <c r="E284">
        <v>1.4709425059386889</v>
      </c>
    </row>
    <row r="285" spans="1:5" x14ac:dyDescent="0.3">
      <c r="A285" s="13">
        <v>42068</v>
      </c>
      <c r="B285">
        <v>1.6242997835499919</v>
      </c>
      <c r="C285">
        <v>1.3534230406893031</v>
      </c>
      <c r="D285">
        <v>1.394045711667613</v>
      </c>
      <c r="E285">
        <v>1.47244242589806</v>
      </c>
    </row>
    <row r="286" spans="1:5" x14ac:dyDescent="0.3">
      <c r="A286" s="13">
        <v>42069</v>
      </c>
      <c r="B286">
        <v>1.6130663187047409</v>
      </c>
      <c r="C286">
        <v>1.338019141743368</v>
      </c>
      <c r="D286">
        <v>1.3721269283690289</v>
      </c>
      <c r="E286">
        <v>1.4377883572048169</v>
      </c>
    </row>
    <row r="287" spans="1:5" x14ac:dyDescent="0.3">
      <c r="A287" s="13">
        <v>42072</v>
      </c>
      <c r="B287">
        <v>1.637278089919955</v>
      </c>
      <c r="C287">
        <v>1.355623446984455</v>
      </c>
      <c r="D287">
        <v>1.386508324975519</v>
      </c>
      <c r="E287">
        <v>1.465723653400516</v>
      </c>
    </row>
    <row r="288" spans="1:5" x14ac:dyDescent="0.3">
      <c r="A288" s="13">
        <v>42073</v>
      </c>
      <c r="B288">
        <v>1.654461781552987</v>
      </c>
      <c r="C288">
        <v>1.36257463972253</v>
      </c>
      <c r="D288">
        <v>1.3977576123832309</v>
      </c>
      <c r="E288">
        <v>1.4886565845170989</v>
      </c>
    </row>
    <row r="289" spans="1:5" x14ac:dyDescent="0.3">
      <c r="A289" s="13">
        <v>42074</v>
      </c>
      <c r="B289">
        <v>1.6575493222469899</v>
      </c>
      <c r="C289">
        <v>1.360784199771865</v>
      </c>
      <c r="D289">
        <v>1.3962938074608631</v>
      </c>
      <c r="E289">
        <v>1.485151958295251</v>
      </c>
    </row>
    <row r="290" spans="1:5" x14ac:dyDescent="0.3">
      <c r="A290" s="13">
        <v>42075</v>
      </c>
      <c r="B290">
        <v>1.6603359178319499</v>
      </c>
      <c r="C290">
        <v>1.366088000442248</v>
      </c>
      <c r="D290">
        <v>1.3939011592394031</v>
      </c>
      <c r="E290">
        <v>1.476304377587587</v>
      </c>
    </row>
    <row r="291" spans="1:5" x14ac:dyDescent="0.3">
      <c r="A291" s="13">
        <v>42076</v>
      </c>
      <c r="B291">
        <v>1.680343476094061</v>
      </c>
      <c r="C291">
        <v>1.3796032797384661</v>
      </c>
      <c r="D291">
        <v>1.4107265276805689</v>
      </c>
      <c r="E291">
        <v>1.5048881209054159</v>
      </c>
    </row>
    <row r="292" spans="1:5" x14ac:dyDescent="0.3">
      <c r="A292" s="13">
        <v>42079</v>
      </c>
      <c r="B292">
        <v>1.7294815664769869</v>
      </c>
      <c r="C292">
        <v>1.4147979155077399</v>
      </c>
      <c r="D292">
        <v>1.451378735568285</v>
      </c>
      <c r="E292">
        <v>1.5606350360728329</v>
      </c>
    </row>
    <row r="293" spans="1:5" x14ac:dyDescent="0.3">
      <c r="A293" s="13">
        <v>42080</v>
      </c>
      <c r="B293">
        <v>1.753395430762027</v>
      </c>
      <c r="C293">
        <v>1.424108715003739</v>
      </c>
      <c r="D293">
        <v>1.461664117040717</v>
      </c>
      <c r="E293">
        <v>1.5685270349007849</v>
      </c>
    </row>
    <row r="294" spans="1:5" x14ac:dyDescent="0.3">
      <c r="A294" s="13">
        <v>42081</v>
      </c>
      <c r="B294">
        <v>1.785368553736888</v>
      </c>
      <c r="C294">
        <v>1.4497394256796461</v>
      </c>
      <c r="D294">
        <v>1.486245562211981</v>
      </c>
      <c r="E294">
        <v>1.597970221297345</v>
      </c>
    </row>
    <row r="295" spans="1:5" x14ac:dyDescent="0.3">
      <c r="A295" s="13">
        <v>42082</v>
      </c>
      <c r="B295">
        <v>1.789471528296076</v>
      </c>
      <c r="C295">
        <v>1.449677940669853</v>
      </c>
      <c r="D295">
        <v>1.4897017815651601</v>
      </c>
      <c r="E295">
        <v>1.6035939767390961</v>
      </c>
    </row>
    <row r="296" spans="1:5" x14ac:dyDescent="0.3">
      <c r="A296" s="13">
        <v>42083</v>
      </c>
      <c r="B296">
        <v>1.806719075975626</v>
      </c>
      <c r="C296">
        <v>1.461318292833176</v>
      </c>
      <c r="D296">
        <v>1.5092592022340341</v>
      </c>
      <c r="E296">
        <v>1.6357808178968589</v>
      </c>
    </row>
    <row r="297" spans="1:5" x14ac:dyDescent="0.3">
      <c r="A297" s="13">
        <v>42086</v>
      </c>
      <c r="B297">
        <v>1.842789700390931</v>
      </c>
      <c r="C297">
        <v>1.497918524706944</v>
      </c>
      <c r="D297">
        <v>1.5472664838148951</v>
      </c>
      <c r="E297">
        <v>1.6980282388584571</v>
      </c>
    </row>
    <row r="298" spans="1:5" x14ac:dyDescent="0.3">
      <c r="A298" s="13">
        <v>42087</v>
      </c>
      <c r="B298">
        <v>1.84957542099966</v>
      </c>
      <c r="C298">
        <v>1.5084982608802029</v>
      </c>
      <c r="D298">
        <v>1.560056383684941</v>
      </c>
      <c r="E298">
        <v>1.7294091001769609</v>
      </c>
    </row>
    <row r="299" spans="1:5" x14ac:dyDescent="0.3">
      <c r="A299" s="13">
        <v>42088</v>
      </c>
      <c r="B299">
        <v>1.85017917828461</v>
      </c>
      <c r="C299">
        <v>1.514519017097778</v>
      </c>
      <c r="D299">
        <v>1.572294112051265</v>
      </c>
      <c r="E299">
        <v>1.747596090611824</v>
      </c>
    </row>
    <row r="300" spans="1:5" x14ac:dyDescent="0.3">
      <c r="A300" s="13">
        <v>42089</v>
      </c>
      <c r="B300">
        <v>1.8367489079277981</v>
      </c>
      <c r="C300">
        <v>1.506872336996917</v>
      </c>
      <c r="D300">
        <v>1.5510223291710159</v>
      </c>
      <c r="E300">
        <v>1.7017760967011399</v>
      </c>
    </row>
    <row r="301" spans="1:5" x14ac:dyDescent="0.3">
      <c r="A301" s="13">
        <v>42090</v>
      </c>
      <c r="B301">
        <v>1.853446855748295</v>
      </c>
      <c r="C301">
        <v>1.519836869014807</v>
      </c>
      <c r="D301">
        <v>1.567067078295916</v>
      </c>
      <c r="E301">
        <v>1.7246786135767791</v>
      </c>
    </row>
    <row r="302" spans="1:5" x14ac:dyDescent="0.3">
      <c r="A302" s="13">
        <v>42093</v>
      </c>
      <c r="B302">
        <v>1.8865756677800349</v>
      </c>
      <c r="C302">
        <v>1.542100005207081</v>
      </c>
      <c r="D302">
        <v>1.5741251440974271</v>
      </c>
      <c r="E302">
        <v>1.712123997843588</v>
      </c>
    </row>
    <row r="303" spans="1:5" x14ac:dyDescent="0.3">
      <c r="A303" s="13">
        <v>42094</v>
      </c>
      <c r="B303">
        <v>1.881348782801197</v>
      </c>
      <c r="C303">
        <v>1.541280810453497</v>
      </c>
      <c r="D303">
        <v>1.5790525374244879</v>
      </c>
      <c r="E303">
        <v>1.733129551406331</v>
      </c>
    </row>
    <row r="304" spans="1:5" x14ac:dyDescent="0.3">
      <c r="A304" s="13">
        <v>42095</v>
      </c>
      <c r="B304">
        <v>1.9195309591626171</v>
      </c>
      <c r="C304">
        <v>1.573323720317005</v>
      </c>
      <c r="D304">
        <v>1.615997088508649</v>
      </c>
      <c r="E304">
        <v>1.779684071785016</v>
      </c>
    </row>
    <row r="305" spans="1:5" x14ac:dyDescent="0.3">
      <c r="A305" s="13">
        <v>42096</v>
      </c>
      <c r="B305">
        <v>1.940219148839081</v>
      </c>
      <c r="C305">
        <v>1.595947646120832</v>
      </c>
      <c r="D305">
        <v>1.6407583019150429</v>
      </c>
      <c r="E305">
        <v>1.81187748717592</v>
      </c>
    </row>
    <row r="306" spans="1:5" x14ac:dyDescent="0.3">
      <c r="A306" s="13">
        <v>42097</v>
      </c>
      <c r="B306">
        <v>1.9685810405228561</v>
      </c>
      <c r="C306">
        <v>1.6111785356210271</v>
      </c>
      <c r="D306">
        <v>1.6635374140261241</v>
      </c>
      <c r="E306">
        <v>1.8414019094449401</v>
      </c>
    </row>
    <row r="307" spans="1:5" x14ac:dyDescent="0.3">
      <c r="A307" s="13">
        <v>42101</v>
      </c>
      <c r="B307">
        <v>2.0057428589014372</v>
      </c>
      <c r="C307">
        <v>1.639524843020949</v>
      </c>
      <c r="D307">
        <v>1.691263898707009</v>
      </c>
      <c r="E307">
        <v>1.874315157532275</v>
      </c>
    </row>
    <row r="308" spans="1:5" x14ac:dyDescent="0.3">
      <c r="A308" s="13">
        <v>42102</v>
      </c>
      <c r="B308">
        <v>2.0027537562701592</v>
      </c>
      <c r="C308">
        <v>1.627272356168191</v>
      </c>
      <c r="D308">
        <v>1.6768499444018929</v>
      </c>
      <c r="E308">
        <v>1.847375188235036</v>
      </c>
    </row>
    <row r="309" spans="1:5" x14ac:dyDescent="0.3">
      <c r="A309" s="13">
        <v>42103</v>
      </c>
      <c r="B309">
        <v>1.988468921314327</v>
      </c>
      <c r="C309">
        <v>1.613897812981931</v>
      </c>
      <c r="D309">
        <v>1.6704929283424359</v>
      </c>
      <c r="E309">
        <v>1.8396610530849611</v>
      </c>
    </row>
    <row r="310" spans="1:5" x14ac:dyDescent="0.3">
      <c r="A310" s="13">
        <v>42104</v>
      </c>
      <c r="B310">
        <v>2.0359898589538679</v>
      </c>
      <c r="C310">
        <v>1.650691814192413</v>
      </c>
      <c r="D310">
        <v>1.710864027758785</v>
      </c>
      <c r="E310">
        <v>1.8851935924683161</v>
      </c>
    </row>
    <row r="311" spans="1:5" x14ac:dyDescent="0.3">
      <c r="A311" s="13">
        <v>42107</v>
      </c>
      <c r="B311">
        <v>2.070570137624915</v>
      </c>
      <c r="C311">
        <v>1.6778676428839889</v>
      </c>
      <c r="D311">
        <v>1.737277363863527</v>
      </c>
      <c r="E311">
        <v>1.918595228400497</v>
      </c>
    </row>
    <row r="312" spans="1:5" x14ac:dyDescent="0.3">
      <c r="A312" s="13">
        <v>42108</v>
      </c>
      <c r="B312">
        <v>2.074978567107626</v>
      </c>
      <c r="C312">
        <v>1.6750260903842831</v>
      </c>
      <c r="D312">
        <v>1.736229317714671</v>
      </c>
      <c r="E312">
        <v>1.914678039467415</v>
      </c>
    </row>
    <row r="313" spans="1:5" x14ac:dyDescent="0.3">
      <c r="A313" s="13">
        <v>42109</v>
      </c>
      <c r="B313">
        <v>2.0244122113262408</v>
      </c>
      <c r="C313">
        <v>1.6313938768482401</v>
      </c>
      <c r="D313">
        <v>1.682508448942553</v>
      </c>
      <c r="E313">
        <v>1.835760550369238</v>
      </c>
    </row>
    <row r="314" spans="1:5" x14ac:dyDescent="0.3">
      <c r="A314" s="13">
        <v>42110</v>
      </c>
      <c r="B314">
        <v>2.054001166429718</v>
      </c>
      <c r="C314">
        <v>1.6714715533140421</v>
      </c>
      <c r="D314">
        <v>1.7085761103390229</v>
      </c>
      <c r="E314">
        <v>1.8641161611837731</v>
      </c>
    </row>
    <row r="315" spans="1:5" x14ac:dyDescent="0.3">
      <c r="A315" s="13">
        <v>42111</v>
      </c>
      <c r="B315">
        <v>2.073500359806741</v>
      </c>
      <c r="C315">
        <v>1.6793619697521811</v>
      </c>
      <c r="D315">
        <v>1.7109397405118969</v>
      </c>
      <c r="E315">
        <v>1.8655411415644589</v>
      </c>
    </row>
    <row r="316" spans="1:5" x14ac:dyDescent="0.3">
      <c r="A316" s="13">
        <v>42114</v>
      </c>
      <c r="B316">
        <v>2.0323064124935319</v>
      </c>
      <c r="C316">
        <v>1.642011703692019</v>
      </c>
      <c r="D316">
        <v>1.669142814839319</v>
      </c>
      <c r="E316">
        <v>1.81808230664088</v>
      </c>
    </row>
    <row r="317" spans="1:5" x14ac:dyDescent="0.3">
      <c r="A317" s="13">
        <v>42115</v>
      </c>
      <c r="B317">
        <v>2.0900269288808682</v>
      </c>
      <c r="C317">
        <v>1.696972265196538</v>
      </c>
      <c r="D317">
        <v>1.7188980054810501</v>
      </c>
      <c r="E317">
        <v>1.8897623594266131</v>
      </c>
    </row>
    <row r="318" spans="1:5" x14ac:dyDescent="0.3">
      <c r="A318" s="13">
        <v>42116</v>
      </c>
      <c r="B318">
        <v>2.1447814061108992</v>
      </c>
      <c r="C318">
        <v>1.734379196163452</v>
      </c>
      <c r="D318">
        <v>1.758463541292518</v>
      </c>
      <c r="E318">
        <v>1.949077613611133</v>
      </c>
    </row>
    <row r="319" spans="1:5" x14ac:dyDescent="0.3">
      <c r="A319" s="13">
        <v>42117</v>
      </c>
      <c r="B319">
        <v>2.1512461810490531</v>
      </c>
      <c r="C319">
        <v>1.7420201877914521</v>
      </c>
      <c r="D319">
        <v>1.7677183757880219</v>
      </c>
      <c r="E319">
        <v>1.970861539644349</v>
      </c>
    </row>
    <row r="320" spans="1:5" x14ac:dyDescent="0.3">
      <c r="A320" s="13">
        <v>42118</v>
      </c>
      <c r="B320">
        <v>2.1518052017875662</v>
      </c>
      <c r="C320">
        <v>1.730871953328714</v>
      </c>
      <c r="D320">
        <v>1.7621698987679379</v>
      </c>
      <c r="E320">
        <v>1.9688709887687541</v>
      </c>
    </row>
    <row r="321" spans="1:5" x14ac:dyDescent="0.3">
      <c r="A321" s="13">
        <v>42121</v>
      </c>
      <c r="B321">
        <v>2.1825126530406691</v>
      </c>
      <c r="C321">
        <v>1.749507400586052</v>
      </c>
      <c r="D321">
        <v>1.778580462100015</v>
      </c>
      <c r="E321">
        <v>1.986500147094614</v>
      </c>
    </row>
    <row r="322" spans="1:5" x14ac:dyDescent="0.3">
      <c r="A322" s="13">
        <v>42122</v>
      </c>
      <c r="B322">
        <v>2.1357025060274988</v>
      </c>
      <c r="C322">
        <v>1.708370017515833</v>
      </c>
      <c r="D322">
        <v>1.7374859259131461</v>
      </c>
      <c r="E322">
        <v>1.93418909905131</v>
      </c>
    </row>
    <row r="323" spans="1:5" x14ac:dyDescent="0.3">
      <c r="A323" s="13">
        <v>42123</v>
      </c>
      <c r="B323">
        <v>2.163285501773522</v>
      </c>
      <c r="C323">
        <v>1.736397851526245</v>
      </c>
      <c r="D323">
        <v>1.768568983778265</v>
      </c>
      <c r="E323">
        <v>1.9864735322149121</v>
      </c>
    </row>
    <row r="324" spans="1:5" x14ac:dyDescent="0.3">
      <c r="A324" s="13">
        <v>42124</v>
      </c>
      <c r="B324">
        <v>2.1774242862029198</v>
      </c>
      <c r="C324">
        <v>1.7371811383439399</v>
      </c>
      <c r="D324">
        <v>1.787572091433616</v>
      </c>
      <c r="E324">
        <v>2.0172870204835149</v>
      </c>
    </row>
    <row r="325" spans="1:5" x14ac:dyDescent="0.3">
      <c r="A325" s="13">
        <v>42128</v>
      </c>
      <c r="B325">
        <v>2.1920090660061669</v>
      </c>
      <c r="C325">
        <v>1.744032901605495</v>
      </c>
      <c r="D325">
        <v>1.797727633981739</v>
      </c>
      <c r="E325">
        <v>2.0211986344095378</v>
      </c>
    </row>
    <row r="326" spans="1:5" x14ac:dyDescent="0.3">
      <c r="A326" s="13">
        <v>42129</v>
      </c>
      <c r="B326">
        <v>2.1182409498484751</v>
      </c>
      <c r="C326">
        <v>1.685218931262443</v>
      </c>
      <c r="D326">
        <v>1.7535595574828009</v>
      </c>
      <c r="E326">
        <v>1.969819480382426</v>
      </c>
    </row>
    <row r="327" spans="1:5" x14ac:dyDescent="0.3">
      <c r="A327" s="13">
        <v>42130</v>
      </c>
      <c r="B327">
        <v>2.0981797048617952</v>
      </c>
      <c r="C327">
        <v>1.679356679664832</v>
      </c>
      <c r="D327">
        <v>1.762236278754751</v>
      </c>
      <c r="E327">
        <v>1.992179004745934</v>
      </c>
    </row>
    <row r="328" spans="1:5" x14ac:dyDescent="0.3">
      <c r="A328" s="13">
        <v>42131</v>
      </c>
      <c r="B328">
        <v>2.057708279173629</v>
      </c>
      <c r="C328">
        <v>1.6643383035513819</v>
      </c>
      <c r="D328">
        <v>1.7456020843155879</v>
      </c>
      <c r="E328">
        <v>1.980284855028434</v>
      </c>
    </row>
    <row r="329" spans="1:5" x14ac:dyDescent="0.3">
      <c r="A329" s="13">
        <v>42132</v>
      </c>
      <c r="B329">
        <v>2.1235528331860651</v>
      </c>
      <c r="C329">
        <v>1.7114812474923891</v>
      </c>
      <c r="D329">
        <v>1.805255726813551</v>
      </c>
      <c r="E329">
        <v>2.07676724448068</v>
      </c>
    </row>
    <row r="330" spans="1:5" x14ac:dyDescent="0.3">
      <c r="A330" s="13">
        <v>42135</v>
      </c>
      <c r="B330">
        <v>2.203570469142814</v>
      </c>
      <c r="C330">
        <v>1.7665510310030741</v>
      </c>
      <c r="D330">
        <v>1.8797778505461951</v>
      </c>
      <c r="E330">
        <v>2.183848336909521</v>
      </c>
    </row>
    <row r="331" spans="1:5" x14ac:dyDescent="0.3">
      <c r="A331" s="13">
        <v>42136</v>
      </c>
      <c r="B331">
        <v>2.245129329719544</v>
      </c>
      <c r="C331">
        <v>1.789698448644802</v>
      </c>
      <c r="D331">
        <v>1.918939777131542</v>
      </c>
      <c r="E331">
        <v>2.2563553732784021</v>
      </c>
    </row>
    <row r="332" spans="1:5" x14ac:dyDescent="0.3">
      <c r="A332" s="13">
        <v>42137</v>
      </c>
      <c r="B332">
        <v>2.251732053523849</v>
      </c>
      <c r="C332">
        <v>1.793435120994112</v>
      </c>
      <c r="D332">
        <v>1.916405367262876</v>
      </c>
      <c r="E332">
        <v>2.2496720508973391</v>
      </c>
    </row>
    <row r="333" spans="1:5" x14ac:dyDescent="0.3">
      <c r="A333" s="13">
        <v>42138</v>
      </c>
      <c r="B333">
        <v>2.25058172819221</v>
      </c>
      <c r="C333">
        <v>1.785422876580038</v>
      </c>
      <c r="D333">
        <v>1.9064387688308619</v>
      </c>
      <c r="E333">
        <v>2.224855908921024</v>
      </c>
    </row>
    <row r="334" spans="1:5" x14ac:dyDescent="0.3">
      <c r="A334" s="13">
        <v>42139</v>
      </c>
      <c r="B334">
        <v>2.2331699608316211</v>
      </c>
      <c r="C334">
        <v>1.766459075991337</v>
      </c>
      <c r="D334">
        <v>1.905457543504425</v>
      </c>
      <c r="E334">
        <v>2.2396818193947832</v>
      </c>
    </row>
    <row r="335" spans="1:5" x14ac:dyDescent="0.3">
      <c r="A335" s="13">
        <v>42142</v>
      </c>
      <c r="B335">
        <v>2.256694738658632</v>
      </c>
      <c r="C335">
        <v>1.7820408967142061</v>
      </c>
      <c r="D335">
        <v>1.94723123753449</v>
      </c>
      <c r="E335">
        <v>2.3178175481748879</v>
      </c>
    </row>
    <row r="336" spans="1:5" x14ac:dyDescent="0.3">
      <c r="A336" s="13">
        <v>42143</v>
      </c>
      <c r="B336">
        <v>2.3126383901360188</v>
      </c>
      <c r="C336">
        <v>1.8252310172363471</v>
      </c>
      <c r="D336">
        <v>1.992761578724628</v>
      </c>
      <c r="E336">
        <v>2.3636237746520061</v>
      </c>
    </row>
    <row r="337" spans="1:5" x14ac:dyDescent="0.3">
      <c r="A337" s="13">
        <v>42144</v>
      </c>
      <c r="B337">
        <v>2.355369599542823</v>
      </c>
      <c r="C337">
        <v>1.8548058806768299</v>
      </c>
      <c r="D337">
        <v>2.0315065609856311</v>
      </c>
      <c r="E337">
        <v>2.4225207748641688</v>
      </c>
    </row>
    <row r="338" spans="1:5" x14ac:dyDescent="0.3">
      <c r="A338" s="13">
        <v>42145</v>
      </c>
      <c r="B338">
        <v>2.4305395508204102</v>
      </c>
      <c r="C338">
        <v>1.911948187498161</v>
      </c>
      <c r="D338">
        <v>2.0872748231235678</v>
      </c>
      <c r="E338">
        <v>2.4988122682732148</v>
      </c>
    </row>
    <row r="339" spans="1:5" x14ac:dyDescent="0.3">
      <c r="A339" s="13">
        <v>42146</v>
      </c>
      <c r="B339">
        <v>2.4594489015086269</v>
      </c>
      <c r="C339">
        <v>1.931488436347399</v>
      </c>
      <c r="D339">
        <v>2.099493596742815</v>
      </c>
      <c r="E339">
        <v>2.4959075195167539</v>
      </c>
    </row>
    <row r="340" spans="1:5" x14ac:dyDescent="0.3">
      <c r="A340" s="13">
        <v>42149</v>
      </c>
      <c r="B340">
        <v>2.5204587362105291</v>
      </c>
      <c r="C340">
        <v>1.97402389299362</v>
      </c>
      <c r="D340">
        <v>2.1187439330623801</v>
      </c>
      <c r="E340">
        <v>2.5015377117477868</v>
      </c>
    </row>
    <row r="341" spans="1:5" x14ac:dyDescent="0.3">
      <c r="A341" s="13">
        <v>42150</v>
      </c>
      <c r="B341">
        <v>2.6051020924264772</v>
      </c>
      <c r="C341">
        <v>2.0246113853328591</v>
      </c>
      <c r="D341">
        <v>2.183911153754825</v>
      </c>
      <c r="E341">
        <v>2.6005951006889512</v>
      </c>
    </row>
    <row r="342" spans="1:5" x14ac:dyDescent="0.3">
      <c r="A342" s="13">
        <v>42151</v>
      </c>
      <c r="B342">
        <v>2.6244233554390748</v>
      </c>
      <c r="C342">
        <v>2.0302459734253402</v>
      </c>
      <c r="D342">
        <v>2.198260842287175</v>
      </c>
      <c r="E342">
        <v>2.6163517936323979</v>
      </c>
    </row>
    <row r="343" spans="1:5" x14ac:dyDescent="0.3">
      <c r="A343" s="13">
        <v>42152</v>
      </c>
      <c r="B343">
        <v>2.4673930227961018</v>
      </c>
      <c r="C343">
        <v>1.9205404810563369</v>
      </c>
      <c r="D343">
        <v>2.0809904852531811</v>
      </c>
      <c r="E343">
        <v>2.4818342514435172</v>
      </c>
    </row>
    <row r="344" spans="1:5" x14ac:dyDescent="0.3">
      <c r="A344" s="13">
        <v>42153</v>
      </c>
      <c r="B344">
        <v>2.49773352904442</v>
      </c>
      <c r="C344">
        <v>1.9380674862130769</v>
      </c>
      <c r="D344">
        <v>2.1127897506212081</v>
      </c>
      <c r="E344">
        <v>2.5372317126598638</v>
      </c>
    </row>
    <row r="345" spans="1:5" x14ac:dyDescent="0.3">
      <c r="A345" s="13">
        <v>42156</v>
      </c>
      <c r="B345">
        <v>2.63037588430999</v>
      </c>
      <c r="C345">
        <v>2.0253714840317181</v>
      </c>
      <c r="D345">
        <v>2.2086497737427462</v>
      </c>
      <c r="E345">
        <v>2.6590688028697258</v>
      </c>
    </row>
    <row r="346" spans="1:5" x14ac:dyDescent="0.3">
      <c r="A346" s="13">
        <v>42157</v>
      </c>
      <c r="B346">
        <v>2.720231254523616</v>
      </c>
      <c r="C346">
        <v>2.0772592307647888</v>
      </c>
      <c r="D346">
        <v>2.2825833856025168</v>
      </c>
      <c r="E346">
        <v>2.759579128987522</v>
      </c>
    </row>
    <row r="347" spans="1:5" x14ac:dyDescent="0.3">
      <c r="A347" s="13">
        <v>42158</v>
      </c>
      <c r="B347">
        <v>2.726887182260878</v>
      </c>
      <c r="C347">
        <v>2.0718818123439551</v>
      </c>
      <c r="D347">
        <v>2.291588080790306</v>
      </c>
      <c r="E347">
        <v>2.7830775325281052</v>
      </c>
    </row>
    <row r="348" spans="1:5" x14ac:dyDescent="0.3">
      <c r="A348" s="13">
        <v>42159</v>
      </c>
      <c r="B348">
        <v>2.7157314268511752</v>
      </c>
      <c r="C348">
        <v>2.0622176941365322</v>
      </c>
      <c r="D348">
        <v>2.2609992312437091</v>
      </c>
      <c r="E348">
        <v>2.759706661844588</v>
      </c>
    </row>
    <row r="349" spans="1:5" x14ac:dyDescent="0.3">
      <c r="A349" s="13">
        <v>42160</v>
      </c>
      <c r="B349">
        <v>2.7366998455527058</v>
      </c>
      <c r="C349">
        <v>2.0779491975445339</v>
      </c>
      <c r="D349">
        <v>2.2659745238695068</v>
      </c>
      <c r="E349">
        <v>2.7558260601639382</v>
      </c>
    </row>
    <row r="350" spans="1:5" x14ac:dyDescent="0.3">
      <c r="A350" s="13">
        <v>42163</v>
      </c>
      <c r="B350">
        <v>2.7298436818120142</v>
      </c>
      <c r="C350">
        <v>2.0667155112835189</v>
      </c>
      <c r="D350">
        <v>2.219892074359239</v>
      </c>
      <c r="E350">
        <v>2.648394654536391</v>
      </c>
    </row>
    <row r="351" spans="1:5" x14ac:dyDescent="0.3">
      <c r="A351" s="13">
        <v>42164</v>
      </c>
      <c r="B351">
        <v>2.7138482482000428</v>
      </c>
      <c r="C351">
        <v>2.0571549205171311</v>
      </c>
      <c r="D351">
        <v>2.2044099169724869</v>
      </c>
      <c r="E351">
        <v>2.633478371073477</v>
      </c>
    </row>
    <row r="352" spans="1:5" x14ac:dyDescent="0.3">
      <c r="A352" s="13">
        <v>42165</v>
      </c>
      <c r="B352">
        <v>2.7584321944122889</v>
      </c>
      <c r="C352">
        <v>2.085641900080677</v>
      </c>
      <c r="D352">
        <v>2.250880270036614</v>
      </c>
      <c r="E352">
        <v>2.7044431717091202</v>
      </c>
    </row>
    <row r="353" spans="1:5" x14ac:dyDescent="0.3">
      <c r="A353" s="13">
        <v>42166</v>
      </c>
      <c r="B353">
        <v>2.7930620515815461</v>
      </c>
      <c r="C353">
        <v>2.100550148411187</v>
      </c>
      <c r="D353">
        <v>2.273603969174987</v>
      </c>
      <c r="E353">
        <v>2.7442730478021651</v>
      </c>
    </row>
    <row r="354" spans="1:5" x14ac:dyDescent="0.3">
      <c r="A354" s="13">
        <v>42167</v>
      </c>
      <c r="B354">
        <v>2.8273244936373918</v>
      </c>
      <c r="C354">
        <v>2.1235325879838438</v>
      </c>
      <c r="D354">
        <v>2.305050047300496</v>
      </c>
      <c r="E354">
        <v>2.7797121309173281</v>
      </c>
    </row>
    <row r="355" spans="1:5" x14ac:dyDescent="0.3">
      <c r="A355" s="13">
        <v>42170</v>
      </c>
      <c r="B355">
        <v>2.7707355990451719</v>
      </c>
      <c r="C355">
        <v>2.079297451087041</v>
      </c>
      <c r="D355">
        <v>2.240426283519295</v>
      </c>
      <c r="E355">
        <v>2.6903206566107918</v>
      </c>
    </row>
    <row r="356" spans="1:5" x14ac:dyDescent="0.3">
      <c r="A356" s="13">
        <v>42171</v>
      </c>
      <c r="B356">
        <v>2.6785795291465559</v>
      </c>
      <c r="C356">
        <v>2.012882512875807</v>
      </c>
      <c r="D356">
        <v>2.1630807759725501</v>
      </c>
      <c r="E356">
        <v>2.5754337064289641</v>
      </c>
    </row>
    <row r="357" spans="1:5" x14ac:dyDescent="0.3">
      <c r="A357" s="13">
        <v>42172</v>
      </c>
      <c r="B357">
        <v>2.72044829370564</v>
      </c>
      <c r="C357">
        <v>2.0440806838451619</v>
      </c>
      <c r="D357">
        <v>2.2029297695161638</v>
      </c>
      <c r="E357">
        <v>2.6418495748459438</v>
      </c>
    </row>
    <row r="358" spans="1:5" x14ac:dyDescent="0.3">
      <c r="A358" s="13">
        <v>42173</v>
      </c>
      <c r="B358">
        <v>2.645191187476827</v>
      </c>
      <c r="C358">
        <v>1.9728332015190979</v>
      </c>
      <c r="D358">
        <v>2.1268237378433339</v>
      </c>
      <c r="E358">
        <v>2.528772375605413</v>
      </c>
    </row>
    <row r="359" spans="1:5" x14ac:dyDescent="0.3">
      <c r="A359" s="13">
        <v>42174</v>
      </c>
      <c r="B359">
        <v>2.4932821838397881</v>
      </c>
      <c r="C359">
        <v>1.867868953132378</v>
      </c>
      <c r="D359">
        <v>2.0254813345778682</v>
      </c>
      <c r="E359">
        <v>2.3915327464125342</v>
      </c>
    </row>
    <row r="360" spans="1:5" x14ac:dyDescent="0.3">
      <c r="A360" s="13">
        <v>42178</v>
      </c>
      <c r="B360">
        <v>2.5267131879498659</v>
      </c>
      <c r="C360">
        <v>1.912210788409803</v>
      </c>
      <c r="D360">
        <v>2.0458752387167558</v>
      </c>
      <c r="E360">
        <v>2.414203303602183</v>
      </c>
    </row>
    <row r="361" spans="1:5" x14ac:dyDescent="0.3">
      <c r="A361" s="13">
        <v>42179</v>
      </c>
      <c r="B361">
        <v>2.579304265984049</v>
      </c>
      <c r="C361">
        <v>1.9489212660719231</v>
      </c>
      <c r="D361">
        <v>2.0653082173608861</v>
      </c>
      <c r="E361">
        <v>2.4341327648132189</v>
      </c>
    </row>
    <row r="362" spans="1:5" x14ac:dyDescent="0.3">
      <c r="A362" s="13">
        <v>42180</v>
      </c>
      <c r="B362">
        <v>2.501747704891105</v>
      </c>
      <c r="C362">
        <v>1.881838767741532</v>
      </c>
      <c r="D362">
        <v>1.988989222609491</v>
      </c>
      <c r="E362">
        <v>2.32167867961194</v>
      </c>
    </row>
    <row r="363" spans="1:5" x14ac:dyDescent="0.3">
      <c r="A363" s="13">
        <v>42181</v>
      </c>
      <c r="B363">
        <v>2.3240407875396869</v>
      </c>
      <c r="C363">
        <v>1.7465136393802061</v>
      </c>
      <c r="D363">
        <v>1.850754425463514</v>
      </c>
      <c r="E363">
        <v>2.1329755697077362</v>
      </c>
    </row>
    <row r="364" spans="1:5" x14ac:dyDescent="0.3">
      <c r="A364" s="13">
        <v>42184</v>
      </c>
      <c r="B364">
        <v>2.228695667367826</v>
      </c>
      <c r="C364">
        <v>1.677451277242614</v>
      </c>
      <c r="D364">
        <v>1.7450048602128461</v>
      </c>
      <c r="E364">
        <v>1.9838999396531209</v>
      </c>
    </row>
    <row r="365" spans="1:5" x14ac:dyDescent="0.3">
      <c r="A365" s="13">
        <v>42185</v>
      </c>
      <c r="B365">
        <v>2.3259731036841389</v>
      </c>
      <c r="C365">
        <v>1.772873797608316</v>
      </c>
      <c r="D365">
        <v>1.822581411098446</v>
      </c>
      <c r="E365">
        <v>2.0733244364570149</v>
      </c>
    </row>
    <row r="366" spans="1:5" x14ac:dyDescent="0.3">
      <c r="A366" s="13">
        <v>42186</v>
      </c>
      <c r="B366">
        <v>2.2191763595993361</v>
      </c>
      <c r="C366">
        <v>1.699381492657031</v>
      </c>
      <c r="D366">
        <v>1.7428061426623349</v>
      </c>
      <c r="E366">
        <v>1.9637656130861529</v>
      </c>
    </row>
    <row r="367" spans="1:5" x14ac:dyDescent="0.3">
      <c r="A367" s="13">
        <v>42187</v>
      </c>
      <c r="B367">
        <v>2.104311082889744</v>
      </c>
      <c r="C367">
        <v>1.6174437321325841</v>
      </c>
      <c r="D367">
        <v>1.647051492398693</v>
      </c>
      <c r="E367">
        <v>1.849663152700437</v>
      </c>
    </row>
    <row r="368" spans="1:5" x14ac:dyDescent="0.3">
      <c r="A368" s="13">
        <v>42188</v>
      </c>
      <c r="B368">
        <v>1.986343123255649</v>
      </c>
      <c r="C368">
        <v>1.538567784859082</v>
      </c>
      <c r="D368">
        <v>1.5757991666960971</v>
      </c>
      <c r="E368">
        <v>1.7561136935570369</v>
      </c>
    </row>
    <row r="369" spans="1:5" x14ac:dyDescent="0.3">
      <c r="A369" s="13">
        <v>42191</v>
      </c>
      <c r="B369">
        <v>1.953530320954183</v>
      </c>
      <c r="C369">
        <v>1.528273543737019</v>
      </c>
      <c r="D369">
        <v>1.5304508487690041</v>
      </c>
      <c r="E369">
        <v>1.6882224760421349</v>
      </c>
    </row>
    <row r="370" spans="1:5" x14ac:dyDescent="0.3">
      <c r="A370" s="13">
        <v>42192</v>
      </c>
      <c r="B370">
        <v>1.859186024790437</v>
      </c>
      <c r="C370">
        <v>1.4441605720998949</v>
      </c>
      <c r="D370">
        <v>1.4497017113533479</v>
      </c>
      <c r="E370">
        <v>1.5733187654876759</v>
      </c>
    </row>
    <row r="371" spans="1:5" x14ac:dyDescent="0.3">
      <c r="A371" s="13">
        <v>42193</v>
      </c>
      <c r="B371">
        <v>1.759446125974667</v>
      </c>
      <c r="C371">
        <v>1.378070575428215</v>
      </c>
      <c r="D371">
        <v>1.4021498748332699</v>
      </c>
      <c r="E371">
        <v>1.502769815433862</v>
      </c>
    </row>
    <row r="372" spans="1:5" x14ac:dyDescent="0.3">
      <c r="A372" s="13">
        <v>42194</v>
      </c>
      <c r="B372">
        <v>1.847142798499293</v>
      </c>
      <c r="C372">
        <v>1.450435931941136</v>
      </c>
      <c r="D372">
        <v>1.443821208668677</v>
      </c>
      <c r="E372">
        <v>1.560632253932015</v>
      </c>
    </row>
    <row r="373" spans="1:5" x14ac:dyDescent="0.3">
      <c r="A373" s="13">
        <v>42195</v>
      </c>
      <c r="B373">
        <v>1.940184539624767</v>
      </c>
      <c r="C373">
        <v>1.532417110568854</v>
      </c>
      <c r="D373">
        <v>1.4990996166950641</v>
      </c>
      <c r="E373">
        <v>1.6352726472301971</v>
      </c>
    </row>
    <row r="374" spans="1:5" x14ac:dyDescent="0.3">
      <c r="A374" s="13">
        <v>42198</v>
      </c>
      <c r="B374">
        <v>2.0388255330243412</v>
      </c>
      <c r="C374">
        <v>1.616347955392599</v>
      </c>
      <c r="D374">
        <v>1.583539713862782</v>
      </c>
      <c r="E374">
        <v>1.7258837065038619</v>
      </c>
    </row>
    <row r="375" spans="1:5" x14ac:dyDescent="0.3">
      <c r="A375" s="13">
        <v>42199</v>
      </c>
      <c r="B375">
        <v>2.0636644888787332</v>
      </c>
      <c r="C375">
        <v>1.6243670409035611</v>
      </c>
      <c r="D375">
        <v>1.62188758557989</v>
      </c>
      <c r="E375">
        <v>1.7698492491897171</v>
      </c>
    </row>
    <row r="376" spans="1:5" x14ac:dyDescent="0.3">
      <c r="A376" s="13">
        <v>42200</v>
      </c>
      <c r="B376">
        <v>1.974452667078654</v>
      </c>
      <c r="C376">
        <v>1.549045388060863</v>
      </c>
      <c r="D376">
        <v>1.548772574457695</v>
      </c>
      <c r="E376">
        <v>1.6742927755758059</v>
      </c>
    </row>
    <row r="377" spans="1:5" x14ac:dyDescent="0.3">
      <c r="A377" s="13">
        <v>42201</v>
      </c>
      <c r="B377">
        <v>2.008013528685753</v>
      </c>
      <c r="C377">
        <v>1.5740836518404751</v>
      </c>
      <c r="D377">
        <v>1.5689369151381389</v>
      </c>
      <c r="E377">
        <v>1.692944522434024</v>
      </c>
    </row>
    <row r="378" spans="1:5" x14ac:dyDescent="0.3">
      <c r="A378" s="13">
        <v>42202</v>
      </c>
      <c r="B378">
        <v>2.1008146411947708</v>
      </c>
      <c r="C378">
        <v>1.65068556032013</v>
      </c>
      <c r="D378">
        <v>1.6495921746440201</v>
      </c>
      <c r="E378">
        <v>1.7920965157763751</v>
      </c>
    </row>
    <row r="379" spans="1:5" x14ac:dyDescent="0.3">
      <c r="A379" s="13">
        <v>42205</v>
      </c>
      <c r="B379">
        <v>2.1413491481159999</v>
      </c>
      <c r="C379">
        <v>1.6746564928167149</v>
      </c>
      <c r="D379">
        <v>1.6954131707596409</v>
      </c>
      <c r="E379">
        <v>1.8468948547727291</v>
      </c>
    </row>
    <row r="380" spans="1:5" x14ac:dyDescent="0.3">
      <c r="A380" s="13">
        <v>42206</v>
      </c>
      <c r="B380">
        <v>2.1760267703165401</v>
      </c>
      <c r="C380">
        <v>1.6974671088122431</v>
      </c>
      <c r="D380">
        <v>1.731425299215672</v>
      </c>
      <c r="E380">
        <v>1.883799812132362</v>
      </c>
    </row>
    <row r="381" spans="1:5" x14ac:dyDescent="0.3">
      <c r="A381" s="13">
        <v>42207</v>
      </c>
      <c r="B381">
        <v>2.191549138645295</v>
      </c>
      <c r="C381">
        <v>1.7039430109601419</v>
      </c>
      <c r="D381">
        <v>1.7405081830697631</v>
      </c>
      <c r="E381">
        <v>1.9127375619726319</v>
      </c>
    </row>
    <row r="382" spans="1:5" x14ac:dyDescent="0.3">
      <c r="A382" s="13">
        <v>42208</v>
      </c>
      <c r="B382">
        <v>2.2460302767481521</v>
      </c>
      <c r="C382">
        <v>1.743023980519415</v>
      </c>
      <c r="D382">
        <v>1.7849526941072409</v>
      </c>
      <c r="E382">
        <v>1.971468660464853</v>
      </c>
    </row>
    <row r="383" spans="1:5" x14ac:dyDescent="0.3">
      <c r="A383" s="13">
        <v>42209</v>
      </c>
      <c r="B383">
        <v>2.21828331167307</v>
      </c>
      <c r="C383">
        <v>1.716568121920744</v>
      </c>
      <c r="D383">
        <v>1.7589692349319861</v>
      </c>
      <c r="E383">
        <v>1.946905433171136</v>
      </c>
    </row>
    <row r="384" spans="1:5" x14ac:dyDescent="0.3">
      <c r="A384" s="13">
        <v>42212</v>
      </c>
      <c r="B384">
        <v>2.0774131831273528</v>
      </c>
      <c r="C384">
        <v>1.5923281107602869</v>
      </c>
      <c r="D384">
        <v>1.6461377663594909</v>
      </c>
      <c r="E384">
        <v>1.8035761794526259</v>
      </c>
    </row>
    <row r="385" spans="1:5" x14ac:dyDescent="0.3">
      <c r="A385" s="13">
        <v>42213</v>
      </c>
      <c r="B385">
        <v>2.0444813391457091</v>
      </c>
      <c r="C385">
        <v>1.57166781024655</v>
      </c>
      <c r="D385">
        <v>1.598798435210024</v>
      </c>
      <c r="E385">
        <v>1.7320693991668119</v>
      </c>
    </row>
    <row r="386" spans="1:5" x14ac:dyDescent="0.3">
      <c r="A386" s="13">
        <v>42214</v>
      </c>
      <c r="B386">
        <v>2.1170075193550781</v>
      </c>
      <c r="C386">
        <v>1.627089542149065</v>
      </c>
      <c r="D386">
        <v>1.6583715496510241</v>
      </c>
      <c r="E386">
        <v>1.802493671416511</v>
      </c>
    </row>
    <row r="387" spans="1:5" x14ac:dyDescent="0.3">
      <c r="A387" s="13">
        <v>42215</v>
      </c>
      <c r="B387">
        <v>2.064544405859337</v>
      </c>
      <c r="C387">
        <v>1.5807789549654361</v>
      </c>
      <c r="D387">
        <v>1.606351228644431</v>
      </c>
      <c r="E387">
        <v>1.7464898828553519</v>
      </c>
    </row>
    <row r="388" spans="1:5" x14ac:dyDescent="0.3">
      <c r="A388" s="13">
        <v>42216</v>
      </c>
      <c r="B388">
        <v>2.0351047825965489</v>
      </c>
      <c r="C388">
        <v>1.5775034124053271</v>
      </c>
      <c r="D388">
        <v>1.583417704099733</v>
      </c>
      <c r="E388">
        <v>1.71460769616869</v>
      </c>
    </row>
    <row r="389" spans="1:5" x14ac:dyDescent="0.3">
      <c r="A389" s="13">
        <v>42219</v>
      </c>
      <c r="B389">
        <v>1.9896843400006961</v>
      </c>
      <c r="C389">
        <v>1.5580157297267769</v>
      </c>
      <c r="D389">
        <v>1.532210212664421</v>
      </c>
      <c r="E389">
        <v>1.6410465811794519</v>
      </c>
    </row>
    <row r="390" spans="1:5" x14ac:dyDescent="0.3">
      <c r="A390" s="13">
        <v>42220</v>
      </c>
      <c r="B390">
        <v>2.0703368348867039</v>
      </c>
      <c r="C390">
        <v>1.6214287464941779</v>
      </c>
      <c r="D390">
        <v>1.605317329879536</v>
      </c>
      <c r="E390">
        <v>1.7229659844227589</v>
      </c>
    </row>
    <row r="391" spans="1:5" x14ac:dyDescent="0.3">
      <c r="A391" s="13">
        <v>42221</v>
      </c>
      <c r="B391">
        <v>2.0477933035173912</v>
      </c>
      <c r="C391">
        <v>1.6061653097126489</v>
      </c>
      <c r="D391">
        <v>1.591193620275043</v>
      </c>
      <c r="E391">
        <v>1.707508020793284</v>
      </c>
    </row>
    <row r="392" spans="1:5" x14ac:dyDescent="0.3">
      <c r="A392" s="13">
        <v>42222</v>
      </c>
      <c r="B392">
        <v>2.0396454957276982</v>
      </c>
      <c r="C392">
        <v>1.6018255809464099</v>
      </c>
      <c r="D392">
        <v>1.585164466587927</v>
      </c>
      <c r="E392">
        <v>1.699978211695339</v>
      </c>
    </row>
    <row r="393" spans="1:5" x14ac:dyDescent="0.3">
      <c r="A393" s="13">
        <v>42223</v>
      </c>
      <c r="B393">
        <v>2.090194191035454</v>
      </c>
      <c r="C393">
        <v>1.6414221782320979</v>
      </c>
      <c r="D393">
        <v>1.636291871307368</v>
      </c>
      <c r="E393">
        <v>1.758846091170059</v>
      </c>
    </row>
    <row r="394" spans="1:5" x14ac:dyDescent="0.3">
      <c r="A394" s="13">
        <v>42226</v>
      </c>
      <c r="B394">
        <v>2.173454061717957</v>
      </c>
      <c r="C394">
        <v>1.7087768062677131</v>
      </c>
      <c r="D394">
        <v>1.7070430769582501</v>
      </c>
      <c r="E394">
        <v>1.844542026463369</v>
      </c>
    </row>
    <row r="395" spans="1:5" x14ac:dyDescent="0.3">
      <c r="A395" s="13">
        <v>42227</v>
      </c>
      <c r="B395">
        <v>2.1725909594954769</v>
      </c>
      <c r="C395">
        <v>1.7098810419446311</v>
      </c>
      <c r="D395">
        <v>1.706279992212429</v>
      </c>
      <c r="E395">
        <v>1.8509561468397999</v>
      </c>
    </row>
    <row r="396" spans="1:5" x14ac:dyDescent="0.3">
      <c r="A396" s="13">
        <v>42228</v>
      </c>
      <c r="B396">
        <v>2.1427979481449762</v>
      </c>
      <c r="C396">
        <v>1.6805320694472601</v>
      </c>
      <c r="D396">
        <v>1.6677990616328231</v>
      </c>
      <c r="E396">
        <v>1.816380446819998</v>
      </c>
    </row>
    <row r="397" spans="1:5" x14ac:dyDescent="0.3">
      <c r="A397" s="13">
        <v>42229</v>
      </c>
      <c r="B397">
        <v>2.177920470580978</v>
      </c>
      <c r="C397">
        <v>1.7077650311982031</v>
      </c>
      <c r="D397">
        <v>1.701145348179848</v>
      </c>
      <c r="E397">
        <v>1.8554216660717611</v>
      </c>
    </row>
    <row r="398" spans="1:5" x14ac:dyDescent="0.3">
      <c r="A398" s="13">
        <v>42230</v>
      </c>
      <c r="B398">
        <v>2.1881440965600718</v>
      </c>
      <c r="C398">
        <v>1.707574198477251</v>
      </c>
      <c r="D398">
        <v>1.706141802275464</v>
      </c>
      <c r="E398">
        <v>1.859335388408742</v>
      </c>
    </row>
    <row r="399" spans="1:5" x14ac:dyDescent="0.3">
      <c r="A399" s="13">
        <v>42233</v>
      </c>
      <c r="B399">
        <v>2.2140517873053982</v>
      </c>
      <c r="C399">
        <v>1.721608827040793</v>
      </c>
      <c r="D399">
        <v>1.7219589923138561</v>
      </c>
      <c r="E399">
        <v>1.869227844374493</v>
      </c>
    </row>
    <row r="400" spans="1:5" x14ac:dyDescent="0.3">
      <c r="A400" s="13">
        <v>42234</v>
      </c>
      <c r="B400">
        <v>2.0854369321161661</v>
      </c>
      <c r="C400">
        <v>1.612946082128512</v>
      </c>
      <c r="D400">
        <v>1.6188603189970019</v>
      </c>
      <c r="E400">
        <v>1.7439459042278349</v>
      </c>
    </row>
    <row r="401" spans="1:5" x14ac:dyDescent="0.3">
      <c r="A401" s="13">
        <v>42235</v>
      </c>
      <c r="B401">
        <v>2.1224110857696918</v>
      </c>
      <c r="C401">
        <v>1.6424556902636691</v>
      </c>
      <c r="D401">
        <v>1.6495256990488141</v>
      </c>
      <c r="E401">
        <v>1.778748149843872</v>
      </c>
    </row>
    <row r="402" spans="1:5" x14ac:dyDescent="0.3">
      <c r="A402" s="13">
        <v>42236</v>
      </c>
      <c r="B402">
        <v>2.0675877881696878</v>
      </c>
      <c r="C402">
        <v>1.599192353869902</v>
      </c>
      <c r="D402">
        <v>1.605661324960074</v>
      </c>
      <c r="E402">
        <v>1.725989877028999</v>
      </c>
    </row>
    <row r="403" spans="1:5" x14ac:dyDescent="0.3">
      <c r="A403" s="13">
        <v>42237</v>
      </c>
      <c r="B403">
        <v>1.9778516349396189</v>
      </c>
      <c r="C403">
        <v>1.5235677351350649</v>
      </c>
      <c r="D403">
        <v>1.5254694997567591</v>
      </c>
      <c r="E403">
        <v>1.6349785623037301</v>
      </c>
    </row>
    <row r="404" spans="1:5" x14ac:dyDescent="0.3">
      <c r="A404" s="13">
        <v>42240</v>
      </c>
      <c r="B404">
        <v>1.8501083210272531</v>
      </c>
      <c r="C404">
        <v>1.4096601548165251</v>
      </c>
      <c r="D404">
        <v>1.4217573279667739</v>
      </c>
      <c r="E404">
        <v>1.513665288185249</v>
      </c>
    </row>
    <row r="405" spans="1:5" x14ac:dyDescent="0.3">
      <c r="A405" s="13">
        <v>42241</v>
      </c>
      <c r="B405">
        <v>1.7456058521956279</v>
      </c>
      <c r="C405">
        <v>1.322535009782748</v>
      </c>
      <c r="D405">
        <v>1.330010505937832</v>
      </c>
      <c r="E405">
        <v>1.4102842884821409</v>
      </c>
    </row>
    <row r="406" spans="1:5" x14ac:dyDescent="0.3">
      <c r="A406" s="13">
        <v>42242</v>
      </c>
      <c r="B406">
        <v>1.7220079743334731</v>
      </c>
      <c r="C406">
        <v>1.31066479989447</v>
      </c>
      <c r="D406">
        <v>1.303043562493519</v>
      </c>
      <c r="E406">
        <v>1.371155200773239</v>
      </c>
    </row>
    <row r="407" spans="1:5" x14ac:dyDescent="0.3">
      <c r="A407" s="13">
        <v>42243</v>
      </c>
      <c r="B407">
        <v>1.78765838487789</v>
      </c>
      <c r="C407">
        <v>1.3705413971911129</v>
      </c>
      <c r="D407">
        <v>1.354982036332304</v>
      </c>
      <c r="E407">
        <v>1.422123764872647</v>
      </c>
    </row>
    <row r="408" spans="1:5" x14ac:dyDescent="0.3">
      <c r="A408" s="13">
        <v>42244</v>
      </c>
      <c r="B408">
        <v>1.862396998229056</v>
      </c>
      <c r="C408">
        <v>1.435173254857588</v>
      </c>
      <c r="D408">
        <v>1.4217258522211329</v>
      </c>
      <c r="E408">
        <v>1.503557943276594</v>
      </c>
    </row>
    <row r="409" spans="1:5" x14ac:dyDescent="0.3">
      <c r="A409" s="13">
        <v>42247</v>
      </c>
      <c r="B409">
        <v>1.8345879847273019</v>
      </c>
      <c r="C409">
        <v>1.4090725110760729</v>
      </c>
      <c r="D409">
        <v>1.3739312866836011</v>
      </c>
      <c r="E409">
        <v>1.460825823375852</v>
      </c>
    </row>
    <row r="410" spans="1:5" x14ac:dyDescent="0.3">
      <c r="A410" s="13">
        <v>42248</v>
      </c>
      <c r="B410">
        <v>1.77887214552319</v>
      </c>
      <c r="C410">
        <v>1.360658453993453</v>
      </c>
      <c r="D410">
        <v>1.3086855420398169</v>
      </c>
      <c r="E410">
        <v>1.387316327215909</v>
      </c>
    </row>
    <row r="411" spans="1:5" x14ac:dyDescent="0.3">
      <c r="A411" s="13">
        <v>42249</v>
      </c>
      <c r="B411">
        <v>1.7590800370069539</v>
      </c>
      <c r="C411">
        <v>1.352693393556158</v>
      </c>
      <c r="D411">
        <v>1.292722845353891</v>
      </c>
      <c r="E411">
        <v>1.362382798358192</v>
      </c>
    </row>
    <row r="412" spans="1:5" x14ac:dyDescent="0.3">
      <c r="A412" s="13">
        <v>42254</v>
      </c>
      <c r="B412">
        <v>1.7525624692961901</v>
      </c>
      <c r="C412">
        <v>1.3415135802283329</v>
      </c>
      <c r="D412">
        <v>1.3022329348419821</v>
      </c>
      <c r="E412">
        <v>1.367664001305708</v>
      </c>
    </row>
    <row r="413" spans="1:5" x14ac:dyDescent="0.3">
      <c r="A413" s="13">
        <v>42255</v>
      </c>
      <c r="B413">
        <v>1.8081907770981429</v>
      </c>
      <c r="C413">
        <v>1.3883184309885881</v>
      </c>
      <c r="D413">
        <v>1.3533431278870309</v>
      </c>
      <c r="E413">
        <v>1.424074072703351</v>
      </c>
    </row>
    <row r="414" spans="1:5" x14ac:dyDescent="0.3">
      <c r="A414" s="13">
        <v>42256</v>
      </c>
      <c r="B414">
        <v>1.8510507729182111</v>
      </c>
      <c r="C414">
        <v>1.4259044761625199</v>
      </c>
      <c r="D414">
        <v>1.3923432569592971</v>
      </c>
      <c r="E414">
        <v>1.4725681293777371</v>
      </c>
    </row>
    <row r="415" spans="1:5" x14ac:dyDescent="0.3">
      <c r="A415" s="13">
        <v>42257</v>
      </c>
      <c r="B415">
        <v>1.8329480896557599</v>
      </c>
      <c r="C415">
        <v>1.4069801800515449</v>
      </c>
      <c r="D415">
        <v>1.3758707732584921</v>
      </c>
      <c r="E415">
        <v>1.455194511611428</v>
      </c>
    </row>
    <row r="416" spans="1:5" x14ac:dyDescent="0.3">
      <c r="A416" s="13">
        <v>42258</v>
      </c>
      <c r="B416">
        <v>1.8396065922656459</v>
      </c>
      <c r="C416">
        <v>1.4092615816506029</v>
      </c>
      <c r="D416">
        <v>1.382998822700142</v>
      </c>
      <c r="E416">
        <v>1.4675715114626791</v>
      </c>
    </row>
    <row r="417" spans="1:5" x14ac:dyDescent="0.3">
      <c r="A417" s="13">
        <v>42261</v>
      </c>
      <c r="B417">
        <v>1.7649860143985301</v>
      </c>
      <c r="C417">
        <v>1.3421147170468299</v>
      </c>
      <c r="D417">
        <v>1.306002439830211</v>
      </c>
      <c r="E417">
        <v>1.377367635483941</v>
      </c>
    </row>
    <row r="418" spans="1:5" x14ac:dyDescent="0.3">
      <c r="A418" s="13">
        <v>42262</v>
      </c>
      <c r="B418">
        <v>1.7109689952663549</v>
      </c>
      <c r="C418">
        <v>1.291459237984119</v>
      </c>
      <c r="D418">
        <v>1.25389338656186</v>
      </c>
      <c r="E418">
        <v>1.315132509540119</v>
      </c>
    </row>
    <row r="419" spans="1:5" x14ac:dyDescent="0.3">
      <c r="A419" s="13">
        <v>42263</v>
      </c>
      <c r="B419">
        <v>1.790446463850401</v>
      </c>
      <c r="C419">
        <v>1.369695342524561</v>
      </c>
      <c r="D419">
        <v>1.3273264351225089</v>
      </c>
      <c r="E419">
        <v>1.401328240029478</v>
      </c>
    </row>
    <row r="420" spans="1:5" x14ac:dyDescent="0.3">
      <c r="A420" s="13">
        <v>42264</v>
      </c>
      <c r="B420">
        <v>1.7658898653384869</v>
      </c>
      <c r="C420">
        <v>1.348432826954205</v>
      </c>
      <c r="D420">
        <v>1.314022601910076</v>
      </c>
      <c r="E420">
        <v>1.389559204479573</v>
      </c>
    </row>
    <row r="421" spans="1:5" x14ac:dyDescent="0.3">
      <c r="A421" s="13">
        <v>42265</v>
      </c>
      <c r="B421">
        <v>1.784111183977642</v>
      </c>
      <c r="C421">
        <v>1.362692375754609</v>
      </c>
      <c r="D421">
        <v>1.333656144582158</v>
      </c>
      <c r="E421">
        <v>1.413417351077046</v>
      </c>
    </row>
    <row r="422" spans="1:5" x14ac:dyDescent="0.3">
      <c r="A422" s="13">
        <v>42268</v>
      </c>
      <c r="B422">
        <v>1.8251748528166329</v>
      </c>
      <c r="C422">
        <v>1.4064292774165821</v>
      </c>
      <c r="D422">
        <v>1.3802678244814881</v>
      </c>
      <c r="E422">
        <v>1.472098346789606</v>
      </c>
    </row>
    <row r="423" spans="1:5" x14ac:dyDescent="0.3">
      <c r="A423" s="13">
        <v>42269</v>
      </c>
      <c r="B423">
        <v>1.8345518782272989</v>
      </c>
      <c r="C423">
        <v>1.4156438847001671</v>
      </c>
      <c r="D423">
        <v>1.388169773135262</v>
      </c>
      <c r="E423">
        <v>1.478880356810448</v>
      </c>
    </row>
    <row r="424" spans="1:5" x14ac:dyDescent="0.3">
      <c r="A424" s="13">
        <v>42270</v>
      </c>
      <c r="B424">
        <v>1.812919463040249</v>
      </c>
      <c r="C424">
        <v>1.3982753681144471</v>
      </c>
      <c r="D424">
        <v>1.3797694633576909</v>
      </c>
      <c r="E424">
        <v>1.469676234250596</v>
      </c>
    </row>
    <row r="425" spans="1:5" x14ac:dyDescent="0.3">
      <c r="A425" s="13">
        <v>42271</v>
      </c>
      <c r="B425">
        <v>1.8306552194314749</v>
      </c>
      <c r="C425">
        <v>1.411245844713596</v>
      </c>
      <c r="D425">
        <v>1.394792232352545</v>
      </c>
      <c r="E425">
        <v>1.4884014918975199</v>
      </c>
    </row>
    <row r="426" spans="1:5" x14ac:dyDescent="0.3">
      <c r="A426" s="13">
        <v>42272</v>
      </c>
      <c r="B426">
        <v>1.7960920329812251</v>
      </c>
      <c r="C426">
        <v>1.3792508111669139</v>
      </c>
      <c r="D426">
        <v>1.354607205829814</v>
      </c>
      <c r="E426">
        <v>1.439952046358643</v>
      </c>
    </row>
    <row r="427" spans="1:5" x14ac:dyDescent="0.3">
      <c r="A427" s="13">
        <v>42275</v>
      </c>
      <c r="B427">
        <v>1.8182421988108419</v>
      </c>
      <c r="C427">
        <v>1.4044626761362951</v>
      </c>
      <c r="D427">
        <v>1.3916364462794</v>
      </c>
      <c r="E427">
        <v>1.479440210254269</v>
      </c>
    </row>
    <row r="428" spans="1:5" x14ac:dyDescent="0.3">
      <c r="A428" s="13">
        <v>42276</v>
      </c>
      <c r="B428">
        <v>1.7948709958051361</v>
      </c>
      <c r="C428">
        <v>1.38823224172904</v>
      </c>
      <c r="D428">
        <v>1.3823159021810221</v>
      </c>
      <c r="E428">
        <v>1.463783235366112</v>
      </c>
    </row>
    <row r="429" spans="1:5" x14ac:dyDescent="0.3">
      <c r="A429" s="13">
        <v>42277</v>
      </c>
      <c r="B429">
        <v>1.8015741478397289</v>
      </c>
      <c r="C429">
        <v>1.393108298281966</v>
      </c>
      <c r="D429">
        <v>1.3837754259230339</v>
      </c>
      <c r="E429">
        <v>1.4672192851229271</v>
      </c>
    </row>
    <row r="430" spans="1:5" x14ac:dyDescent="0.3">
      <c r="A430" s="13">
        <v>42285</v>
      </c>
      <c r="B430">
        <v>1.851450186772273</v>
      </c>
      <c r="C430">
        <v>1.4394524904729871</v>
      </c>
      <c r="D430">
        <v>1.429895148432319</v>
      </c>
      <c r="E430">
        <v>1.5289300856095469</v>
      </c>
    </row>
    <row r="431" spans="1:5" x14ac:dyDescent="0.3">
      <c r="A431" s="13">
        <v>42286</v>
      </c>
      <c r="B431">
        <v>1.8714242948856901</v>
      </c>
      <c r="C431">
        <v>1.4575821915684231</v>
      </c>
      <c r="D431">
        <v>1.449031375956976</v>
      </c>
      <c r="E431">
        <v>1.551327535264323</v>
      </c>
    </row>
    <row r="432" spans="1:5" x14ac:dyDescent="0.3">
      <c r="A432" s="13">
        <v>42289</v>
      </c>
      <c r="B432">
        <v>1.931084285251929</v>
      </c>
      <c r="C432">
        <v>1.5054602145320699</v>
      </c>
      <c r="D432">
        <v>1.498116695281118</v>
      </c>
      <c r="E432">
        <v>1.6114764874658849</v>
      </c>
    </row>
    <row r="433" spans="1:5" x14ac:dyDescent="0.3">
      <c r="A433" s="13">
        <v>42290</v>
      </c>
      <c r="B433">
        <v>1.9441915107003951</v>
      </c>
      <c r="C433">
        <v>1.5164216505008761</v>
      </c>
      <c r="D433">
        <v>1.511883077192741</v>
      </c>
      <c r="E433">
        <v>1.6326348678240949</v>
      </c>
    </row>
    <row r="434" spans="1:5" x14ac:dyDescent="0.3">
      <c r="A434" s="13">
        <v>42291</v>
      </c>
      <c r="B434">
        <v>1.9224103261150329</v>
      </c>
      <c r="C434">
        <v>1.496612833557571</v>
      </c>
      <c r="D434">
        <v>1.49063654686471</v>
      </c>
      <c r="E434">
        <v>1.6135249529344049</v>
      </c>
    </row>
    <row r="435" spans="1:5" x14ac:dyDescent="0.3">
      <c r="A435" s="13">
        <v>42292</v>
      </c>
      <c r="B435">
        <v>1.9727861830560931</v>
      </c>
      <c r="C435">
        <v>1.5345787558814501</v>
      </c>
      <c r="D435">
        <v>1.5324297257886399</v>
      </c>
      <c r="E435">
        <v>1.663830647228665</v>
      </c>
    </row>
    <row r="436" spans="1:5" x14ac:dyDescent="0.3">
      <c r="A436" s="13">
        <v>42293</v>
      </c>
      <c r="B436">
        <v>1.9980984470295799</v>
      </c>
      <c r="C436">
        <v>1.550567705896611</v>
      </c>
      <c r="D436">
        <v>1.548296525747098</v>
      </c>
      <c r="E436">
        <v>1.691093905002458</v>
      </c>
    </row>
    <row r="437" spans="1:5" x14ac:dyDescent="0.3">
      <c r="A437" s="13">
        <v>42296</v>
      </c>
      <c r="B437">
        <v>1.995862297880632</v>
      </c>
      <c r="C437">
        <v>1.5450082381771919</v>
      </c>
      <c r="D437">
        <v>1.544501901452874</v>
      </c>
      <c r="E437">
        <v>1.6869902577636069</v>
      </c>
    </row>
    <row r="438" spans="1:5" x14ac:dyDescent="0.3">
      <c r="A438" s="13">
        <v>42297</v>
      </c>
      <c r="B438">
        <v>2.0244171554902519</v>
      </c>
      <c r="C438">
        <v>1.56931028825199</v>
      </c>
      <c r="D438">
        <v>1.572562391787216</v>
      </c>
      <c r="E438">
        <v>1.725774787285753</v>
      </c>
    </row>
    <row r="439" spans="1:5" x14ac:dyDescent="0.3">
      <c r="A439" s="13">
        <v>42298</v>
      </c>
      <c r="B439">
        <v>1.931684673922955</v>
      </c>
      <c r="C439">
        <v>1.4927521754740769</v>
      </c>
      <c r="D439">
        <v>1.488989117911409</v>
      </c>
      <c r="E439">
        <v>1.6303346166873409</v>
      </c>
    </row>
    <row r="440" spans="1:5" x14ac:dyDescent="0.3">
      <c r="A440" s="13">
        <v>42299</v>
      </c>
      <c r="B440">
        <v>1.981635292496329</v>
      </c>
      <c r="C440">
        <v>1.534409959322673</v>
      </c>
      <c r="D440">
        <v>1.5400530352906019</v>
      </c>
      <c r="E440">
        <v>1.692109342931581</v>
      </c>
    </row>
    <row r="441" spans="1:5" x14ac:dyDescent="0.3">
      <c r="A441" s="13">
        <v>42300</v>
      </c>
      <c r="B441">
        <v>2.0208863223660609</v>
      </c>
      <c r="C441">
        <v>1.567320112497937</v>
      </c>
      <c r="D441">
        <v>1.582116106460645</v>
      </c>
      <c r="E441">
        <v>1.73391456468474</v>
      </c>
    </row>
    <row r="442" spans="1:5" x14ac:dyDescent="0.3">
      <c r="A442" s="13">
        <v>42303</v>
      </c>
      <c r="B442">
        <v>2.031786334446251</v>
      </c>
      <c r="C442">
        <v>1.581206675537147</v>
      </c>
      <c r="D442">
        <v>1.592485126930737</v>
      </c>
      <c r="E442">
        <v>1.743380043448264</v>
      </c>
    </row>
    <row r="443" spans="1:5" x14ac:dyDescent="0.3">
      <c r="A443" s="13">
        <v>42304</v>
      </c>
      <c r="B443">
        <v>2.0414613592208211</v>
      </c>
      <c r="C443">
        <v>1.5859262708036881</v>
      </c>
      <c r="D443">
        <v>1.601501478257668</v>
      </c>
      <c r="E443">
        <v>1.7571073209725669</v>
      </c>
    </row>
    <row r="444" spans="1:5" x14ac:dyDescent="0.3">
      <c r="A444" s="13">
        <v>42305</v>
      </c>
      <c r="B444">
        <v>2.006452514772787</v>
      </c>
      <c r="C444">
        <v>1.5608164253902099</v>
      </c>
      <c r="D444">
        <v>1.570398185192907</v>
      </c>
      <c r="E444">
        <v>1.718842725698003</v>
      </c>
    </row>
    <row r="445" spans="1:5" x14ac:dyDescent="0.3">
      <c r="A445" s="13">
        <v>42306</v>
      </c>
      <c r="B445">
        <v>2.0198573992614079</v>
      </c>
      <c r="C445">
        <v>1.5695666071572241</v>
      </c>
      <c r="D445">
        <v>1.585099122747238</v>
      </c>
      <c r="E445">
        <v>1.7288648519862111</v>
      </c>
    </row>
    <row r="446" spans="1:5" x14ac:dyDescent="0.3">
      <c r="A446" s="13">
        <v>42307</v>
      </c>
      <c r="B446">
        <v>2.024160585994808</v>
      </c>
      <c r="C446">
        <v>1.5718109345126869</v>
      </c>
      <c r="D446">
        <v>1.592353518330804</v>
      </c>
      <c r="E446">
        <v>1.7395102757059311</v>
      </c>
    </row>
    <row r="447" spans="1:5" x14ac:dyDescent="0.3">
      <c r="A447" s="13">
        <v>42310</v>
      </c>
      <c r="B447">
        <v>1.991855691276109</v>
      </c>
      <c r="C447">
        <v>1.5530263778062501</v>
      </c>
      <c r="D447">
        <v>1.571686283664002</v>
      </c>
      <c r="E447">
        <v>1.708213385760931</v>
      </c>
    </row>
    <row r="448" spans="1:5" x14ac:dyDescent="0.3">
      <c r="A448" s="13">
        <v>42311</v>
      </c>
      <c r="B448">
        <v>1.990218121499286</v>
      </c>
      <c r="C448">
        <v>1.5489723394751449</v>
      </c>
      <c r="D448">
        <v>1.5732639389323499</v>
      </c>
      <c r="E448">
        <v>1.7067979686345141</v>
      </c>
    </row>
    <row r="449" spans="1:5" x14ac:dyDescent="0.3">
      <c r="A449" s="13">
        <v>42312</v>
      </c>
      <c r="B449">
        <v>2.074180575889657</v>
      </c>
      <c r="C449">
        <v>1.60646175262978</v>
      </c>
      <c r="D449">
        <v>1.6352120265817971</v>
      </c>
      <c r="E449">
        <v>1.7883068845203649</v>
      </c>
    </row>
    <row r="450" spans="1:5" x14ac:dyDescent="0.3">
      <c r="A450" s="13">
        <v>42313</v>
      </c>
      <c r="B450">
        <v>2.0899235837100698</v>
      </c>
      <c r="C450">
        <v>1.610311150338342</v>
      </c>
      <c r="D450">
        <v>1.633961204372298</v>
      </c>
      <c r="E450">
        <v>1.7886703773793859</v>
      </c>
    </row>
    <row r="451" spans="1:5" x14ac:dyDescent="0.3">
      <c r="A451" s="13">
        <v>42314</v>
      </c>
      <c r="B451">
        <v>2.137664077247948</v>
      </c>
      <c r="C451">
        <v>1.642123188146636</v>
      </c>
      <c r="D451">
        <v>1.678892767619695</v>
      </c>
      <c r="E451">
        <v>1.8428967505294489</v>
      </c>
    </row>
    <row r="452" spans="1:5" x14ac:dyDescent="0.3">
      <c r="A452" s="13">
        <v>42317</v>
      </c>
      <c r="B452">
        <v>2.1686358594530879</v>
      </c>
      <c r="C452">
        <v>1.657969105324087</v>
      </c>
      <c r="D452">
        <v>1.7056836481882971</v>
      </c>
      <c r="E452">
        <v>1.881097037543515</v>
      </c>
    </row>
    <row r="453" spans="1:5" x14ac:dyDescent="0.3">
      <c r="A453" s="13">
        <v>42318</v>
      </c>
      <c r="B453">
        <v>2.177104606783419</v>
      </c>
      <c r="C453">
        <v>1.6625784907441801</v>
      </c>
      <c r="D453">
        <v>1.717849215550791</v>
      </c>
      <c r="E453">
        <v>1.8931350673132441</v>
      </c>
    </row>
    <row r="454" spans="1:5" x14ac:dyDescent="0.3">
      <c r="A454" s="13">
        <v>42319</v>
      </c>
      <c r="B454">
        <v>2.1947199256006669</v>
      </c>
      <c r="C454">
        <v>1.674848614848319</v>
      </c>
      <c r="D454">
        <v>1.752736546977089</v>
      </c>
      <c r="E454">
        <v>1.926407531520526</v>
      </c>
    </row>
    <row r="455" spans="1:5" x14ac:dyDescent="0.3">
      <c r="A455" s="13">
        <v>42320</v>
      </c>
      <c r="B455">
        <v>2.188197967538605</v>
      </c>
      <c r="C455">
        <v>1.671401411490762</v>
      </c>
      <c r="D455">
        <v>1.7562507796854669</v>
      </c>
      <c r="E455">
        <v>1.924566696570347</v>
      </c>
    </row>
    <row r="456" spans="1:5" x14ac:dyDescent="0.3">
      <c r="A456" s="13">
        <v>42321</v>
      </c>
      <c r="B456">
        <v>2.1525335067730902</v>
      </c>
      <c r="C456">
        <v>1.642098729087442</v>
      </c>
      <c r="D456">
        <v>1.7106448255799671</v>
      </c>
      <c r="E456">
        <v>1.874253890175924</v>
      </c>
    </row>
    <row r="457" spans="1:5" x14ac:dyDescent="0.3">
      <c r="A457" s="13">
        <v>42324</v>
      </c>
      <c r="B457">
        <v>2.1841712408728031</v>
      </c>
      <c r="C457">
        <v>1.6625422822076661</v>
      </c>
      <c r="D457">
        <v>1.746897866922279</v>
      </c>
      <c r="E457">
        <v>1.919181788050043</v>
      </c>
    </row>
    <row r="458" spans="1:5" x14ac:dyDescent="0.3">
      <c r="A458" s="13">
        <v>42325</v>
      </c>
      <c r="B458">
        <v>2.1740244939402711</v>
      </c>
      <c r="C458">
        <v>1.652990612528193</v>
      </c>
      <c r="D458">
        <v>1.7236661181635069</v>
      </c>
      <c r="E458">
        <v>1.90220729907899</v>
      </c>
    </row>
    <row r="459" spans="1:5" x14ac:dyDescent="0.3">
      <c r="A459" s="13">
        <v>42326</v>
      </c>
      <c r="B459">
        <v>2.148217448676113</v>
      </c>
      <c r="C459">
        <v>1.6351815636821441</v>
      </c>
      <c r="D459">
        <v>1.6932201060955641</v>
      </c>
      <c r="E459">
        <v>1.870221845903913</v>
      </c>
    </row>
    <row r="460" spans="1:5" x14ac:dyDescent="0.3">
      <c r="A460" s="13">
        <v>42327</v>
      </c>
      <c r="B460">
        <v>2.1942964298740639</v>
      </c>
      <c r="C460">
        <v>1.666818426170698</v>
      </c>
      <c r="D460">
        <v>1.745779493912293</v>
      </c>
      <c r="E460">
        <v>1.9321857066522321</v>
      </c>
    </row>
    <row r="461" spans="1:5" x14ac:dyDescent="0.3">
      <c r="A461" s="13">
        <v>42328</v>
      </c>
      <c r="B461">
        <v>2.2143563457473441</v>
      </c>
      <c r="C461">
        <v>1.677429132060283</v>
      </c>
      <c r="D461">
        <v>1.769645256690467</v>
      </c>
      <c r="E461">
        <v>1.9613810787693109</v>
      </c>
    </row>
    <row r="462" spans="1:5" x14ac:dyDescent="0.3">
      <c r="A462" s="13">
        <v>42331</v>
      </c>
      <c r="B462">
        <v>2.2007453064843032</v>
      </c>
      <c r="C462">
        <v>1.666079976151881</v>
      </c>
      <c r="D462">
        <v>1.7539264973092961</v>
      </c>
      <c r="E462">
        <v>1.938271020528499</v>
      </c>
    </row>
    <row r="463" spans="1:5" x14ac:dyDescent="0.3">
      <c r="A463" s="13">
        <v>42332</v>
      </c>
      <c r="B463">
        <v>2.2093740911441939</v>
      </c>
      <c r="C463">
        <v>1.674526854962066</v>
      </c>
      <c r="D463">
        <v>1.776121077344974</v>
      </c>
      <c r="E463">
        <v>1.961285448088635</v>
      </c>
    </row>
    <row r="464" spans="1:5" x14ac:dyDescent="0.3">
      <c r="A464" s="13">
        <v>42333</v>
      </c>
      <c r="B464">
        <v>2.2431858388805588</v>
      </c>
      <c r="C464">
        <v>1.69662392842242</v>
      </c>
      <c r="D464">
        <v>1.810463974917272</v>
      </c>
      <c r="E464">
        <v>2.0036630438189791</v>
      </c>
    </row>
    <row r="465" spans="1:5" x14ac:dyDescent="0.3">
      <c r="A465" s="13">
        <v>42334</v>
      </c>
      <c r="B465">
        <v>2.2322109595981261</v>
      </c>
      <c r="C465">
        <v>1.6868847152395301</v>
      </c>
      <c r="D465">
        <v>1.799426777664562</v>
      </c>
      <c r="E465">
        <v>1.9862772869668011</v>
      </c>
    </row>
    <row r="466" spans="1:5" x14ac:dyDescent="0.3">
      <c r="A466" s="13">
        <v>42335</v>
      </c>
      <c r="B466">
        <v>2.1258649142288419</v>
      </c>
      <c r="C466">
        <v>1.610304674995406</v>
      </c>
      <c r="D466">
        <v>1.7055050510408609</v>
      </c>
      <c r="E466">
        <v>1.872683923525398</v>
      </c>
    </row>
    <row r="467" spans="1:5" x14ac:dyDescent="0.3">
      <c r="A467" s="13">
        <v>42338</v>
      </c>
      <c r="B467">
        <v>2.1380407515847768</v>
      </c>
      <c r="C467">
        <v>1.6175965198196149</v>
      </c>
      <c r="D467">
        <v>1.72074275849681</v>
      </c>
      <c r="E467">
        <v>1.889258359450154</v>
      </c>
    </row>
    <row r="468" spans="1:5" x14ac:dyDescent="0.3">
      <c r="A468" s="13">
        <v>42339</v>
      </c>
      <c r="B468">
        <v>2.1414828011206519</v>
      </c>
      <c r="C468">
        <v>1.6244547578903661</v>
      </c>
      <c r="D468">
        <v>1.7098601083591349</v>
      </c>
      <c r="E468">
        <v>1.8661309613657631</v>
      </c>
    </row>
    <row r="469" spans="1:5" x14ac:dyDescent="0.3">
      <c r="A469" s="13">
        <v>42340</v>
      </c>
      <c r="B469">
        <v>2.1568465759120148</v>
      </c>
      <c r="C469">
        <v>1.634816404038421</v>
      </c>
      <c r="D469">
        <v>1.6930060672749689</v>
      </c>
      <c r="E469">
        <v>1.845721632925089</v>
      </c>
    </row>
    <row r="470" spans="1:5" x14ac:dyDescent="0.3">
      <c r="A470" s="13">
        <v>42341</v>
      </c>
      <c r="B470">
        <v>2.1938856840477969</v>
      </c>
      <c r="C470">
        <v>1.656838472477441</v>
      </c>
      <c r="D470">
        <v>1.7308591023177771</v>
      </c>
      <c r="E470">
        <v>1.8968618732787319</v>
      </c>
    </row>
    <row r="471" spans="1:5" x14ac:dyDescent="0.3">
      <c r="A471" s="13">
        <v>42342</v>
      </c>
      <c r="B471">
        <v>2.1744658901879008</v>
      </c>
      <c r="C471">
        <v>1.64454773495664</v>
      </c>
      <c r="D471">
        <v>1.719573261266105</v>
      </c>
      <c r="E471">
        <v>1.889711927765952</v>
      </c>
    </row>
    <row r="472" spans="1:5" x14ac:dyDescent="0.3">
      <c r="A472" s="13">
        <v>42345</v>
      </c>
      <c r="B472">
        <v>2.190765254643166</v>
      </c>
      <c r="C472">
        <v>1.6622079083707559</v>
      </c>
      <c r="D472">
        <v>1.7436916986084849</v>
      </c>
      <c r="E472">
        <v>1.9195097433180479</v>
      </c>
    </row>
    <row r="473" spans="1:5" x14ac:dyDescent="0.3">
      <c r="A473" s="13">
        <v>42346</v>
      </c>
      <c r="B473">
        <v>2.1649397334561038</v>
      </c>
      <c r="C473">
        <v>1.6383692134137871</v>
      </c>
      <c r="D473">
        <v>1.7242665148914169</v>
      </c>
      <c r="E473">
        <v>1.9011325538229169</v>
      </c>
    </row>
    <row r="474" spans="1:5" x14ac:dyDescent="0.3">
      <c r="A474" s="13">
        <v>42347</v>
      </c>
      <c r="B474">
        <v>2.165704235469192</v>
      </c>
      <c r="C474">
        <v>1.640001760591576</v>
      </c>
      <c r="D474">
        <v>1.719854992404426</v>
      </c>
      <c r="E474">
        <v>1.903035942512779</v>
      </c>
    </row>
    <row r="475" spans="1:5" x14ac:dyDescent="0.3">
      <c r="A475" s="13">
        <v>42348</v>
      </c>
      <c r="B475">
        <v>2.1585593229524642</v>
      </c>
      <c r="C475">
        <v>1.633827063482771</v>
      </c>
      <c r="D475">
        <v>1.7182936545786669</v>
      </c>
      <c r="E475">
        <v>1.9006159236215661</v>
      </c>
    </row>
    <row r="476" spans="1:5" x14ac:dyDescent="0.3">
      <c r="A476" s="13">
        <v>42349</v>
      </c>
      <c r="B476">
        <v>2.1444516703180758</v>
      </c>
      <c r="C476">
        <v>1.6272724737554409</v>
      </c>
      <c r="D476">
        <v>1.7001046629147849</v>
      </c>
      <c r="E476">
        <v>1.8812551917446121</v>
      </c>
    </row>
    <row r="477" spans="1:5" x14ac:dyDescent="0.3">
      <c r="A477" s="13">
        <v>42352</v>
      </c>
      <c r="B477">
        <v>2.1795366613481768</v>
      </c>
      <c r="C477">
        <v>1.6530785151506711</v>
      </c>
      <c r="D477">
        <v>1.724521079298492</v>
      </c>
      <c r="E477">
        <v>1.9029493268131481</v>
      </c>
    </row>
    <row r="478" spans="1:5" x14ac:dyDescent="0.3">
      <c r="A478" s="13">
        <v>42353</v>
      </c>
      <c r="B478">
        <v>2.1965799890888831</v>
      </c>
      <c r="C478">
        <v>1.663827683317602</v>
      </c>
      <c r="D478">
        <v>1.748727107932577</v>
      </c>
      <c r="E478">
        <v>1.9348265042078261</v>
      </c>
    </row>
    <row r="479" spans="1:5" x14ac:dyDescent="0.3">
      <c r="A479" s="13">
        <v>42354</v>
      </c>
      <c r="B479">
        <v>2.2067830150900689</v>
      </c>
      <c r="C479">
        <v>1.6704796067167329</v>
      </c>
      <c r="D479">
        <v>1.760818409408395</v>
      </c>
      <c r="E479">
        <v>1.948639685441041</v>
      </c>
    </row>
    <row r="480" spans="1:5" x14ac:dyDescent="0.3">
      <c r="A480" s="13">
        <v>42355</v>
      </c>
      <c r="B480">
        <v>2.2495078973172551</v>
      </c>
      <c r="C480">
        <v>1.702469056730473</v>
      </c>
      <c r="D480">
        <v>1.8052759365565541</v>
      </c>
      <c r="E480">
        <v>1.996526470862084</v>
      </c>
    </row>
    <row r="481" spans="1:5" x14ac:dyDescent="0.3">
      <c r="A481" s="13">
        <v>42356</v>
      </c>
      <c r="B481">
        <v>2.246561751936317</v>
      </c>
      <c r="C481">
        <v>1.7016115488225589</v>
      </c>
      <c r="D481">
        <v>1.803385553078461</v>
      </c>
      <c r="E481">
        <v>1.987930717219101</v>
      </c>
    </row>
    <row r="482" spans="1:5" x14ac:dyDescent="0.3">
      <c r="A482" s="13">
        <v>42359</v>
      </c>
      <c r="B482">
        <v>2.2737456080656999</v>
      </c>
      <c r="C482">
        <v>1.726045643514287</v>
      </c>
      <c r="D482">
        <v>1.810757469092054</v>
      </c>
      <c r="E482">
        <v>1.9937684697656179</v>
      </c>
    </row>
    <row r="483" spans="1:5" x14ac:dyDescent="0.3">
      <c r="A483" s="13">
        <v>42360</v>
      </c>
      <c r="B483">
        <v>2.2884856165510059</v>
      </c>
      <c r="C483">
        <v>1.73572791346711</v>
      </c>
      <c r="D483">
        <v>1.8237742547107409</v>
      </c>
      <c r="E483">
        <v>2.013866243098839</v>
      </c>
    </row>
    <row r="484" spans="1:5" x14ac:dyDescent="0.3">
      <c r="A484" s="13">
        <v>42361</v>
      </c>
      <c r="B484">
        <v>2.2766749176214032</v>
      </c>
      <c r="C484">
        <v>1.7181428602704301</v>
      </c>
      <c r="D484">
        <v>1.8029857479953011</v>
      </c>
      <c r="E484">
        <v>1.9796884228818321</v>
      </c>
    </row>
    <row r="485" spans="1:5" x14ac:dyDescent="0.3">
      <c r="A485" s="13">
        <v>42362</v>
      </c>
      <c r="B485">
        <v>2.2707043563506</v>
      </c>
      <c r="C485">
        <v>1.7136220861995799</v>
      </c>
      <c r="D485">
        <v>1.8036850617326821</v>
      </c>
      <c r="E485">
        <v>1.9820785672853389</v>
      </c>
    </row>
    <row r="486" spans="1:5" x14ac:dyDescent="0.3">
      <c r="A486" s="13">
        <v>42363</v>
      </c>
      <c r="B486">
        <v>2.284656064407244</v>
      </c>
      <c r="C486">
        <v>1.7190452116550921</v>
      </c>
      <c r="D486">
        <v>1.810695512066556</v>
      </c>
      <c r="E486">
        <v>1.9970099266594961</v>
      </c>
    </row>
    <row r="487" spans="1:5" x14ac:dyDescent="0.3">
      <c r="A487" s="13">
        <v>42366</v>
      </c>
      <c r="B487">
        <v>2.235504745608814</v>
      </c>
      <c r="C487">
        <v>1.686481921040234</v>
      </c>
      <c r="D487">
        <v>1.7765780630149941</v>
      </c>
      <c r="E487">
        <v>1.9674077739006011</v>
      </c>
    </row>
    <row r="488" spans="1:5" x14ac:dyDescent="0.3">
      <c r="A488" s="13">
        <v>42367</v>
      </c>
      <c r="B488">
        <v>2.2509303496949031</v>
      </c>
      <c r="C488">
        <v>1.7025965565276711</v>
      </c>
      <c r="D488">
        <v>1.791579152061985</v>
      </c>
      <c r="E488">
        <v>1.981843579993614</v>
      </c>
    </row>
    <row r="489" spans="1:5" x14ac:dyDescent="0.3">
      <c r="A489" s="13">
        <v>42368</v>
      </c>
      <c r="B489">
        <v>2.2639999971214508</v>
      </c>
      <c r="C489">
        <v>1.71258421102198</v>
      </c>
      <c r="D489">
        <v>1.8082278553809239</v>
      </c>
      <c r="E489">
        <v>2.0075841239792669</v>
      </c>
    </row>
    <row r="490" spans="1:5" x14ac:dyDescent="0.3">
      <c r="A490" s="13">
        <v>42369</v>
      </c>
      <c r="B490">
        <v>2.2403142235799232</v>
      </c>
      <c r="C490">
        <v>1.692936190816356</v>
      </c>
      <c r="D490">
        <v>1.7765999322167461</v>
      </c>
      <c r="E490">
        <v>1.9735391371164199</v>
      </c>
    </row>
    <row r="491" spans="1:5" x14ac:dyDescent="0.3">
      <c r="A491" s="13">
        <v>42373</v>
      </c>
      <c r="B491">
        <v>2.0975384049756558</v>
      </c>
      <c r="C491">
        <v>1.5819008298630151</v>
      </c>
      <c r="D491">
        <v>1.6425448299723671</v>
      </c>
      <c r="E491">
        <v>1.818560359256536</v>
      </c>
    </row>
    <row r="492" spans="1:5" x14ac:dyDescent="0.3">
      <c r="A492" s="13">
        <v>42374</v>
      </c>
      <c r="B492">
        <v>2.0752100671356271</v>
      </c>
      <c r="C492">
        <v>1.573708374552574</v>
      </c>
      <c r="D492">
        <v>1.6152829287715851</v>
      </c>
      <c r="E492">
        <v>1.7731844601522759</v>
      </c>
    </row>
    <row r="493" spans="1:5" x14ac:dyDescent="0.3">
      <c r="A493" s="13">
        <v>42375</v>
      </c>
      <c r="B493">
        <v>2.1090251993079878</v>
      </c>
      <c r="C493">
        <v>1.606277276093496</v>
      </c>
      <c r="D493">
        <v>1.6460462230443811</v>
      </c>
      <c r="E493">
        <v>1.809353643732371</v>
      </c>
    </row>
    <row r="494" spans="1:5" x14ac:dyDescent="0.3">
      <c r="A494" s="13">
        <v>42376</v>
      </c>
      <c r="B494">
        <v>1.9841392960061031</v>
      </c>
      <c r="C494">
        <v>1.5003779324139681</v>
      </c>
      <c r="D494">
        <v>1.523718204992933</v>
      </c>
      <c r="E494">
        <v>1.666477863059594</v>
      </c>
    </row>
    <row r="495" spans="1:5" x14ac:dyDescent="0.3">
      <c r="A495" s="13">
        <v>42377</v>
      </c>
      <c r="B495">
        <v>2.0040682490296229</v>
      </c>
      <c r="C495">
        <v>1.5271655399828219</v>
      </c>
      <c r="D495">
        <v>1.533505075805436</v>
      </c>
      <c r="E495">
        <v>1.6628776121719979</v>
      </c>
    </row>
    <row r="496" spans="1:5" x14ac:dyDescent="0.3">
      <c r="A496" s="13">
        <v>42380</v>
      </c>
      <c r="B496">
        <v>1.909670807654072</v>
      </c>
      <c r="C496">
        <v>1.45500888397995</v>
      </c>
      <c r="D496">
        <v>1.450435337682318</v>
      </c>
      <c r="E496">
        <v>1.5551281213002699</v>
      </c>
    </row>
    <row r="497" spans="1:5" x14ac:dyDescent="0.3">
      <c r="A497" s="13">
        <v>42381</v>
      </c>
      <c r="B497">
        <v>1.91679570924287</v>
      </c>
      <c r="C497">
        <v>1.4610603298643241</v>
      </c>
      <c r="D497">
        <v>1.457578336823256</v>
      </c>
      <c r="E497">
        <v>1.557029410849585</v>
      </c>
    </row>
    <row r="498" spans="1:5" x14ac:dyDescent="0.3">
      <c r="A498" s="13">
        <v>42382</v>
      </c>
      <c r="B498">
        <v>1.870611798310746</v>
      </c>
      <c r="C498">
        <v>1.4263767822417619</v>
      </c>
      <c r="D498">
        <v>1.411279339653881</v>
      </c>
      <c r="E498">
        <v>1.5030393775486719</v>
      </c>
    </row>
    <row r="499" spans="1:5" x14ac:dyDescent="0.3">
      <c r="A499" s="13">
        <v>42383</v>
      </c>
      <c r="B499">
        <v>1.9134061595108269</v>
      </c>
      <c r="C499">
        <v>1.4641813322362931</v>
      </c>
      <c r="D499">
        <v>1.464046618301116</v>
      </c>
      <c r="E499">
        <v>1.5627407909529829</v>
      </c>
    </row>
    <row r="500" spans="1:5" x14ac:dyDescent="0.3">
      <c r="A500" s="13">
        <v>42384</v>
      </c>
      <c r="B500">
        <v>1.8659714961614311</v>
      </c>
      <c r="C500">
        <v>1.4231233763005791</v>
      </c>
      <c r="D500">
        <v>1.4232298476969849</v>
      </c>
      <c r="E500">
        <v>1.5237191017337901</v>
      </c>
    </row>
    <row r="501" spans="1:5" x14ac:dyDescent="0.3">
      <c r="A501" s="13">
        <v>42387</v>
      </c>
      <c r="B501">
        <v>1.8890891382273149</v>
      </c>
      <c r="C501">
        <v>1.4363188312127599</v>
      </c>
      <c r="D501">
        <v>1.4486008662506109</v>
      </c>
      <c r="E501">
        <v>1.557227346496058</v>
      </c>
    </row>
    <row r="502" spans="1:5" x14ac:dyDescent="0.3">
      <c r="A502" s="13">
        <v>42388</v>
      </c>
      <c r="B502">
        <v>1.941699332205419</v>
      </c>
      <c r="C502">
        <v>1.4777606360018849</v>
      </c>
      <c r="D502">
        <v>1.49639083952143</v>
      </c>
      <c r="E502">
        <v>1.6100224804047689</v>
      </c>
    </row>
    <row r="503" spans="1:5" x14ac:dyDescent="0.3">
      <c r="A503" s="13">
        <v>42389</v>
      </c>
      <c r="B503">
        <v>1.930571883169766</v>
      </c>
      <c r="C503">
        <v>1.461074420015843</v>
      </c>
      <c r="D503">
        <v>1.4844302879059139</v>
      </c>
      <c r="E503">
        <v>1.593763743120757</v>
      </c>
    </row>
    <row r="504" spans="1:5" x14ac:dyDescent="0.3">
      <c r="A504" s="13">
        <v>42390</v>
      </c>
      <c r="B504">
        <v>1.874288138038622</v>
      </c>
      <c r="C504">
        <v>1.4170126522787929</v>
      </c>
      <c r="D504">
        <v>1.428852085406098</v>
      </c>
      <c r="E504">
        <v>1.5256729738200441</v>
      </c>
    </row>
    <row r="505" spans="1:5" x14ac:dyDescent="0.3">
      <c r="A505" s="13">
        <v>42391</v>
      </c>
      <c r="B505">
        <v>1.8897214556511499</v>
      </c>
      <c r="C505">
        <v>1.430827665202929</v>
      </c>
      <c r="D505">
        <v>1.4482181851372919</v>
      </c>
      <c r="E505">
        <v>1.5458045193460641</v>
      </c>
    </row>
    <row r="506" spans="1:5" x14ac:dyDescent="0.3">
      <c r="A506" s="13">
        <v>42394</v>
      </c>
      <c r="B506">
        <v>1.90557795804812</v>
      </c>
      <c r="C506">
        <v>1.4462687686691791</v>
      </c>
      <c r="D506">
        <v>1.4633801548804171</v>
      </c>
      <c r="E506">
        <v>1.56282926726553</v>
      </c>
    </row>
    <row r="507" spans="1:5" x14ac:dyDescent="0.3">
      <c r="A507" s="13">
        <v>42395</v>
      </c>
      <c r="B507">
        <v>1.8075537107253841</v>
      </c>
      <c r="C507">
        <v>1.3653321190134311</v>
      </c>
      <c r="D507">
        <v>1.3703487631609681</v>
      </c>
      <c r="E507">
        <v>1.457830413264942</v>
      </c>
    </row>
    <row r="508" spans="1:5" x14ac:dyDescent="0.3">
      <c r="A508" s="13">
        <v>42396</v>
      </c>
      <c r="B508">
        <v>1.7900716641425021</v>
      </c>
      <c r="C508">
        <v>1.3581256363168399</v>
      </c>
      <c r="D508">
        <v>1.355196787800637</v>
      </c>
      <c r="E508">
        <v>1.4369604997841039</v>
      </c>
    </row>
    <row r="509" spans="1:5" x14ac:dyDescent="0.3">
      <c r="A509" s="13">
        <v>42397</v>
      </c>
      <c r="B509">
        <v>1.73936207636461</v>
      </c>
      <c r="C509">
        <v>1.3173205743315171</v>
      </c>
      <c r="D509">
        <v>1.298522079173881</v>
      </c>
      <c r="E509">
        <v>1.374896802598272</v>
      </c>
    </row>
    <row r="510" spans="1:5" x14ac:dyDescent="0.3">
      <c r="A510" s="13">
        <v>42398</v>
      </c>
      <c r="B510">
        <v>1.787422075220666</v>
      </c>
      <c r="C510">
        <v>1.3587769529992579</v>
      </c>
      <c r="D510">
        <v>1.3440400901427569</v>
      </c>
      <c r="E510">
        <v>1.424157938299663</v>
      </c>
    </row>
    <row r="511" spans="1:5" x14ac:dyDescent="0.3">
      <c r="A511" s="13">
        <v>42401</v>
      </c>
      <c r="B511">
        <v>1.771547657442734</v>
      </c>
      <c r="C511">
        <v>1.349680382987952</v>
      </c>
      <c r="D511">
        <v>1.338952551111301</v>
      </c>
      <c r="E511">
        <v>1.4136841338805111</v>
      </c>
    </row>
    <row r="512" spans="1:5" x14ac:dyDescent="0.3">
      <c r="A512" s="13">
        <v>42402</v>
      </c>
      <c r="B512">
        <v>1.8157299930401061</v>
      </c>
      <c r="C512">
        <v>1.387386498663524</v>
      </c>
      <c r="D512">
        <v>1.382163774614656</v>
      </c>
      <c r="E512">
        <v>1.468739963993809</v>
      </c>
    </row>
    <row r="513" spans="1:5" x14ac:dyDescent="0.3">
      <c r="A513" s="13">
        <v>42403</v>
      </c>
      <c r="B513">
        <v>1.819052393667808</v>
      </c>
      <c r="C513">
        <v>1.391000015777953</v>
      </c>
      <c r="D513">
        <v>1.388563780692798</v>
      </c>
      <c r="E513">
        <v>1.480457380556145</v>
      </c>
    </row>
    <row r="514" spans="1:5" x14ac:dyDescent="0.3">
      <c r="A514" s="13">
        <v>42404</v>
      </c>
      <c r="B514">
        <v>1.8489279030645489</v>
      </c>
      <c r="C514">
        <v>1.4160445823900489</v>
      </c>
      <c r="D514">
        <v>1.4150960828069079</v>
      </c>
      <c r="E514">
        <v>1.5123455738298841</v>
      </c>
    </row>
    <row r="515" spans="1:5" x14ac:dyDescent="0.3">
      <c r="A515" s="13">
        <v>42405</v>
      </c>
      <c r="B515">
        <v>1.8363587743371961</v>
      </c>
      <c r="C515">
        <v>1.405873116935874</v>
      </c>
      <c r="D515">
        <v>1.4012870292868691</v>
      </c>
      <c r="E515">
        <v>1.494184236018661</v>
      </c>
    </row>
    <row r="516" spans="1:5" x14ac:dyDescent="0.3">
      <c r="A516" s="13">
        <v>42415</v>
      </c>
      <c r="B516">
        <v>1.838734086519604</v>
      </c>
      <c r="C516">
        <v>1.4146993464571691</v>
      </c>
      <c r="D516">
        <v>1.40773985134853</v>
      </c>
      <c r="E516">
        <v>1.501628145348131</v>
      </c>
    </row>
    <row r="517" spans="1:5" x14ac:dyDescent="0.3">
      <c r="A517" s="13">
        <v>42416</v>
      </c>
      <c r="B517">
        <v>1.894428123755749</v>
      </c>
      <c r="C517">
        <v>1.457378625609973</v>
      </c>
      <c r="D517">
        <v>1.456408361677058</v>
      </c>
      <c r="E517">
        <v>1.561273528641032</v>
      </c>
    </row>
    <row r="518" spans="1:5" x14ac:dyDescent="0.3">
      <c r="A518" s="13">
        <v>42417</v>
      </c>
      <c r="B518">
        <v>1.9124913238456129</v>
      </c>
      <c r="C518">
        <v>1.4657363361712641</v>
      </c>
      <c r="D518">
        <v>1.4702019567391329</v>
      </c>
      <c r="E518">
        <v>1.578673082307031</v>
      </c>
    </row>
    <row r="519" spans="1:5" x14ac:dyDescent="0.3">
      <c r="A519" s="13">
        <v>42418</v>
      </c>
      <c r="B519">
        <v>1.9039445714736061</v>
      </c>
      <c r="C519">
        <v>1.457356941203392</v>
      </c>
      <c r="D519">
        <v>1.461970971155153</v>
      </c>
      <c r="E519">
        <v>1.570054735316466</v>
      </c>
    </row>
    <row r="520" spans="1:5" x14ac:dyDescent="0.3">
      <c r="A520" s="13">
        <v>42419</v>
      </c>
      <c r="B520">
        <v>1.9077549736430519</v>
      </c>
      <c r="C520">
        <v>1.459421884651934</v>
      </c>
      <c r="D520">
        <v>1.469108884216159</v>
      </c>
      <c r="E520">
        <v>1.5765996896501671</v>
      </c>
    </row>
    <row r="521" spans="1:5" x14ac:dyDescent="0.3">
      <c r="A521" s="13">
        <v>42422</v>
      </c>
      <c r="B521">
        <v>1.941814863525126</v>
      </c>
      <c r="C521">
        <v>1.487551378869121</v>
      </c>
      <c r="D521">
        <v>1.491983097691344</v>
      </c>
      <c r="E521">
        <v>1.600848679355948</v>
      </c>
    </row>
    <row r="522" spans="1:5" x14ac:dyDescent="0.3">
      <c r="A522" s="13">
        <v>42423</v>
      </c>
      <c r="B522">
        <v>1.933983388435301</v>
      </c>
      <c r="C522">
        <v>1.484379059794366</v>
      </c>
      <c r="D522">
        <v>1.4841909162836859</v>
      </c>
      <c r="E522">
        <v>1.5906523836439559</v>
      </c>
    </row>
    <row r="523" spans="1:5" x14ac:dyDescent="0.3">
      <c r="A523" s="13">
        <v>42424</v>
      </c>
      <c r="B523">
        <v>1.937818581820957</v>
      </c>
      <c r="C523">
        <v>1.4834849245428461</v>
      </c>
      <c r="D523">
        <v>1.4792651493305851</v>
      </c>
      <c r="E523">
        <v>1.5804931540808611</v>
      </c>
    </row>
    <row r="524" spans="1:5" x14ac:dyDescent="0.3">
      <c r="A524" s="13">
        <v>42425</v>
      </c>
      <c r="B524">
        <v>1.8233020493934911</v>
      </c>
      <c r="C524">
        <v>1.3899157501101971</v>
      </c>
      <c r="D524">
        <v>1.3827004264276079</v>
      </c>
      <c r="E524">
        <v>1.4682242922108251</v>
      </c>
    </row>
    <row r="525" spans="1:5" x14ac:dyDescent="0.3">
      <c r="A525" s="13">
        <v>42426</v>
      </c>
      <c r="B525">
        <v>1.829162374341136</v>
      </c>
      <c r="C525">
        <v>1.4007911537717039</v>
      </c>
      <c r="D525">
        <v>1.38356857233722</v>
      </c>
      <c r="E525">
        <v>1.463859196848676</v>
      </c>
    </row>
    <row r="526" spans="1:5" x14ac:dyDescent="0.3">
      <c r="A526" s="13">
        <v>42429</v>
      </c>
      <c r="B526">
        <v>1.7680714708315279</v>
      </c>
      <c r="C526">
        <v>1.349427429213951</v>
      </c>
      <c r="D526">
        <v>1.322304688339371</v>
      </c>
      <c r="E526">
        <v>1.3832050657361949</v>
      </c>
    </row>
    <row r="527" spans="1:5" x14ac:dyDescent="0.3">
      <c r="A527" s="13">
        <v>42430</v>
      </c>
      <c r="B527">
        <v>1.800795272227937</v>
      </c>
      <c r="C527">
        <v>1.3747166251472229</v>
      </c>
      <c r="D527">
        <v>1.345860104452441</v>
      </c>
      <c r="E527">
        <v>1.4067045012788411</v>
      </c>
    </row>
    <row r="528" spans="1:5" x14ac:dyDescent="0.3">
      <c r="A528" s="13">
        <v>42431</v>
      </c>
      <c r="B528">
        <v>1.8720720575368419</v>
      </c>
      <c r="C528">
        <v>1.430339626137523</v>
      </c>
      <c r="D528">
        <v>1.39853154810942</v>
      </c>
      <c r="E528">
        <v>1.4658786411867739</v>
      </c>
    </row>
    <row r="529" spans="1:5" x14ac:dyDescent="0.3">
      <c r="A529" s="13">
        <v>42432</v>
      </c>
      <c r="B529">
        <v>1.8722531910535689</v>
      </c>
      <c r="C529">
        <v>1.4316803192007941</v>
      </c>
      <c r="D529">
        <v>1.396373983901998</v>
      </c>
      <c r="E529">
        <v>1.4641934371265879</v>
      </c>
    </row>
    <row r="530" spans="1:5" x14ac:dyDescent="0.3">
      <c r="A530" s="13">
        <v>42433</v>
      </c>
      <c r="B530">
        <v>1.8457093779500371</v>
      </c>
      <c r="C530">
        <v>1.407958088961667</v>
      </c>
      <c r="D530">
        <v>1.3583714216567651</v>
      </c>
      <c r="E530">
        <v>1.415455183892717</v>
      </c>
    </row>
    <row r="531" spans="1:5" x14ac:dyDescent="0.3">
      <c r="A531" s="13">
        <v>42436</v>
      </c>
      <c r="B531">
        <v>1.8720374263604369</v>
      </c>
      <c r="C531">
        <v>1.430415655978533</v>
      </c>
      <c r="D531">
        <v>1.380729488033867</v>
      </c>
      <c r="E531">
        <v>1.439269309311231</v>
      </c>
    </row>
    <row r="532" spans="1:5" x14ac:dyDescent="0.3">
      <c r="A532" s="13">
        <v>42437</v>
      </c>
      <c r="B532">
        <v>1.8718171880082879</v>
      </c>
      <c r="C532">
        <v>1.4332673754834591</v>
      </c>
      <c r="D532">
        <v>1.390033644281371</v>
      </c>
      <c r="E532">
        <v>1.4485167676473021</v>
      </c>
    </row>
    <row r="533" spans="1:5" x14ac:dyDescent="0.3">
      <c r="A533" s="13">
        <v>42438</v>
      </c>
      <c r="B533">
        <v>1.8314883914810971</v>
      </c>
      <c r="C533">
        <v>1.404076549812904</v>
      </c>
      <c r="D533">
        <v>1.365378622863324</v>
      </c>
      <c r="E533">
        <v>1.4217064893415481</v>
      </c>
    </row>
    <row r="534" spans="1:5" x14ac:dyDescent="0.3">
      <c r="A534" s="13">
        <v>42439</v>
      </c>
      <c r="B534">
        <v>1.8088301913544791</v>
      </c>
      <c r="C534">
        <v>1.386256815775911</v>
      </c>
      <c r="D534">
        <v>1.3479000819756559</v>
      </c>
      <c r="E534">
        <v>1.399651037530466</v>
      </c>
    </row>
    <row r="535" spans="1:5" x14ac:dyDescent="0.3">
      <c r="A535" s="13">
        <v>42440</v>
      </c>
      <c r="B535">
        <v>1.811780144569517</v>
      </c>
      <c r="C535">
        <v>1.3842024166890301</v>
      </c>
      <c r="D535">
        <v>1.345870101537685</v>
      </c>
      <c r="E535">
        <v>1.3956726674611379</v>
      </c>
    </row>
    <row r="536" spans="1:5" x14ac:dyDescent="0.3">
      <c r="A536" s="13">
        <v>42443</v>
      </c>
      <c r="B536">
        <v>1.856162755368052</v>
      </c>
      <c r="C536">
        <v>1.422433208653932</v>
      </c>
      <c r="D536">
        <v>1.3904262698237371</v>
      </c>
      <c r="E536">
        <v>1.448497630849072</v>
      </c>
    </row>
    <row r="537" spans="1:5" x14ac:dyDescent="0.3">
      <c r="A537" s="13">
        <v>42444</v>
      </c>
      <c r="B537">
        <v>1.847211982118427</v>
      </c>
      <c r="C537">
        <v>1.4153300583221331</v>
      </c>
      <c r="D537">
        <v>1.3826977199724459</v>
      </c>
      <c r="E537">
        <v>1.4394299900866301</v>
      </c>
    </row>
    <row r="538" spans="1:5" x14ac:dyDescent="0.3">
      <c r="A538" s="13">
        <v>42445</v>
      </c>
      <c r="B538">
        <v>1.8385064044851041</v>
      </c>
      <c r="C538">
        <v>1.404455987796958</v>
      </c>
      <c r="D538">
        <v>1.3704550357793019</v>
      </c>
      <c r="E538">
        <v>1.429175065768187</v>
      </c>
    </row>
    <row r="539" spans="1:5" x14ac:dyDescent="0.3">
      <c r="A539" s="13">
        <v>42446</v>
      </c>
      <c r="B539">
        <v>1.8812024583509761</v>
      </c>
      <c r="C539">
        <v>1.445705958638887</v>
      </c>
      <c r="D539">
        <v>1.417604829565877</v>
      </c>
      <c r="E539">
        <v>1.486714921388818</v>
      </c>
    </row>
    <row r="540" spans="1:5" x14ac:dyDescent="0.3">
      <c r="A540" s="13">
        <v>42447</v>
      </c>
      <c r="B540">
        <v>1.9352803472647699</v>
      </c>
      <c r="C540">
        <v>1.48581193404439</v>
      </c>
      <c r="D540">
        <v>1.461607730801751</v>
      </c>
      <c r="E540">
        <v>1.5445103956390429</v>
      </c>
    </row>
    <row r="541" spans="1:5" x14ac:dyDescent="0.3">
      <c r="A541" s="13">
        <v>42450</v>
      </c>
      <c r="B541">
        <v>1.977186261857772</v>
      </c>
      <c r="C541">
        <v>1.511302996118469</v>
      </c>
      <c r="D541">
        <v>1.49020145217605</v>
      </c>
      <c r="E541">
        <v>1.578201879972309</v>
      </c>
    </row>
    <row r="542" spans="1:5" x14ac:dyDescent="0.3">
      <c r="A542" s="13">
        <v>42451</v>
      </c>
      <c r="B542">
        <v>1.97110658617072</v>
      </c>
      <c r="C542">
        <v>1.506699449517277</v>
      </c>
      <c r="D542">
        <v>1.488982028769273</v>
      </c>
      <c r="E542">
        <v>1.5737282467060549</v>
      </c>
    </row>
    <row r="543" spans="1:5" x14ac:dyDescent="0.3">
      <c r="A543" s="13">
        <v>42452</v>
      </c>
      <c r="B543">
        <v>1.980157145622861</v>
      </c>
      <c r="C543">
        <v>1.513831907747957</v>
      </c>
      <c r="D543">
        <v>1.500059388410091</v>
      </c>
      <c r="E543">
        <v>1.5913438783719689</v>
      </c>
    </row>
    <row r="544" spans="1:5" x14ac:dyDescent="0.3">
      <c r="A544" s="13">
        <v>42453</v>
      </c>
      <c r="B544">
        <v>1.951765789140175</v>
      </c>
      <c r="C544">
        <v>1.495411383406539</v>
      </c>
      <c r="D544">
        <v>1.4823076699332429</v>
      </c>
      <c r="E544">
        <v>1.5676144207386209</v>
      </c>
    </row>
    <row r="545" spans="1:5" x14ac:dyDescent="0.3">
      <c r="A545" s="13">
        <v>42454</v>
      </c>
      <c r="B545">
        <v>1.9587194643423631</v>
      </c>
      <c r="C545">
        <v>1.50072294889811</v>
      </c>
      <c r="D545">
        <v>1.4883986523645081</v>
      </c>
      <c r="E545">
        <v>1.5743379172972549</v>
      </c>
    </row>
    <row r="546" spans="1:5" x14ac:dyDescent="0.3">
      <c r="A546" s="13">
        <v>42457</v>
      </c>
      <c r="B546">
        <v>1.947750948620748</v>
      </c>
      <c r="C546">
        <v>1.496415195175586</v>
      </c>
      <c r="D546">
        <v>1.482373751581074</v>
      </c>
      <c r="E546">
        <v>1.565503831609935</v>
      </c>
    </row>
    <row r="547" spans="1:5" x14ac:dyDescent="0.3">
      <c r="A547" s="13">
        <v>42458</v>
      </c>
      <c r="B547">
        <v>1.921875587341942</v>
      </c>
      <c r="C547">
        <v>1.474988792932558</v>
      </c>
      <c r="D547">
        <v>1.457344310705623</v>
      </c>
      <c r="E547">
        <v>1.534739166258078</v>
      </c>
    </row>
    <row r="548" spans="1:5" x14ac:dyDescent="0.3">
      <c r="A548" s="13">
        <v>42459</v>
      </c>
      <c r="B548">
        <v>1.9774553405448441</v>
      </c>
      <c r="C548">
        <v>1.517396849746363</v>
      </c>
      <c r="D548">
        <v>1.5050828343452869</v>
      </c>
      <c r="E548">
        <v>1.587997630879008</v>
      </c>
    </row>
    <row r="549" spans="1:5" x14ac:dyDescent="0.3">
      <c r="A549" s="13">
        <v>42460</v>
      </c>
      <c r="B549">
        <v>1.983885033782296</v>
      </c>
      <c r="C549">
        <v>1.5201128978328911</v>
      </c>
      <c r="D549">
        <v>1.509862799949125</v>
      </c>
      <c r="E549">
        <v>1.592386552879826</v>
      </c>
    </row>
    <row r="550" spans="1:5" x14ac:dyDescent="0.3">
      <c r="A550" s="13">
        <v>42461</v>
      </c>
      <c r="B550">
        <v>1.9801978184192199</v>
      </c>
      <c r="C550">
        <v>1.5157445897891211</v>
      </c>
      <c r="D550">
        <v>1.501936685183235</v>
      </c>
      <c r="E550">
        <v>1.582199498127806</v>
      </c>
    </row>
    <row r="551" spans="1:5" x14ac:dyDescent="0.3">
      <c r="A551" s="13">
        <v>42465</v>
      </c>
      <c r="B551">
        <v>2.0177893868871388</v>
      </c>
      <c r="C551">
        <v>1.5459392029433361</v>
      </c>
      <c r="D551">
        <v>1.537393464729444</v>
      </c>
      <c r="E551">
        <v>1.622834322382785</v>
      </c>
    </row>
    <row r="552" spans="1:5" x14ac:dyDescent="0.3">
      <c r="A552" s="13">
        <v>42466</v>
      </c>
      <c r="B552">
        <v>2.0223141522987218</v>
      </c>
      <c r="C552">
        <v>1.5517657366427511</v>
      </c>
      <c r="D552">
        <v>1.5434915997816581</v>
      </c>
      <c r="E552">
        <v>1.6287864704377411</v>
      </c>
    </row>
    <row r="553" spans="1:5" x14ac:dyDescent="0.3">
      <c r="A553" s="13">
        <v>42467</v>
      </c>
      <c r="B553">
        <v>1.991739451576604</v>
      </c>
      <c r="C553">
        <v>1.53050694650507</v>
      </c>
      <c r="D553">
        <v>1.519494598141647</v>
      </c>
      <c r="E553">
        <v>1.601783498551933</v>
      </c>
    </row>
    <row r="554" spans="1:5" x14ac:dyDescent="0.3">
      <c r="A554" s="13">
        <v>42468</v>
      </c>
      <c r="B554">
        <v>1.981954188494933</v>
      </c>
      <c r="C554">
        <v>1.5195407032321391</v>
      </c>
      <c r="D554">
        <v>1.506301807645023</v>
      </c>
      <c r="E554">
        <v>1.588938277098729</v>
      </c>
    </row>
    <row r="555" spans="1:5" x14ac:dyDescent="0.3">
      <c r="A555" s="13">
        <v>42471</v>
      </c>
      <c r="B555">
        <v>2.0153819856926982</v>
      </c>
      <c r="C555">
        <v>1.550364124111363</v>
      </c>
      <c r="D555">
        <v>1.5386336689626361</v>
      </c>
      <c r="E555">
        <v>1.6221092550916141</v>
      </c>
    </row>
    <row r="556" spans="1:5" x14ac:dyDescent="0.3">
      <c r="A556" s="13">
        <v>42472</v>
      </c>
      <c r="B556">
        <v>2.0032081573275899</v>
      </c>
      <c r="C556">
        <v>1.5431036799777571</v>
      </c>
      <c r="D556">
        <v>1.5271840801095651</v>
      </c>
      <c r="E556">
        <v>1.6081923769716251</v>
      </c>
    </row>
    <row r="557" spans="1:5" x14ac:dyDescent="0.3">
      <c r="A557" s="13">
        <v>42473</v>
      </c>
      <c r="B557">
        <v>2.0278753809957899</v>
      </c>
      <c r="C557">
        <v>1.5653738960733989</v>
      </c>
      <c r="D557">
        <v>1.546132288555971</v>
      </c>
      <c r="E557">
        <v>1.629788654048195</v>
      </c>
    </row>
    <row r="558" spans="1:5" x14ac:dyDescent="0.3">
      <c r="A558" s="13">
        <v>42474</v>
      </c>
      <c r="B558">
        <v>2.0395769687814518</v>
      </c>
      <c r="C558">
        <v>1.574767280131772</v>
      </c>
      <c r="D558">
        <v>1.559380288071478</v>
      </c>
      <c r="E558">
        <v>1.644133560965068</v>
      </c>
    </row>
    <row r="559" spans="1:5" x14ac:dyDescent="0.3">
      <c r="A559" s="13">
        <v>42475</v>
      </c>
      <c r="B559">
        <v>2.0392659604070071</v>
      </c>
      <c r="C559">
        <v>1.5710358047817721</v>
      </c>
      <c r="D559">
        <v>1.5589616943129441</v>
      </c>
      <c r="E559">
        <v>1.6417222262710689</v>
      </c>
    </row>
    <row r="560" spans="1:5" x14ac:dyDescent="0.3">
      <c r="A560" s="13">
        <v>42478</v>
      </c>
      <c r="B560">
        <v>2.0151070536338902</v>
      </c>
      <c r="C560">
        <v>1.552213448710126</v>
      </c>
      <c r="D560">
        <v>1.538515779538737</v>
      </c>
      <c r="E560">
        <v>1.620129249922913</v>
      </c>
    </row>
    <row r="561" spans="1:5" x14ac:dyDescent="0.3">
      <c r="A561" s="13">
        <v>42479</v>
      </c>
      <c r="B561">
        <v>2.0200936005712098</v>
      </c>
      <c r="C561">
        <v>1.5562516242933471</v>
      </c>
      <c r="D561">
        <v>1.542600410443238</v>
      </c>
      <c r="E561">
        <v>1.6259402629081501</v>
      </c>
    </row>
    <row r="562" spans="1:5" x14ac:dyDescent="0.3">
      <c r="A562" s="13">
        <v>42480</v>
      </c>
      <c r="B562">
        <v>1.961587962481524</v>
      </c>
      <c r="C562">
        <v>1.509486148428844</v>
      </c>
      <c r="D562">
        <v>1.4818891045698681</v>
      </c>
      <c r="E562">
        <v>1.560084904980156</v>
      </c>
    </row>
    <row r="563" spans="1:5" x14ac:dyDescent="0.3">
      <c r="A563" s="13">
        <v>42481</v>
      </c>
      <c r="B563">
        <v>1.9517895153384179</v>
      </c>
      <c r="C563">
        <v>1.5033368428885561</v>
      </c>
      <c r="D563">
        <v>1.469280227483948</v>
      </c>
      <c r="E563">
        <v>1.5444861899780551</v>
      </c>
    </row>
    <row r="564" spans="1:5" x14ac:dyDescent="0.3">
      <c r="A564" s="13">
        <v>42482</v>
      </c>
      <c r="B564">
        <v>1.9591940450986141</v>
      </c>
      <c r="C564">
        <v>1.5115798807672101</v>
      </c>
      <c r="D564">
        <v>1.4817157534262611</v>
      </c>
      <c r="E564">
        <v>1.5582293348886631</v>
      </c>
    </row>
    <row r="565" spans="1:5" x14ac:dyDescent="0.3">
      <c r="A565" s="13">
        <v>42485</v>
      </c>
      <c r="B565">
        <v>1.953858979790347</v>
      </c>
      <c r="C565">
        <v>1.5101698016966829</v>
      </c>
      <c r="D565">
        <v>1.4756000388507771</v>
      </c>
      <c r="E565">
        <v>1.550384350921751</v>
      </c>
    </row>
    <row r="566" spans="1:5" x14ac:dyDescent="0.3">
      <c r="A566" s="13">
        <v>42486</v>
      </c>
      <c r="B566">
        <v>1.968771705973587</v>
      </c>
      <c r="C566">
        <v>1.5204553905192211</v>
      </c>
      <c r="D566">
        <v>1.4900915759804281</v>
      </c>
      <c r="E566">
        <v>1.565334375557059</v>
      </c>
    </row>
    <row r="567" spans="1:5" x14ac:dyDescent="0.3">
      <c r="A567" s="13">
        <v>42487</v>
      </c>
      <c r="B567">
        <v>1.9694773385413999</v>
      </c>
      <c r="C567">
        <v>1.5176959393137961</v>
      </c>
      <c r="D567">
        <v>1.487120028211192</v>
      </c>
      <c r="E567">
        <v>1.563522213401165</v>
      </c>
    </row>
    <row r="568" spans="1:5" x14ac:dyDescent="0.3">
      <c r="A568" s="13">
        <v>42488</v>
      </c>
      <c r="B568">
        <v>1.9672041884761571</v>
      </c>
      <c r="C568">
        <v>1.514644147995283</v>
      </c>
      <c r="D568">
        <v>1.485311851008392</v>
      </c>
      <c r="E568">
        <v>1.5622966296969369</v>
      </c>
    </row>
    <row r="569" spans="1:5" x14ac:dyDescent="0.3">
      <c r="A569" s="13">
        <v>42489</v>
      </c>
      <c r="B569">
        <v>1.969636720876248</v>
      </c>
      <c r="C569">
        <v>1.520109157249206</v>
      </c>
      <c r="D569">
        <v>1.4864077160704861</v>
      </c>
      <c r="E569">
        <v>1.565678744742564</v>
      </c>
    </row>
    <row r="570" spans="1:5" x14ac:dyDescent="0.3">
      <c r="A570" s="13">
        <v>42493</v>
      </c>
      <c r="B570">
        <v>2.0114550555538679</v>
      </c>
      <c r="C570">
        <v>1.5596335508363059</v>
      </c>
      <c r="D570">
        <v>1.5251038423224761</v>
      </c>
      <c r="E570">
        <v>1.6134204045241589</v>
      </c>
    </row>
    <row r="571" spans="1:5" x14ac:dyDescent="0.3">
      <c r="A571" s="13">
        <v>42494</v>
      </c>
      <c r="B571">
        <v>2.010667502863587</v>
      </c>
      <c r="C571">
        <v>1.5581434262945879</v>
      </c>
      <c r="D571">
        <v>1.524782558435845</v>
      </c>
      <c r="E571">
        <v>1.6166577527137569</v>
      </c>
    </row>
    <row r="572" spans="1:5" x14ac:dyDescent="0.3">
      <c r="A572" s="13">
        <v>42495</v>
      </c>
      <c r="B572">
        <v>2.0154073687334928</v>
      </c>
      <c r="C572">
        <v>1.561574676873057</v>
      </c>
      <c r="D572">
        <v>1.5302535370163981</v>
      </c>
      <c r="E572">
        <v>1.6262039239704451</v>
      </c>
    </row>
    <row r="573" spans="1:5" x14ac:dyDescent="0.3">
      <c r="A573" s="13">
        <v>42496</v>
      </c>
      <c r="B573">
        <v>1.9577049261659121</v>
      </c>
      <c r="C573">
        <v>1.5163005767395681</v>
      </c>
      <c r="D573">
        <v>1.480208634614393</v>
      </c>
      <c r="E573">
        <v>1.573038690415395</v>
      </c>
    </row>
    <row r="574" spans="1:5" x14ac:dyDescent="0.3">
      <c r="A574" s="13">
        <v>42499</v>
      </c>
      <c r="B574">
        <v>1.909892671881797</v>
      </c>
      <c r="C574">
        <v>1.473855620984718</v>
      </c>
      <c r="D574">
        <v>1.434217486947132</v>
      </c>
      <c r="E574">
        <v>1.5216346709475681</v>
      </c>
    </row>
    <row r="575" spans="1:5" x14ac:dyDescent="0.3">
      <c r="A575" s="13">
        <v>42500</v>
      </c>
      <c r="B575">
        <v>1.91021039029448</v>
      </c>
      <c r="C575">
        <v>1.4758171550199839</v>
      </c>
      <c r="D575">
        <v>1.4355893302657039</v>
      </c>
      <c r="E575">
        <v>1.519372990963296</v>
      </c>
    </row>
    <row r="576" spans="1:5" x14ac:dyDescent="0.3">
      <c r="A576" s="13">
        <v>42501</v>
      </c>
      <c r="B576">
        <v>1.914496020696552</v>
      </c>
      <c r="C576">
        <v>1.4793310731828211</v>
      </c>
      <c r="D576">
        <v>1.4314251415195101</v>
      </c>
      <c r="E576">
        <v>1.5096349745648869</v>
      </c>
    </row>
    <row r="577" spans="1:5" x14ac:dyDescent="0.3">
      <c r="A577" s="13">
        <v>42502</v>
      </c>
      <c r="B577">
        <v>1.914022213920582</v>
      </c>
      <c r="C577">
        <v>1.482585233664848</v>
      </c>
      <c r="D577">
        <v>1.4337282717744999</v>
      </c>
      <c r="E577">
        <v>1.5116051847715031</v>
      </c>
    </row>
    <row r="578" spans="1:5" x14ac:dyDescent="0.3">
      <c r="A578" s="13">
        <v>42503</v>
      </c>
      <c r="B578">
        <v>1.90875356040401</v>
      </c>
      <c r="C578">
        <v>1.477814332750061</v>
      </c>
      <c r="D578">
        <v>1.4293466171756799</v>
      </c>
      <c r="E578">
        <v>1.509991753858752</v>
      </c>
    </row>
    <row r="579" spans="1:5" x14ac:dyDescent="0.3">
      <c r="A579" s="13">
        <v>42506</v>
      </c>
      <c r="B579">
        <v>1.931083213520193</v>
      </c>
      <c r="C579">
        <v>1.498732421911988</v>
      </c>
      <c r="D579">
        <v>1.450512740044922</v>
      </c>
      <c r="E579">
        <v>1.5378151031492491</v>
      </c>
    </row>
    <row r="580" spans="1:5" x14ac:dyDescent="0.3">
      <c r="A580" s="13">
        <v>42507</v>
      </c>
      <c r="B580">
        <v>1.922914785548737</v>
      </c>
      <c r="C580">
        <v>1.494358802797678</v>
      </c>
      <c r="D580">
        <v>1.4474488222490021</v>
      </c>
      <c r="E580">
        <v>1.5315173138003051</v>
      </c>
    </row>
    <row r="581" spans="1:5" x14ac:dyDescent="0.3">
      <c r="A581" s="13">
        <v>42508</v>
      </c>
      <c r="B581">
        <v>1.8915725199401281</v>
      </c>
      <c r="C581">
        <v>1.466242983337257</v>
      </c>
      <c r="D581">
        <v>1.4161889872415689</v>
      </c>
      <c r="E581">
        <v>1.495839756485482</v>
      </c>
    </row>
    <row r="582" spans="1:5" x14ac:dyDescent="0.3">
      <c r="A582" s="13">
        <v>42509</v>
      </c>
      <c r="B582">
        <v>1.89333178072563</v>
      </c>
      <c r="C582">
        <v>1.469486098978976</v>
      </c>
      <c r="D582">
        <v>1.42180308867292</v>
      </c>
      <c r="E582">
        <v>1.505843284704387</v>
      </c>
    </row>
    <row r="583" spans="1:5" x14ac:dyDescent="0.3">
      <c r="A583" s="13">
        <v>42510</v>
      </c>
      <c r="B583">
        <v>1.9047930017460211</v>
      </c>
      <c r="C583">
        <v>1.4789644001588671</v>
      </c>
      <c r="D583">
        <v>1.4341894102178729</v>
      </c>
      <c r="E583">
        <v>1.517919775858124</v>
      </c>
    </row>
    <row r="584" spans="1:5" x14ac:dyDescent="0.3">
      <c r="A584" s="13">
        <v>42513</v>
      </c>
      <c r="B584">
        <v>1.9259220019602279</v>
      </c>
      <c r="C584">
        <v>1.4954781740377761</v>
      </c>
      <c r="D584">
        <v>1.4539313166979551</v>
      </c>
      <c r="E584">
        <v>1.542846371299047</v>
      </c>
    </row>
    <row r="585" spans="1:5" x14ac:dyDescent="0.3">
      <c r="A585" s="13">
        <v>42514</v>
      </c>
      <c r="B585">
        <v>1.912134662880002</v>
      </c>
      <c r="C585">
        <v>1.480848424284178</v>
      </c>
      <c r="D585">
        <v>1.44094774870519</v>
      </c>
      <c r="E585">
        <v>1.53056101810362</v>
      </c>
    </row>
    <row r="586" spans="1:5" x14ac:dyDescent="0.3">
      <c r="A586" s="13">
        <v>42515</v>
      </c>
      <c r="B586">
        <v>1.90383906639524</v>
      </c>
      <c r="C586">
        <v>1.473840993176972</v>
      </c>
      <c r="D586">
        <v>1.435372920673571</v>
      </c>
      <c r="E586">
        <v>1.521924252153992</v>
      </c>
    </row>
    <row r="587" spans="1:5" x14ac:dyDescent="0.3">
      <c r="A587" s="13">
        <v>42516</v>
      </c>
      <c r="B587">
        <v>1.911736907041808</v>
      </c>
      <c r="C587">
        <v>1.481594949878914</v>
      </c>
      <c r="D587">
        <v>1.4444449815960241</v>
      </c>
      <c r="E587">
        <v>1.530459344033094</v>
      </c>
    </row>
    <row r="588" spans="1:5" x14ac:dyDescent="0.3">
      <c r="A588" s="13">
        <v>42517</v>
      </c>
      <c r="B588">
        <v>1.9136920655663221</v>
      </c>
      <c r="C588">
        <v>1.478874462395311</v>
      </c>
      <c r="D588">
        <v>1.441962554693097</v>
      </c>
      <c r="E588">
        <v>1.527513222363353</v>
      </c>
    </row>
    <row r="589" spans="1:5" x14ac:dyDescent="0.3">
      <c r="A589" s="13">
        <v>42520</v>
      </c>
      <c r="B589">
        <v>1.9075919386934781</v>
      </c>
      <c r="C589">
        <v>1.47358693915366</v>
      </c>
      <c r="D589">
        <v>1.4367077255263481</v>
      </c>
      <c r="E589">
        <v>1.5195733714814561</v>
      </c>
    </row>
    <row r="590" spans="1:5" x14ac:dyDescent="0.3">
      <c r="A590" s="13">
        <v>42521</v>
      </c>
      <c r="B590">
        <v>1.965708011326055</v>
      </c>
      <c r="C590">
        <v>1.5217394803268349</v>
      </c>
      <c r="D590">
        <v>1.482733710141257</v>
      </c>
      <c r="E590">
        <v>1.5768654254288319</v>
      </c>
    </row>
    <row r="591" spans="1:5" x14ac:dyDescent="0.3">
      <c r="A591" s="13">
        <v>42522</v>
      </c>
      <c r="B591">
        <v>1.9705464862646029</v>
      </c>
      <c r="C591">
        <v>1.5292025134446381</v>
      </c>
      <c r="D591">
        <v>1.4900609761397181</v>
      </c>
      <c r="E591">
        <v>1.5884794224951919</v>
      </c>
    </row>
    <row r="592" spans="1:5" x14ac:dyDescent="0.3">
      <c r="A592" s="13">
        <v>42523</v>
      </c>
      <c r="B592">
        <v>1.981466095071438</v>
      </c>
      <c r="C592">
        <v>1.536914428788702</v>
      </c>
      <c r="D592">
        <v>1.4982970074315181</v>
      </c>
      <c r="E592">
        <v>1.600035280336604</v>
      </c>
    </row>
    <row r="593" spans="1:5" x14ac:dyDescent="0.3">
      <c r="A593" s="13">
        <v>42524</v>
      </c>
      <c r="B593">
        <v>1.992279260568369</v>
      </c>
      <c r="C593">
        <v>1.547099435703037</v>
      </c>
      <c r="D593">
        <v>1.506503028752852</v>
      </c>
      <c r="E593">
        <v>1.6085247826341129</v>
      </c>
    </row>
    <row r="594" spans="1:5" x14ac:dyDescent="0.3">
      <c r="A594" s="13">
        <v>42527</v>
      </c>
      <c r="B594">
        <v>1.9966797793288751</v>
      </c>
      <c r="C594">
        <v>1.5538738711818409</v>
      </c>
      <c r="D594">
        <v>1.510555373218609</v>
      </c>
      <c r="E594">
        <v>1.619811050110372</v>
      </c>
    </row>
    <row r="595" spans="1:5" x14ac:dyDescent="0.3">
      <c r="A595" s="13">
        <v>42528</v>
      </c>
      <c r="B595">
        <v>1.994207781499334</v>
      </c>
      <c r="C595">
        <v>1.5560532768415909</v>
      </c>
      <c r="D595">
        <v>1.5128741343337591</v>
      </c>
      <c r="E595">
        <v>1.6216333012904001</v>
      </c>
    </row>
    <row r="596" spans="1:5" x14ac:dyDescent="0.3">
      <c r="A596" s="13">
        <v>42529</v>
      </c>
      <c r="B596">
        <v>1.985141673191213</v>
      </c>
      <c r="C596">
        <v>1.548146696695079</v>
      </c>
      <c r="D596">
        <v>1.509707195786274</v>
      </c>
      <c r="E596">
        <v>1.6151977863375759</v>
      </c>
    </row>
    <row r="597" spans="1:5" x14ac:dyDescent="0.3">
      <c r="A597" s="13">
        <v>42534</v>
      </c>
      <c r="B597">
        <v>1.9216603996410631</v>
      </c>
      <c r="C597">
        <v>1.498571969673947</v>
      </c>
      <c r="D597">
        <v>1.4511133926247479</v>
      </c>
      <c r="E597">
        <v>1.5519141859263881</v>
      </c>
    </row>
    <row r="598" spans="1:5" x14ac:dyDescent="0.3">
      <c r="A598" s="13">
        <v>42535</v>
      </c>
      <c r="B598">
        <v>1.9320478491632589</v>
      </c>
      <c r="C598">
        <v>1.505188604094162</v>
      </c>
      <c r="D598">
        <v>1.456562144403829</v>
      </c>
      <c r="E598">
        <v>1.5556984067879309</v>
      </c>
    </row>
    <row r="599" spans="1:5" x14ac:dyDescent="0.3">
      <c r="A599" s="13">
        <v>42536</v>
      </c>
      <c r="B599">
        <v>1.9755965418324679</v>
      </c>
      <c r="C599">
        <v>1.5433089145039149</v>
      </c>
      <c r="D599">
        <v>1.4954601677719539</v>
      </c>
      <c r="E599">
        <v>1.604887418427656</v>
      </c>
    </row>
    <row r="600" spans="1:5" x14ac:dyDescent="0.3">
      <c r="A600" s="13">
        <v>42537</v>
      </c>
      <c r="B600">
        <v>1.970892432668383</v>
      </c>
      <c r="C600">
        <v>1.539902447665791</v>
      </c>
      <c r="D600">
        <v>1.4901223449929131</v>
      </c>
      <c r="E600">
        <v>1.6056495133537949</v>
      </c>
    </row>
    <row r="601" spans="1:5" x14ac:dyDescent="0.3">
      <c r="A601" s="13">
        <v>42538</v>
      </c>
      <c r="B601">
        <v>1.9811113720373641</v>
      </c>
      <c r="C601">
        <v>1.5494868825181769</v>
      </c>
      <c r="D601">
        <v>1.498819469814914</v>
      </c>
      <c r="E601">
        <v>1.6135995133559009</v>
      </c>
    </row>
    <row r="602" spans="1:5" x14ac:dyDescent="0.3">
      <c r="A602" s="13">
        <v>42541</v>
      </c>
      <c r="B602">
        <v>1.981814242582816</v>
      </c>
      <c r="C602">
        <v>1.551364780653526</v>
      </c>
      <c r="D602">
        <v>1.5069510967236051</v>
      </c>
      <c r="E602">
        <v>1.6250523584188781</v>
      </c>
    </row>
    <row r="603" spans="1:5" x14ac:dyDescent="0.3">
      <c r="A603" s="13">
        <v>42542</v>
      </c>
      <c r="B603">
        <v>1.9753707804800369</v>
      </c>
      <c r="C603">
        <v>1.5404120177239009</v>
      </c>
      <c r="D603">
        <v>1.4931851622920991</v>
      </c>
      <c r="E603">
        <v>1.6067340910795</v>
      </c>
    </row>
    <row r="604" spans="1:5" x14ac:dyDescent="0.3">
      <c r="A604" s="13">
        <v>42543</v>
      </c>
      <c r="B604">
        <v>1.9968548580386161</v>
      </c>
      <c r="C604">
        <v>1.5599355647233859</v>
      </c>
      <c r="D604">
        <v>1.5116114647697421</v>
      </c>
      <c r="E604">
        <v>1.6313378288127189</v>
      </c>
    </row>
    <row r="605" spans="1:5" x14ac:dyDescent="0.3">
      <c r="A605" s="13">
        <v>42544</v>
      </c>
      <c r="B605">
        <v>1.98699331057915</v>
      </c>
      <c r="C605">
        <v>1.5537425847927031</v>
      </c>
      <c r="D605">
        <v>1.5074982831179931</v>
      </c>
      <c r="E605">
        <v>1.621721218093729</v>
      </c>
    </row>
    <row r="606" spans="1:5" x14ac:dyDescent="0.3">
      <c r="A606" s="13">
        <v>42545</v>
      </c>
      <c r="B606">
        <v>1.9735005348312751</v>
      </c>
      <c r="C606">
        <v>1.546650739468352</v>
      </c>
      <c r="D606">
        <v>1.495043333724472</v>
      </c>
      <c r="E606">
        <v>1.615167530404676</v>
      </c>
    </row>
    <row r="607" spans="1:5" x14ac:dyDescent="0.3">
      <c r="A607" s="13">
        <v>42548</v>
      </c>
      <c r="B607">
        <v>2.008731137992283</v>
      </c>
      <c r="C607">
        <v>1.577535935956047</v>
      </c>
      <c r="D607">
        <v>1.526698226977689</v>
      </c>
      <c r="E607">
        <v>1.652184460945473</v>
      </c>
    </row>
    <row r="608" spans="1:5" x14ac:dyDescent="0.3">
      <c r="A608" s="13">
        <v>42549</v>
      </c>
      <c r="B608">
        <v>2.024683346442909</v>
      </c>
      <c r="C608">
        <v>1.5859491593659321</v>
      </c>
      <c r="D608">
        <v>1.5389208262376251</v>
      </c>
      <c r="E608">
        <v>1.6657938703948649</v>
      </c>
    </row>
    <row r="609" spans="1:5" x14ac:dyDescent="0.3">
      <c r="A609" s="13">
        <v>42550</v>
      </c>
      <c r="B609">
        <v>2.025473027055563</v>
      </c>
      <c r="C609">
        <v>1.585853013048159</v>
      </c>
      <c r="D609">
        <v>1.5379194745158711</v>
      </c>
      <c r="E609">
        <v>1.66587731851829</v>
      </c>
    </row>
    <row r="610" spans="1:5" x14ac:dyDescent="0.3">
      <c r="A610" s="13">
        <v>42551</v>
      </c>
      <c r="B610">
        <v>2.026662704166962</v>
      </c>
      <c r="C610">
        <v>1.587013108678512</v>
      </c>
      <c r="D610">
        <v>1.539052050591615</v>
      </c>
      <c r="E610">
        <v>1.6635485218185959</v>
      </c>
    </row>
    <row r="611" spans="1:5" x14ac:dyDescent="0.3">
      <c r="A611" s="13">
        <v>42552</v>
      </c>
      <c r="B611">
        <v>2.0290554537500798</v>
      </c>
      <c r="C611">
        <v>1.5875545956156341</v>
      </c>
      <c r="D611">
        <v>1.536455645147295</v>
      </c>
      <c r="E611">
        <v>1.659669201351619</v>
      </c>
    </row>
    <row r="612" spans="1:5" x14ac:dyDescent="0.3">
      <c r="A612" s="13">
        <v>42555</v>
      </c>
      <c r="B612">
        <v>2.0691699388372711</v>
      </c>
      <c r="C612">
        <v>1.6186001503286991</v>
      </c>
      <c r="D612">
        <v>1.563137815738336</v>
      </c>
      <c r="E612">
        <v>1.688647573435083</v>
      </c>
    </row>
    <row r="613" spans="1:5" x14ac:dyDescent="0.3">
      <c r="A613" s="13">
        <v>42556</v>
      </c>
      <c r="B613">
        <v>2.076015813998036</v>
      </c>
      <c r="C613">
        <v>1.622260108909332</v>
      </c>
      <c r="D613">
        <v>1.5672901812828841</v>
      </c>
      <c r="E613">
        <v>1.6939860842984129</v>
      </c>
    </row>
    <row r="614" spans="1:5" x14ac:dyDescent="0.3">
      <c r="A614" s="13">
        <v>42557</v>
      </c>
      <c r="B614">
        <v>2.0948222794187941</v>
      </c>
      <c r="C614">
        <v>1.6403409969971161</v>
      </c>
      <c r="D614">
        <v>1.5757940301993769</v>
      </c>
      <c r="E614">
        <v>1.702839788929281</v>
      </c>
    </row>
    <row r="615" spans="1:5" x14ac:dyDescent="0.3">
      <c r="A615" s="13">
        <v>42558</v>
      </c>
      <c r="B615">
        <v>2.0989620960821371</v>
      </c>
      <c r="C615">
        <v>1.6441438802202311</v>
      </c>
      <c r="D615">
        <v>1.581363924747212</v>
      </c>
      <c r="E615">
        <v>1.702844147008981</v>
      </c>
    </row>
    <row r="616" spans="1:5" x14ac:dyDescent="0.3">
      <c r="A616" s="13">
        <v>42559</v>
      </c>
      <c r="B616">
        <v>2.0935276663113629</v>
      </c>
      <c r="C616">
        <v>1.6378052173033411</v>
      </c>
      <c r="D616">
        <v>1.5779131127248991</v>
      </c>
      <c r="E616">
        <v>1.6982920043962559</v>
      </c>
    </row>
    <row r="617" spans="1:5" x14ac:dyDescent="0.3">
      <c r="A617" s="13">
        <v>42562</v>
      </c>
      <c r="B617">
        <v>2.0968724852075371</v>
      </c>
      <c r="C617">
        <v>1.647406262951103</v>
      </c>
      <c r="D617">
        <v>1.575066609242078</v>
      </c>
      <c r="E617">
        <v>1.6901116817472639</v>
      </c>
    </row>
    <row r="618" spans="1:5" x14ac:dyDescent="0.3">
      <c r="A618" s="13">
        <v>42563</v>
      </c>
      <c r="B618">
        <v>2.129474111356437</v>
      </c>
      <c r="C618">
        <v>1.6754699617633</v>
      </c>
      <c r="D618">
        <v>1.5930388197695731</v>
      </c>
      <c r="E618">
        <v>1.7049371433105911</v>
      </c>
    </row>
    <row r="619" spans="1:5" x14ac:dyDescent="0.3">
      <c r="A619" s="13">
        <v>42564</v>
      </c>
      <c r="B619">
        <v>2.1420261363226221</v>
      </c>
      <c r="C619">
        <v>1.679400218705188</v>
      </c>
      <c r="D619">
        <v>1.6019128337181201</v>
      </c>
      <c r="E619">
        <v>1.712624957266901</v>
      </c>
    </row>
    <row r="620" spans="1:5" x14ac:dyDescent="0.3">
      <c r="A620" s="13">
        <v>42565</v>
      </c>
      <c r="B620">
        <v>2.1364204322950089</v>
      </c>
      <c r="C620">
        <v>1.674516117161623</v>
      </c>
      <c r="D620">
        <v>1.6006363031446831</v>
      </c>
      <c r="E620">
        <v>1.7120180083669769</v>
      </c>
    </row>
    <row r="621" spans="1:5" x14ac:dyDescent="0.3">
      <c r="A621" s="13">
        <v>42566</v>
      </c>
      <c r="B621">
        <v>2.133754568644544</v>
      </c>
      <c r="C621">
        <v>1.6740256581530391</v>
      </c>
      <c r="D621">
        <v>1.5985166782977041</v>
      </c>
      <c r="E621">
        <v>1.704695585732289</v>
      </c>
    </row>
    <row r="622" spans="1:5" x14ac:dyDescent="0.3">
      <c r="A622" s="13">
        <v>42569</v>
      </c>
      <c r="B622">
        <v>2.126629614322634</v>
      </c>
      <c r="C622">
        <v>1.666999933761955</v>
      </c>
      <c r="D622">
        <v>1.594350526377954</v>
      </c>
      <c r="E622">
        <v>1.6958753683578589</v>
      </c>
    </row>
    <row r="623" spans="1:5" x14ac:dyDescent="0.3">
      <c r="A623" s="13">
        <v>42570</v>
      </c>
      <c r="B623">
        <v>2.122424398950908</v>
      </c>
      <c r="C623">
        <v>1.661550326704508</v>
      </c>
      <c r="D623">
        <v>1.5968683288208101</v>
      </c>
      <c r="E623">
        <v>1.7000632425067741</v>
      </c>
    </row>
    <row r="624" spans="1:5" x14ac:dyDescent="0.3">
      <c r="A624" s="13">
        <v>42571</v>
      </c>
      <c r="B624">
        <v>2.1168400814401962</v>
      </c>
      <c r="C624">
        <v>1.656380700167088</v>
      </c>
      <c r="D624">
        <v>1.5970052405944659</v>
      </c>
      <c r="E624">
        <v>1.700998087373587</v>
      </c>
    </row>
    <row r="625" spans="1:5" x14ac:dyDescent="0.3">
      <c r="A625" s="13">
        <v>42572</v>
      </c>
      <c r="B625">
        <v>2.1223767903841799</v>
      </c>
      <c r="C625">
        <v>1.660081677910866</v>
      </c>
      <c r="D625">
        <v>1.6013427027572411</v>
      </c>
      <c r="E625">
        <v>1.700266562290089</v>
      </c>
    </row>
    <row r="626" spans="1:5" x14ac:dyDescent="0.3">
      <c r="A626" s="13">
        <v>42573</v>
      </c>
      <c r="B626">
        <v>2.1043123858523778</v>
      </c>
      <c r="C626">
        <v>1.64206402589238</v>
      </c>
      <c r="D626">
        <v>1.5868327757306431</v>
      </c>
      <c r="E626">
        <v>1.685002123032908</v>
      </c>
    </row>
    <row r="627" spans="1:5" x14ac:dyDescent="0.3">
      <c r="A627" s="13">
        <v>42576</v>
      </c>
      <c r="B627">
        <v>2.1047401955177669</v>
      </c>
      <c r="C627">
        <v>1.642719052779908</v>
      </c>
      <c r="D627">
        <v>1.5850415591750751</v>
      </c>
      <c r="E627">
        <v>1.6811322253678569</v>
      </c>
    </row>
    <row r="628" spans="1:5" x14ac:dyDescent="0.3">
      <c r="A628" s="13">
        <v>42577</v>
      </c>
      <c r="B628">
        <v>2.133146875442832</v>
      </c>
      <c r="C628">
        <v>1.6677987055994421</v>
      </c>
      <c r="D628">
        <v>1.603475834710901</v>
      </c>
      <c r="E628">
        <v>1.701344053045474</v>
      </c>
    </row>
    <row r="629" spans="1:5" x14ac:dyDescent="0.3">
      <c r="A629" s="13">
        <v>42578</v>
      </c>
      <c r="B629">
        <v>2.079568364060365</v>
      </c>
      <c r="C629">
        <v>1.6250790243134079</v>
      </c>
      <c r="D629">
        <v>1.5488937926118389</v>
      </c>
      <c r="E629">
        <v>1.639210192712611</v>
      </c>
    </row>
    <row r="630" spans="1:5" x14ac:dyDescent="0.3">
      <c r="A630" s="13">
        <v>42579</v>
      </c>
      <c r="B630">
        <v>2.083097584408605</v>
      </c>
      <c r="C630">
        <v>1.6364342153011531</v>
      </c>
      <c r="D630">
        <v>1.5486833368978521</v>
      </c>
      <c r="E630">
        <v>1.637395636839039</v>
      </c>
    </row>
    <row r="631" spans="1:5" x14ac:dyDescent="0.3">
      <c r="A631" s="13">
        <v>42580</v>
      </c>
      <c r="B631">
        <v>2.0759502763383151</v>
      </c>
      <c r="C631">
        <v>1.629817751545138</v>
      </c>
      <c r="D631">
        <v>1.542392248175062</v>
      </c>
      <c r="E631">
        <v>1.6269088506866729</v>
      </c>
    </row>
    <row r="632" spans="1:5" x14ac:dyDescent="0.3">
      <c r="A632" s="13">
        <v>42583</v>
      </c>
      <c r="B632">
        <v>2.0575379718172311</v>
      </c>
      <c r="C632">
        <v>1.6125705092527129</v>
      </c>
      <c r="D632">
        <v>1.5264790228196521</v>
      </c>
      <c r="E632">
        <v>1.608592819452888</v>
      </c>
    </row>
    <row r="633" spans="1:5" x14ac:dyDescent="0.3">
      <c r="A633" s="13">
        <v>42584</v>
      </c>
      <c r="B633">
        <v>2.069660163323098</v>
      </c>
      <c r="C633">
        <v>1.6210813859897859</v>
      </c>
      <c r="D633">
        <v>1.534496910960339</v>
      </c>
      <c r="E633">
        <v>1.6198913798023811</v>
      </c>
    </row>
    <row r="634" spans="1:5" x14ac:dyDescent="0.3">
      <c r="A634" s="13">
        <v>42585</v>
      </c>
      <c r="B634">
        <v>2.07741672480073</v>
      </c>
      <c r="C634">
        <v>1.6250693323389711</v>
      </c>
      <c r="D634">
        <v>1.5390861318411211</v>
      </c>
      <c r="E634">
        <v>1.622485913400918</v>
      </c>
    </row>
    <row r="635" spans="1:5" x14ac:dyDescent="0.3">
      <c r="A635" s="13">
        <v>42586</v>
      </c>
      <c r="B635">
        <v>2.0833981713108192</v>
      </c>
      <c r="C635">
        <v>1.6262639249445821</v>
      </c>
      <c r="D635">
        <v>1.544656659172128</v>
      </c>
      <c r="E635">
        <v>1.6328382671979</v>
      </c>
    </row>
    <row r="636" spans="1:5" x14ac:dyDescent="0.3">
      <c r="A636" s="13">
        <v>42587</v>
      </c>
      <c r="B636">
        <v>2.0768399140723748</v>
      </c>
      <c r="C636">
        <v>1.6200996426234811</v>
      </c>
      <c r="D636">
        <v>1.5383815700885759</v>
      </c>
      <c r="E636">
        <v>1.6237639780759749</v>
      </c>
    </row>
    <row r="637" spans="1:5" x14ac:dyDescent="0.3">
      <c r="A637" s="13">
        <v>42590</v>
      </c>
      <c r="B637">
        <v>2.0903972886713258</v>
      </c>
      <c r="C637">
        <v>1.6354554692320591</v>
      </c>
      <c r="D637">
        <v>1.5497140441481521</v>
      </c>
      <c r="E637">
        <v>1.6373684124108121</v>
      </c>
    </row>
    <row r="638" spans="1:5" x14ac:dyDescent="0.3">
      <c r="A638" s="13">
        <v>42591</v>
      </c>
      <c r="B638">
        <v>2.102972724929411</v>
      </c>
      <c r="C638">
        <v>1.647283308681063</v>
      </c>
      <c r="D638">
        <v>1.562841054674619</v>
      </c>
      <c r="E638">
        <v>1.6492065044284601</v>
      </c>
    </row>
    <row r="639" spans="1:5" x14ac:dyDescent="0.3">
      <c r="A639" s="13">
        <v>42592</v>
      </c>
      <c r="B639">
        <v>2.0972666695986639</v>
      </c>
      <c r="C639">
        <v>1.6458916435688911</v>
      </c>
      <c r="D639">
        <v>1.558474499480957</v>
      </c>
      <c r="E639">
        <v>1.645277590327479</v>
      </c>
    </row>
    <row r="640" spans="1:5" x14ac:dyDescent="0.3">
      <c r="A640" s="13">
        <v>42593</v>
      </c>
      <c r="B640">
        <v>2.0779711286962859</v>
      </c>
      <c r="C640">
        <v>1.6288064293082909</v>
      </c>
      <c r="D640">
        <v>1.5399626424571411</v>
      </c>
      <c r="E640">
        <v>1.6219957140066861</v>
      </c>
    </row>
    <row r="641" spans="1:5" x14ac:dyDescent="0.3">
      <c r="A641" s="13">
        <v>42594</v>
      </c>
      <c r="B641">
        <v>2.1018934518034711</v>
      </c>
      <c r="C641">
        <v>1.6403034655581501</v>
      </c>
      <c r="D641">
        <v>1.550598400026284</v>
      </c>
      <c r="E641">
        <v>1.6356812945491821</v>
      </c>
    </row>
    <row r="642" spans="1:5" x14ac:dyDescent="0.3">
      <c r="A642" s="13">
        <v>42597</v>
      </c>
      <c r="B642">
        <v>2.1478178241897181</v>
      </c>
      <c r="C642">
        <v>1.6684768858459169</v>
      </c>
      <c r="D642">
        <v>1.577769917318951</v>
      </c>
      <c r="E642">
        <v>1.6701817937565111</v>
      </c>
    </row>
    <row r="643" spans="1:5" x14ac:dyDescent="0.3">
      <c r="A643" s="13">
        <v>42598</v>
      </c>
      <c r="B643">
        <v>2.148871246754668</v>
      </c>
      <c r="C643">
        <v>1.673137121231929</v>
      </c>
      <c r="D643">
        <v>1.5848441219037721</v>
      </c>
      <c r="E643">
        <v>1.676076361001271</v>
      </c>
    </row>
    <row r="644" spans="1:5" x14ac:dyDescent="0.3">
      <c r="A644" s="13">
        <v>42599</v>
      </c>
      <c r="B644">
        <v>2.1481872117555119</v>
      </c>
      <c r="C644">
        <v>1.6756922593550769</v>
      </c>
      <c r="D644">
        <v>1.5854812654592809</v>
      </c>
      <c r="E644">
        <v>1.6785067092557191</v>
      </c>
    </row>
    <row r="645" spans="1:5" x14ac:dyDescent="0.3">
      <c r="A645" s="13">
        <v>42600</v>
      </c>
      <c r="B645">
        <v>2.1422071575106281</v>
      </c>
      <c r="C645">
        <v>1.667010761310632</v>
      </c>
      <c r="D645">
        <v>1.581756704843081</v>
      </c>
      <c r="E645">
        <v>1.6739948806517511</v>
      </c>
    </row>
    <row r="646" spans="1:5" x14ac:dyDescent="0.3">
      <c r="A646" s="13">
        <v>42601</v>
      </c>
      <c r="B646">
        <v>2.139399163808732</v>
      </c>
      <c r="C646">
        <v>1.6667582418951641</v>
      </c>
      <c r="D646">
        <v>1.5818269130423159</v>
      </c>
      <c r="E646">
        <v>1.6761379766129321</v>
      </c>
    </row>
    <row r="647" spans="1:5" x14ac:dyDescent="0.3">
      <c r="A647" s="13">
        <v>42604</v>
      </c>
      <c r="B647">
        <v>2.1200287445810049</v>
      </c>
      <c r="C647">
        <v>1.652955291544377</v>
      </c>
      <c r="D647">
        <v>1.569201185359153</v>
      </c>
      <c r="E647">
        <v>1.658890705544201</v>
      </c>
    </row>
    <row r="648" spans="1:5" x14ac:dyDescent="0.3">
      <c r="A648" s="13">
        <v>42605</v>
      </c>
      <c r="B648">
        <v>2.1249241523699882</v>
      </c>
      <c r="C648">
        <v>1.6537604289958709</v>
      </c>
      <c r="D648">
        <v>1.5713935599661399</v>
      </c>
      <c r="E648">
        <v>1.6607606660581109</v>
      </c>
    </row>
    <row r="649" spans="1:5" x14ac:dyDescent="0.3">
      <c r="A649" s="13">
        <v>42606</v>
      </c>
      <c r="B649">
        <v>2.1211919106338502</v>
      </c>
      <c r="C649">
        <v>1.6526405370748041</v>
      </c>
      <c r="D649">
        <v>1.5732201530890859</v>
      </c>
      <c r="E649">
        <v>1.6648854023401169</v>
      </c>
    </row>
    <row r="650" spans="1:5" x14ac:dyDescent="0.3">
      <c r="A650" s="13">
        <v>42607</v>
      </c>
      <c r="B650">
        <v>2.1135468918412159</v>
      </c>
      <c r="C650">
        <v>1.6450939763264669</v>
      </c>
      <c r="D650">
        <v>1.568169377452495</v>
      </c>
      <c r="E650">
        <v>1.6594226412670059</v>
      </c>
    </row>
    <row r="651" spans="1:5" x14ac:dyDescent="0.3">
      <c r="A651" s="13">
        <v>42608</v>
      </c>
      <c r="B651">
        <v>2.1195104850227331</v>
      </c>
      <c r="C651">
        <v>1.649448213792901</v>
      </c>
      <c r="D651">
        <v>1.572061678969269</v>
      </c>
      <c r="E651">
        <v>1.6636920534460979</v>
      </c>
    </row>
    <row r="652" spans="1:5" x14ac:dyDescent="0.3">
      <c r="A652" s="13">
        <v>42611</v>
      </c>
      <c r="B652">
        <v>2.121834565184427</v>
      </c>
      <c r="C652">
        <v>1.649060655951555</v>
      </c>
      <c r="D652">
        <v>1.5761722199894219</v>
      </c>
      <c r="E652">
        <v>1.6633294697933549</v>
      </c>
    </row>
    <row r="653" spans="1:5" x14ac:dyDescent="0.3">
      <c r="A653" s="13">
        <v>42612</v>
      </c>
      <c r="B653">
        <v>2.1223845059222799</v>
      </c>
      <c r="C653">
        <v>1.648736675415591</v>
      </c>
      <c r="D653">
        <v>1.576397599672748</v>
      </c>
      <c r="E653">
        <v>1.6647767105783879</v>
      </c>
    </row>
    <row r="654" spans="1:5" x14ac:dyDescent="0.3">
      <c r="A654" s="13">
        <v>42613</v>
      </c>
      <c r="B654">
        <v>2.125908188747911</v>
      </c>
      <c r="C654">
        <v>1.651115037016514</v>
      </c>
      <c r="D654">
        <v>1.5750227687598199</v>
      </c>
      <c r="E654">
        <v>1.663119544091999</v>
      </c>
    </row>
    <row r="655" spans="1:5" x14ac:dyDescent="0.3">
      <c r="A655" s="13">
        <v>42614</v>
      </c>
      <c r="B655">
        <v>2.11070080989635</v>
      </c>
      <c r="C655">
        <v>1.6407196699833271</v>
      </c>
      <c r="D655">
        <v>1.5669731221137071</v>
      </c>
      <c r="E655">
        <v>1.654002065957126</v>
      </c>
    </row>
    <row r="656" spans="1:5" x14ac:dyDescent="0.3">
      <c r="A656" s="13">
        <v>42615</v>
      </c>
      <c r="B656">
        <v>2.106321911897854</v>
      </c>
      <c r="C656">
        <v>1.635330250301273</v>
      </c>
      <c r="D656">
        <v>1.5608986634480779</v>
      </c>
      <c r="E656">
        <v>1.644594379640137</v>
      </c>
    </row>
    <row r="657" spans="1:5" x14ac:dyDescent="0.3">
      <c r="A657" s="13">
        <v>42618</v>
      </c>
      <c r="B657">
        <v>2.115321693748192</v>
      </c>
      <c r="C657">
        <v>1.6450098598884231</v>
      </c>
      <c r="D657">
        <v>1.5674051263710509</v>
      </c>
      <c r="E657">
        <v>1.6486681910451171</v>
      </c>
    </row>
    <row r="658" spans="1:5" x14ac:dyDescent="0.3">
      <c r="A658" s="13">
        <v>42619</v>
      </c>
      <c r="B658">
        <v>2.1387528935758788</v>
      </c>
      <c r="C658">
        <v>1.6640138625400911</v>
      </c>
      <c r="D658">
        <v>1.588797863105107</v>
      </c>
      <c r="E658">
        <v>1.6720110581796921</v>
      </c>
    </row>
    <row r="659" spans="1:5" x14ac:dyDescent="0.3">
      <c r="A659" s="13">
        <v>42620</v>
      </c>
      <c r="B659">
        <v>2.1392129011547039</v>
      </c>
      <c r="C659">
        <v>1.661419028973584</v>
      </c>
      <c r="D659">
        <v>1.587357972340649</v>
      </c>
      <c r="E659">
        <v>1.6703230773802931</v>
      </c>
    </row>
    <row r="660" spans="1:5" x14ac:dyDescent="0.3">
      <c r="A660" s="13">
        <v>42621</v>
      </c>
      <c r="B660">
        <v>2.1427437145153401</v>
      </c>
      <c r="C660">
        <v>1.6663605790747771</v>
      </c>
      <c r="D660">
        <v>1.5902562887668239</v>
      </c>
      <c r="E660">
        <v>1.6749277948436929</v>
      </c>
    </row>
    <row r="661" spans="1:5" x14ac:dyDescent="0.3">
      <c r="A661" s="13">
        <v>42622</v>
      </c>
      <c r="B661">
        <v>2.127217625409378</v>
      </c>
      <c r="C661">
        <v>1.655613680175019</v>
      </c>
      <c r="D661">
        <v>1.580462573082591</v>
      </c>
      <c r="E661">
        <v>1.665062919676662</v>
      </c>
    </row>
    <row r="662" spans="1:5" x14ac:dyDescent="0.3">
      <c r="A662" s="13">
        <v>42625</v>
      </c>
      <c r="B662">
        <v>2.0846643560940872</v>
      </c>
      <c r="C662">
        <v>1.6173971923636179</v>
      </c>
      <c r="D662">
        <v>1.547222059527952</v>
      </c>
      <c r="E662">
        <v>1.6253319423979611</v>
      </c>
    </row>
    <row r="663" spans="1:5" x14ac:dyDescent="0.3">
      <c r="A663" s="13">
        <v>42626</v>
      </c>
      <c r="B663">
        <v>2.084433717154401</v>
      </c>
      <c r="C663">
        <v>1.620611867967612</v>
      </c>
      <c r="D663">
        <v>1.55340336062379</v>
      </c>
      <c r="E663">
        <v>1.630925899890884</v>
      </c>
    </row>
    <row r="664" spans="1:5" x14ac:dyDescent="0.3">
      <c r="A664" s="13">
        <v>42627</v>
      </c>
      <c r="B664">
        <v>2.073861801531709</v>
      </c>
      <c r="C664">
        <v>1.6123886327289809</v>
      </c>
      <c r="D664">
        <v>1.5459240960722489</v>
      </c>
      <c r="E664">
        <v>1.6223659437700511</v>
      </c>
    </row>
    <row r="665" spans="1:5" x14ac:dyDescent="0.3">
      <c r="A665" s="13">
        <v>42632</v>
      </c>
      <c r="B665">
        <v>2.089659998941273</v>
      </c>
      <c r="C665">
        <v>1.626427233046331</v>
      </c>
      <c r="D665">
        <v>1.560649820507799</v>
      </c>
      <c r="E665">
        <v>1.6356807443811709</v>
      </c>
    </row>
    <row r="666" spans="1:5" x14ac:dyDescent="0.3">
      <c r="A666" s="13">
        <v>42633</v>
      </c>
      <c r="B666">
        <v>2.0893768911647559</v>
      </c>
      <c r="C666">
        <v>1.6281613177866689</v>
      </c>
      <c r="D666">
        <v>1.5616216299109911</v>
      </c>
      <c r="E666">
        <v>1.6348717415635641</v>
      </c>
    </row>
    <row r="667" spans="1:5" x14ac:dyDescent="0.3">
      <c r="A667" s="13">
        <v>42634</v>
      </c>
      <c r="B667">
        <v>2.094449603143711</v>
      </c>
      <c r="C667">
        <v>1.631696000246674</v>
      </c>
      <c r="D667">
        <v>1.5646663119759019</v>
      </c>
      <c r="E667">
        <v>1.6366715550842821</v>
      </c>
    </row>
    <row r="668" spans="1:5" x14ac:dyDescent="0.3">
      <c r="A668" s="13">
        <v>42635</v>
      </c>
      <c r="B668">
        <v>2.1055389026256002</v>
      </c>
      <c r="C668">
        <v>1.6387103596677031</v>
      </c>
      <c r="D668">
        <v>1.572858039454673</v>
      </c>
      <c r="E668">
        <v>1.6461164416801379</v>
      </c>
    </row>
    <row r="669" spans="1:5" x14ac:dyDescent="0.3">
      <c r="A669" s="13">
        <v>42636</v>
      </c>
      <c r="B669">
        <v>2.1002370109622288</v>
      </c>
      <c r="C669">
        <v>1.63598380965765</v>
      </c>
      <c r="D669">
        <v>1.570409913858452</v>
      </c>
      <c r="E669">
        <v>1.640816836945872</v>
      </c>
    </row>
    <row r="670" spans="1:5" x14ac:dyDescent="0.3">
      <c r="A670" s="13">
        <v>42639</v>
      </c>
      <c r="B670">
        <v>2.068427866135921</v>
      </c>
      <c r="C670">
        <v>1.612429572562851</v>
      </c>
      <c r="D670">
        <v>1.543490372950894</v>
      </c>
      <c r="E670">
        <v>1.611665422114759</v>
      </c>
    </row>
    <row r="671" spans="1:5" x14ac:dyDescent="0.3">
      <c r="A671" s="13">
        <v>42640</v>
      </c>
      <c r="B671">
        <v>2.0778440214462841</v>
      </c>
      <c r="C671">
        <v>1.6191349445690719</v>
      </c>
      <c r="D671">
        <v>1.549693552449962</v>
      </c>
      <c r="E671">
        <v>1.619555529817436</v>
      </c>
    </row>
    <row r="672" spans="1:5" x14ac:dyDescent="0.3">
      <c r="A672" s="13">
        <v>42641</v>
      </c>
      <c r="B672">
        <v>2.0761887799147889</v>
      </c>
      <c r="C672">
        <v>1.6175513171681219</v>
      </c>
      <c r="D672">
        <v>1.547457163058747</v>
      </c>
      <c r="E672">
        <v>1.6164974711782429</v>
      </c>
    </row>
    <row r="673" spans="1:5" x14ac:dyDescent="0.3">
      <c r="A673" s="13">
        <v>42642</v>
      </c>
      <c r="B673">
        <v>2.087063429286697</v>
      </c>
      <c r="C673">
        <v>1.6257208053215</v>
      </c>
      <c r="D673">
        <v>1.5523229189501131</v>
      </c>
      <c r="E673">
        <v>1.6210245967806891</v>
      </c>
    </row>
    <row r="674" spans="1:5" x14ac:dyDescent="0.3">
      <c r="A674" s="13">
        <v>42643</v>
      </c>
      <c r="B674">
        <v>2.0939549555600232</v>
      </c>
      <c r="C674">
        <v>1.634408717559414</v>
      </c>
      <c r="D674">
        <v>1.5589669286001551</v>
      </c>
      <c r="E674">
        <v>1.629709492187764</v>
      </c>
    </row>
    <row r="675" spans="1:5" x14ac:dyDescent="0.3">
      <c r="A675" s="13">
        <v>42653</v>
      </c>
      <c r="B675">
        <v>2.118058523644732</v>
      </c>
      <c r="C675">
        <v>1.6549135957050749</v>
      </c>
      <c r="D675">
        <v>1.5820971211576691</v>
      </c>
      <c r="E675">
        <v>1.659803932467947</v>
      </c>
    </row>
    <row r="676" spans="1:5" x14ac:dyDescent="0.3">
      <c r="A676" s="13">
        <v>42654</v>
      </c>
      <c r="B676">
        <v>2.1322146760308529</v>
      </c>
      <c r="C676">
        <v>1.661285718149389</v>
      </c>
      <c r="D676">
        <v>1.591160416528131</v>
      </c>
      <c r="E676">
        <v>1.6675246331502329</v>
      </c>
    </row>
    <row r="677" spans="1:5" x14ac:dyDescent="0.3">
      <c r="A677" s="13">
        <v>42655</v>
      </c>
      <c r="B677">
        <v>2.1314936586194131</v>
      </c>
      <c r="C677">
        <v>1.658987744900875</v>
      </c>
      <c r="D677">
        <v>1.5919902887490249</v>
      </c>
      <c r="E677">
        <v>1.66771472408203</v>
      </c>
    </row>
    <row r="678" spans="1:5" x14ac:dyDescent="0.3">
      <c r="A678" s="13">
        <v>42656</v>
      </c>
      <c r="B678">
        <v>2.1346375368887389</v>
      </c>
      <c r="C678">
        <v>1.658383333841096</v>
      </c>
      <c r="D678">
        <v>1.594973264977962</v>
      </c>
      <c r="E678">
        <v>1.6673029436506579</v>
      </c>
    </row>
    <row r="679" spans="1:5" x14ac:dyDescent="0.3">
      <c r="A679" s="13">
        <v>42657</v>
      </c>
      <c r="B679">
        <v>2.133112570316452</v>
      </c>
      <c r="C679">
        <v>1.6550962605989581</v>
      </c>
      <c r="D679">
        <v>1.593223158453269</v>
      </c>
      <c r="E679">
        <v>1.6636150138519601</v>
      </c>
    </row>
    <row r="680" spans="1:5" x14ac:dyDescent="0.3">
      <c r="A680" s="13">
        <v>42660</v>
      </c>
      <c r="B680">
        <v>2.1207322238787492</v>
      </c>
      <c r="C680">
        <v>1.6468450550914271</v>
      </c>
      <c r="D680">
        <v>1.5798762612488531</v>
      </c>
      <c r="E680">
        <v>1.6510800319026031</v>
      </c>
    </row>
    <row r="681" spans="1:5" x14ac:dyDescent="0.3">
      <c r="A681" s="13">
        <v>42661</v>
      </c>
      <c r="B681">
        <v>2.1442094208315789</v>
      </c>
      <c r="C681">
        <v>1.6659276556456879</v>
      </c>
      <c r="D681">
        <v>1.5970178587130941</v>
      </c>
      <c r="E681">
        <v>1.673908426266324</v>
      </c>
    </row>
    <row r="682" spans="1:5" x14ac:dyDescent="0.3">
      <c r="A682" s="13">
        <v>42662</v>
      </c>
      <c r="B682">
        <v>2.1411791240529099</v>
      </c>
      <c r="C682">
        <v>1.663447850293261</v>
      </c>
      <c r="D682">
        <v>1.5921289871743629</v>
      </c>
      <c r="E682">
        <v>1.6686121388403481</v>
      </c>
    </row>
    <row r="683" spans="1:5" x14ac:dyDescent="0.3">
      <c r="A683" s="13">
        <v>42663</v>
      </c>
      <c r="B683">
        <v>2.142611873267982</v>
      </c>
      <c r="C683">
        <v>1.6623037427897061</v>
      </c>
      <c r="D683">
        <v>1.5956457625917839</v>
      </c>
      <c r="E683">
        <v>1.6721781555647119</v>
      </c>
    </row>
    <row r="684" spans="1:5" x14ac:dyDescent="0.3">
      <c r="A684" s="13">
        <v>42664</v>
      </c>
      <c r="B684">
        <v>2.140714235153744</v>
      </c>
      <c r="C684">
        <v>1.65777025217383</v>
      </c>
      <c r="D684">
        <v>1.59104285722574</v>
      </c>
      <c r="E684">
        <v>1.663194018686128</v>
      </c>
    </row>
    <row r="685" spans="1:5" x14ac:dyDescent="0.3">
      <c r="A685" s="13">
        <v>42667</v>
      </c>
      <c r="B685">
        <v>2.1611664648333431</v>
      </c>
      <c r="C685">
        <v>1.6729772381568111</v>
      </c>
      <c r="D685">
        <v>1.599896595082497</v>
      </c>
      <c r="E685">
        <v>1.672605525367747</v>
      </c>
    </row>
    <row r="686" spans="1:5" x14ac:dyDescent="0.3">
      <c r="A686" s="13">
        <v>42668</v>
      </c>
      <c r="B686">
        <v>2.1674134956896398</v>
      </c>
      <c r="C686">
        <v>1.6830554145356289</v>
      </c>
      <c r="D686">
        <v>1.603862697176164</v>
      </c>
      <c r="E686">
        <v>1.6758491590127429</v>
      </c>
    </row>
    <row r="687" spans="1:5" x14ac:dyDescent="0.3">
      <c r="A687" s="13">
        <v>42669</v>
      </c>
      <c r="B687">
        <v>2.1565758790610858</v>
      </c>
      <c r="C687">
        <v>1.6778195679235071</v>
      </c>
      <c r="D687">
        <v>1.598700563891164</v>
      </c>
      <c r="E687">
        <v>1.667039201988445</v>
      </c>
    </row>
    <row r="688" spans="1:5" x14ac:dyDescent="0.3">
      <c r="A688" s="13">
        <v>42670</v>
      </c>
      <c r="B688">
        <v>2.1561244243182349</v>
      </c>
      <c r="C688">
        <v>1.673689021672655</v>
      </c>
      <c r="D688">
        <v>1.5969764343630859</v>
      </c>
      <c r="E688">
        <v>1.6644062537895219</v>
      </c>
    </row>
    <row r="689" spans="1:5" x14ac:dyDescent="0.3">
      <c r="A689" s="13">
        <v>42671</v>
      </c>
      <c r="B689">
        <v>2.1453800577491409</v>
      </c>
      <c r="C689">
        <v>1.667205348990261</v>
      </c>
      <c r="D689">
        <v>1.590707965143046</v>
      </c>
      <c r="E689">
        <v>1.6551494113726291</v>
      </c>
    </row>
    <row r="690" spans="1:5" x14ac:dyDescent="0.3">
      <c r="A690" s="13">
        <v>42674</v>
      </c>
      <c r="B690">
        <v>2.1463060197299919</v>
      </c>
      <c r="C690">
        <v>1.667677434106164</v>
      </c>
      <c r="D690">
        <v>1.59031328365421</v>
      </c>
      <c r="E690">
        <v>1.654376087653302</v>
      </c>
    </row>
    <row r="691" spans="1:5" x14ac:dyDescent="0.3">
      <c r="A691" s="13">
        <v>42675</v>
      </c>
      <c r="B691">
        <v>2.1635053908085502</v>
      </c>
      <c r="C691">
        <v>1.6788097561513751</v>
      </c>
      <c r="D691">
        <v>1.6031353723963051</v>
      </c>
      <c r="E691">
        <v>1.6671846565742481</v>
      </c>
    </row>
    <row r="692" spans="1:5" x14ac:dyDescent="0.3">
      <c r="A692" s="13">
        <v>42676</v>
      </c>
      <c r="B692">
        <v>2.1537056698519561</v>
      </c>
      <c r="C692">
        <v>1.671216037943051</v>
      </c>
      <c r="D692">
        <v>1.595372950690199</v>
      </c>
      <c r="E692">
        <v>1.6559565261282909</v>
      </c>
    </row>
    <row r="693" spans="1:5" x14ac:dyDescent="0.3">
      <c r="A693" s="13">
        <v>42677</v>
      </c>
      <c r="B693">
        <v>2.1651100033835422</v>
      </c>
      <c r="C693">
        <v>1.675192023579541</v>
      </c>
      <c r="D693">
        <v>1.600884055865236</v>
      </c>
      <c r="E693">
        <v>1.6613048236019949</v>
      </c>
    </row>
    <row r="694" spans="1:5" x14ac:dyDescent="0.3">
      <c r="A694" s="13">
        <v>42678</v>
      </c>
      <c r="B694">
        <v>2.1533763768602321</v>
      </c>
      <c r="C694">
        <v>1.6688964214688971</v>
      </c>
      <c r="D694">
        <v>1.5952555079495301</v>
      </c>
      <c r="E694">
        <v>1.655711660958989</v>
      </c>
    </row>
    <row r="695" spans="1:5" x14ac:dyDescent="0.3">
      <c r="A695" s="13">
        <v>42681</v>
      </c>
      <c r="B695">
        <v>2.1539114886632951</v>
      </c>
      <c r="C695">
        <v>1.672885748739221</v>
      </c>
      <c r="D695">
        <v>1.5905994828198129</v>
      </c>
      <c r="E695">
        <v>1.653899371301339</v>
      </c>
    </row>
    <row r="696" spans="1:5" x14ac:dyDescent="0.3">
      <c r="A696" s="13">
        <v>42682</v>
      </c>
      <c r="B696">
        <v>2.1613344671641639</v>
      </c>
      <c r="C696">
        <v>1.678080867296933</v>
      </c>
      <c r="D696">
        <v>1.5991255938209901</v>
      </c>
      <c r="E696">
        <v>1.6624572250168821</v>
      </c>
    </row>
    <row r="697" spans="1:5" x14ac:dyDescent="0.3">
      <c r="A697" s="13">
        <v>42683</v>
      </c>
      <c r="B697">
        <v>2.1495581859959541</v>
      </c>
      <c r="C697">
        <v>1.67571711344297</v>
      </c>
      <c r="D697">
        <v>1.589675785460037</v>
      </c>
      <c r="E697">
        <v>1.649733238052709</v>
      </c>
    </row>
    <row r="698" spans="1:5" x14ac:dyDescent="0.3">
      <c r="A698" s="13">
        <v>42684</v>
      </c>
      <c r="B698">
        <v>2.1690593142552879</v>
      </c>
      <c r="C698">
        <v>1.688475452536464</v>
      </c>
      <c r="D698">
        <v>1.603894667224788</v>
      </c>
      <c r="E698">
        <v>1.668384659262665</v>
      </c>
    </row>
    <row r="699" spans="1:5" x14ac:dyDescent="0.3">
      <c r="A699" s="13">
        <v>42685</v>
      </c>
      <c r="B699">
        <v>2.1783033825571141</v>
      </c>
      <c r="C699">
        <v>1.69766288836534</v>
      </c>
      <c r="D699">
        <v>1.605025963708139</v>
      </c>
      <c r="E699">
        <v>1.6710027006781749</v>
      </c>
    </row>
    <row r="700" spans="1:5" x14ac:dyDescent="0.3">
      <c r="A700" s="13">
        <v>42688</v>
      </c>
      <c r="B700">
        <v>2.1837804696179042</v>
      </c>
      <c r="C700">
        <v>1.7018142387700239</v>
      </c>
      <c r="D700">
        <v>1.60288152264494</v>
      </c>
      <c r="E700">
        <v>1.6733556309652129</v>
      </c>
    </row>
    <row r="701" spans="1:5" x14ac:dyDescent="0.3">
      <c r="A701" s="13">
        <v>42689</v>
      </c>
      <c r="B701">
        <v>2.1837639722510791</v>
      </c>
      <c r="C701">
        <v>1.7022358501456349</v>
      </c>
      <c r="D701">
        <v>1.6085161478911081</v>
      </c>
      <c r="E701">
        <v>1.677482210747413</v>
      </c>
    </row>
    <row r="702" spans="1:5" x14ac:dyDescent="0.3">
      <c r="A702" s="13">
        <v>42690</v>
      </c>
      <c r="B702">
        <v>2.1837573708017741</v>
      </c>
      <c r="C702">
        <v>1.702003413235553</v>
      </c>
      <c r="D702">
        <v>1.6107420286042611</v>
      </c>
      <c r="E702">
        <v>1.6796111245932119</v>
      </c>
    </row>
    <row r="703" spans="1:5" x14ac:dyDescent="0.3">
      <c r="A703" s="13">
        <v>42691</v>
      </c>
      <c r="B703">
        <v>2.181001919770909</v>
      </c>
      <c r="C703">
        <v>1.7017849821245781</v>
      </c>
      <c r="D703">
        <v>1.6090303991989989</v>
      </c>
      <c r="E703">
        <v>1.671776783133343</v>
      </c>
    </row>
    <row r="704" spans="1:5" x14ac:dyDescent="0.3">
      <c r="A704" s="13">
        <v>42692</v>
      </c>
      <c r="B704">
        <v>2.1687383211507858</v>
      </c>
      <c r="C704">
        <v>1.6925261283959829</v>
      </c>
      <c r="D704">
        <v>1.604757531273362</v>
      </c>
      <c r="E704">
        <v>1.667925793051696</v>
      </c>
    </row>
    <row r="705" spans="1:5" x14ac:dyDescent="0.3">
      <c r="A705" s="13">
        <v>42695</v>
      </c>
      <c r="B705">
        <v>2.175178834415088</v>
      </c>
      <c r="C705">
        <v>1.693714750175074</v>
      </c>
      <c r="D705">
        <v>1.6094950678044671</v>
      </c>
      <c r="E705">
        <v>1.6710933094438509</v>
      </c>
    </row>
    <row r="706" spans="1:5" x14ac:dyDescent="0.3">
      <c r="A706" s="13">
        <v>42696</v>
      </c>
      <c r="B706">
        <v>2.1889588379494471</v>
      </c>
      <c r="C706">
        <v>1.704576798887939</v>
      </c>
      <c r="D706">
        <v>1.6164252672568931</v>
      </c>
      <c r="E706">
        <v>1.684973131581724</v>
      </c>
    </row>
    <row r="707" spans="1:5" x14ac:dyDescent="0.3">
      <c r="A707" s="13">
        <v>42697</v>
      </c>
      <c r="B707">
        <v>2.186402438167006</v>
      </c>
      <c r="C707">
        <v>1.7003117756565</v>
      </c>
      <c r="D707">
        <v>1.6110694030876931</v>
      </c>
      <c r="E707">
        <v>1.677496437242795</v>
      </c>
    </row>
    <row r="708" spans="1:5" x14ac:dyDescent="0.3">
      <c r="A708" s="13">
        <v>42698</v>
      </c>
      <c r="B708">
        <v>2.1863952222325849</v>
      </c>
      <c r="C708">
        <v>1.7018466133299499</v>
      </c>
      <c r="D708">
        <v>1.606507165095346</v>
      </c>
      <c r="E708">
        <v>1.6709135858436921</v>
      </c>
    </row>
    <row r="709" spans="1:5" x14ac:dyDescent="0.3">
      <c r="A709" s="13">
        <v>42699</v>
      </c>
      <c r="B709">
        <v>2.197567371501834</v>
      </c>
      <c r="C709">
        <v>1.7076158031925841</v>
      </c>
      <c r="D709">
        <v>1.6111211107482959</v>
      </c>
      <c r="E709">
        <v>1.6771588959719821</v>
      </c>
    </row>
    <row r="710" spans="1:5" x14ac:dyDescent="0.3">
      <c r="A710" s="13">
        <v>42702</v>
      </c>
      <c r="B710">
        <v>2.2055614803904171</v>
      </c>
      <c r="C710">
        <v>1.715069512011038</v>
      </c>
      <c r="D710">
        <v>1.613207409507317</v>
      </c>
      <c r="E710">
        <v>1.675127579688392</v>
      </c>
    </row>
    <row r="711" spans="1:5" x14ac:dyDescent="0.3">
      <c r="A711" s="13">
        <v>42703</v>
      </c>
      <c r="B711">
        <v>2.2031031560523191</v>
      </c>
      <c r="C711">
        <v>1.710574422589483</v>
      </c>
      <c r="D711">
        <v>1.6050900042067791</v>
      </c>
      <c r="E711">
        <v>1.66693174662976</v>
      </c>
    </row>
    <row r="712" spans="1:5" x14ac:dyDescent="0.3">
      <c r="A712" s="13">
        <v>42704</v>
      </c>
      <c r="B712">
        <v>2.181640141599213</v>
      </c>
      <c r="C712">
        <v>1.6951531729843781</v>
      </c>
      <c r="D712">
        <v>1.5982090178549131</v>
      </c>
      <c r="E712">
        <v>1.6618842013404</v>
      </c>
    </row>
    <row r="713" spans="1:5" x14ac:dyDescent="0.3">
      <c r="A713" s="13">
        <v>42705</v>
      </c>
      <c r="B713">
        <v>2.1973586075137561</v>
      </c>
      <c r="C713">
        <v>1.7055960263572809</v>
      </c>
      <c r="D713">
        <v>1.607618596229252</v>
      </c>
      <c r="E713">
        <v>1.667788846950059</v>
      </c>
    </row>
    <row r="714" spans="1:5" x14ac:dyDescent="0.3">
      <c r="A714" s="13">
        <v>42706</v>
      </c>
      <c r="B714">
        <v>2.1698764444457899</v>
      </c>
      <c r="C714">
        <v>1.687402548461471</v>
      </c>
      <c r="D714">
        <v>1.587642226020394</v>
      </c>
      <c r="E714">
        <v>1.644410829069018</v>
      </c>
    </row>
    <row r="715" spans="1:5" x14ac:dyDescent="0.3">
      <c r="A715" s="13">
        <v>42709</v>
      </c>
      <c r="B715">
        <v>2.145061091200823</v>
      </c>
      <c r="C715">
        <v>1.676966986283249</v>
      </c>
      <c r="D715">
        <v>1.5787191330536789</v>
      </c>
      <c r="E715">
        <v>1.635191922905153</v>
      </c>
    </row>
    <row r="716" spans="1:5" x14ac:dyDescent="0.3">
      <c r="A716" s="13">
        <v>42710</v>
      </c>
      <c r="B716">
        <v>2.1439863679382891</v>
      </c>
      <c r="C716">
        <v>1.6788148630360109</v>
      </c>
      <c r="D716">
        <v>1.584445976911818</v>
      </c>
      <c r="E716">
        <v>1.636706137828259</v>
      </c>
    </row>
    <row r="717" spans="1:5" x14ac:dyDescent="0.3">
      <c r="A717" s="13">
        <v>42711</v>
      </c>
      <c r="B717">
        <v>2.160371356520737</v>
      </c>
      <c r="C717">
        <v>1.69112106656501</v>
      </c>
      <c r="D717">
        <v>1.5961523304688521</v>
      </c>
      <c r="E717">
        <v>1.6475004439990419</v>
      </c>
    </row>
    <row r="718" spans="1:5" x14ac:dyDescent="0.3">
      <c r="A718" s="13">
        <v>42712</v>
      </c>
      <c r="B718">
        <v>2.158647783277079</v>
      </c>
      <c r="C718">
        <v>1.688358980190483</v>
      </c>
      <c r="D718">
        <v>1.590969638421903</v>
      </c>
      <c r="E718">
        <v>1.6409554878734269</v>
      </c>
    </row>
    <row r="719" spans="1:5" x14ac:dyDescent="0.3">
      <c r="A719" s="13">
        <v>42713</v>
      </c>
      <c r="B719">
        <v>2.1648684033277199</v>
      </c>
      <c r="C719">
        <v>1.687757179844114</v>
      </c>
      <c r="D719">
        <v>1.5885082956594281</v>
      </c>
      <c r="E719">
        <v>1.63648684649273</v>
      </c>
    </row>
    <row r="720" spans="1:5" x14ac:dyDescent="0.3">
      <c r="A720" s="13">
        <v>42716</v>
      </c>
      <c r="B720">
        <v>2.100755407981449</v>
      </c>
      <c r="C720">
        <v>1.639844648102694</v>
      </c>
      <c r="D720">
        <v>1.528065757834193</v>
      </c>
      <c r="E720">
        <v>1.5679619250711281</v>
      </c>
    </row>
    <row r="721" spans="1:5" x14ac:dyDescent="0.3">
      <c r="A721" s="13">
        <v>42717</v>
      </c>
      <c r="B721">
        <v>2.1061765857813648</v>
      </c>
      <c r="C721">
        <v>1.647582150884831</v>
      </c>
      <c r="D721">
        <v>1.534605049633049</v>
      </c>
      <c r="E721">
        <v>1.572944448489658</v>
      </c>
    </row>
    <row r="722" spans="1:5" x14ac:dyDescent="0.3">
      <c r="A722" s="13">
        <v>42718</v>
      </c>
      <c r="B722">
        <v>2.0943889226266892</v>
      </c>
      <c r="C722">
        <v>1.6386490825191029</v>
      </c>
      <c r="D722">
        <v>1.525269604645098</v>
      </c>
      <c r="E722">
        <v>1.5605851104589941</v>
      </c>
    </row>
    <row r="723" spans="1:5" x14ac:dyDescent="0.3">
      <c r="A723" s="13">
        <v>42719</v>
      </c>
      <c r="B723">
        <v>2.0849869117087958</v>
      </c>
      <c r="C723">
        <v>1.633023216781351</v>
      </c>
      <c r="D723">
        <v>1.5277626000729581</v>
      </c>
      <c r="E723">
        <v>1.5620589611396229</v>
      </c>
    </row>
    <row r="724" spans="1:5" x14ac:dyDescent="0.3">
      <c r="A724" s="13">
        <v>42720</v>
      </c>
      <c r="B724">
        <v>2.0925718362405941</v>
      </c>
      <c r="C724">
        <v>1.638091161735435</v>
      </c>
      <c r="D724">
        <v>1.5387341121672979</v>
      </c>
      <c r="E724">
        <v>1.573356411365201</v>
      </c>
    </row>
    <row r="725" spans="1:5" x14ac:dyDescent="0.3">
      <c r="A725" s="13">
        <v>42723</v>
      </c>
      <c r="B725">
        <v>2.088062943140585</v>
      </c>
      <c r="C725">
        <v>1.63670650906795</v>
      </c>
      <c r="D725">
        <v>1.537640233930214</v>
      </c>
      <c r="E725">
        <v>1.569019528916062</v>
      </c>
    </row>
    <row r="726" spans="1:5" x14ac:dyDescent="0.3">
      <c r="A726" s="13">
        <v>42724</v>
      </c>
      <c r="B726">
        <v>2.0809679412076192</v>
      </c>
      <c r="C726">
        <v>1.62836191412228</v>
      </c>
      <c r="D726">
        <v>1.535269217164366</v>
      </c>
      <c r="E726">
        <v>1.5634737982932281</v>
      </c>
    </row>
    <row r="727" spans="1:5" x14ac:dyDescent="0.3">
      <c r="A727" s="13">
        <v>42725</v>
      </c>
      <c r="B727">
        <v>2.0985350975915682</v>
      </c>
      <c r="C727">
        <v>1.6404627378482199</v>
      </c>
      <c r="D727">
        <v>1.547142402509986</v>
      </c>
      <c r="E727">
        <v>1.573924966318345</v>
      </c>
    </row>
    <row r="728" spans="1:5" x14ac:dyDescent="0.3">
      <c r="A728" s="13">
        <v>42726</v>
      </c>
      <c r="B728">
        <v>2.0982739131328358</v>
      </c>
      <c r="C728">
        <v>1.6377789954226909</v>
      </c>
      <c r="D728">
        <v>1.5490969677488899</v>
      </c>
      <c r="E728">
        <v>1.573027040483064</v>
      </c>
    </row>
    <row r="729" spans="1:5" x14ac:dyDescent="0.3">
      <c r="A729" s="13">
        <v>42727</v>
      </c>
      <c r="B729">
        <v>2.080050271597095</v>
      </c>
      <c r="C729">
        <v>1.6234338913025901</v>
      </c>
      <c r="D729">
        <v>1.5367166670924011</v>
      </c>
      <c r="E729">
        <v>1.5616642174148689</v>
      </c>
    </row>
    <row r="730" spans="1:5" x14ac:dyDescent="0.3">
      <c r="A730" s="13">
        <v>42730</v>
      </c>
      <c r="B730">
        <v>2.0887447582405358</v>
      </c>
      <c r="C730">
        <v>1.6260043758440941</v>
      </c>
      <c r="D730">
        <v>1.5437351347681569</v>
      </c>
      <c r="E730">
        <v>1.5672476374544431</v>
      </c>
    </row>
    <row r="731" spans="1:5" x14ac:dyDescent="0.3">
      <c r="A731" s="13">
        <v>42731</v>
      </c>
      <c r="B731">
        <v>2.088089178649092</v>
      </c>
      <c r="C731">
        <v>1.627561104272282</v>
      </c>
      <c r="D731">
        <v>1.5451565517530499</v>
      </c>
      <c r="E731">
        <v>1.5681318658748149</v>
      </c>
    </row>
    <row r="732" spans="1:5" x14ac:dyDescent="0.3">
      <c r="A732" s="13">
        <v>42732</v>
      </c>
      <c r="B732">
        <v>2.0809568393515692</v>
      </c>
      <c r="C732">
        <v>1.6235282873647521</v>
      </c>
      <c r="D732">
        <v>1.5393750787234131</v>
      </c>
      <c r="E732">
        <v>1.5623719383898831</v>
      </c>
    </row>
    <row r="733" spans="1:5" x14ac:dyDescent="0.3">
      <c r="A733" s="13">
        <v>42733</v>
      </c>
      <c r="B733">
        <v>2.078359652125175</v>
      </c>
      <c r="C733">
        <v>1.6216258866710609</v>
      </c>
      <c r="D733">
        <v>1.5372054785515481</v>
      </c>
      <c r="E733">
        <v>1.5598601689610441</v>
      </c>
    </row>
    <row r="734" spans="1:5" x14ac:dyDescent="0.3">
      <c r="A734" s="13">
        <v>42734</v>
      </c>
      <c r="B734">
        <v>2.0864799223475852</v>
      </c>
      <c r="C734">
        <v>1.6287505073819311</v>
      </c>
      <c r="D734">
        <v>1.5414118712014411</v>
      </c>
      <c r="E734">
        <v>1.5637582643184971</v>
      </c>
    </row>
    <row r="735" spans="1:5" x14ac:dyDescent="0.3">
      <c r="A735" s="13">
        <v>42738</v>
      </c>
      <c r="B735">
        <v>2.1065215090333531</v>
      </c>
      <c r="C735">
        <v>1.638756803202043</v>
      </c>
      <c r="D735">
        <v>1.550505103477948</v>
      </c>
      <c r="E735">
        <v>1.5727807156892479</v>
      </c>
    </row>
    <row r="736" spans="1:5" x14ac:dyDescent="0.3">
      <c r="A736" s="13">
        <v>42739</v>
      </c>
      <c r="B736">
        <v>2.1240696353033099</v>
      </c>
      <c r="C736">
        <v>1.655768658043316</v>
      </c>
      <c r="D736">
        <v>1.5668748776678749</v>
      </c>
      <c r="E736">
        <v>1.5902985648408119</v>
      </c>
    </row>
    <row r="737" spans="1:5" x14ac:dyDescent="0.3">
      <c r="A737" s="13">
        <v>42740</v>
      </c>
      <c r="B737">
        <v>2.1251828306089151</v>
      </c>
      <c r="C737">
        <v>1.6560167619218289</v>
      </c>
      <c r="D737">
        <v>1.565753752035199</v>
      </c>
      <c r="E737">
        <v>1.5891440333498159</v>
      </c>
    </row>
    <row r="738" spans="1:5" x14ac:dyDescent="0.3">
      <c r="A738" s="13">
        <v>42741</v>
      </c>
      <c r="B738">
        <v>2.11602607179179</v>
      </c>
      <c r="C738">
        <v>1.647820417404813</v>
      </c>
      <c r="D738">
        <v>1.5551320665594619</v>
      </c>
      <c r="E738">
        <v>1.578112013170391</v>
      </c>
    </row>
    <row r="739" spans="1:5" x14ac:dyDescent="0.3">
      <c r="A739" s="13">
        <v>42744</v>
      </c>
      <c r="B739">
        <v>2.1230294573329811</v>
      </c>
      <c r="C739">
        <v>1.6519700548012251</v>
      </c>
      <c r="D739">
        <v>1.560760662199755</v>
      </c>
      <c r="E739">
        <v>1.5833824032914681</v>
      </c>
    </row>
    <row r="740" spans="1:5" x14ac:dyDescent="0.3">
      <c r="A740" s="13">
        <v>42745</v>
      </c>
      <c r="B740">
        <v>2.1172838521578989</v>
      </c>
      <c r="C740">
        <v>1.650426024128161</v>
      </c>
      <c r="D740">
        <v>1.5549774937816481</v>
      </c>
      <c r="E740">
        <v>1.5780289260976099</v>
      </c>
    </row>
    <row r="741" spans="1:5" x14ac:dyDescent="0.3">
      <c r="A741" s="13">
        <v>42746</v>
      </c>
      <c r="B741">
        <v>2.1010778737836491</v>
      </c>
      <c r="C741">
        <v>1.636852880217273</v>
      </c>
      <c r="D741">
        <v>1.53857563706129</v>
      </c>
      <c r="E741">
        <v>1.562935615645215</v>
      </c>
    </row>
    <row r="742" spans="1:5" x14ac:dyDescent="0.3">
      <c r="A742" s="13">
        <v>42747</v>
      </c>
      <c r="B742">
        <v>2.087026166039045</v>
      </c>
      <c r="C742">
        <v>1.623726703483471</v>
      </c>
      <c r="D742">
        <v>1.525733916614084</v>
      </c>
      <c r="E742">
        <v>1.5503661819797621</v>
      </c>
    </row>
    <row r="743" spans="1:5" x14ac:dyDescent="0.3">
      <c r="A743" s="13">
        <v>42748</v>
      </c>
      <c r="B743">
        <v>2.0711326807270409</v>
      </c>
      <c r="C743">
        <v>1.611178225387508</v>
      </c>
      <c r="D743">
        <v>1.507158109067918</v>
      </c>
      <c r="E743">
        <v>1.533981913355746</v>
      </c>
    </row>
    <row r="744" spans="1:5" x14ac:dyDescent="0.3">
      <c r="A744" s="13">
        <v>42751</v>
      </c>
      <c r="B744">
        <v>2.0447059013772568</v>
      </c>
      <c r="C744">
        <v>1.5940797695483031</v>
      </c>
      <c r="D744">
        <v>1.4758910840203729</v>
      </c>
      <c r="E744">
        <v>1.499331824831549</v>
      </c>
    </row>
    <row r="745" spans="1:5" x14ac:dyDescent="0.3">
      <c r="A745" s="13">
        <v>42752</v>
      </c>
      <c r="B745">
        <v>2.054767300850235</v>
      </c>
      <c r="C745">
        <v>1.605169619491704</v>
      </c>
      <c r="D745">
        <v>1.4865577073478959</v>
      </c>
      <c r="E745">
        <v>1.51242148465958</v>
      </c>
    </row>
    <row r="746" spans="1:5" x14ac:dyDescent="0.3">
      <c r="A746" s="13">
        <v>42753</v>
      </c>
      <c r="B746">
        <v>2.0589445511470599</v>
      </c>
      <c r="C746">
        <v>1.6103217025027421</v>
      </c>
      <c r="D746">
        <v>1.487398294960407</v>
      </c>
      <c r="E746">
        <v>1.5120952086420909</v>
      </c>
    </row>
    <row r="747" spans="1:5" x14ac:dyDescent="0.3">
      <c r="A747" s="13">
        <v>42754</v>
      </c>
      <c r="B747">
        <v>2.05119147887071</v>
      </c>
      <c r="C747">
        <v>1.6055038331727369</v>
      </c>
      <c r="D747">
        <v>1.4816957952687311</v>
      </c>
      <c r="E747">
        <v>1.5061818443588399</v>
      </c>
    </row>
    <row r="748" spans="1:5" x14ac:dyDescent="0.3">
      <c r="A748" s="13">
        <v>42755</v>
      </c>
      <c r="B748">
        <v>2.0702260092147799</v>
      </c>
      <c r="C748">
        <v>1.620165331439962</v>
      </c>
      <c r="D748">
        <v>1.4979029715278269</v>
      </c>
      <c r="E748">
        <v>1.524134431620412</v>
      </c>
    </row>
    <row r="749" spans="1:5" x14ac:dyDescent="0.3">
      <c r="A749" s="13">
        <v>42758</v>
      </c>
      <c r="B749">
        <v>2.0810262443541139</v>
      </c>
      <c r="C749">
        <v>1.6291402931736561</v>
      </c>
      <c r="D749">
        <v>1.5090524842379429</v>
      </c>
      <c r="E749">
        <v>1.5337622025615669</v>
      </c>
    </row>
    <row r="750" spans="1:5" x14ac:dyDescent="0.3">
      <c r="A750" s="13">
        <v>42759</v>
      </c>
      <c r="B750">
        <v>2.079655490456819</v>
      </c>
      <c r="C750">
        <v>1.6279927129475751</v>
      </c>
      <c r="D750">
        <v>1.5065420800181839</v>
      </c>
      <c r="E750">
        <v>1.530449648339365</v>
      </c>
    </row>
    <row r="751" spans="1:5" x14ac:dyDescent="0.3">
      <c r="A751" s="13">
        <v>42760</v>
      </c>
      <c r="B751">
        <v>2.0825510749076042</v>
      </c>
      <c r="C751">
        <v>1.6314697943921921</v>
      </c>
      <c r="D751">
        <v>1.5102441566343281</v>
      </c>
      <c r="E751">
        <v>1.535803322652447</v>
      </c>
    </row>
    <row r="752" spans="1:5" x14ac:dyDescent="0.3">
      <c r="A752" s="13">
        <v>42761</v>
      </c>
      <c r="B752">
        <v>2.092434859782871</v>
      </c>
      <c r="C752">
        <v>1.6402604535668499</v>
      </c>
      <c r="D752">
        <v>1.51900085291738</v>
      </c>
      <c r="E752">
        <v>1.5465912824173449</v>
      </c>
    </row>
    <row r="753" spans="1:5" x14ac:dyDescent="0.3">
      <c r="A753" s="13">
        <v>42769</v>
      </c>
      <c r="B753">
        <v>2.0828995823537459</v>
      </c>
      <c r="C753">
        <v>1.6327988920465391</v>
      </c>
      <c r="D753">
        <v>1.5132306945430829</v>
      </c>
      <c r="E753">
        <v>1.5401007291804449</v>
      </c>
    </row>
    <row r="754" spans="1:5" x14ac:dyDescent="0.3">
      <c r="A754" s="13">
        <v>42772</v>
      </c>
      <c r="B754">
        <v>2.093288326726463</v>
      </c>
      <c r="C754">
        <v>1.642169288450956</v>
      </c>
      <c r="D754">
        <v>1.52612890839372</v>
      </c>
      <c r="E754">
        <v>1.5516304680676021</v>
      </c>
    </row>
    <row r="755" spans="1:5" x14ac:dyDescent="0.3">
      <c r="A755" s="13">
        <v>42773</v>
      </c>
      <c r="B755">
        <v>2.0936806089836111</v>
      </c>
      <c r="C755">
        <v>1.641089592758735</v>
      </c>
      <c r="D755">
        <v>1.523114162165969</v>
      </c>
      <c r="E755">
        <v>1.5495329600744221</v>
      </c>
    </row>
    <row r="756" spans="1:5" x14ac:dyDescent="0.3">
      <c r="A756" s="13">
        <v>42774</v>
      </c>
      <c r="B756">
        <v>2.1023228087699621</v>
      </c>
      <c r="C756">
        <v>1.648988612711811</v>
      </c>
      <c r="D756">
        <v>1.5305592110255699</v>
      </c>
      <c r="E756">
        <v>1.559731531040808</v>
      </c>
    </row>
    <row r="757" spans="1:5" x14ac:dyDescent="0.3">
      <c r="A757" s="13">
        <v>42775</v>
      </c>
      <c r="B757">
        <v>2.112115315485827</v>
      </c>
      <c r="C757">
        <v>1.655771878501862</v>
      </c>
      <c r="D757">
        <v>1.5378515130689869</v>
      </c>
      <c r="E757">
        <v>1.567461731911312</v>
      </c>
    </row>
    <row r="758" spans="1:5" x14ac:dyDescent="0.3">
      <c r="A758" s="13">
        <v>42776</v>
      </c>
      <c r="B758">
        <v>2.1184099811389698</v>
      </c>
      <c r="C758">
        <v>1.660281667116368</v>
      </c>
      <c r="D758">
        <v>1.539754316154238</v>
      </c>
      <c r="E758">
        <v>1.567013614997437</v>
      </c>
    </row>
    <row r="759" spans="1:5" x14ac:dyDescent="0.3">
      <c r="A759" s="13">
        <v>42779</v>
      </c>
      <c r="B759">
        <v>2.1311461150749489</v>
      </c>
      <c r="C759">
        <v>1.6745044676118841</v>
      </c>
      <c r="D759">
        <v>1.549024950869736</v>
      </c>
      <c r="E759">
        <v>1.5782887162164589</v>
      </c>
    </row>
    <row r="760" spans="1:5" x14ac:dyDescent="0.3">
      <c r="A760" s="13">
        <v>42780</v>
      </c>
      <c r="B760">
        <v>2.1339494660545322</v>
      </c>
      <c r="C760">
        <v>1.6765267604396861</v>
      </c>
      <c r="D760">
        <v>1.548993699261231</v>
      </c>
      <c r="E760">
        <v>1.5800533726859141</v>
      </c>
    </row>
    <row r="761" spans="1:5" x14ac:dyDescent="0.3">
      <c r="A761" s="13">
        <v>42781</v>
      </c>
      <c r="B761">
        <v>2.12279415799201</v>
      </c>
      <c r="C761">
        <v>1.6633387920565481</v>
      </c>
      <c r="D761">
        <v>1.537597305124595</v>
      </c>
      <c r="E761">
        <v>1.566228644826253</v>
      </c>
    </row>
    <row r="762" spans="1:5" x14ac:dyDescent="0.3">
      <c r="A762" s="13">
        <v>42782</v>
      </c>
      <c r="B762">
        <v>2.133306277571783</v>
      </c>
      <c r="C762">
        <v>1.672798542922264</v>
      </c>
      <c r="D762">
        <v>1.5465199417947051</v>
      </c>
      <c r="E762">
        <v>1.5748245675555179</v>
      </c>
    </row>
    <row r="763" spans="1:5" x14ac:dyDescent="0.3">
      <c r="A763" s="13">
        <v>42783</v>
      </c>
      <c r="B763">
        <v>2.116657723619054</v>
      </c>
      <c r="C763">
        <v>1.6625683177980271</v>
      </c>
      <c r="D763">
        <v>1.5344385791747619</v>
      </c>
      <c r="E763">
        <v>1.5644790642579141</v>
      </c>
    </row>
    <row r="764" spans="1:5" x14ac:dyDescent="0.3">
      <c r="A764" s="13">
        <v>42786</v>
      </c>
      <c r="B764">
        <v>2.1449578719057119</v>
      </c>
      <c r="C764">
        <v>1.6867472078137049</v>
      </c>
      <c r="D764">
        <v>1.5502818828993341</v>
      </c>
      <c r="E764">
        <v>1.5821694308935721</v>
      </c>
    </row>
    <row r="765" spans="1:5" x14ac:dyDescent="0.3">
      <c r="A765" s="13">
        <v>42787</v>
      </c>
      <c r="B765">
        <v>2.1560398192857422</v>
      </c>
      <c r="C765">
        <v>1.6941172210029141</v>
      </c>
      <c r="D765">
        <v>1.5601624461029331</v>
      </c>
      <c r="E765">
        <v>1.59114184646282</v>
      </c>
    </row>
    <row r="766" spans="1:5" x14ac:dyDescent="0.3">
      <c r="A766" s="13">
        <v>42788</v>
      </c>
      <c r="B766">
        <v>2.1631546729871309</v>
      </c>
      <c r="C766">
        <v>1.7011483449898011</v>
      </c>
      <c r="D766">
        <v>1.56748671202949</v>
      </c>
      <c r="E766">
        <v>1.5971699184065711</v>
      </c>
    </row>
    <row r="767" spans="1:5" x14ac:dyDescent="0.3">
      <c r="A767" s="13">
        <v>42789</v>
      </c>
      <c r="B767">
        <v>2.1559208957900431</v>
      </c>
      <c r="C767">
        <v>1.6976041433995579</v>
      </c>
      <c r="D767">
        <v>1.566793542189264</v>
      </c>
      <c r="E767">
        <v>1.5960994150167429</v>
      </c>
    </row>
    <row r="768" spans="1:5" x14ac:dyDescent="0.3">
      <c r="A768" s="13">
        <v>42790</v>
      </c>
      <c r="B768">
        <v>2.156921474836917</v>
      </c>
      <c r="C768">
        <v>1.69662855231609</v>
      </c>
      <c r="D768">
        <v>1.568588010658813</v>
      </c>
      <c r="E768">
        <v>1.595847667977824</v>
      </c>
    </row>
    <row r="769" spans="1:5" x14ac:dyDescent="0.3">
      <c r="A769" s="13">
        <v>42793</v>
      </c>
      <c r="B769">
        <v>2.1446349684581869</v>
      </c>
      <c r="C769">
        <v>1.6830509156891209</v>
      </c>
      <c r="D769">
        <v>1.557276241224872</v>
      </c>
      <c r="E769">
        <v>1.586584072796754</v>
      </c>
    </row>
    <row r="770" spans="1:5" x14ac:dyDescent="0.3">
      <c r="A770" s="13">
        <v>42794</v>
      </c>
      <c r="B770">
        <v>2.153276033270731</v>
      </c>
      <c r="C770">
        <v>1.689067842225761</v>
      </c>
      <c r="D770">
        <v>1.561437533476612</v>
      </c>
      <c r="E770">
        <v>1.591875236306965</v>
      </c>
    </row>
    <row r="771" spans="1:5" x14ac:dyDescent="0.3">
      <c r="A771" s="13">
        <v>42795</v>
      </c>
      <c r="B771">
        <v>2.155861177369141</v>
      </c>
      <c r="C771">
        <v>1.692219046984841</v>
      </c>
      <c r="D771">
        <v>1.565400030906702</v>
      </c>
      <c r="E771">
        <v>1.5950403180647319</v>
      </c>
    </row>
    <row r="772" spans="1:5" x14ac:dyDescent="0.3">
      <c r="A772" s="13">
        <v>42796</v>
      </c>
      <c r="B772">
        <v>2.1456049782809519</v>
      </c>
      <c r="C772">
        <v>1.685997188112021</v>
      </c>
      <c r="D772">
        <v>1.5605312127784681</v>
      </c>
      <c r="E772">
        <v>1.590580921402081</v>
      </c>
    </row>
    <row r="773" spans="1:5" x14ac:dyDescent="0.3">
      <c r="A773" s="13">
        <v>42797</v>
      </c>
      <c r="B773">
        <v>2.1463161268523541</v>
      </c>
      <c r="C773">
        <v>1.686242605681447</v>
      </c>
      <c r="D773">
        <v>1.5628744556892109</v>
      </c>
      <c r="E773">
        <v>1.596108438720697</v>
      </c>
    </row>
    <row r="774" spans="1:5" x14ac:dyDescent="0.3">
      <c r="A774" s="13">
        <v>42800</v>
      </c>
      <c r="B774">
        <v>2.1596182928981129</v>
      </c>
      <c r="C774">
        <v>1.700402977871875</v>
      </c>
      <c r="D774">
        <v>1.5761511791545679</v>
      </c>
      <c r="E774">
        <v>1.6119367211580851</v>
      </c>
    </row>
    <row r="775" spans="1:5" x14ac:dyDescent="0.3">
      <c r="A775" s="13">
        <v>42801</v>
      </c>
      <c r="B775">
        <v>2.164337109378911</v>
      </c>
      <c r="C775">
        <v>1.7057508647434529</v>
      </c>
      <c r="D775">
        <v>1.5804091813061469</v>
      </c>
      <c r="E775">
        <v>1.6160854363874091</v>
      </c>
    </row>
    <row r="776" spans="1:5" x14ac:dyDescent="0.3">
      <c r="A776" s="13">
        <v>42802</v>
      </c>
      <c r="B776">
        <v>2.1585055067899872</v>
      </c>
      <c r="C776">
        <v>1.700663729707163</v>
      </c>
      <c r="D776">
        <v>1.5741766247209379</v>
      </c>
      <c r="E776">
        <v>1.6100169652890981</v>
      </c>
    </row>
    <row r="777" spans="1:5" x14ac:dyDescent="0.3">
      <c r="A777" s="13">
        <v>42803</v>
      </c>
      <c r="B777">
        <v>2.1458151915272672</v>
      </c>
      <c r="C777">
        <v>1.6878915174285869</v>
      </c>
      <c r="D777">
        <v>1.5659887826917169</v>
      </c>
      <c r="E777">
        <v>1.600311371345251</v>
      </c>
    </row>
    <row r="778" spans="1:5" x14ac:dyDescent="0.3">
      <c r="A778" s="13">
        <v>42804</v>
      </c>
      <c r="B778">
        <v>2.1474001900542889</v>
      </c>
      <c r="C778">
        <v>1.693058318424012</v>
      </c>
      <c r="D778">
        <v>1.568186350131247</v>
      </c>
      <c r="E778">
        <v>1.6053466220062489</v>
      </c>
    </row>
    <row r="779" spans="1:5" x14ac:dyDescent="0.3">
      <c r="A779" s="13">
        <v>42807</v>
      </c>
      <c r="B779">
        <v>2.1644625634275578</v>
      </c>
      <c r="C779">
        <v>1.710059966613817</v>
      </c>
      <c r="D779">
        <v>1.5832691745586329</v>
      </c>
      <c r="E779">
        <v>1.621978261605886</v>
      </c>
    </row>
    <row r="780" spans="1:5" x14ac:dyDescent="0.3">
      <c r="A780" s="13">
        <v>42808</v>
      </c>
      <c r="B780">
        <v>2.1640667057076239</v>
      </c>
      <c r="C780">
        <v>1.7064025109922489</v>
      </c>
      <c r="D780">
        <v>1.57932829659129</v>
      </c>
      <c r="E780">
        <v>1.6212019218715641</v>
      </c>
    </row>
    <row r="781" spans="1:5" x14ac:dyDescent="0.3">
      <c r="A781" s="13">
        <v>42809</v>
      </c>
      <c r="B781">
        <v>2.1644192477962449</v>
      </c>
      <c r="C781">
        <v>1.7104907287893321</v>
      </c>
      <c r="D781">
        <v>1.5803976152157539</v>
      </c>
      <c r="E781">
        <v>1.622304258007911</v>
      </c>
    </row>
    <row r="782" spans="1:5" x14ac:dyDescent="0.3">
      <c r="A782" s="13">
        <v>42810</v>
      </c>
      <c r="B782">
        <v>2.1787058080903292</v>
      </c>
      <c r="C782">
        <v>1.718095081379438</v>
      </c>
      <c r="D782">
        <v>1.590333038173342</v>
      </c>
      <c r="E782">
        <v>1.632320546998576</v>
      </c>
    </row>
    <row r="783" spans="1:5" x14ac:dyDescent="0.3">
      <c r="A783" s="13">
        <v>42811</v>
      </c>
      <c r="B783">
        <v>2.158510898252755</v>
      </c>
      <c r="C783">
        <v>1.703546803218581</v>
      </c>
      <c r="D783">
        <v>1.5789685112557761</v>
      </c>
      <c r="E783">
        <v>1.6184961676917531</v>
      </c>
    </row>
    <row r="784" spans="1:5" x14ac:dyDescent="0.3">
      <c r="A784" s="13">
        <v>42814</v>
      </c>
      <c r="B784">
        <v>2.1613110924019079</v>
      </c>
      <c r="C784">
        <v>1.70856114501415</v>
      </c>
      <c r="D784">
        <v>1.583245636137544</v>
      </c>
      <c r="E784">
        <v>1.6241641637405659</v>
      </c>
    </row>
    <row r="785" spans="1:5" x14ac:dyDescent="0.3">
      <c r="A785" s="13">
        <v>42815</v>
      </c>
      <c r="B785">
        <v>2.1734686461619939</v>
      </c>
      <c r="C785">
        <v>1.722618989482797</v>
      </c>
      <c r="D785">
        <v>1.5925517869971251</v>
      </c>
      <c r="E785">
        <v>1.636600040639508</v>
      </c>
    </row>
    <row r="786" spans="1:5" x14ac:dyDescent="0.3">
      <c r="A786" s="13">
        <v>42816</v>
      </c>
      <c r="B786">
        <v>2.1703956306444381</v>
      </c>
      <c r="C786">
        <v>1.726001072062106</v>
      </c>
      <c r="D786">
        <v>1.592420622655659</v>
      </c>
      <c r="E786">
        <v>1.6360104997084151</v>
      </c>
    </row>
    <row r="787" spans="1:5" x14ac:dyDescent="0.3">
      <c r="A787" s="13">
        <v>42817</v>
      </c>
      <c r="B787">
        <v>2.172073711217549</v>
      </c>
      <c r="C787">
        <v>1.728930601855539</v>
      </c>
      <c r="D787">
        <v>1.5966548589795311</v>
      </c>
      <c r="E787">
        <v>1.6385563138138819</v>
      </c>
    </row>
    <row r="788" spans="1:5" x14ac:dyDescent="0.3">
      <c r="A788" s="13">
        <v>42818</v>
      </c>
      <c r="B788">
        <v>2.1836948248599568</v>
      </c>
      <c r="C788">
        <v>1.7339491793757009</v>
      </c>
      <c r="D788">
        <v>1.600619472485868</v>
      </c>
      <c r="E788">
        <v>1.6454264047958831</v>
      </c>
    </row>
    <row r="789" spans="1:5" x14ac:dyDescent="0.3">
      <c r="A789" s="13">
        <v>42821</v>
      </c>
      <c r="B789">
        <v>2.1752481764520919</v>
      </c>
      <c r="C789">
        <v>1.7230558980832289</v>
      </c>
      <c r="D789">
        <v>1.592437165984778</v>
      </c>
      <c r="E789">
        <v>1.6340370912471771</v>
      </c>
    </row>
    <row r="790" spans="1:5" x14ac:dyDescent="0.3">
      <c r="A790" s="13">
        <v>42822</v>
      </c>
      <c r="B790">
        <v>2.1704903106399849</v>
      </c>
      <c r="C790">
        <v>1.7197841669974541</v>
      </c>
      <c r="D790">
        <v>1.5882367729197431</v>
      </c>
      <c r="E790">
        <v>1.630901082982793</v>
      </c>
    </row>
    <row r="791" spans="1:5" x14ac:dyDescent="0.3">
      <c r="A791" s="13">
        <v>42823</v>
      </c>
      <c r="B791">
        <v>2.167209487478313</v>
      </c>
      <c r="C791">
        <v>1.7183877752496139</v>
      </c>
      <c r="D791">
        <v>1.5812534132756031</v>
      </c>
      <c r="E791">
        <v>1.624698226851818</v>
      </c>
    </row>
    <row r="792" spans="1:5" x14ac:dyDescent="0.3">
      <c r="A792" s="13">
        <v>42824</v>
      </c>
      <c r="B792">
        <v>2.1429527693017292</v>
      </c>
      <c r="C792">
        <v>1.69975985287946</v>
      </c>
      <c r="D792">
        <v>1.561025754289318</v>
      </c>
      <c r="E792">
        <v>1.6028932036764449</v>
      </c>
    </row>
    <row r="793" spans="1:5" x14ac:dyDescent="0.3">
      <c r="A793" s="13">
        <v>42825</v>
      </c>
      <c r="B793">
        <v>2.151147743165692</v>
      </c>
      <c r="C793">
        <v>1.711490478489839</v>
      </c>
      <c r="D793">
        <v>1.568415988030565</v>
      </c>
      <c r="E793">
        <v>1.61411507744794</v>
      </c>
    </row>
    <row r="794" spans="1:5" x14ac:dyDescent="0.3">
      <c r="A794" s="13">
        <v>42830</v>
      </c>
      <c r="B794">
        <v>2.1858730699925948</v>
      </c>
      <c r="C794">
        <v>1.735174522444126</v>
      </c>
      <c r="D794">
        <v>1.5934528496974509</v>
      </c>
      <c r="E794">
        <v>1.640949055890522</v>
      </c>
    </row>
    <row r="795" spans="1:5" x14ac:dyDescent="0.3">
      <c r="A795" s="13">
        <v>42831</v>
      </c>
      <c r="B795">
        <v>2.192034638456287</v>
      </c>
      <c r="C795">
        <v>1.741796993279791</v>
      </c>
      <c r="D795">
        <v>1.597648707119284</v>
      </c>
      <c r="E795">
        <v>1.645107543801092</v>
      </c>
    </row>
    <row r="796" spans="1:5" x14ac:dyDescent="0.3">
      <c r="A796" s="13">
        <v>42832</v>
      </c>
      <c r="B796">
        <v>2.1982737010898759</v>
      </c>
      <c r="C796">
        <v>1.747096886530431</v>
      </c>
      <c r="D796">
        <v>1.601855393662619</v>
      </c>
      <c r="E796">
        <v>1.647214866955252</v>
      </c>
    </row>
    <row r="797" spans="1:5" x14ac:dyDescent="0.3">
      <c r="A797" s="13">
        <v>42835</v>
      </c>
      <c r="B797">
        <v>2.193075797871979</v>
      </c>
      <c r="C797">
        <v>1.7392333994203399</v>
      </c>
      <c r="D797">
        <v>1.5901494171488879</v>
      </c>
      <c r="E797">
        <v>1.634440529218574</v>
      </c>
    </row>
    <row r="798" spans="1:5" x14ac:dyDescent="0.3">
      <c r="A798" s="13">
        <v>42836</v>
      </c>
      <c r="B798">
        <v>2.2037357208847799</v>
      </c>
      <c r="C798">
        <v>1.742995318548388</v>
      </c>
      <c r="D798">
        <v>1.597329060536073</v>
      </c>
      <c r="E798">
        <v>1.636791469921417</v>
      </c>
    </row>
    <row r="799" spans="1:5" x14ac:dyDescent="0.3">
      <c r="A799" s="13">
        <v>42837</v>
      </c>
      <c r="B799">
        <v>2.1901533146587648</v>
      </c>
      <c r="C799">
        <v>1.73840096055411</v>
      </c>
      <c r="D799">
        <v>1.5887671361751079</v>
      </c>
      <c r="E799">
        <v>1.628049861598269</v>
      </c>
    </row>
    <row r="800" spans="1:5" x14ac:dyDescent="0.3">
      <c r="A800" s="13">
        <v>42838</v>
      </c>
      <c r="B800">
        <v>2.1979332886331879</v>
      </c>
      <c r="C800">
        <v>1.7487607667459311</v>
      </c>
      <c r="D800">
        <v>1.5980223068959101</v>
      </c>
      <c r="E800">
        <v>1.6386773377378641</v>
      </c>
    </row>
    <row r="801" spans="1:5" x14ac:dyDescent="0.3">
      <c r="A801" s="13">
        <v>42839</v>
      </c>
      <c r="B801">
        <v>2.179214396249507</v>
      </c>
      <c r="C801">
        <v>1.7347059075212541</v>
      </c>
      <c r="D801">
        <v>1.5821232156413649</v>
      </c>
      <c r="E801">
        <v>1.620025718887117</v>
      </c>
    </row>
    <row r="802" spans="1:5" x14ac:dyDescent="0.3">
      <c r="A802" s="13">
        <v>42842</v>
      </c>
      <c r="B802">
        <v>2.1689978909304588</v>
      </c>
      <c r="C802">
        <v>1.7292679260987569</v>
      </c>
      <c r="D802">
        <v>1.5741500309873291</v>
      </c>
      <c r="E802">
        <v>1.613709956691123</v>
      </c>
    </row>
    <row r="803" spans="1:5" x14ac:dyDescent="0.3">
      <c r="A803" s="13">
        <v>42843</v>
      </c>
      <c r="B803">
        <v>2.162422114633614</v>
      </c>
      <c r="C803">
        <v>1.7346515976311769</v>
      </c>
      <c r="D803">
        <v>1.573087367427884</v>
      </c>
      <c r="E803">
        <v>1.615401608692338</v>
      </c>
    </row>
    <row r="804" spans="1:5" x14ac:dyDescent="0.3">
      <c r="A804" s="13">
        <v>42844</v>
      </c>
      <c r="B804">
        <v>2.149206956297014</v>
      </c>
      <c r="C804">
        <v>1.729372092792967</v>
      </c>
      <c r="D804">
        <v>1.5696525628917191</v>
      </c>
      <c r="E804">
        <v>1.6096278716429799</v>
      </c>
    </row>
    <row r="805" spans="1:5" x14ac:dyDescent="0.3">
      <c r="A805" s="13">
        <v>42845</v>
      </c>
      <c r="B805">
        <v>2.1545748968854599</v>
      </c>
      <c r="C805">
        <v>1.741240475630218</v>
      </c>
      <c r="D805">
        <v>1.5770539309296261</v>
      </c>
      <c r="E805">
        <v>1.6170216818296841</v>
      </c>
    </row>
    <row r="806" spans="1:5" x14ac:dyDescent="0.3">
      <c r="A806" s="13">
        <v>42846</v>
      </c>
      <c r="B806">
        <v>2.1532244216744121</v>
      </c>
      <c r="C806">
        <v>1.735605264341854</v>
      </c>
      <c r="D806">
        <v>1.569024011430006</v>
      </c>
      <c r="E806">
        <v>1.6059235417755731</v>
      </c>
    </row>
    <row r="807" spans="1:5" x14ac:dyDescent="0.3">
      <c r="A807" s="13">
        <v>42849</v>
      </c>
      <c r="B807">
        <v>2.119926042785691</v>
      </c>
      <c r="C807">
        <v>1.710862739560663</v>
      </c>
      <c r="D807">
        <v>1.543413554751462</v>
      </c>
      <c r="E807">
        <v>1.5766472266975069</v>
      </c>
    </row>
    <row r="808" spans="1:5" x14ac:dyDescent="0.3">
      <c r="A808" s="13">
        <v>42850</v>
      </c>
      <c r="B808">
        <v>2.1232763641099459</v>
      </c>
      <c r="C808">
        <v>1.7221596242504831</v>
      </c>
      <c r="D808">
        <v>1.5527541097541659</v>
      </c>
      <c r="E808">
        <v>1.5878756209421181</v>
      </c>
    </row>
    <row r="809" spans="1:5" x14ac:dyDescent="0.3">
      <c r="A809" s="13">
        <v>42851</v>
      </c>
      <c r="B809">
        <v>2.1287507920394519</v>
      </c>
      <c r="C809">
        <v>1.7233206409360271</v>
      </c>
      <c r="D809">
        <v>1.556771626021604</v>
      </c>
      <c r="E809">
        <v>1.593015927963676</v>
      </c>
    </row>
    <row r="810" spans="1:5" x14ac:dyDescent="0.3">
      <c r="A810" s="13">
        <v>42852</v>
      </c>
      <c r="B810">
        <v>2.13636294936091</v>
      </c>
      <c r="C810">
        <v>1.729310601968379</v>
      </c>
      <c r="D810">
        <v>1.563477263596855</v>
      </c>
      <c r="E810">
        <v>1.600187350888721</v>
      </c>
    </row>
    <row r="811" spans="1:5" x14ac:dyDescent="0.3">
      <c r="A811" s="13">
        <v>42853</v>
      </c>
      <c r="B811">
        <v>2.136446143132098</v>
      </c>
      <c r="C811">
        <v>1.7243928656382419</v>
      </c>
      <c r="D811">
        <v>1.5634445502645491</v>
      </c>
      <c r="E811">
        <v>1.597411730685226</v>
      </c>
    </row>
    <row r="812" spans="1:5" x14ac:dyDescent="0.3">
      <c r="A812" s="13">
        <v>42857</v>
      </c>
      <c r="B812">
        <v>2.134116947938161</v>
      </c>
      <c r="C812">
        <v>1.7225167225034981</v>
      </c>
      <c r="D812">
        <v>1.5630684988991981</v>
      </c>
      <c r="E812">
        <v>1.5978093268402001</v>
      </c>
    </row>
    <row r="813" spans="1:5" x14ac:dyDescent="0.3">
      <c r="A813" s="13">
        <v>42858</v>
      </c>
      <c r="B813">
        <v>2.12624357881676</v>
      </c>
      <c r="C813">
        <v>1.718076238867106</v>
      </c>
      <c r="D813">
        <v>1.5581574456338549</v>
      </c>
      <c r="E813">
        <v>1.5947502443829651</v>
      </c>
    </row>
    <row r="814" spans="1:5" x14ac:dyDescent="0.3">
      <c r="A814" s="13">
        <v>42859</v>
      </c>
      <c r="B814">
        <v>2.1209327128361219</v>
      </c>
      <c r="C814">
        <v>1.711371888241662</v>
      </c>
      <c r="D814">
        <v>1.5540195160841019</v>
      </c>
      <c r="E814">
        <v>1.5885527970145981</v>
      </c>
    </row>
    <row r="815" spans="1:5" x14ac:dyDescent="0.3">
      <c r="A815" s="13">
        <v>42860</v>
      </c>
      <c r="B815">
        <v>2.102799689919586</v>
      </c>
      <c r="C815">
        <v>1.69721355384377</v>
      </c>
      <c r="D815">
        <v>1.5391831160352609</v>
      </c>
      <c r="E815">
        <v>1.573623918893734</v>
      </c>
    </row>
    <row r="816" spans="1:5" x14ac:dyDescent="0.3">
      <c r="A816" s="13">
        <v>42863</v>
      </c>
      <c r="B816">
        <v>2.0820876765317591</v>
      </c>
      <c r="C816">
        <v>1.673974358273836</v>
      </c>
      <c r="D816">
        <v>1.516644621406305</v>
      </c>
      <c r="E816">
        <v>1.550597207149454</v>
      </c>
    </row>
    <row r="817" spans="1:5" x14ac:dyDescent="0.3">
      <c r="A817" s="13">
        <v>42864</v>
      </c>
      <c r="B817">
        <v>2.0845011730803669</v>
      </c>
      <c r="C817">
        <v>1.679268621725347</v>
      </c>
      <c r="D817">
        <v>1.5230532324504891</v>
      </c>
      <c r="E817">
        <v>1.558672872936647</v>
      </c>
    </row>
    <row r="818" spans="1:5" x14ac:dyDescent="0.3">
      <c r="A818" s="13">
        <v>42865</v>
      </c>
      <c r="B818">
        <v>2.0705921400657301</v>
      </c>
      <c r="C818">
        <v>1.666178721541417</v>
      </c>
      <c r="D818">
        <v>1.509641605088557</v>
      </c>
      <c r="E818">
        <v>1.545154878271088</v>
      </c>
    </row>
    <row r="819" spans="1:5" x14ac:dyDescent="0.3">
      <c r="A819" s="13">
        <v>42866</v>
      </c>
      <c r="B819">
        <v>2.078786077443699</v>
      </c>
      <c r="C819">
        <v>1.675979494788268</v>
      </c>
      <c r="D819">
        <v>1.5137095921534121</v>
      </c>
      <c r="E819">
        <v>1.553535566373123</v>
      </c>
    </row>
    <row r="820" spans="1:5" x14ac:dyDescent="0.3">
      <c r="A820" s="13">
        <v>42867</v>
      </c>
      <c r="B820">
        <v>2.089296555410856</v>
      </c>
      <c r="C820">
        <v>1.6794684199145209</v>
      </c>
      <c r="D820">
        <v>1.5145472907709381</v>
      </c>
      <c r="E820">
        <v>1.553901011055792</v>
      </c>
    </row>
    <row r="821" spans="1:5" x14ac:dyDescent="0.3">
      <c r="A821" s="13">
        <v>42870</v>
      </c>
      <c r="B821">
        <v>2.10213806045223</v>
      </c>
      <c r="C821">
        <v>1.6900404821155679</v>
      </c>
      <c r="D821">
        <v>1.52363041411353</v>
      </c>
      <c r="E821">
        <v>1.5622018346640369</v>
      </c>
    </row>
    <row r="822" spans="1:5" x14ac:dyDescent="0.3">
      <c r="A822" s="13">
        <v>42871</v>
      </c>
      <c r="B822">
        <v>2.125799302142779</v>
      </c>
      <c r="C822">
        <v>1.7160833218100491</v>
      </c>
      <c r="D822">
        <v>1.548314308599428</v>
      </c>
      <c r="E822">
        <v>1.590931409571483</v>
      </c>
    </row>
    <row r="823" spans="1:5" x14ac:dyDescent="0.3">
      <c r="A823" s="13">
        <v>42872</v>
      </c>
      <c r="B823">
        <v>2.1184280155864128</v>
      </c>
      <c r="C823">
        <v>1.709535825800705</v>
      </c>
      <c r="D823">
        <v>1.545249853699926</v>
      </c>
      <c r="E823">
        <v>1.5849589292869819</v>
      </c>
    </row>
    <row r="824" spans="1:5" x14ac:dyDescent="0.3">
      <c r="A824" s="13">
        <v>42873</v>
      </c>
      <c r="B824">
        <v>2.1098810922644202</v>
      </c>
      <c r="C824">
        <v>1.704020113296794</v>
      </c>
      <c r="D824">
        <v>1.5359949185956181</v>
      </c>
      <c r="E824">
        <v>1.576825899883012</v>
      </c>
    </row>
    <row r="825" spans="1:5" x14ac:dyDescent="0.3">
      <c r="A825" s="13">
        <v>42874</v>
      </c>
      <c r="B825">
        <v>2.1059751860785059</v>
      </c>
      <c r="C825">
        <v>1.704821169186419</v>
      </c>
      <c r="D825">
        <v>1.535436795582579</v>
      </c>
      <c r="E825">
        <v>1.573975606953151</v>
      </c>
    </row>
    <row r="826" spans="1:5" x14ac:dyDescent="0.3">
      <c r="A826" s="13">
        <v>42877</v>
      </c>
      <c r="B826">
        <v>2.096307112576985</v>
      </c>
      <c r="C826">
        <v>1.698305325007095</v>
      </c>
      <c r="D826">
        <v>1.5230756175149249</v>
      </c>
      <c r="E826">
        <v>1.562187197102701</v>
      </c>
    </row>
    <row r="827" spans="1:5" x14ac:dyDescent="0.3">
      <c r="A827" s="13">
        <v>42878</v>
      </c>
      <c r="B827">
        <v>2.082050234179659</v>
      </c>
      <c r="C827">
        <v>1.6891126424022409</v>
      </c>
      <c r="D827">
        <v>1.504814073438504</v>
      </c>
      <c r="E827">
        <v>1.5514640818276799</v>
      </c>
    </row>
    <row r="828" spans="1:5" x14ac:dyDescent="0.3">
      <c r="A828" s="13">
        <v>42879</v>
      </c>
      <c r="B828">
        <v>2.0843300579358388</v>
      </c>
      <c r="C828">
        <v>1.689295929582439</v>
      </c>
      <c r="D828">
        <v>1.507469820219508</v>
      </c>
      <c r="E828">
        <v>1.553782938636898</v>
      </c>
    </row>
    <row r="829" spans="1:5" x14ac:dyDescent="0.3">
      <c r="A829" s="13">
        <v>42880</v>
      </c>
      <c r="B829">
        <v>2.1101866368559179</v>
      </c>
      <c r="C829">
        <v>1.698260113669237</v>
      </c>
      <c r="D829">
        <v>1.5137872294590511</v>
      </c>
      <c r="E829">
        <v>1.5590976896345921</v>
      </c>
    </row>
    <row r="830" spans="1:5" x14ac:dyDescent="0.3">
      <c r="A830" s="13">
        <v>42881</v>
      </c>
      <c r="B830">
        <v>2.1107850069768048</v>
      </c>
      <c r="C830">
        <v>1.698969380596091</v>
      </c>
      <c r="D830">
        <v>1.511467408317009</v>
      </c>
      <c r="E830">
        <v>1.556072396659927</v>
      </c>
    </row>
    <row r="831" spans="1:5" x14ac:dyDescent="0.3">
      <c r="A831" s="13">
        <v>42886</v>
      </c>
      <c r="B831">
        <v>2.1123155131688449</v>
      </c>
      <c r="C831">
        <v>1.697681772187321</v>
      </c>
      <c r="D831">
        <v>1.508127392152887</v>
      </c>
      <c r="E831">
        <v>1.555405290457792</v>
      </c>
    </row>
    <row r="832" spans="1:5" x14ac:dyDescent="0.3">
      <c r="A832" s="13">
        <v>42887</v>
      </c>
      <c r="B832">
        <v>2.102533862718257</v>
      </c>
      <c r="C832">
        <v>1.6867207107191671</v>
      </c>
      <c r="D832">
        <v>1.494479165816281</v>
      </c>
      <c r="E832">
        <v>1.539818958565123</v>
      </c>
    </row>
    <row r="833" spans="1:5" x14ac:dyDescent="0.3">
      <c r="A833" s="13">
        <v>42888</v>
      </c>
      <c r="B833">
        <v>2.1043501056024851</v>
      </c>
      <c r="C833">
        <v>1.689118502200746</v>
      </c>
      <c r="D833">
        <v>1.4986368865339139</v>
      </c>
      <c r="E833">
        <v>1.5421526895196629</v>
      </c>
    </row>
    <row r="834" spans="1:5" x14ac:dyDescent="0.3">
      <c r="A834" s="13">
        <v>42891</v>
      </c>
      <c r="B834">
        <v>2.100863543795358</v>
      </c>
      <c r="C834">
        <v>1.6951535008975109</v>
      </c>
      <c r="D834">
        <v>1.503860967051035</v>
      </c>
      <c r="E834">
        <v>1.5484566865651579</v>
      </c>
    </row>
    <row r="835" spans="1:5" x14ac:dyDescent="0.3">
      <c r="A835" s="13">
        <v>42892</v>
      </c>
      <c r="B835">
        <v>2.1137293489380471</v>
      </c>
      <c r="C835">
        <v>1.7078452634704679</v>
      </c>
      <c r="D835">
        <v>1.5134995718021531</v>
      </c>
      <c r="E835">
        <v>1.5568943305440099</v>
      </c>
    </row>
    <row r="836" spans="1:5" x14ac:dyDescent="0.3">
      <c r="A836" s="13">
        <v>42893</v>
      </c>
      <c r="B836">
        <v>2.1438422997631408</v>
      </c>
      <c r="C836">
        <v>1.735749512793255</v>
      </c>
      <c r="D836">
        <v>1.5401963582026219</v>
      </c>
      <c r="E836">
        <v>1.5857666862790429</v>
      </c>
    </row>
    <row r="837" spans="1:5" x14ac:dyDescent="0.3">
      <c r="A837" s="13">
        <v>42894</v>
      </c>
      <c r="B837">
        <v>2.1542462750789899</v>
      </c>
      <c r="C837">
        <v>1.7457589725660889</v>
      </c>
      <c r="D837">
        <v>1.5480115749251491</v>
      </c>
      <c r="E837">
        <v>1.5958160587671559</v>
      </c>
    </row>
    <row r="838" spans="1:5" x14ac:dyDescent="0.3">
      <c r="A838" s="13">
        <v>42895</v>
      </c>
      <c r="B838">
        <v>2.1625707970273882</v>
      </c>
      <c r="C838">
        <v>1.7512841454060091</v>
      </c>
      <c r="D838">
        <v>1.5520013232846599</v>
      </c>
      <c r="E838">
        <v>1.601260544398756</v>
      </c>
    </row>
    <row r="839" spans="1:5" x14ac:dyDescent="0.3">
      <c r="A839" s="13">
        <v>42898</v>
      </c>
      <c r="B839">
        <v>2.1557233902271622</v>
      </c>
      <c r="C839">
        <v>1.748914582898518</v>
      </c>
      <c r="D839">
        <v>1.546475161190016</v>
      </c>
      <c r="E839">
        <v>1.5940713262344031</v>
      </c>
    </row>
    <row r="840" spans="1:5" x14ac:dyDescent="0.3">
      <c r="A840" s="13">
        <v>42899</v>
      </c>
      <c r="B840">
        <v>2.162750857759542</v>
      </c>
      <c r="C840">
        <v>1.7609460709104441</v>
      </c>
      <c r="D840">
        <v>1.5579365048952449</v>
      </c>
      <c r="E840">
        <v>1.608460958602882</v>
      </c>
    </row>
    <row r="841" spans="1:5" x14ac:dyDescent="0.3">
      <c r="A841" s="13">
        <v>42900</v>
      </c>
      <c r="B841">
        <v>2.1442817552325919</v>
      </c>
      <c r="C841">
        <v>1.7472247986990841</v>
      </c>
      <c r="D841">
        <v>1.546328570104716</v>
      </c>
      <c r="E841">
        <v>1.5957278830674999</v>
      </c>
    </row>
    <row r="842" spans="1:5" x14ac:dyDescent="0.3">
      <c r="A842" s="13">
        <v>42901</v>
      </c>
      <c r="B842">
        <v>2.1497136746423222</v>
      </c>
      <c r="C842">
        <v>1.749853774057031</v>
      </c>
      <c r="D842">
        <v>1.554353794766256</v>
      </c>
      <c r="E842">
        <v>1.6038718110903929</v>
      </c>
    </row>
    <row r="843" spans="1:5" x14ac:dyDescent="0.3">
      <c r="A843" s="13">
        <v>42902</v>
      </c>
      <c r="B843">
        <v>2.1455495310655102</v>
      </c>
      <c r="C843">
        <v>1.74602612844504</v>
      </c>
      <c r="D843">
        <v>1.5516482157613221</v>
      </c>
      <c r="E843">
        <v>1.60120393035483</v>
      </c>
    </row>
    <row r="844" spans="1:5" x14ac:dyDescent="0.3">
      <c r="A844" s="13">
        <v>42905</v>
      </c>
      <c r="B844">
        <v>2.162869988538759</v>
      </c>
      <c r="C844">
        <v>1.760378166468118</v>
      </c>
      <c r="D844">
        <v>1.563149949800458</v>
      </c>
      <c r="E844">
        <v>1.6121323080490491</v>
      </c>
    </row>
    <row r="845" spans="1:5" x14ac:dyDescent="0.3">
      <c r="A845" s="13">
        <v>42906</v>
      </c>
      <c r="B845">
        <v>2.1566027319671148</v>
      </c>
      <c r="C845">
        <v>1.7600250132481929</v>
      </c>
      <c r="D845">
        <v>1.5620029735565459</v>
      </c>
      <c r="E845">
        <v>1.616071534726975</v>
      </c>
    </row>
    <row r="846" spans="1:5" x14ac:dyDescent="0.3">
      <c r="A846" s="13">
        <v>42907</v>
      </c>
      <c r="B846">
        <v>2.1713552557359459</v>
      </c>
      <c r="C846">
        <v>1.776901268881111</v>
      </c>
      <c r="D846">
        <v>1.5708664979447149</v>
      </c>
      <c r="E846">
        <v>1.6318469427557449</v>
      </c>
    </row>
    <row r="847" spans="1:5" x14ac:dyDescent="0.3">
      <c r="A847" s="13">
        <v>42908</v>
      </c>
      <c r="B847">
        <v>2.1630621985303362</v>
      </c>
      <c r="C847">
        <v>1.762738747136473</v>
      </c>
      <c r="D847">
        <v>1.5572092925045791</v>
      </c>
      <c r="E847">
        <v>1.616517420522078</v>
      </c>
    </row>
    <row r="848" spans="1:5" x14ac:dyDescent="0.3">
      <c r="A848" s="13">
        <v>42909</v>
      </c>
      <c r="B848">
        <v>2.1767682365072512</v>
      </c>
      <c r="C848">
        <v>1.77597063461378</v>
      </c>
      <c r="D848">
        <v>1.5654433830533669</v>
      </c>
      <c r="E848">
        <v>1.629604771764424</v>
      </c>
    </row>
    <row r="849" spans="1:5" x14ac:dyDescent="0.3">
      <c r="A849" s="13">
        <v>42912</v>
      </c>
      <c r="B849">
        <v>2.2058401665875991</v>
      </c>
      <c r="C849">
        <v>1.8005465738312061</v>
      </c>
      <c r="D849">
        <v>1.5836536053544099</v>
      </c>
      <c r="E849">
        <v>1.6538849649694141</v>
      </c>
    </row>
    <row r="850" spans="1:5" x14ac:dyDescent="0.3">
      <c r="A850" s="13">
        <v>42913</v>
      </c>
      <c r="B850">
        <v>2.2105531667578942</v>
      </c>
      <c r="C850">
        <v>1.803828492417775</v>
      </c>
      <c r="D850">
        <v>1.5853605045525381</v>
      </c>
      <c r="E850">
        <v>1.6558577489659809</v>
      </c>
    </row>
    <row r="851" spans="1:5" x14ac:dyDescent="0.3">
      <c r="A851" s="13">
        <v>42914</v>
      </c>
      <c r="B851">
        <v>2.1964683012573518</v>
      </c>
      <c r="C851">
        <v>1.78975434281804</v>
      </c>
      <c r="D851">
        <v>1.5730692564105599</v>
      </c>
      <c r="E851">
        <v>1.6405702034110481</v>
      </c>
    </row>
    <row r="852" spans="1:5" x14ac:dyDescent="0.3">
      <c r="A852" s="13">
        <v>42915</v>
      </c>
      <c r="B852">
        <v>2.2111677842514732</v>
      </c>
      <c r="C852">
        <v>1.79906317542915</v>
      </c>
      <c r="D852">
        <v>1.5817565544844501</v>
      </c>
      <c r="E852">
        <v>1.648250735298306</v>
      </c>
    </row>
    <row r="853" spans="1:5" x14ac:dyDescent="0.3">
      <c r="A853" s="13">
        <v>42916</v>
      </c>
      <c r="B853">
        <v>2.2145883463716021</v>
      </c>
      <c r="C853">
        <v>1.802977521074741</v>
      </c>
      <c r="D853">
        <v>1.585727524702806</v>
      </c>
      <c r="E853">
        <v>1.655310690536798</v>
      </c>
    </row>
    <row r="854" spans="1:5" x14ac:dyDescent="0.3">
      <c r="A854" s="13">
        <v>42919</v>
      </c>
      <c r="B854">
        <v>2.2136411747128859</v>
      </c>
      <c r="C854">
        <v>1.802483475930154</v>
      </c>
      <c r="D854">
        <v>1.5890704767308099</v>
      </c>
      <c r="E854">
        <v>1.6527788087164139</v>
      </c>
    </row>
    <row r="855" spans="1:5" x14ac:dyDescent="0.3">
      <c r="A855" s="13">
        <v>42920</v>
      </c>
      <c r="B855">
        <v>2.1994891170028321</v>
      </c>
      <c r="C855">
        <v>1.7886709286715681</v>
      </c>
      <c r="D855">
        <v>1.579597443734341</v>
      </c>
      <c r="E855">
        <v>1.641957851396274</v>
      </c>
    </row>
    <row r="856" spans="1:5" x14ac:dyDescent="0.3">
      <c r="A856" s="13">
        <v>42921</v>
      </c>
      <c r="B856">
        <v>2.2247327190818091</v>
      </c>
      <c r="C856">
        <v>1.807589273156581</v>
      </c>
      <c r="D856">
        <v>1.593697397936833</v>
      </c>
      <c r="E856">
        <v>1.663393182557487</v>
      </c>
    </row>
    <row r="857" spans="1:5" x14ac:dyDescent="0.3">
      <c r="A857" s="13">
        <v>42922</v>
      </c>
      <c r="B857">
        <v>2.2277296303620302</v>
      </c>
      <c r="C857">
        <v>1.810002188929859</v>
      </c>
      <c r="D857">
        <v>1.595545005573777</v>
      </c>
      <c r="E857">
        <v>1.664719953785722</v>
      </c>
    </row>
    <row r="858" spans="1:5" x14ac:dyDescent="0.3">
      <c r="A858" s="13">
        <v>42923</v>
      </c>
      <c r="B858">
        <v>2.2310536127144638</v>
      </c>
      <c r="C858">
        <v>1.810337288560385</v>
      </c>
      <c r="D858">
        <v>1.594445394898155</v>
      </c>
      <c r="E858">
        <v>1.665510336444193</v>
      </c>
    </row>
    <row r="859" spans="1:5" x14ac:dyDescent="0.3">
      <c r="A859" s="13">
        <v>42926</v>
      </c>
      <c r="B859">
        <v>2.2260488151356359</v>
      </c>
      <c r="C859">
        <v>1.803761979087007</v>
      </c>
      <c r="D859">
        <v>1.590808788084197</v>
      </c>
      <c r="E859">
        <v>1.6562791183190939</v>
      </c>
    </row>
    <row r="860" spans="1:5" x14ac:dyDescent="0.3">
      <c r="A860" s="13">
        <v>42927</v>
      </c>
      <c r="B860">
        <v>2.2230213687031259</v>
      </c>
      <c r="C860">
        <v>1.799083117121967</v>
      </c>
      <c r="D860">
        <v>1.5844052570593159</v>
      </c>
      <c r="E860">
        <v>1.652055245730129</v>
      </c>
    </row>
    <row r="861" spans="1:5" x14ac:dyDescent="0.3">
      <c r="A861" s="13">
        <v>42928</v>
      </c>
      <c r="B861">
        <v>2.2222455787818052</v>
      </c>
      <c r="C861">
        <v>1.795330054213548</v>
      </c>
      <c r="D861">
        <v>1.578934908100871</v>
      </c>
      <c r="E861">
        <v>1.653739525389416</v>
      </c>
    </row>
    <row r="862" spans="1:5" x14ac:dyDescent="0.3">
      <c r="A862" s="13">
        <v>42929</v>
      </c>
      <c r="B862">
        <v>2.2371134835470579</v>
      </c>
      <c r="C862">
        <v>1.7976806767500551</v>
      </c>
      <c r="D862">
        <v>1.580882016944035</v>
      </c>
      <c r="E862">
        <v>1.651740872285921</v>
      </c>
    </row>
    <row r="863" spans="1:5" x14ac:dyDescent="0.3">
      <c r="A863" s="13">
        <v>42930</v>
      </c>
      <c r="B863">
        <v>2.2393272004660951</v>
      </c>
      <c r="C863">
        <v>1.799836266357814</v>
      </c>
      <c r="D863">
        <v>1.580724478729933</v>
      </c>
      <c r="E863">
        <v>1.656947449347359</v>
      </c>
    </row>
    <row r="864" spans="1:5" x14ac:dyDescent="0.3">
      <c r="A864" s="13">
        <v>42933</v>
      </c>
      <c r="B864">
        <v>2.200952474668822</v>
      </c>
      <c r="C864">
        <v>1.765127263441453</v>
      </c>
      <c r="D864">
        <v>1.542268954122334</v>
      </c>
      <c r="E864">
        <v>1.6182000859401671</v>
      </c>
    </row>
    <row r="865" spans="1:5" x14ac:dyDescent="0.3">
      <c r="A865" s="13">
        <v>42934</v>
      </c>
      <c r="B865">
        <v>2.211546921336017</v>
      </c>
      <c r="C865">
        <v>1.773423145640119</v>
      </c>
      <c r="D865">
        <v>1.546893779203423</v>
      </c>
      <c r="E865">
        <v>1.619642730449407</v>
      </c>
    </row>
    <row r="866" spans="1:5" x14ac:dyDescent="0.3">
      <c r="A866" s="13">
        <v>42935</v>
      </c>
      <c r="B866">
        <v>2.243870219338354</v>
      </c>
      <c r="C866">
        <v>1.801310123448669</v>
      </c>
      <c r="D866">
        <v>1.5647199339929221</v>
      </c>
      <c r="E866">
        <v>1.6499399063951881</v>
      </c>
    </row>
    <row r="867" spans="1:5" x14ac:dyDescent="0.3">
      <c r="A867" s="13">
        <v>42936</v>
      </c>
      <c r="B867">
        <v>2.2510889683940452</v>
      </c>
      <c r="C867">
        <v>1.8123377962534679</v>
      </c>
      <c r="D867">
        <v>1.57193794255546</v>
      </c>
      <c r="E867">
        <v>1.665197781789485</v>
      </c>
    </row>
    <row r="868" spans="1:5" x14ac:dyDescent="0.3">
      <c r="A868" s="13">
        <v>42937</v>
      </c>
      <c r="B868">
        <v>2.2464310810160582</v>
      </c>
      <c r="C868">
        <v>1.8113595471905239</v>
      </c>
      <c r="D868">
        <v>1.5690093818246571</v>
      </c>
      <c r="E868">
        <v>1.668335284454938</v>
      </c>
    </row>
    <row r="869" spans="1:5" x14ac:dyDescent="0.3">
      <c r="A869" s="13">
        <v>42940</v>
      </c>
      <c r="B869">
        <v>2.2546039380456162</v>
      </c>
      <c r="C869">
        <v>1.8159528975134229</v>
      </c>
      <c r="D869">
        <v>1.57440863357727</v>
      </c>
      <c r="E869">
        <v>1.668976054458164</v>
      </c>
    </row>
    <row r="870" spans="1:5" x14ac:dyDescent="0.3">
      <c r="A870" s="13">
        <v>42941</v>
      </c>
      <c r="B870">
        <v>2.2448460499513319</v>
      </c>
      <c r="C870">
        <v>1.808669662716867</v>
      </c>
      <c r="D870">
        <v>1.5683790534547599</v>
      </c>
      <c r="E870">
        <v>1.661935068182866</v>
      </c>
    </row>
    <row r="871" spans="1:5" x14ac:dyDescent="0.3">
      <c r="A871" s="13">
        <v>42942</v>
      </c>
      <c r="B871">
        <v>2.2395348876539409</v>
      </c>
      <c r="C871">
        <v>1.799945691231102</v>
      </c>
      <c r="D871">
        <v>1.560954962460722</v>
      </c>
      <c r="E871">
        <v>1.6517757437546059</v>
      </c>
    </row>
    <row r="872" spans="1:5" x14ac:dyDescent="0.3">
      <c r="A872" s="13">
        <v>42943</v>
      </c>
      <c r="B872">
        <v>2.244863872853359</v>
      </c>
      <c r="C872">
        <v>1.806892943943712</v>
      </c>
      <c r="D872">
        <v>1.569409731034465</v>
      </c>
      <c r="E872">
        <v>1.655074344027277</v>
      </c>
    </row>
    <row r="873" spans="1:5" x14ac:dyDescent="0.3">
      <c r="A873" s="13">
        <v>42944</v>
      </c>
      <c r="B873">
        <v>2.2526329002401559</v>
      </c>
      <c r="C873">
        <v>1.8189731208335631</v>
      </c>
      <c r="D873">
        <v>1.577637375921118</v>
      </c>
      <c r="E873">
        <v>1.6734220276017071</v>
      </c>
    </row>
    <row r="874" spans="1:5" x14ac:dyDescent="0.3">
      <c r="A874" s="13">
        <v>42947</v>
      </c>
      <c r="B874">
        <v>2.2735920449157669</v>
      </c>
      <c r="C874">
        <v>1.8334829170864371</v>
      </c>
      <c r="D874">
        <v>1.5883567878388729</v>
      </c>
      <c r="E874">
        <v>1.6852580489465101</v>
      </c>
    </row>
    <row r="875" spans="1:5" x14ac:dyDescent="0.3">
      <c r="A875" s="13">
        <v>42948</v>
      </c>
      <c r="B875">
        <v>2.2869393435381151</v>
      </c>
      <c r="C875">
        <v>1.835910855180771</v>
      </c>
      <c r="D875">
        <v>1.5939427794110961</v>
      </c>
      <c r="E875">
        <v>1.688931079617515</v>
      </c>
    </row>
    <row r="876" spans="1:5" x14ac:dyDescent="0.3">
      <c r="A876" s="13">
        <v>42949</v>
      </c>
      <c r="B876">
        <v>2.278035976182001</v>
      </c>
      <c r="C876">
        <v>1.825581371162496</v>
      </c>
      <c r="D876">
        <v>1.5857212478517211</v>
      </c>
      <c r="E876">
        <v>1.6827285866586259</v>
      </c>
    </row>
    <row r="877" spans="1:5" x14ac:dyDescent="0.3">
      <c r="A877" s="13">
        <v>42950</v>
      </c>
      <c r="B877">
        <v>2.2702958303270049</v>
      </c>
      <c r="C877">
        <v>1.8207879896564341</v>
      </c>
      <c r="D877">
        <v>1.580485257027783</v>
      </c>
      <c r="E877">
        <v>1.6717189058252759</v>
      </c>
    </row>
    <row r="878" spans="1:5" x14ac:dyDescent="0.3">
      <c r="A878" s="13">
        <v>42951</v>
      </c>
      <c r="B878">
        <v>2.254438496384028</v>
      </c>
      <c r="C878">
        <v>1.8122243541231089</v>
      </c>
      <c r="D878">
        <v>1.5696799337342151</v>
      </c>
      <c r="E878">
        <v>1.65279094392156</v>
      </c>
    </row>
    <row r="879" spans="1:5" x14ac:dyDescent="0.3">
      <c r="A879" s="13">
        <v>42954</v>
      </c>
      <c r="B879">
        <v>2.274385054154052</v>
      </c>
      <c r="C879">
        <v>1.831996826594853</v>
      </c>
      <c r="D879">
        <v>1.586019356100046</v>
      </c>
      <c r="E879">
        <v>1.673478161514856</v>
      </c>
    </row>
    <row r="880" spans="1:5" x14ac:dyDescent="0.3">
      <c r="A880" s="13">
        <v>42955</v>
      </c>
      <c r="B880">
        <v>2.278159306273404</v>
      </c>
      <c r="C880">
        <v>1.8335785615664439</v>
      </c>
      <c r="D880">
        <v>1.5910049213277819</v>
      </c>
      <c r="E880">
        <v>1.671809639163147</v>
      </c>
    </row>
    <row r="881" spans="1:5" x14ac:dyDescent="0.3">
      <c r="A881" s="13">
        <v>42956</v>
      </c>
      <c r="B881">
        <v>2.2839989143411241</v>
      </c>
      <c r="C881">
        <v>1.8503010040418191</v>
      </c>
      <c r="D881">
        <v>1.6023940080931951</v>
      </c>
      <c r="E881">
        <v>1.684405016932691</v>
      </c>
    </row>
    <row r="882" spans="1:5" x14ac:dyDescent="0.3">
      <c r="A882" s="13">
        <v>42957</v>
      </c>
      <c r="B882">
        <v>2.274068016283878</v>
      </c>
      <c r="C882">
        <v>1.842414314909119</v>
      </c>
      <c r="D882">
        <v>1.597459641142208</v>
      </c>
      <c r="E882">
        <v>1.678253631192514</v>
      </c>
    </row>
    <row r="883" spans="1:5" x14ac:dyDescent="0.3">
      <c r="A883" s="13">
        <v>42958</v>
      </c>
      <c r="B883">
        <v>2.2241145143603771</v>
      </c>
      <c r="C883">
        <v>1.810321096068509</v>
      </c>
      <c r="D883">
        <v>1.5709914952015329</v>
      </c>
      <c r="E883">
        <v>1.6486203307592631</v>
      </c>
    </row>
    <row r="884" spans="1:5" x14ac:dyDescent="0.3">
      <c r="A884" s="13">
        <v>42961</v>
      </c>
      <c r="B884">
        <v>2.2587364615496992</v>
      </c>
      <c r="C884">
        <v>1.837012488518686</v>
      </c>
      <c r="D884">
        <v>1.595163770372332</v>
      </c>
      <c r="E884">
        <v>1.6827885526218469</v>
      </c>
    </row>
    <row r="885" spans="1:5" x14ac:dyDescent="0.3">
      <c r="A885" s="13">
        <v>42962</v>
      </c>
      <c r="B885">
        <v>2.2690257512024621</v>
      </c>
      <c r="C885">
        <v>1.8390984087969651</v>
      </c>
      <c r="D885">
        <v>1.601815870091519</v>
      </c>
      <c r="E885">
        <v>1.689297925607153</v>
      </c>
    </row>
    <row r="886" spans="1:5" x14ac:dyDescent="0.3">
      <c r="A886" s="13">
        <v>42963</v>
      </c>
      <c r="B886">
        <v>2.26817658743136</v>
      </c>
      <c r="C886">
        <v>1.8382106998898751</v>
      </c>
      <c r="D886">
        <v>1.603184847389254</v>
      </c>
      <c r="E886">
        <v>1.6849896697770139</v>
      </c>
    </row>
    <row r="887" spans="1:5" x14ac:dyDescent="0.3">
      <c r="A887" s="13">
        <v>42964</v>
      </c>
      <c r="B887">
        <v>2.27882202374813</v>
      </c>
      <c r="C887">
        <v>1.8442538438745799</v>
      </c>
      <c r="D887">
        <v>1.6080925842555509</v>
      </c>
      <c r="E887">
        <v>1.6892435600051949</v>
      </c>
    </row>
    <row r="888" spans="1:5" x14ac:dyDescent="0.3">
      <c r="A888" s="13">
        <v>42965</v>
      </c>
      <c r="B888">
        <v>2.2748053920282021</v>
      </c>
      <c r="C888">
        <v>1.839056149858628</v>
      </c>
      <c r="D888">
        <v>1.603724676518421</v>
      </c>
      <c r="E888">
        <v>1.681982135509162</v>
      </c>
    </row>
    <row r="889" spans="1:5" x14ac:dyDescent="0.3">
      <c r="A889" s="13">
        <v>42968</v>
      </c>
      <c r="B889">
        <v>2.2936030762161179</v>
      </c>
      <c r="C889">
        <v>1.8501470104561519</v>
      </c>
      <c r="D889">
        <v>1.612250366692521</v>
      </c>
      <c r="E889">
        <v>1.6910452144043779</v>
      </c>
    </row>
    <row r="890" spans="1:5" x14ac:dyDescent="0.3">
      <c r="A890" s="13">
        <v>42969</v>
      </c>
      <c r="B890">
        <v>2.2939324567408108</v>
      </c>
      <c r="C890">
        <v>1.846436985948414</v>
      </c>
      <c r="D890">
        <v>1.605787523143257</v>
      </c>
      <c r="E890">
        <v>1.6926822067166081</v>
      </c>
    </row>
    <row r="891" spans="1:5" x14ac:dyDescent="0.3">
      <c r="A891" s="13">
        <v>42970</v>
      </c>
      <c r="B891">
        <v>2.2857650746577511</v>
      </c>
      <c r="C891">
        <v>1.8391381683993631</v>
      </c>
      <c r="D891">
        <v>1.6000674138809881</v>
      </c>
      <c r="E891">
        <v>1.6880099158987649</v>
      </c>
    </row>
    <row r="892" spans="1:5" x14ac:dyDescent="0.3">
      <c r="A892" s="13">
        <v>42971</v>
      </c>
      <c r="B892">
        <v>2.2724449614510611</v>
      </c>
      <c r="C892">
        <v>1.827891987013512</v>
      </c>
      <c r="D892">
        <v>1.590936575058431</v>
      </c>
      <c r="E892">
        <v>1.678847682666659</v>
      </c>
    </row>
    <row r="893" spans="1:5" x14ac:dyDescent="0.3">
      <c r="A893" s="13">
        <v>42972</v>
      </c>
      <c r="B893">
        <v>2.3035575166324138</v>
      </c>
      <c r="C893">
        <v>1.8488519151579239</v>
      </c>
      <c r="D893">
        <v>1.6090973680549781</v>
      </c>
      <c r="E893">
        <v>1.6973552246930079</v>
      </c>
    </row>
    <row r="894" spans="1:5" x14ac:dyDescent="0.3">
      <c r="A894" s="13">
        <v>42975</v>
      </c>
      <c r="B894">
        <v>2.327964890170906</v>
      </c>
      <c r="C894">
        <v>1.8654278865901179</v>
      </c>
      <c r="D894">
        <v>1.624490766541683</v>
      </c>
      <c r="E894">
        <v>1.7184311449394249</v>
      </c>
    </row>
    <row r="895" spans="1:5" x14ac:dyDescent="0.3">
      <c r="A895" s="13">
        <v>42976</v>
      </c>
      <c r="B895">
        <v>2.3275583434293128</v>
      </c>
      <c r="C895">
        <v>1.8622666326601669</v>
      </c>
      <c r="D895">
        <v>1.621697277180943</v>
      </c>
      <c r="E895">
        <v>1.716875296436525</v>
      </c>
    </row>
    <row r="896" spans="1:5" x14ac:dyDescent="0.3">
      <c r="A896" s="13">
        <v>42977</v>
      </c>
      <c r="B896">
        <v>2.335632614294914</v>
      </c>
      <c r="C896">
        <v>1.8704360126653581</v>
      </c>
      <c r="D896">
        <v>1.6295271714019051</v>
      </c>
      <c r="E896">
        <v>1.7284898100878541</v>
      </c>
    </row>
    <row r="897" spans="1:5" x14ac:dyDescent="0.3">
      <c r="A897" s="13">
        <v>42978</v>
      </c>
      <c r="B897">
        <v>2.340348585606475</v>
      </c>
      <c r="C897">
        <v>1.870905909162204</v>
      </c>
      <c r="D897">
        <v>1.631571716055364</v>
      </c>
      <c r="E897">
        <v>1.732147124618636</v>
      </c>
    </row>
    <row r="898" spans="1:5" x14ac:dyDescent="0.3">
      <c r="A898" s="13">
        <v>42979</v>
      </c>
      <c r="B898">
        <v>2.3513029559230909</v>
      </c>
      <c r="C898">
        <v>1.8847049230296919</v>
      </c>
      <c r="D898">
        <v>1.640351786935218</v>
      </c>
      <c r="E898">
        <v>1.746217212903503</v>
      </c>
    </row>
    <row r="899" spans="1:5" x14ac:dyDescent="0.3">
      <c r="A899" s="13">
        <v>42982</v>
      </c>
      <c r="B899">
        <v>2.3612717333813782</v>
      </c>
      <c r="C899">
        <v>1.890850036979828</v>
      </c>
      <c r="D899">
        <v>1.646857617352858</v>
      </c>
      <c r="E899">
        <v>1.754444902469912</v>
      </c>
    </row>
    <row r="900" spans="1:5" x14ac:dyDescent="0.3">
      <c r="A900" s="13">
        <v>42983</v>
      </c>
      <c r="B900">
        <v>2.3680753974892532</v>
      </c>
      <c r="C900">
        <v>1.8908301478080081</v>
      </c>
      <c r="D900">
        <v>1.6504494863422221</v>
      </c>
      <c r="E900">
        <v>1.762710041809058</v>
      </c>
    </row>
    <row r="901" spans="1:5" x14ac:dyDescent="0.3">
      <c r="A901" s="13">
        <v>42984</v>
      </c>
      <c r="B901">
        <v>2.3704918248781359</v>
      </c>
      <c r="C901">
        <v>1.892560765079319</v>
      </c>
      <c r="D901">
        <v>1.6503030505690961</v>
      </c>
      <c r="E901">
        <v>1.7679681793710129</v>
      </c>
    </row>
    <row r="902" spans="1:5" x14ac:dyDescent="0.3">
      <c r="A902" s="13">
        <v>42985</v>
      </c>
      <c r="B902">
        <v>2.3544267861574482</v>
      </c>
      <c r="C902">
        <v>1.880334881545537</v>
      </c>
      <c r="D902">
        <v>1.6396001890281271</v>
      </c>
      <c r="E902">
        <v>1.756184770386217</v>
      </c>
    </row>
    <row r="903" spans="1:5" x14ac:dyDescent="0.3">
      <c r="A903" s="13">
        <v>42986</v>
      </c>
      <c r="B903">
        <v>2.3513582807913251</v>
      </c>
      <c r="C903">
        <v>1.880435560710096</v>
      </c>
      <c r="D903">
        <v>1.6386932318948431</v>
      </c>
      <c r="E903">
        <v>1.7574572605607559</v>
      </c>
    </row>
    <row r="904" spans="1:5" x14ac:dyDescent="0.3">
      <c r="A904" s="13">
        <v>42989</v>
      </c>
      <c r="B904">
        <v>2.3571907282875828</v>
      </c>
      <c r="C904">
        <v>1.889592382458857</v>
      </c>
      <c r="D904">
        <v>1.6487229581039899</v>
      </c>
      <c r="E904">
        <v>1.7834049882042879</v>
      </c>
    </row>
    <row r="905" spans="1:5" x14ac:dyDescent="0.3">
      <c r="A905" s="13">
        <v>42990</v>
      </c>
      <c r="B905">
        <v>2.363035673483191</v>
      </c>
      <c r="C905">
        <v>1.892929320849686</v>
      </c>
      <c r="D905">
        <v>1.649096274961406</v>
      </c>
      <c r="E905">
        <v>1.7740945089865781</v>
      </c>
    </row>
    <row r="906" spans="1:5" x14ac:dyDescent="0.3">
      <c r="A906" s="13">
        <v>42991</v>
      </c>
      <c r="B906">
        <v>2.3731249284988358</v>
      </c>
      <c r="C906">
        <v>1.901354669003146</v>
      </c>
      <c r="D906">
        <v>1.656189458713373</v>
      </c>
      <c r="E906">
        <v>1.7894595518137959</v>
      </c>
    </row>
    <row r="907" spans="1:5" x14ac:dyDescent="0.3">
      <c r="A907" s="13">
        <v>42992</v>
      </c>
      <c r="B907">
        <v>2.3677482606455689</v>
      </c>
      <c r="C907">
        <v>1.896567787294509</v>
      </c>
      <c r="D907">
        <v>1.6490746901305759</v>
      </c>
      <c r="E907">
        <v>1.7799594753362351</v>
      </c>
    </row>
    <row r="908" spans="1:5" x14ac:dyDescent="0.3">
      <c r="A908" s="13">
        <v>42993</v>
      </c>
      <c r="B908">
        <v>2.3572729509943171</v>
      </c>
      <c r="C908">
        <v>1.8903431237550821</v>
      </c>
      <c r="D908">
        <v>1.6414112253216411</v>
      </c>
      <c r="E908">
        <v>1.7684796798424229</v>
      </c>
    </row>
    <row r="909" spans="1:5" x14ac:dyDescent="0.3">
      <c r="A909" s="13">
        <v>42996</v>
      </c>
      <c r="B909">
        <v>2.368821670656089</v>
      </c>
      <c r="C909">
        <v>1.9021282836700619</v>
      </c>
      <c r="D909">
        <v>1.6530455494457681</v>
      </c>
      <c r="E909">
        <v>1.782778563297353</v>
      </c>
    </row>
    <row r="910" spans="1:5" x14ac:dyDescent="0.3">
      <c r="A910" s="13">
        <v>42997</v>
      </c>
      <c r="B910">
        <v>2.3624100375808821</v>
      </c>
      <c r="C910">
        <v>1.8937972188203971</v>
      </c>
      <c r="D910">
        <v>1.6464776432989381</v>
      </c>
      <c r="E910">
        <v>1.7739358085952639</v>
      </c>
    </row>
    <row r="911" spans="1:5" x14ac:dyDescent="0.3">
      <c r="A911" s="13">
        <v>42998</v>
      </c>
      <c r="B911">
        <v>2.3744139052672728</v>
      </c>
      <c r="C911">
        <v>1.904719042245937</v>
      </c>
      <c r="D911">
        <v>1.6519445361788869</v>
      </c>
      <c r="E911">
        <v>1.7868809368863789</v>
      </c>
    </row>
    <row r="912" spans="1:5" x14ac:dyDescent="0.3">
      <c r="A912" s="13">
        <v>42999</v>
      </c>
      <c r="B912">
        <v>2.3619408411678071</v>
      </c>
      <c r="C912">
        <v>1.8923969864650241</v>
      </c>
      <c r="D912">
        <v>1.6422989104027319</v>
      </c>
      <c r="E912">
        <v>1.7697279810101501</v>
      </c>
    </row>
    <row r="913" spans="1:5" x14ac:dyDescent="0.3">
      <c r="A913" s="13">
        <v>43000</v>
      </c>
      <c r="B913">
        <v>2.3573410827808261</v>
      </c>
      <c r="C913">
        <v>1.890471136247085</v>
      </c>
      <c r="D913">
        <v>1.6415452465441021</v>
      </c>
      <c r="E913">
        <v>1.764111748336237</v>
      </c>
    </row>
    <row r="914" spans="1:5" x14ac:dyDescent="0.3">
      <c r="A914" s="13">
        <v>43003</v>
      </c>
      <c r="B914">
        <v>2.3460376084203221</v>
      </c>
      <c r="C914">
        <v>1.8839885824828859</v>
      </c>
      <c r="D914">
        <v>1.6327500810876849</v>
      </c>
      <c r="E914">
        <v>1.753615900613726</v>
      </c>
    </row>
    <row r="915" spans="1:5" x14ac:dyDescent="0.3">
      <c r="A915" s="13">
        <v>43004</v>
      </c>
      <c r="B915">
        <v>2.3467445389100221</v>
      </c>
      <c r="C915">
        <v>1.8848576139151709</v>
      </c>
      <c r="D915">
        <v>1.6325082094052541</v>
      </c>
      <c r="E915">
        <v>1.7569331470137151</v>
      </c>
    </row>
    <row r="916" spans="1:5" x14ac:dyDescent="0.3">
      <c r="A916" s="13">
        <v>43005</v>
      </c>
      <c r="B916">
        <v>2.3558522369420829</v>
      </c>
      <c r="C916">
        <v>1.8919468219361899</v>
      </c>
      <c r="D916">
        <v>1.638344629843014</v>
      </c>
      <c r="E916">
        <v>1.773270592285022</v>
      </c>
    </row>
    <row r="917" spans="1:5" x14ac:dyDescent="0.3">
      <c r="A917" s="13">
        <v>43006</v>
      </c>
      <c r="B917">
        <v>2.355968836717973</v>
      </c>
      <c r="C917">
        <v>1.8955133421017001</v>
      </c>
      <c r="D917">
        <v>1.643523411358998</v>
      </c>
      <c r="E917">
        <v>1.7791503428969191</v>
      </c>
    </row>
    <row r="918" spans="1:5" x14ac:dyDescent="0.3">
      <c r="A918" s="13">
        <v>43007</v>
      </c>
      <c r="B918">
        <v>2.3740775570567871</v>
      </c>
      <c r="C918">
        <v>1.9049394032620679</v>
      </c>
      <c r="D918">
        <v>1.653307028782685</v>
      </c>
      <c r="E918">
        <v>1.7864515838859829</v>
      </c>
    </row>
    <row r="919" spans="1:5" x14ac:dyDescent="0.3">
      <c r="A919" s="13">
        <v>43017</v>
      </c>
      <c r="B919">
        <v>2.3994971596417378</v>
      </c>
      <c r="C919">
        <v>1.921822579221129</v>
      </c>
      <c r="D919">
        <v>1.668956764165731</v>
      </c>
      <c r="E919">
        <v>1.8042666285539939</v>
      </c>
    </row>
    <row r="920" spans="1:5" x14ac:dyDescent="0.3">
      <c r="A920" s="13">
        <v>43018</v>
      </c>
      <c r="B920">
        <v>2.4016966509930309</v>
      </c>
      <c r="C920">
        <v>1.9262737960395291</v>
      </c>
      <c r="D920">
        <v>1.673769090903523</v>
      </c>
      <c r="E920">
        <v>1.8039423313360481</v>
      </c>
    </row>
    <row r="921" spans="1:5" x14ac:dyDescent="0.3">
      <c r="A921" s="13">
        <v>43019</v>
      </c>
      <c r="B921">
        <v>2.3997757768365759</v>
      </c>
      <c r="C921">
        <v>1.9333982607145641</v>
      </c>
      <c r="D921">
        <v>1.6780862854319301</v>
      </c>
      <c r="E921">
        <v>1.8048244388441459</v>
      </c>
    </row>
    <row r="922" spans="1:5" x14ac:dyDescent="0.3">
      <c r="A922" s="13">
        <v>43020</v>
      </c>
      <c r="B922">
        <v>2.405839583361487</v>
      </c>
      <c r="C922">
        <v>1.936007897262545</v>
      </c>
      <c r="D922">
        <v>1.680276009727073</v>
      </c>
      <c r="E922">
        <v>1.8033217184722219</v>
      </c>
    </row>
    <row r="923" spans="1:5" x14ac:dyDescent="0.3">
      <c r="A923" s="13">
        <v>43021</v>
      </c>
      <c r="B923">
        <v>2.4124797607999779</v>
      </c>
      <c r="C923">
        <v>1.944539130581626</v>
      </c>
      <c r="D923">
        <v>1.68944555058688</v>
      </c>
      <c r="E923">
        <v>1.8136087892681809</v>
      </c>
    </row>
    <row r="924" spans="1:5" x14ac:dyDescent="0.3">
      <c r="A924" s="13">
        <v>43024</v>
      </c>
      <c r="B924">
        <v>2.4035625119605202</v>
      </c>
      <c r="C924">
        <v>1.9312624641791469</v>
      </c>
      <c r="D924">
        <v>1.6773252616235399</v>
      </c>
      <c r="E924">
        <v>1.803147191661669</v>
      </c>
    </row>
    <row r="925" spans="1:5" x14ac:dyDescent="0.3">
      <c r="A925" s="13">
        <v>43025</v>
      </c>
      <c r="B925">
        <v>2.4036015523171148</v>
      </c>
      <c r="C925">
        <v>1.9311791807418159</v>
      </c>
      <c r="D925">
        <v>1.6782722430525321</v>
      </c>
      <c r="E925">
        <v>1.8023634443661081</v>
      </c>
    </row>
    <row r="926" spans="1:5" x14ac:dyDescent="0.3">
      <c r="A926" s="13">
        <v>43026</v>
      </c>
      <c r="B926">
        <v>2.4074519590858601</v>
      </c>
      <c r="C926">
        <v>1.9387263673533259</v>
      </c>
      <c r="D926">
        <v>1.683557804351119</v>
      </c>
      <c r="E926">
        <v>1.8053259837282889</v>
      </c>
    </row>
    <row r="927" spans="1:5" x14ac:dyDescent="0.3">
      <c r="A927" s="13">
        <v>43027</v>
      </c>
      <c r="B927">
        <v>2.3952296663392869</v>
      </c>
      <c r="C927">
        <v>1.937285453118839</v>
      </c>
      <c r="D927">
        <v>1.68065231522213</v>
      </c>
      <c r="E927">
        <v>1.803440237292347</v>
      </c>
    </row>
    <row r="928" spans="1:5" x14ac:dyDescent="0.3">
      <c r="A928" s="13">
        <v>43028</v>
      </c>
      <c r="B928">
        <v>2.4016449516708751</v>
      </c>
      <c r="C928">
        <v>1.9409971038516241</v>
      </c>
      <c r="D928">
        <v>1.681381746094452</v>
      </c>
      <c r="E928">
        <v>1.8131615743976619</v>
      </c>
    </row>
    <row r="929" spans="1:5" x14ac:dyDescent="0.3">
      <c r="A929" s="13">
        <v>43031</v>
      </c>
      <c r="B929">
        <v>2.4104599114614178</v>
      </c>
      <c r="C929">
        <v>1.951671106895934</v>
      </c>
      <c r="D929">
        <v>1.691960253698636</v>
      </c>
      <c r="E929">
        <v>1.8253245059611101</v>
      </c>
    </row>
    <row r="930" spans="1:5" x14ac:dyDescent="0.3">
      <c r="A930" s="13">
        <v>43032</v>
      </c>
      <c r="B930">
        <v>2.4162561212632219</v>
      </c>
      <c r="C930">
        <v>1.9581975239141349</v>
      </c>
      <c r="D930">
        <v>1.6948011420060041</v>
      </c>
      <c r="E930">
        <v>1.8328668047565571</v>
      </c>
    </row>
    <row r="931" spans="1:5" x14ac:dyDescent="0.3">
      <c r="A931" s="13">
        <v>43033</v>
      </c>
      <c r="B931">
        <v>2.427965133631548</v>
      </c>
      <c r="C931">
        <v>1.971623967029128</v>
      </c>
      <c r="D931">
        <v>1.707210821482936</v>
      </c>
      <c r="E931">
        <v>1.8426092941669141</v>
      </c>
    </row>
    <row r="932" spans="1:5" x14ac:dyDescent="0.3">
      <c r="A932" s="13">
        <v>43034</v>
      </c>
      <c r="B932">
        <v>2.4349794593316809</v>
      </c>
      <c r="C932">
        <v>1.978351928059676</v>
      </c>
      <c r="D932">
        <v>1.7142855864292761</v>
      </c>
      <c r="E932">
        <v>1.8518230451961499</v>
      </c>
    </row>
    <row r="933" spans="1:5" x14ac:dyDescent="0.3">
      <c r="A933" s="13">
        <v>43035</v>
      </c>
      <c r="B933">
        <v>2.445396060511126</v>
      </c>
      <c r="C933">
        <v>1.982790893672979</v>
      </c>
      <c r="D933">
        <v>1.7202564427176801</v>
      </c>
      <c r="E933">
        <v>1.859299451256649</v>
      </c>
    </row>
    <row r="934" spans="1:5" x14ac:dyDescent="0.3">
      <c r="A934" s="13">
        <v>43038</v>
      </c>
      <c r="B934">
        <v>2.425173253944183</v>
      </c>
      <c r="C934">
        <v>1.970746497176098</v>
      </c>
      <c r="D934">
        <v>1.7101270580372829</v>
      </c>
      <c r="E934">
        <v>1.8490480215947871</v>
      </c>
    </row>
    <row r="935" spans="1:5" x14ac:dyDescent="0.3">
      <c r="A935" s="13">
        <v>43039</v>
      </c>
      <c r="B935">
        <v>2.4297363653726221</v>
      </c>
      <c r="C935">
        <v>1.974147046822033</v>
      </c>
      <c r="D935">
        <v>1.714876235813227</v>
      </c>
      <c r="E935">
        <v>1.862339005065637</v>
      </c>
    </row>
    <row r="936" spans="1:5" x14ac:dyDescent="0.3">
      <c r="A936" s="13">
        <v>43040</v>
      </c>
      <c r="B936">
        <v>2.4229690742007639</v>
      </c>
      <c r="C936">
        <v>1.9719412165457291</v>
      </c>
      <c r="D936">
        <v>1.7118372582786501</v>
      </c>
      <c r="E936">
        <v>1.8637340043361641</v>
      </c>
    </row>
    <row r="937" spans="1:5" x14ac:dyDescent="0.3">
      <c r="A937" s="13">
        <v>43041</v>
      </c>
      <c r="B937">
        <v>2.413264360678371</v>
      </c>
      <c r="C937">
        <v>1.964858483704933</v>
      </c>
      <c r="D937">
        <v>1.705107768067468</v>
      </c>
      <c r="E937">
        <v>1.8542803547641551</v>
      </c>
    </row>
    <row r="938" spans="1:5" x14ac:dyDescent="0.3">
      <c r="A938" s="13">
        <v>43042</v>
      </c>
      <c r="B938">
        <v>2.40277173791937</v>
      </c>
      <c r="C938">
        <v>1.9567806227099549</v>
      </c>
      <c r="D938">
        <v>1.700140648548631</v>
      </c>
      <c r="E938">
        <v>1.8466394440832929</v>
      </c>
    </row>
    <row r="939" spans="1:5" x14ac:dyDescent="0.3">
      <c r="A939" s="13">
        <v>43045</v>
      </c>
      <c r="B939">
        <v>2.423766971950855</v>
      </c>
      <c r="C939">
        <v>1.9853060922383139</v>
      </c>
      <c r="D939">
        <v>1.724397576379838</v>
      </c>
      <c r="E939">
        <v>1.8740069599712459</v>
      </c>
    </row>
    <row r="940" spans="1:5" x14ac:dyDescent="0.3">
      <c r="A940" s="13">
        <v>43046</v>
      </c>
      <c r="B940">
        <v>2.444534863680933</v>
      </c>
      <c r="C940">
        <v>1.9931020989668711</v>
      </c>
      <c r="D940">
        <v>1.7321925745001761</v>
      </c>
      <c r="E940">
        <v>1.880633206628741</v>
      </c>
    </row>
    <row r="941" spans="1:5" x14ac:dyDescent="0.3">
      <c r="A941" s="13">
        <v>43047</v>
      </c>
      <c r="B941">
        <v>2.4423335036754281</v>
      </c>
      <c r="C941">
        <v>1.989203077586521</v>
      </c>
      <c r="D941">
        <v>1.7260700417342449</v>
      </c>
      <c r="E941">
        <v>1.878667169621304</v>
      </c>
    </row>
    <row r="942" spans="1:5" x14ac:dyDescent="0.3">
      <c r="A942" s="13">
        <v>43048</v>
      </c>
      <c r="B942">
        <v>2.4582652805748881</v>
      </c>
      <c r="C942">
        <v>2.0032172145758951</v>
      </c>
      <c r="D942">
        <v>1.7424585888551101</v>
      </c>
      <c r="E942">
        <v>1.8930751893443929</v>
      </c>
    </row>
    <row r="943" spans="1:5" x14ac:dyDescent="0.3">
      <c r="A943" s="13">
        <v>43049</v>
      </c>
      <c r="B943">
        <v>2.4814821770907112</v>
      </c>
      <c r="C943">
        <v>2.0246352390684188</v>
      </c>
      <c r="D943">
        <v>1.7686832307367479</v>
      </c>
      <c r="E943">
        <v>1.921003773399222</v>
      </c>
    </row>
    <row r="944" spans="1:5" x14ac:dyDescent="0.3">
      <c r="A944" s="13">
        <v>43052</v>
      </c>
      <c r="B944">
        <v>2.4964366113412639</v>
      </c>
      <c r="C944">
        <v>2.0342351954775908</v>
      </c>
      <c r="D944">
        <v>1.7764075857861119</v>
      </c>
      <c r="E944">
        <v>1.931611637308561</v>
      </c>
    </row>
    <row r="945" spans="1:5" x14ac:dyDescent="0.3">
      <c r="A945" s="13">
        <v>43053</v>
      </c>
      <c r="B945">
        <v>2.4799123632999249</v>
      </c>
      <c r="C945">
        <v>2.0163152632953198</v>
      </c>
      <c r="D945">
        <v>1.7594832336850981</v>
      </c>
      <c r="E945">
        <v>1.901673519213797</v>
      </c>
    </row>
    <row r="946" spans="1:5" x14ac:dyDescent="0.3">
      <c r="A946" s="13">
        <v>43054</v>
      </c>
      <c r="B946">
        <v>2.4606212895315358</v>
      </c>
      <c r="C946">
        <v>2.002906170338544</v>
      </c>
      <c r="D946">
        <v>1.7434087261501869</v>
      </c>
      <c r="E946">
        <v>1.877135924807301</v>
      </c>
    </row>
    <row r="947" spans="1:5" x14ac:dyDescent="0.3">
      <c r="A947" s="13">
        <v>43055</v>
      </c>
      <c r="B947">
        <v>2.4817237372711429</v>
      </c>
      <c r="C947">
        <v>2.01916151191493</v>
      </c>
      <c r="D947">
        <v>1.7663351657993129</v>
      </c>
      <c r="E947">
        <v>1.896834858613802</v>
      </c>
    </row>
    <row r="948" spans="1:5" x14ac:dyDescent="0.3">
      <c r="A948" s="13">
        <v>43056</v>
      </c>
      <c r="B948">
        <v>2.4551757710958908</v>
      </c>
      <c r="C948">
        <v>1.99378680807737</v>
      </c>
      <c r="D948">
        <v>1.744947482335095</v>
      </c>
      <c r="E948">
        <v>1.8588820683881699</v>
      </c>
    </row>
    <row r="949" spans="1:5" x14ac:dyDescent="0.3">
      <c r="A949" s="13">
        <v>43059</v>
      </c>
      <c r="B949">
        <v>2.4831668184228688</v>
      </c>
      <c r="C949">
        <v>2.008158154199545</v>
      </c>
      <c r="D949">
        <v>1.7631568772907971</v>
      </c>
      <c r="E949">
        <v>1.8886365765686339</v>
      </c>
    </row>
    <row r="950" spans="1:5" x14ac:dyDescent="0.3">
      <c r="A950" s="13">
        <v>43060</v>
      </c>
      <c r="B950">
        <v>2.501784901934013</v>
      </c>
      <c r="C950">
        <v>2.0236263888593782</v>
      </c>
      <c r="D950">
        <v>1.7786829794428971</v>
      </c>
      <c r="E950">
        <v>1.9084045418628119</v>
      </c>
    </row>
    <row r="951" spans="1:5" x14ac:dyDescent="0.3">
      <c r="A951" s="13">
        <v>43061</v>
      </c>
      <c r="B951">
        <v>2.4998885187700619</v>
      </c>
      <c r="C951">
        <v>2.014054236596146</v>
      </c>
      <c r="D951">
        <v>1.7662609593739991</v>
      </c>
      <c r="E951">
        <v>1.8979510173215119</v>
      </c>
    </row>
    <row r="952" spans="1:5" x14ac:dyDescent="0.3">
      <c r="A952" s="13">
        <v>43062</v>
      </c>
      <c r="B952">
        <v>2.4302851435585779</v>
      </c>
      <c r="C952">
        <v>1.957783047547998</v>
      </c>
      <c r="D952">
        <v>1.7075405156686301</v>
      </c>
      <c r="E952">
        <v>1.8302054844045501</v>
      </c>
    </row>
    <row r="953" spans="1:5" x14ac:dyDescent="0.3">
      <c r="A953" s="13">
        <v>43063</v>
      </c>
      <c r="B953">
        <v>2.4252304164185818</v>
      </c>
      <c r="C953">
        <v>1.9594315687996839</v>
      </c>
      <c r="D953">
        <v>1.701685707943831</v>
      </c>
      <c r="E953">
        <v>1.8248324979738859</v>
      </c>
    </row>
    <row r="954" spans="1:5" x14ac:dyDescent="0.3">
      <c r="A954" s="13">
        <v>43066</v>
      </c>
      <c r="B954">
        <v>2.3904725445890551</v>
      </c>
      <c r="C954">
        <v>1.9351728253461209</v>
      </c>
      <c r="D954">
        <v>1.6740550497062221</v>
      </c>
      <c r="E954">
        <v>1.787752021268344</v>
      </c>
    </row>
    <row r="955" spans="1:5" x14ac:dyDescent="0.3">
      <c r="A955" s="13">
        <v>43067</v>
      </c>
      <c r="B955">
        <v>2.4083289756773949</v>
      </c>
      <c r="C955">
        <v>1.95545353243468</v>
      </c>
      <c r="D955">
        <v>1.6886612162867729</v>
      </c>
      <c r="E955">
        <v>1.8143066966370089</v>
      </c>
    </row>
    <row r="956" spans="1:5" x14ac:dyDescent="0.3">
      <c r="A956" s="13">
        <v>43068</v>
      </c>
      <c r="B956">
        <v>2.4209254307589081</v>
      </c>
      <c r="C956">
        <v>1.9552105280482599</v>
      </c>
      <c r="D956">
        <v>1.681442300996888</v>
      </c>
      <c r="E956">
        <v>1.810892318995488</v>
      </c>
    </row>
    <row r="957" spans="1:5" x14ac:dyDescent="0.3">
      <c r="A957" s="13">
        <v>43069</v>
      </c>
      <c r="B957">
        <v>2.3971423552835711</v>
      </c>
      <c r="C957">
        <v>1.9371587302967921</v>
      </c>
      <c r="D957">
        <v>1.6631476460854739</v>
      </c>
      <c r="E957">
        <v>1.7899400509321151</v>
      </c>
    </row>
    <row r="958" spans="1:5" x14ac:dyDescent="0.3">
      <c r="A958" s="13">
        <v>43070</v>
      </c>
      <c r="B958">
        <v>2.397273711526585</v>
      </c>
      <c r="C958">
        <v>1.9433193919863481</v>
      </c>
      <c r="D958">
        <v>1.670331075527334</v>
      </c>
      <c r="E958">
        <v>1.8011679167826999</v>
      </c>
    </row>
    <row r="959" spans="1:5" x14ac:dyDescent="0.3">
      <c r="A959" s="13">
        <v>43073</v>
      </c>
      <c r="B959">
        <v>2.4009347885668939</v>
      </c>
      <c r="C959">
        <v>1.949936391408877</v>
      </c>
      <c r="D959">
        <v>1.678223724208634</v>
      </c>
      <c r="E959">
        <v>1.8109457102227979</v>
      </c>
    </row>
    <row r="960" spans="1:5" x14ac:dyDescent="0.3">
      <c r="A960" s="13">
        <v>43074</v>
      </c>
      <c r="B960">
        <v>2.3880541431560611</v>
      </c>
      <c r="C960">
        <v>1.9349523637723001</v>
      </c>
      <c r="D960">
        <v>1.6678320990940769</v>
      </c>
      <c r="E960">
        <v>1.7871523540083221</v>
      </c>
    </row>
    <row r="961" spans="1:5" x14ac:dyDescent="0.3">
      <c r="A961" s="13">
        <v>43075</v>
      </c>
      <c r="B961">
        <v>2.3842453886637021</v>
      </c>
      <c r="C961">
        <v>1.9319386095793969</v>
      </c>
      <c r="D961">
        <v>1.6673753471179289</v>
      </c>
      <c r="E961">
        <v>1.787094877154269</v>
      </c>
    </row>
    <row r="962" spans="1:5" x14ac:dyDescent="0.3">
      <c r="A962" s="13">
        <v>43076</v>
      </c>
      <c r="B962">
        <v>2.3589329901632161</v>
      </c>
      <c r="C962">
        <v>1.913122942041473</v>
      </c>
      <c r="D962">
        <v>1.6525574024537411</v>
      </c>
      <c r="E962">
        <v>1.765114750265498</v>
      </c>
    </row>
    <row r="963" spans="1:5" x14ac:dyDescent="0.3">
      <c r="A963" s="13">
        <v>43077</v>
      </c>
      <c r="B963">
        <v>2.3816866691231731</v>
      </c>
      <c r="C963">
        <v>1.9348943181741209</v>
      </c>
      <c r="D963">
        <v>1.672110587503671</v>
      </c>
      <c r="E963">
        <v>1.791209855055651</v>
      </c>
    </row>
    <row r="964" spans="1:5" x14ac:dyDescent="0.3">
      <c r="A964" s="13">
        <v>43080</v>
      </c>
      <c r="B964">
        <v>2.4191466793904279</v>
      </c>
      <c r="C964">
        <v>1.971025573666471</v>
      </c>
      <c r="D964">
        <v>1.701201804677716</v>
      </c>
      <c r="E964">
        <v>1.8300794547932719</v>
      </c>
    </row>
    <row r="965" spans="1:5" x14ac:dyDescent="0.3">
      <c r="A965" s="13">
        <v>43081</v>
      </c>
      <c r="B965">
        <v>2.390649631971121</v>
      </c>
      <c r="C965">
        <v>1.954990443748265</v>
      </c>
      <c r="D965">
        <v>1.6847369610628431</v>
      </c>
      <c r="E965">
        <v>1.818079998511017</v>
      </c>
    </row>
    <row r="966" spans="1:5" x14ac:dyDescent="0.3">
      <c r="A966" s="13">
        <v>43082</v>
      </c>
      <c r="B966">
        <v>2.40796974051811</v>
      </c>
      <c r="C966">
        <v>1.974584886908805</v>
      </c>
      <c r="D966">
        <v>1.7021075406680179</v>
      </c>
      <c r="E966">
        <v>1.8319974026912089</v>
      </c>
    </row>
    <row r="967" spans="1:5" x14ac:dyDescent="0.3">
      <c r="A967" s="13">
        <v>43083</v>
      </c>
      <c r="B967">
        <v>2.4027440331013059</v>
      </c>
      <c r="C967">
        <v>1.9731850254021659</v>
      </c>
      <c r="D967">
        <v>1.6967673225033579</v>
      </c>
      <c r="E967">
        <v>1.8266578080607481</v>
      </c>
    </row>
    <row r="968" spans="1:5" x14ac:dyDescent="0.3">
      <c r="A968" s="13">
        <v>43084</v>
      </c>
      <c r="B968">
        <v>2.3778523015163739</v>
      </c>
      <c r="C968">
        <v>1.9575291286624079</v>
      </c>
      <c r="D968">
        <v>1.683806272868515</v>
      </c>
      <c r="E968">
        <v>1.8031398829297021</v>
      </c>
    </row>
    <row r="969" spans="1:5" x14ac:dyDescent="0.3">
      <c r="A969" s="13">
        <v>43087</v>
      </c>
      <c r="B969">
        <v>2.375642062064951</v>
      </c>
      <c r="C969">
        <v>1.962752479562764</v>
      </c>
      <c r="D969">
        <v>1.679890529851638</v>
      </c>
      <c r="E969">
        <v>1.801971216978079</v>
      </c>
    </row>
    <row r="970" spans="1:5" x14ac:dyDescent="0.3">
      <c r="A970" s="13">
        <v>43088</v>
      </c>
      <c r="B970">
        <v>2.4088498299575969</v>
      </c>
      <c r="C970">
        <v>1.9823469865782961</v>
      </c>
      <c r="D970">
        <v>1.6995904866446849</v>
      </c>
      <c r="E970">
        <v>1.8187533443961521</v>
      </c>
    </row>
    <row r="971" spans="1:5" x14ac:dyDescent="0.3">
      <c r="A971" s="13">
        <v>43089</v>
      </c>
      <c r="B971">
        <v>2.404311368821205</v>
      </c>
      <c r="C971">
        <v>1.9818326183941739</v>
      </c>
      <c r="D971">
        <v>1.699402028865739</v>
      </c>
      <c r="E971">
        <v>1.817203388096756</v>
      </c>
    </row>
    <row r="972" spans="1:5" x14ac:dyDescent="0.3">
      <c r="A972" s="13">
        <v>43090</v>
      </c>
      <c r="B972">
        <v>2.4302275957014241</v>
      </c>
      <c r="C972">
        <v>2.000177098085282</v>
      </c>
      <c r="D972">
        <v>1.71467677056962</v>
      </c>
      <c r="E972">
        <v>1.840510794331595</v>
      </c>
    </row>
    <row r="973" spans="1:5" x14ac:dyDescent="0.3">
      <c r="A973" s="13">
        <v>43091</v>
      </c>
      <c r="B973">
        <v>2.420629976450337</v>
      </c>
      <c r="C973">
        <v>1.9961809746553809</v>
      </c>
      <c r="D973">
        <v>1.710911208792008</v>
      </c>
      <c r="E973">
        <v>1.8368356261948331</v>
      </c>
    </row>
    <row r="974" spans="1:5" x14ac:dyDescent="0.3">
      <c r="A974" s="13">
        <v>43094</v>
      </c>
      <c r="B974">
        <v>2.4046737058933241</v>
      </c>
      <c r="C974">
        <v>1.9876152287010289</v>
      </c>
      <c r="D974">
        <v>1.6968266831308541</v>
      </c>
      <c r="E974">
        <v>1.823657658069902</v>
      </c>
    </row>
    <row r="975" spans="1:5" x14ac:dyDescent="0.3">
      <c r="A975" s="13">
        <v>43095</v>
      </c>
      <c r="B975">
        <v>2.419894372768177</v>
      </c>
      <c r="C975">
        <v>1.9923295891998909</v>
      </c>
      <c r="D975">
        <v>1.7028506069574241</v>
      </c>
      <c r="E975">
        <v>1.822602546871384</v>
      </c>
    </row>
    <row r="976" spans="1:5" x14ac:dyDescent="0.3">
      <c r="A976" s="13">
        <v>43096</v>
      </c>
      <c r="B976">
        <v>2.384485200590309</v>
      </c>
      <c r="C976">
        <v>1.970130747473066</v>
      </c>
      <c r="D976">
        <v>1.678215828948862</v>
      </c>
      <c r="E976">
        <v>1.7972291625760559</v>
      </c>
    </row>
    <row r="977" spans="1:5" x14ac:dyDescent="0.3">
      <c r="A977" s="13">
        <v>43097</v>
      </c>
      <c r="B977">
        <v>2.3982013478013919</v>
      </c>
      <c r="C977">
        <v>1.990531240309513</v>
      </c>
      <c r="D977">
        <v>1.689925393809885</v>
      </c>
      <c r="E977">
        <v>1.8117580896709069</v>
      </c>
    </row>
    <row r="978" spans="1:5" x14ac:dyDescent="0.3">
      <c r="A978" s="13">
        <v>43098</v>
      </c>
      <c r="B978">
        <v>2.4131443930438912</v>
      </c>
      <c r="C978">
        <v>1.997318412467326</v>
      </c>
      <c r="D978">
        <v>1.697510512684377</v>
      </c>
      <c r="E978">
        <v>1.8203229664781031</v>
      </c>
    </row>
    <row r="979" spans="1:5" x14ac:dyDescent="0.3">
      <c r="A979" s="13">
        <v>43102</v>
      </c>
      <c r="B979">
        <v>2.446311613225538</v>
      </c>
      <c r="C979">
        <v>2.0200571140180341</v>
      </c>
      <c r="D979">
        <v>1.7120719436956611</v>
      </c>
      <c r="E979">
        <v>1.8405172371802321</v>
      </c>
    </row>
    <row r="980" spans="1:5" x14ac:dyDescent="0.3">
      <c r="A980" s="13">
        <v>43103</v>
      </c>
      <c r="B980">
        <v>2.455974318324134</v>
      </c>
      <c r="C980">
        <v>2.0309565433515271</v>
      </c>
      <c r="D980">
        <v>1.720143933958284</v>
      </c>
      <c r="E980">
        <v>1.8616157918564999</v>
      </c>
    </row>
    <row r="981" spans="1:5" x14ac:dyDescent="0.3">
      <c r="A981" s="13">
        <v>43104</v>
      </c>
      <c r="B981">
        <v>2.4611294934514119</v>
      </c>
      <c r="C981">
        <v>2.044541957855694</v>
      </c>
      <c r="D981">
        <v>1.729623273243454</v>
      </c>
      <c r="E981">
        <v>1.8767224298780041</v>
      </c>
    </row>
    <row r="982" spans="1:5" x14ac:dyDescent="0.3">
      <c r="A982" s="13">
        <v>43105</v>
      </c>
      <c r="B982">
        <v>2.4596595819256368</v>
      </c>
      <c r="C982">
        <v>2.0401513595915199</v>
      </c>
      <c r="D982">
        <v>1.728314067259922</v>
      </c>
      <c r="E982">
        <v>1.870594683318489</v>
      </c>
    </row>
    <row r="983" spans="1:5" x14ac:dyDescent="0.3">
      <c r="A983" s="13">
        <v>43108</v>
      </c>
      <c r="B983">
        <v>2.4657579196170181</v>
      </c>
      <c r="C983">
        <v>2.052170480281533</v>
      </c>
      <c r="D983">
        <v>1.7298921887878911</v>
      </c>
      <c r="E983">
        <v>1.8732513793448859</v>
      </c>
    </row>
    <row r="984" spans="1:5" x14ac:dyDescent="0.3">
      <c r="A984" s="13">
        <v>43109</v>
      </c>
      <c r="B984">
        <v>2.4731900777507598</v>
      </c>
      <c r="C984">
        <v>2.063923559009273</v>
      </c>
      <c r="D984">
        <v>1.7425892125037641</v>
      </c>
      <c r="E984">
        <v>1.8851602208228879</v>
      </c>
    </row>
    <row r="985" spans="1:5" x14ac:dyDescent="0.3">
      <c r="A985" s="13">
        <v>43110</v>
      </c>
      <c r="B985">
        <v>2.4716368989463389</v>
      </c>
      <c r="C985">
        <v>2.0625043885786409</v>
      </c>
      <c r="D985">
        <v>1.740979104737586</v>
      </c>
      <c r="E985">
        <v>1.8822182210666261</v>
      </c>
    </row>
    <row r="986" spans="1:5" x14ac:dyDescent="0.3">
      <c r="A986" s="13">
        <v>43111</v>
      </c>
      <c r="B986">
        <v>2.4704071566325538</v>
      </c>
      <c r="C986">
        <v>2.0557881487892531</v>
      </c>
      <c r="D986">
        <v>1.73641602101188</v>
      </c>
      <c r="E986">
        <v>1.8798994304492009</v>
      </c>
    </row>
    <row r="987" spans="1:5" x14ac:dyDescent="0.3">
      <c r="A987" s="13">
        <v>43112</v>
      </c>
      <c r="B987">
        <v>2.4781609657931272</v>
      </c>
      <c r="C987">
        <v>2.0600536795340818</v>
      </c>
      <c r="D987">
        <v>1.740274006139497</v>
      </c>
      <c r="E987">
        <v>1.8840186366022831</v>
      </c>
    </row>
    <row r="988" spans="1:5" x14ac:dyDescent="0.3">
      <c r="A988" s="13">
        <v>43115</v>
      </c>
      <c r="B988">
        <v>2.4692801955548989</v>
      </c>
      <c r="C988">
        <v>2.0435389510460769</v>
      </c>
      <c r="D988">
        <v>1.730461059020598</v>
      </c>
      <c r="E988">
        <v>1.864216071081249</v>
      </c>
    </row>
    <row r="989" spans="1:5" x14ac:dyDescent="0.3">
      <c r="A989" s="13">
        <v>43116</v>
      </c>
      <c r="B989">
        <v>2.4860398790417628</v>
      </c>
      <c r="C989">
        <v>2.0551586651132379</v>
      </c>
      <c r="D989">
        <v>1.737903501311334</v>
      </c>
      <c r="E989">
        <v>1.874506071256685</v>
      </c>
    </row>
    <row r="990" spans="1:5" x14ac:dyDescent="0.3">
      <c r="A990" s="13">
        <v>43117</v>
      </c>
      <c r="B990">
        <v>2.4802642996211892</v>
      </c>
      <c r="C990">
        <v>2.0360776016801791</v>
      </c>
      <c r="D990">
        <v>1.7248765437124089</v>
      </c>
      <c r="E990">
        <v>1.853750954708808</v>
      </c>
    </row>
    <row r="991" spans="1:5" x14ac:dyDescent="0.3">
      <c r="A991" s="13">
        <v>43118</v>
      </c>
      <c r="B991">
        <v>2.4915490222795889</v>
      </c>
      <c r="C991">
        <v>2.0433771669025091</v>
      </c>
      <c r="D991">
        <v>1.7306027225064491</v>
      </c>
      <c r="E991">
        <v>1.8655084535882649</v>
      </c>
    </row>
    <row r="992" spans="1:5" x14ac:dyDescent="0.3">
      <c r="A992" s="13">
        <v>43119</v>
      </c>
      <c r="B992">
        <v>2.489449259651876</v>
      </c>
      <c r="C992">
        <v>2.0377506052058272</v>
      </c>
      <c r="D992">
        <v>1.7294710884400391</v>
      </c>
      <c r="E992">
        <v>1.862475504009069</v>
      </c>
    </row>
    <row r="993" spans="1:5" x14ac:dyDescent="0.3">
      <c r="A993" s="13">
        <v>43122</v>
      </c>
      <c r="B993">
        <v>2.511118913002214</v>
      </c>
      <c r="C993">
        <v>2.0717683998094429</v>
      </c>
      <c r="D993">
        <v>1.752541745800585</v>
      </c>
      <c r="E993">
        <v>1.896636451522181</v>
      </c>
    </row>
    <row r="994" spans="1:5" x14ac:dyDescent="0.3">
      <c r="A994" s="13">
        <v>43123</v>
      </c>
      <c r="B994">
        <v>2.5362756682558349</v>
      </c>
      <c r="C994">
        <v>2.086070360930584</v>
      </c>
      <c r="D994">
        <v>1.761459845455648</v>
      </c>
      <c r="E994">
        <v>1.911212931076137</v>
      </c>
    </row>
    <row r="995" spans="1:5" x14ac:dyDescent="0.3">
      <c r="A995" s="13">
        <v>43124</v>
      </c>
      <c r="B995">
        <v>2.5413235196551551</v>
      </c>
      <c r="C995">
        <v>2.0834379148810469</v>
      </c>
      <c r="D995">
        <v>1.764463350552737</v>
      </c>
      <c r="E995">
        <v>1.9113453086174681</v>
      </c>
    </row>
    <row r="996" spans="1:5" x14ac:dyDescent="0.3">
      <c r="A996" s="13">
        <v>43125</v>
      </c>
      <c r="B996">
        <v>2.5299509212371851</v>
      </c>
      <c r="C996">
        <v>2.0772165228666379</v>
      </c>
      <c r="D996">
        <v>1.7555686365372509</v>
      </c>
      <c r="E996">
        <v>1.8998597690062411</v>
      </c>
    </row>
    <row r="997" spans="1:5" x14ac:dyDescent="0.3">
      <c r="A997" s="13">
        <v>43126</v>
      </c>
      <c r="B997">
        <v>2.5361028239686081</v>
      </c>
      <c r="C997">
        <v>2.081684100147478</v>
      </c>
      <c r="D997">
        <v>1.7611164683937379</v>
      </c>
      <c r="E997">
        <v>1.90683434645775</v>
      </c>
    </row>
    <row r="998" spans="1:5" x14ac:dyDescent="0.3">
      <c r="A998" s="13">
        <v>43129</v>
      </c>
      <c r="B998">
        <v>2.503602052778434</v>
      </c>
      <c r="C998">
        <v>2.0485181987253589</v>
      </c>
      <c r="D998">
        <v>1.730792464361012</v>
      </c>
      <c r="E998">
        <v>1.869951187834604</v>
      </c>
    </row>
    <row r="999" spans="1:5" x14ac:dyDescent="0.3">
      <c r="A999" s="13">
        <v>43130</v>
      </c>
      <c r="B999">
        <v>2.4845477132550999</v>
      </c>
      <c r="C999">
        <v>2.0381000814424</v>
      </c>
      <c r="D999">
        <v>1.722340797331299</v>
      </c>
      <c r="E999">
        <v>1.859945607280423</v>
      </c>
    </row>
    <row r="1000" spans="1:5" x14ac:dyDescent="0.3">
      <c r="A1000" s="13">
        <v>43131</v>
      </c>
      <c r="B1000">
        <v>2.494826544311171</v>
      </c>
      <c r="C1000">
        <v>2.0439057481372118</v>
      </c>
      <c r="D1000">
        <v>1.720783783440998</v>
      </c>
      <c r="E1000">
        <v>1.8676541666964499</v>
      </c>
    </row>
    <row r="1001" spans="1:5" x14ac:dyDescent="0.3">
      <c r="A1001" s="13">
        <v>43132</v>
      </c>
      <c r="B1001">
        <v>2.4736524586396298</v>
      </c>
      <c r="C1001">
        <v>2.0163090428204651</v>
      </c>
      <c r="D1001">
        <v>1.698292231641469</v>
      </c>
      <c r="E1001">
        <v>1.843165745542896</v>
      </c>
    </row>
    <row r="1002" spans="1:5" x14ac:dyDescent="0.3">
      <c r="A1002" s="13">
        <v>43133</v>
      </c>
      <c r="B1002">
        <v>2.4938775856456532</v>
      </c>
      <c r="C1002">
        <v>2.037247239652253</v>
      </c>
      <c r="D1002">
        <v>1.712739990744415</v>
      </c>
      <c r="E1002">
        <v>1.8573159991237831</v>
      </c>
    </row>
    <row r="1003" spans="1:5" x14ac:dyDescent="0.3">
      <c r="A1003" s="13">
        <v>43136</v>
      </c>
      <c r="B1003">
        <v>2.505988014421431</v>
      </c>
      <c r="C1003">
        <v>2.0255247621590589</v>
      </c>
      <c r="D1003">
        <v>1.7101872185615461</v>
      </c>
      <c r="E1003">
        <v>1.83497292526415</v>
      </c>
    </row>
    <row r="1004" spans="1:5" x14ac:dyDescent="0.3">
      <c r="A1004" s="13">
        <v>43137</v>
      </c>
      <c r="B1004">
        <v>2.4290245699570501</v>
      </c>
      <c r="C1004">
        <v>1.9611802430578751</v>
      </c>
      <c r="D1004">
        <v>1.6582135903377919</v>
      </c>
      <c r="E1004">
        <v>1.7728874874906899</v>
      </c>
    </row>
    <row r="1005" spans="1:5" x14ac:dyDescent="0.3">
      <c r="A1005" s="13">
        <v>43138</v>
      </c>
      <c r="B1005">
        <v>2.369823603472184</v>
      </c>
      <c r="C1005">
        <v>1.924555153736198</v>
      </c>
      <c r="D1005">
        <v>1.627592315640056</v>
      </c>
      <c r="E1005">
        <v>1.7339171160237841</v>
      </c>
    </row>
    <row r="1006" spans="1:5" x14ac:dyDescent="0.3">
      <c r="A1006" s="13">
        <v>43139</v>
      </c>
      <c r="B1006">
        <v>2.3531075107673232</v>
      </c>
      <c r="C1006">
        <v>1.9222250223516779</v>
      </c>
      <c r="D1006">
        <v>1.625206507807738</v>
      </c>
      <c r="E1006">
        <v>1.7436977172491419</v>
      </c>
    </row>
    <row r="1007" spans="1:5" x14ac:dyDescent="0.3">
      <c r="A1007" s="13">
        <v>43140</v>
      </c>
      <c r="B1007">
        <v>2.26230728446038</v>
      </c>
      <c r="C1007">
        <v>1.854923840849714</v>
      </c>
      <c r="D1007">
        <v>1.5704306478169019</v>
      </c>
      <c r="E1007">
        <v>1.692456440135538</v>
      </c>
    </row>
    <row r="1008" spans="1:5" x14ac:dyDescent="0.3">
      <c r="A1008" s="13">
        <v>43143</v>
      </c>
      <c r="B1008">
        <v>2.2992353037912778</v>
      </c>
      <c r="C1008">
        <v>1.896239356293786</v>
      </c>
      <c r="D1008">
        <v>1.6016527458951459</v>
      </c>
      <c r="E1008">
        <v>1.744495921791865</v>
      </c>
    </row>
    <row r="1009" spans="1:5" x14ac:dyDescent="0.3">
      <c r="A1009" s="13">
        <v>43144</v>
      </c>
      <c r="B1009">
        <v>2.3275664737363799</v>
      </c>
      <c r="C1009">
        <v>1.9129172537981389</v>
      </c>
      <c r="D1009">
        <v>1.6158134547386169</v>
      </c>
      <c r="E1009">
        <v>1.759093004184223</v>
      </c>
    </row>
    <row r="1010" spans="1:5" x14ac:dyDescent="0.3">
      <c r="A1010" s="13">
        <v>43145</v>
      </c>
      <c r="B1010">
        <v>2.3434251168118192</v>
      </c>
      <c r="C1010">
        <v>1.9282048249190731</v>
      </c>
      <c r="D1010">
        <v>1.6251759418079941</v>
      </c>
      <c r="E1010">
        <v>1.7746685189936611</v>
      </c>
    </row>
    <row r="1011" spans="1:5" x14ac:dyDescent="0.3">
      <c r="A1011" s="13">
        <v>43153</v>
      </c>
      <c r="B1011">
        <v>2.400852957195994</v>
      </c>
      <c r="C1011">
        <v>1.972139697441549</v>
      </c>
      <c r="D1011">
        <v>1.6628116002014079</v>
      </c>
      <c r="E1011">
        <v>1.81611736297141</v>
      </c>
    </row>
    <row r="1012" spans="1:5" x14ac:dyDescent="0.3">
      <c r="A1012" s="13">
        <v>43154</v>
      </c>
      <c r="B1012">
        <v>2.4090005726798451</v>
      </c>
      <c r="C1012">
        <v>1.9762649869208451</v>
      </c>
      <c r="D1012">
        <v>1.6650490856714779</v>
      </c>
      <c r="E1012">
        <v>1.8193425832969969</v>
      </c>
    </row>
    <row r="1013" spans="1:5" x14ac:dyDescent="0.3">
      <c r="A1013" s="13">
        <v>43157</v>
      </c>
      <c r="B1013">
        <v>2.4412815503622598</v>
      </c>
      <c r="C1013">
        <v>2.0030298878269059</v>
      </c>
      <c r="D1013">
        <v>1.6929308568196739</v>
      </c>
      <c r="E1013">
        <v>1.8484848149454121</v>
      </c>
    </row>
    <row r="1014" spans="1:5" x14ac:dyDescent="0.3">
      <c r="A1014" s="13">
        <v>43158</v>
      </c>
      <c r="B1014">
        <v>2.4066886206792448</v>
      </c>
      <c r="C1014">
        <v>1.9790504241415241</v>
      </c>
      <c r="D1014">
        <v>1.679808281418868</v>
      </c>
      <c r="E1014">
        <v>1.8297434925013989</v>
      </c>
    </row>
    <row r="1015" spans="1:5" x14ac:dyDescent="0.3">
      <c r="A1015" s="13">
        <v>43159</v>
      </c>
      <c r="B1015">
        <v>2.395761276381863</v>
      </c>
      <c r="C1015">
        <v>1.970267554669954</v>
      </c>
      <c r="D1015">
        <v>1.6693491518598109</v>
      </c>
      <c r="E1015">
        <v>1.8271659861116121</v>
      </c>
    </row>
    <row r="1016" spans="1:5" x14ac:dyDescent="0.3">
      <c r="A1016" s="13">
        <v>43160</v>
      </c>
      <c r="B1016">
        <v>2.4091679758376769</v>
      </c>
      <c r="C1016">
        <v>1.9847165478860329</v>
      </c>
      <c r="D1016">
        <v>1.6849046622121799</v>
      </c>
      <c r="E1016">
        <v>1.8483629251465119</v>
      </c>
    </row>
    <row r="1017" spans="1:5" x14ac:dyDescent="0.3">
      <c r="A1017" s="13">
        <v>43161</v>
      </c>
      <c r="B1017">
        <v>2.3859762849716208</v>
      </c>
      <c r="C1017">
        <v>1.96803372586612</v>
      </c>
      <c r="D1017">
        <v>1.66907400317447</v>
      </c>
      <c r="E1017">
        <v>1.8314772676808859</v>
      </c>
    </row>
    <row r="1018" spans="1:5" x14ac:dyDescent="0.3">
      <c r="A1018" s="13">
        <v>43164</v>
      </c>
      <c r="B1018">
        <v>2.3806955116487911</v>
      </c>
      <c r="C1018">
        <v>1.9649472433907891</v>
      </c>
      <c r="D1018">
        <v>1.669631836180957</v>
      </c>
      <c r="E1018">
        <v>1.835138522018382</v>
      </c>
    </row>
    <row r="1019" spans="1:5" x14ac:dyDescent="0.3">
      <c r="A1019" s="13">
        <v>43165</v>
      </c>
      <c r="B1019">
        <v>2.414834262598772</v>
      </c>
      <c r="C1019">
        <v>1.9909746178835861</v>
      </c>
      <c r="D1019">
        <v>1.687757195076601</v>
      </c>
      <c r="E1019">
        <v>1.851445335085792</v>
      </c>
    </row>
    <row r="1020" spans="1:5" x14ac:dyDescent="0.3">
      <c r="A1020" s="13">
        <v>43166</v>
      </c>
      <c r="B1020">
        <v>2.3933624548260179</v>
      </c>
      <c r="C1020">
        <v>1.9749481561061559</v>
      </c>
      <c r="D1020">
        <v>1.6755361362828161</v>
      </c>
      <c r="E1020">
        <v>1.8414682626600081</v>
      </c>
    </row>
    <row r="1021" spans="1:5" x14ac:dyDescent="0.3">
      <c r="A1021" s="13">
        <v>43167</v>
      </c>
      <c r="B1021">
        <v>2.4125976132094649</v>
      </c>
      <c r="C1021">
        <v>1.996083921543893</v>
      </c>
      <c r="D1021">
        <v>1.689402985048869</v>
      </c>
      <c r="E1021">
        <v>1.8531358115632259</v>
      </c>
    </row>
    <row r="1022" spans="1:5" x14ac:dyDescent="0.3">
      <c r="A1022" s="13">
        <v>43168</v>
      </c>
      <c r="B1022">
        <v>2.4268455582750308</v>
      </c>
      <c r="C1022">
        <v>2.012647948941968</v>
      </c>
      <c r="D1022">
        <v>1.704794127182153</v>
      </c>
      <c r="E1022">
        <v>1.8764083633732229</v>
      </c>
    </row>
    <row r="1023" spans="1:5" x14ac:dyDescent="0.3">
      <c r="A1023" s="13">
        <v>43171</v>
      </c>
      <c r="B1023">
        <v>2.4414295049628598</v>
      </c>
      <c r="C1023">
        <v>2.0248106467407689</v>
      </c>
      <c r="D1023">
        <v>1.722249249395051</v>
      </c>
      <c r="E1023">
        <v>1.895379577776628</v>
      </c>
    </row>
    <row r="1024" spans="1:5" x14ac:dyDescent="0.3">
      <c r="A1024" s="13">
        <v>43172</v>
      </c>
      <c r="B1024">
        <v>2.4219794719494812</v>
      </c>
      <c r="C1024">
        <v>2.0067455041431188</v>
      </c>
      <c r="D1024">
        <v>1.7078325523368461</v>
      </c>
      <c r="E1024">
        <v>1.8785091882600831</v>
      </c>
    </row>
    <row r="1025" spans="1:5" x14ac:dyDescent="0.3">
      <c r="A1025" s="13">
        <v>43173</v>
      </c>
      <c r="B1025">
        <v>2.4136449584123851</v>
      </c>
      <c r="C1025">
        <v>2.000869829598185</v>
      </c>
      <c r="D1025">
        <v>1.698353883140165</v>
      </c>
      <c r="E1025">
        <v>1.8661114271688759</v>
      </c>
    </row>
    <row r="1026" spans="1:5" x14ac:dyDescent="0.3">
      <c r="A1026" s="13">
        <v>43174</v>
      </c>
      <c r="B1026">
        <v>2.4160901947051352</v>
      </c>
      <c r="C1026">
        <v>2.0113459405249632</v>
      </c>
      <c r="D1026">
        <v>1.704533867883897</v>
      </c>
      <c r="E1026">
        <v>1.88075282833605</v>
      </c>
    </row>
    <row r="1027" spans="1:5" x14ac:dyDescent="0.3">
      <c r="A1027" s="13">
        <v>43175</v>
      </c>
      <c r="B1027">
        <v>2.3941656131508262</v>
      </c>
      <c r="C1027">
        <v>1.99024739282912</v>
      </c>
      <c r="D1027">
        <v>1.691851655082562</v>
      </c>
      <c r="E1027">
        <v>1.8583679697392319</v>
      </c>
    </row>
    <row r="1028" spans="1:5" x14ac:dyDescent="0.3">
      <c r="A1028" s="13">
        <v>43178</v>
      </c>
      <c r="B1028">
        <v>2.39570540520549</v>
      </c>
      <c r="C1028">
        <v>1.997316288909541</v>
      </c>
      <c r="D1028">
        <v>1.6977086148836951</v>
      </c>
      <c r="E1028">
        <v>1.864647135338773</v>
      </c>
    </row>
    <row r="1029" spans="1:5" x14ac:dyDescent="0.3">
      <c r="A1029" s="13">
        <v>43179</v>
      </c>
      <c r="B1029">
        <v>2.404648882414349</v>
      </c>
      <c r="C1029">
        <v>2.0004959480791449</v>
      </c>
      <c r="D1029">
        <v>1.6996362734248041</v>
      </c>
      <c r="E1029">
        <v>1.869552172413514</v>
      </c>
    </row>
    <row r="1030" spans="1:5" x14ac:dyDescent="0.3">
      <c r="A1030" s="13">
        <v>43180</v>
      </c>
      <c r="B1030">
        <v>2.3901230349941289</v>
      </c>
      <c r="C1030">
        <v>1.985613808628427</v>
      </c>
      <c r="D1030">
        <v>1.687712164556743</v>
      </c>
      <c r="E1030">
        <v>1.8510754066793571</v>
      </c>
    </row>
    <row r="1031" spans="1:5" x14ac:dyDescent="0.3">
      <c r="A1031" s="13">
        <v>43181</v>
      </c>
      <c r="B1031">
        <v>2.365966204480737</v>
      </c>
      <c r="C1031">
        <v>1.966489151766283</v>
      </c>
      <c r="D1031">
        <v>1.6722250224314941</v>
      </c>
      <c r="E1031">
        <v>1.8325931508329389</v>
      </c>
    </row>
    <row r="1032" spans="1:5" x14ac:dyDescent="0.3">
      <c r="A1032" s="13">
        <v>43182</v>
      </c>
      <c r="B1032">
        <v>2.2928218062566672</v>
      </c>
      <c r="C1032">
        <v>1.9114292690571471</v>
      </c>
      <c r="D1032">
        <v>1.616828945625632</v>
      </c>
      <c r="E1032">
        <v>1.7654994524588019</v>
      </c>
    </row>
    <row r="1033" spans="1:5" x14ac:dyDescent="0.3">
      <c r="A1033" s="13">
        <v>43185</v>
      </c>
      <c r="B1033">
        <v>2.293413359139409</v>
      </c>
      <c r="C1033">
        <v>1.920578540078328</v>
      </c>
      <c r="D1033">
        <v>1.6266223002656091</v>
      </c>
      <c r="E1033">
        <v>1.788965858945774</v>
      </c>
    </row>
    <row r="1034" spans="1:5" x14ac:dyDescent="0.3">
      <c r="A1034" s="13">
        <v>43186</v>
      </c>
      <c r="B1034">
        <v>2.318488079044756</v>
      </c>
      <c r="C1034">
        <v>1.945844768779567</v>
      </c>
      <c r="D1034">
        <v>1.6506617990739061</v>
      </c>
      <c r="E1034">
        <v>1.8190727154825801</v>
      </c>
    </row>
    <row r="1035" spans="1:5" x14ac:dyDescent="0.3">
      <c r="A1035" s="13">
        <v>43187</v>
      </c>
      <c r="B1035">
        <v>2.289251072295428</v>
      </c>
      <c r="C1035">
        <v>1.9129615167472589</v>
      </c>
      <c r="D1035">
        <v>1.6274305270546321</v>
      </c>
      <c r="E1035">
        <v>1.788693623133021</v>
      </c>
    </row>
    <row r="1036" spans="1:5" x14ac:dyDescent="0.3">
      <c r="A1036" s="13">
        <v>43188</v>
      </c>
      <c r="B1036">
        <v>2.3213211742229469</v>
      </c>
      <c r="C1036">
        <v>1.9350255814844479</v>
      </c>
      <c r="D1036">
        <v>1.6391663489992401</v>
      </c>
      <c r="E1036">
        <v>1.802145252494822</v>
      </c>
    </row>
    <row r="1037" spans="1:5" x14ac:dyDescent="0.3">
      <c r="A1037" s="13">
        <v>43189</v>
      </c>
      <c r="B1037">
        <v>2.3389519078607788</v>
      </c>
      <c r="C1037">
        <v>1.9539585748635</v>
      </c>
      <c r="D1037">
        <v>1.6602597115450879</v>
      </c>
      <c r="E1037">
        <v>1.826024590084526</v>
      </c>
    </row>
    <row r="1038" spans="1:5" x14ac:dyDescent="0.3">
      <c r="A1038" s="13">
        <v>43192</v>
      </c>
      <c r="B1038">
        <v>2.3427886109300919</v>
      </c>
      <c r="C1038">
        <v>1.9560400230599599</v>
      </c>
      <c r="D1038">
        <v>1.659962494804212</v>
      </c>
      <c r="E1038">
        <v>1.8189841663419519</v>
      </c>
    </row>
    <row r="1039" spans="1:5" x14ac:dyDescent="0.3">
      <c r="A1039" s="13">
        <v>43193</v>
      </c>
      <c r="B1039">
        <v>2.3295451819130979</v>
      </c>
      <c r="C1039">
        <v>1.9448344740762731</v>
      </c>
      <c r="D1039">
        <v>1.650340429467152</v>
      </c>
      <c r="E1039">
        <v>1.8077194377987551</v>
      </c>
    </row>
    <row r="1040" spans="1:5" x14ac:dyDescent="0.3">
      <c r="A1040" s="13">
        <v>43194</v>
      </c>
      <c r="B1040">
        <v>2.322047433734701</v>
      </c>
      <c r="C1040">
        <v>1.940022851030843</v>
      </c>
      <c r="D1040">
        <v>1.6367644480265779</v>
      </c>
      <c r="E1040">
        <v>1.793676319308068</v>
      </c>
    </row>
    <row r="1041" spans="1:5" x14ac:dyDescent="0.3">
      <c r="A1041" s="13">
        <v>43199</v>
      </c>
      <c r="B1041">
        <v>2.3210885456533421</v>
      </c>
      <c r="C1041">
        <v>1.93787698428868</v>
      </c>
      <c r="D1041">
        <v>1.6364224855646761</v>
      </c>
      <c r="E1041">
        <v>1.7928491288049639</v>
      </c>
    </row>
    <row r="1042" spans="1:5" x14ac:dyDescent="0.3">
      <c r="A1042" s="13">
        <v>43200</v>
      </c>
      <c r="B1042">
        <v>2.3558544143569589</v>
      </c>
      <c r="C1042">
        <v>1.9598947453575239</v>
      </c>
      <c r="D1042">
        <v>1.650439284221709</v>
      </c>
      <c r="E1042">
        <v>1.8122419846850359</v>
      </c>
    </row>
    <row r="1043" spans="1:5" x14ac:dyDescent="0.3">
      <c r="A1043" s="13">
        <v>43201</v>
      </c>
      <c r="B1043">
        <v>2.366636817465138</v>
      </c>
      <c r="C1043">
        <v>1.9670752177312609</v>
      </c>
      <c r="D1043">
        <v>1.65692032883375</v>
      </c>
      <c r="E1043">
        <v>1.8188346415306409</v>
      </c>
    </row>
    <row r="1044" spans="1:5" x14ac:dyDescent="0.3">
      <c r="A1044" s="13">
        <v>43202</v>
      </c>
      <c r="B1044">
        <v>2.3479702872006429</v>
      </c>
      <c r="C1044">
        <v>1.9556730849121711</v>
      </c>
      <c r="D1044">
        <v>1.644657791431418</v>
      </c>
      <c r="E1044">
        <v>1.8023460800251181</v>
      </c>
    </row>
    <row r="1045" spans="1:5" x14ac:dyDescent="0.3">
      <c r="A1045" s="13">
        <v>43203</v>
      </c>
      <c r="B1045">
        <v>2.3372967158676592</v>
      </c>
      <c r="C1045">
        <v>1.944354517587811</v>
      </c>
      <c r="D1045">
        <v>1.6366212413122569</v>
      </c>
      <c r="E1045">
        <v>1.795337784202983</v>
      </c>
    </row>
    <row r="1046" spans="1:5" x14ac:dyDescent="0.3">
      <c r="A1046" s="13">
        <v>43206</v>
      </c>
      <c r="B1046">
        <v>2.3174959937460948</v>
      </c>
      <c r="C1046">
        <v>1.930182879881116</v>
      </c>
      <c r="D1046">
        <v>1.630944999099424</v>
      </c>
      <c r="E1046">
        <v>1.790668241738979</v>
      </c>
    </row>
    <row r="1047" spans="1:5" x14ac:dyDescent="0.3">
      <c r="A1047" s="13">
        <v>43207</v>
      </c>
      <c r="B1047">
        <v>2.278583286664801</v>
      </c>
      <c r="C1047">
        <v>1.89471743523398</v>
      </c>
      <c r="D1047">
        <v>1.602255964148916</v>
      </c>
      <c r="E1047">
        <v>1.747037609686964</v>
      </c>
    </row>
    <row r="1048" spans="1:5" x14ac:dyDescent="0.3">
      <c r="A1048" s="13">
        <v>43208</v>
      </c>
      <c r="B1048">
        <v>2.3016468248224942</v>
      </c>
      <c r="C1048">
        <v>1.910533646793479</v>
      </c>
      <c r="D1048">
        <v>1.6150403863499441</v>
      </c>
      <c r="E1048">
        <v>1.76838370129594</v>
      </c>
    </row>
    <row r="1049" spans="1:5" x14ac:dyDescent="0.3">
      <c r="A1049" s="13">
        <v>43209</v>
      </c>
      <c r="B1049">
        <v>2.3152887991935458</v>
      </c>
      <c r="C1049">
        <v>1.9300615157281911</v>
      </c>
      <c r="D1049">
        <v>1.622935617273628</v>
      </c>
      <c r="E1049">
        <v>1.7769787121235341</v>
      </c>
    </row>
    <row r="1050" spans="1:5" x14ac:dyDescent="0.3">
      <c r="A1050" s="13">
        <v>43210</v>
      </c>
      <c r="B1050">
        <v>2.2809058303610472</v>
      </c>
      <c r="C1050">
        <v>1.9040484512378699</v>
      </c>
      <c r="D1050">
        <v>1.598841545947266</v>
      </c>
      <c r="E1050">
        <v>1.7511753387488631</v>
      </c>
    </row>
    <row r="1051" spans="1:5" x14ac:dyDescent="0.3">
      <c r="A1051" s="13">
        <v>43213</v>
      </c>
      <c r="B1051">
        <v>2.267109368873744</v>
      </c>
      <c r="C1051">
        <v>1.8918955107218689</v>
      </c>
      <c r="D1051">
        <v>1.5787992925165799</v>
      </c>
      <c r="E1051">
        <v>1.7295920267685421</v>
      </c>
    </row>
    <row r="1052" spans="1:5" x14ac:dyDescent="0.3">
      <c r="A1052" s="13">
        <v>43214</v>
      </c>
      <c r="B1052">
        <v>2.3173205061949109</v>
      </c>
      <c r="C1052">
        <v>1.934157340330205</v>
      </c>
      <c r="D1052">
        <v>1.6128234505076999</v>
      </c>
      <c r="E1052">
        <v>1.776379160395865</v>
      </c>
    </row>
    <row r="1053" spans="1:5" x14ac:dyDescent="0.3">
      <c r="A1053" s="13">
        <v>43215</v>
      </c>
      <c r="B1053">
        <v>2.3215003558781602</v>
      </c>
      <c r="C1053">
        <v>1.9360352417467079</v>
      </c>
      <c r="D1053">
        <v>1.620033244216843</v>
      </c>
      <c r="E1053">
        <v>1.7797623965755791</v>
      </c>
    </row>
    <row r="1054" spans="1:5" x14ac:dyDescent="0.3">
      <c r="A1054" s="13">
        <v>43216</v>
      </c>
      <c r="B1054">
        <v>2.2915618457818909</v>
      </c>
      <c r="C1054">
        <v>1.9018297670491491</v>
      </c>
      <c r="D1054">
        <v>1.5991368969617821</v>
      </c>
      <c r="E1054">
        <v>1.743488743653087</v>
      </c>
    </row>
    <row r="1055" spans="1:5" x14ac:dyDescent="0.3">
      <c r="A1055" s="13">
        <v>43217</v>
      </c>
      <c r="B1055">
        <v>2.290367515052234</v>
      </c>
      <c r="C1055">
        <v>1.9064785863557789</v>
      </c>
      <c r="D1055">
        <v>1.60500405978211</v>
      </c>
      <c r="E1055">
        <v>1.7474361491340651</v>
      </c>
    </row>
    <row r="1056" spans="1:5" x14ac:dyDescent="0.3">
      <c r="A1056" s="13">
        <v>43222</v>
      </c>
      <c r="B1056">
        <v>2.2988854070604989</v>
      </c>
      <c r="C1056">
        <v>1.911263380636764</v>
      </c>
      <c r="D1056">
        <v>1.6097165598651</v>
      </c>
      <c r="E1056">
        <v>1.7548597526952101</v>
      </c>
    </row>
    <row r="1057" spans="1:5" x14ac:dyDescent="0.3">
      <c r="A1057" s="13">
        <v>43223</v>
      </c>
      <c r="B1057">
        <v>2.3176128694318572</v>
      </c>
      <c r="C1057">
        <v>1.9290944289197181</v>
      </c>
      <c r="D1057">
        <v>1.623535884109675</v>
      </c>
      <c r="E1057">
        <v>1.770726985207691</v>
      </c>
    </row>
    <row r="1058" spans="1:5" x14ac:dyDescent="0.3">
      <c r="A1058" s="13">
        <v>43224</v>
      </c>
      <c r="B1058">
        <v>2.310892269138221</v>
      </c>
      <c r="C1058">
        <v>1.9288101490023819</v>
      </c>
      <c r="D1058">
        <v>1.6234675749796641</v>
      </c>
      <c r="E1058">
        <v>1.7705094316600201</v>
      </c>
    </row>
    <row r="1059" spans="1:5" x14ac:dyDescent="0.3">
      <c r="A1059" s="13">
        <v>43227</v>
      </c>
      <c r="B1059">
        <v>2.3440114968147729</v>
      </c>
      <c r="C1059">
        <v>1.968010335443803</v>
      </c>
      <c r="D1059">
        <v>1.6494868383270831</v>
      </c>
      <c r="E1059">
        <v>1.81036657946355</v>
      </c>
    </row>
    <row r="1060" spans="1:5" x14ac:dyDescent="0.3">
      <c r="A1060" s="13">
        <v>43228</v>
      </c>
      <c r="B1060">
        <v>2.3577342685306739</v>
      </c>
      <c r="C1060">
        <v>1.9795174438230081</v>
      </c>
      <c r="D1060">
        <v>1.65543177838853</v>
      </c>
      <c r="E1060">
        <v>1.821318356185416</v>
      </c>
    </row>
    <row r="1061" spans="1:5" x14ac:dyDescent="0.3">
      <c r="A1061" s="13">
        <v>43229</v>
      </c>
      <c r="B1061">
        <v>2.3547024385104169</v>
      </c>
      <c r="C1061">
        <v>1.976987189951587</v>
      </c>
      <c r="D1061">
        <v>1.652803472928803</v>
      </c>
      <c r="E1061">
        <v>1.8187042457019169</v>
      </c>
    </row>
    <row r="1062" spans="1:5" x14ac:dyDescent="0.3">
      <c r="A1062" s="13">
        <v>43230</v>
      </c>
      <c r="B1062">
        <v>2.3599789460306759</v>
      </c>
      <c r="C1062">
        <v>1.9905131104196041</v>
      </c>
      <c r="D1062">
        <v>1.6571363440256539</v>
      </c>
      <c r="E1062">
        <v>1.824266206411127</v>
      </c>
    </row>
    <row r="1063" spans="1:5" x14ac:dyDescent="0.3">
      <c r="A1063" s="13">
        <v>43231</v>
      </c>
      <c r="B1063">
        <v>2.347518789320886</v>
      </c>
      <c r="C1063">
        <v>1.9757253169728479</v>
      </c>
      <c r="D1063">
        <v>1.6421481405382921</v>
      </c>
      <c r="E1063">
        <v>1.810355206700565</v>
      </c>
    </row>
    <row r="1064" spans="1:5" x14ac:dyDescent="0.3">
      <c r="A1064" s="13">
        <v>43234</v>
      </c>
      <c r="B1064">
        <v>2.3588670983713822</v>
      </c>
      <c r="C1064">
        <v>1.9868351259818471</v>
      </c>
      <c r="D1064">
        <v>1.64784271671567</v>
      </c>
      <c r="E1064">
        <v>1.8153512899982329</v>
      </c>
    </row>
    <row r="1065" spans="1:5" x14ac:dyDescent="0.3">
      <c r="A1065" s="13">
        <v>43235</v>
      </c>
      <c r="B1065">
        <v>2.3724478638489428</v>
      </c>
      <c r="C1065">
        <v>2.000198927193984</v>
      </c>
      <c r="D1065">
        <v>1.6622981588950729</v>
      </c>
      <c r="E1065">
        <v>1.835337931352701</v>
      </c>
    </row>
    <row r="1066" spans="1:5" x14ac:dyDescent="0.3">
      <c r="A1066" s="13">
        <v>43236</v>
      </c>
      <c r="B1066">
        <v>2.3624039906555501</v>
      </c>
      <c r="C1066">
        <v>1.993249254439998</v>
      </c>
      <c r="D1066">
        <v>1.6553736055844639</v>
      </c>
      <c r="E1066">
        <v>1.827397572119442</v>
      </c>
    </row>
    <row r="1067" spans="1:5" x14ac:dyDescent="0.3">
      <c r="A1067" s="13">
        <v>43237</v>
      </c>
      <c r="B1067">
        <v>2.3441288669086102</v>
      </c>
      <c r="C1067">
        <v>1.9766406379104029</v>
      </c>
      <c r="D1067">
        <v>1.6414850546439641</v>
      </c>
      <c r="E1067">
        <v>1.8063766045557139</v>
      </c>
    </row>
    <row r="1068" spans="1:5" x14ac:dyDescent="0.3">
      <c r="A1068" s="13">
        <v>43238</v>
      </c>
      <c r="B1068">
        <v>2.3546658689237092</v>
      </c>
      <c r="C1068">
        <v>1.9929541178107779</v>
      </c>
      <c r="D1068">
        <v>1.6508829642951131</v>
      </c>
      <c r="E1068">
        <v>1.810762509035807</v>
      </c>
    </row>
    <row r="1069" spans="1:5" x14ac:dyDescent="0.3">
      <c r="A1069" s="13">
        <v>43241</v>
      </c>
      <c r="B1069">
        <v>2.3732067270253472</v>
      </c>
      <c r="C1069">
        <v>2.0041426040340049</v>
      </c>
      <c r="D1069">
        <v>1.664950041528273</v>
      </c>
      <c r="E1069">
        <v>1.8292506098355621</v>
      </c>
    </row>
    <row r="1070" spans="1:5" x14ac:dyDescent="0.3">
      <c r="A1070" s="13">
        <v>43242</v>
      </c>
      <c r="B1070">
        <v>2.3685504107501378</v>
      </c>
      <c r="C1070">
        <v>2.0072760624559991</v>
      </c>
      <c r="D1070">
        <v>1.6721560965143429</v>
      </c>
      <c r="E1070">
        <v>1.833842759959587</v>
      </c>
    </row>
    <row r="1071" spans="1:5" x14ac:dyDescent="0.3">
      <c r="A1071" s="13">
        <v>43243</v>
      </c>
      <c r="B1071">
        <v>2.3411903357017492</v>
      </c>
      <c r="C1071">
        <v>1.9784750566220031</v>
      </c>
      <c r="D1071">
        <v>1.657879567308046</v>
      </c>
      <c r="E1071">
        <v>1.8137227869396579</v>
      </c>
    </row>
    <row r="1072" spans="1:5" x14ac:dyDescent="0.3">
      <c r="A1072" s="13">
        <v>43244</v>
      </c>
      <c r="B1072">
        <v>2.329748796837372</v>
      </c>
      <c r="C1072">
        <v>1.9686551950072231</v>
      </c>
      <c r="D1072">
        <v>1.649451153130306</v>
      </c>
      <c r="E1072">
        <v>1.802033777804358</v>
      </c>
    </row>
    <row r="1073" spans="1:5" x14ac:dyDescent="0.3">
      <c r="A1073" s="13">
        <v>43245</v>
      </c>
      <c r="B1073">
        <v>2.31964788597617</v>
      </c>
      <c r="C1073">
        <v>1.9624610639057429</v>
      </c>
      <c r="D1073">
        <v>1.640102882335615</v>
      </c>
      <c r="E1073">
        <v>1.7870062048425781</v>
      </c>
    </row>
    <row r="1074" spans="1:5" x14ac:dyDescent="0.3">
      <c r="A1074" s="13">
        <v>43248</v>
      </c>
      <c r="B1074">
        <v>2.3219036181049719</v>
      </c>
      <c r="C1074">
        <v>1.972195880203941</v>
      </c>
      <c r="D1074">
        <v>1.639848681408002</v>
      </c>
      <c r="E1074">
        <v>1.79684186816917</v>
      </c>
    </row>
    <row r="1075" spans="1:5" x14ac:dyDescent="0.3">
      <c r="A1075" s="13">
        <v>43249</v>
      </c>
      <c r="B1075">
        <v>2.3064736268202322</v>
      </c>
      <c r="C1075">
        <v>1.9548972360641299</v>
      </c>
      <c r="D1075">
        <v>1.623085693391654</v>
      </c>
      <c r="E1075">
        <v>1.774561409849081</v>
      </c>
    </row>
    <row r="1076" spans="1:5" x14ac:dyDescent="0.3">
      <c r="A1076" s="13">
        <v>43250</v>
      </c>
      <c r="B1076">
        <v>2.2632340318347839</v>
      </c>
      <c r="C1076">
        <v>1.9291906234173231</v>
      </c>
      <c r="D1076">
        <v>1.5983712434622011</v>
      </c>
      <c r="E1076">
        <v>1.7462881700233479</v>
      </c>
    </row>
    <row r="1077" spans="1:5" x14ac:dyDescent="0.3">
      <c r="A1077" s="13">
        <v>43251</v>
      </c>
      <c r="B1077">
        <v>2.3019458284342749</v>
      </c>
      <c r="C1077">
        <v>1.967073359836425</v>
      </c>
      <c r="D1077">
        <v>1.6215230167218451</v>
      </c>
      <c r="E1077">
        <v>1.778884634560538</v>
      </c>
    </row>
    <row r="1078" spans="1:5" x14ac:dyDescent="0.3">
      <c r="A1078" s="13">
        <v>43252</v>
      </c>
      <c r="B1078">
        <v>2.2808387777169048</v>
      </c>
      <c r="C1078">
        <v>1.941880147246156</v>
      </c>
      <c r="D1078">
        <v>1.59640860050141</v>
      </c>
      <c r="E1078">
        <v>1.7499514841281609</v>
      </c>
    </row>
    <row r="1079" spans="1:5" x14ac:dyDescent="0.3">
      <c r="A1079" s="13">
        <v>43255</v>
      </c>
      <c r="B1079">
        <v>2.297181012398672</v>
      </c>
      <c r="C1079">
        <v>1.956183960606118</v>
      </c>
      <c r="D1079">
        <v>1.5949744232341081</v>
      </c>
      <c r="E1079">
        <v>1.7556549904874581</v>
      </c>
    </row>
    <row r="1080" spans="1:5" x14ac:dyDescent="0.3">
      <c r="A1080" s="13">
        <v>43256</v>
      </c>
      <c r="B1080">
        <v>2.329538453282916</v>
      </c>
      <c r="C1080">
        <v>1.983172983254563</v>
      </c>
      <c r="D1080">
        <v>1.6165962314485749</v>
      </c>
      <c r="E1080">
        <v>1.7875434642393799</v>
      </c>
    </row>
    <row r="1081" spans="1:5" x14ac:dyDescent="0.3">
      <c r="A1081" s="13">
        <v>43257</v>
      </c>
      <c r="B1081">
        <v>2.3347823759056761</v>
      </c>
      <c r="C1081">
        <v>1.986908429891044</v>
      </c>
      <c r="D1081">
        <v>1.622458419250175</v>
      </c>
      <c r="E1081">
        <v>1.7881851939704521</v>
      </c>
    </row>
    <row r="1082" spans="1:5" x14ac:dyDescent="0.3">
      <c r="A1082" s="13">
        <v>43258</v>
      </c>
      <c r="B1082">
        <v>2.3286181460486861</v>
      </c>
      <c r="C1082">
        <v>1.978257827629349</v>
      </c>
      <c r="D1082">
        <v>1.614735871011562</v>
      </c>
      <c r="E1082">
        <v>1.7765101418817599</v>
      </c>
    </row>
    <row r="1083" spans="1:5" x14ac:dyDescent="0.3">
      <c r="A1083" s="13">
        <v>43259</v>
      </c>
      <c r="B1083">
        <v>2.3074825838716602</v>
      </c>
      <c r="C1083">
        <v>1.9626467146425199</v>
      </c>
      <c r="D1083">
        <v>1.6063171860941381</v>
      </c>
      <c r="E1083">
        <v>1.7673508933678761</v>
      </c>
    </row>
    <row r="1084" spans="1:5" x14ac:dyDescent="0.3">
      <c r="A1084" s="13">
        <v>43262</v>
      </c>
      <c r="B1084">
        <v>2.299181881398447</v>
      </c>
      <c r="C1084">
        <v>1.952825425463391</v>
      </c>
      <c r="D1084">
        <v>1.592710174056776</v>
      </c>
      <c r="E1084">
        <v>1.7574390785505409</v>
      </c>
    </row>
    <row r="1085" spans="1:5" x14ac:dyDescent="0.3">
      <c r="A1085" s="13">
        <v>43263</v>
      </c>
      <c r="B1085">
        <v>2.330349765676734</v>
      </c>
      <c r="C1085">
        <v>1.9843452426095241</v>
      </c>
      <c r="D1085">
        <v>1.6083163482429541</v>
      </c>
      <c r="E1085">
        <v>1.782368462986869</v>
      </c>
    </row>
    <row r="1086" spans="1:5" x14ac:dyDescent="0.3">
      <c r="A1086" s="13">
        <v>43264</v>
      </c>
      <c r="B1086">
        <v>2.3105250571397891</v>
      </c>
      <c r="C1086">
        <v>1.9679035519525381</v>
      </c>
      <c r="D1086">
        <v>1.5936385879317121</v>
      </c>
      <c r="E1086">
        <v>1.76109547697526</v>
      </c>
    </row>
    <row r="1087" spans="1:5" x14ac:dyDescent="0.3">
      <c r="A1087" s="13">
        <v>43265</v>
      </c>
      <c r="B1087">
        <v>2.3018813427160278</v>
      </c>
      <c r="C1087">
        <v>1.956801163058056</v>
      </c>
      <c r="D1087">
        <v>1.5861515066377589</v>
      </c>
      <c r="E1087">
        <v>1.74911757289207</v>
      </c>
    </row>
    <row r="1088" spans="1:5" x14ac:dyDescent="0.3">
      <c r="A1088" s="13">
        <v>43266</v>
      </c>
      <c r="B1088">
        <v>2.2809787192596782</v>
      </c>
      <c r="C1088">
        <v>1.939625695945973</v>
      </c>
      <c r="D1088">
        <v>1.5693855115111139</v>
      </c>
      <c r="E1088">
        <v>1.729409956600181</v>
      </c>
    </row>
    <row r="1089" spans="1:5" x14ac:dyDescent="0.3">
      <c r="A1089" s="13">
        <v>43270</v>
      </c>
      <c r="B1089">
        <v>2.200898941429835</v>
      </c>
      <c r="C1089">
        <v>1.8730507300109049</v>
      </c>
      <c r="D1089">
        <v>1.5151261599346739</v>
      </c>
      <c r="E1089">
        <v>1.658109692039524</v>
      </c>
    </row>
    <row r="1090" spans="1:5" x14ac:dyDescent="0.3">
      <c r="A1090" s="13">
        <v>43271</v>
      </c>
      <c r="B1090">
        <v>2.2136818305309851</v>
      </c>
      <c r="C1090">
        <v>1.892377872410506</v>
      </c>
      <c r="D1090">
        <v>1.5290662495436089</v>
      </c>
      <c r="E1090">
        <v>1.68237577680954</v>
      </c>
    </row>
    <row r="1091" spans="1:5" x14ac:dyDescent="0.3">
      <c r="A1091" s="13">
        <v>43272</v>
      </c>
      <c r="B1091">
        <v>2.1853051687412299</v>
      </c>
      <c r="C1091">
        <v>1.873458404537746</v>
      </c>
      <c r="D1091">
        <v>1.508882356634937</v>
      </c>
      <c r="E1091">
        <v>1.659087929698571</v>
      </c>
    </row>
    <row r="1092" spans="1:5" x14ac:dyDescent="0.3">
      <c r="A1092" s="13">
        <v>43273</v>
      </c>
      <c r="B1092">
        <v>2.206133186531626</v>
      </c>
      <c r="C1092">
        <v>1.8918402160246739</v>
      </c>
      <c r="D1092">
        <v>1.5196289466116759</v>
      </c>
      <c r="E1092">
        <v>1.6787878143557959</v>
      </c>
    </row>
    <row r="1093" spans="1:5" x14ac:dyDescent="0.3">
      <c r="A1093" s="13">
        <v>43276</v>
      </c>
      <c r="B1093">
        <v>2.1741039935253839</v>
      </c>
      <c r="C1093">
        <v>1.8778843993822789</v>
      </c>
      <c r="D1093">
        <v>1.5046124650504831</v>
      </c>
      <c r="E1093">
        <v>1.6689501860397229</v>
      </c>
    </row>
    <row r="1094" spans="1:5" x14ac:dyDescent="0.3">
      <c r="A1094" s="13">
        <v>43277</v>
      </c>
      <c r="B1094">
        <v>2.1669566742740991</v>
      </c>
      <c r="C1094">
        <v>1.872079170371731</v>
      </c>
      <c r="D1094">
        <v>1.506675985255679</v>
      </c>
      <c r="E1094">
        <v>1.669134738717851</v>
      </c>
    </row>
    <row r="1095" spans="1:5" x14ac:dyDescent="0.3">
      <c r="A1095" s="13">
        <v>43278</v>
      </c>
      <c r="B1095">
        <v>2.130769639209749</v>
      </c>
      <c r="C1095">
        <v>1.840191074124246</v>
      </c>
      <c r="D1095">
        <v>1.4867641491498129</v>
      </c>
      <c r="E1095">
        <v>1.636081682142954</v>
      </c>
    </row>
    <row r="1096" spans="1:5" x14ac:dyDescent="0.3">
      <c r="A1096" s="13">
        <v>43279</v>
      </c>
      <c r="B1096">
        <v>2.11040583813186</v>
      </c>
      <c r="C1096">
        <v>1.817717521124935</v>
      </c>
      <c r="D1096">
        <v>1.4734127946010751</v>
      </c>
      <c r="E1096">
        <v>1.6155868958584441</v>
      </c>
    </row>
    <row r="1097" spans="1:5" x14ac:dyDescent="0.3">
      <c r="A1097" s="13">
        <v>43280</v>
      </c>
      <c r="B1097">
        <v>2.167047243989296</v>
      </c>
      <c r="C1097">
        <v>1.868308276483801</v>
      </c>
      <c r="D1097">
        <v>1.518353115018013</v>
      </c>
      <c r="E1097">
        <v>1.6685522357376079</v>
      </c>
    </row>
    <row r="1098" spans="1:5" x14ac:dyDescent="0.3">
      <c r="A1098" s="13">
        <v>43283</v>
      </c>
      <c r="B1098">
        <v>2.126827825100321</v>
      </c>
      <c r="C1098">
        <v>1.833901900139999</v>
      </c>
      <c r="D1098">
        <v>1.4965637195390731</v>
      </c>
      <c r="E1098">
        <v>1.641969328367985</v>
      </c>
    </row>
    <row r="1099" spans="1:5" x14ac:dyDescent="0.3">
      <c r="A1099" s="13">
        <v>43284</v>
      </c>
      <c r="B1099">
        <v>2.1275313923835069</v>
      </c>
      <c r="C1099">
        <v>1.831336458618694</v>
      </c>
      <c r="D1099">
        <v>1.5055210832630741</v>
      </c>
      <c r="E1099">
        <v>1.6399224811808799</v>
      </c>
    </row>
    <row r="1100" spans="1:5" x14ac:dyDescent="0.3">
      <c r="A1100" s="13">
        <v>43285</v>
      </c>
      <c r="B1100">
        <v>2.1058369614398398</v>
      </c>
      <c r="C1100">
        <v>1.8096198110556641</v>
      </c>
      <c r="D1100">
        <v>1.48513821088446</v>
      </c>
      <c r="E1100">
        <v>1.610925684304616</v>
      </c>
    </row>
    <row r="1101" spans="1:5" x14ac:dyDescent="0.3">
      <c r="A1101" s="13">
        <v>43286</v>
      </c>
      <c r="B1101">
        <v>2.081838980777722</v>
      </c>
      <c r="C1101">
        <v>1.7862243327596761</v>
      </c>
      <c r="D1101">
        <v>1.4607113707507271</v>
      </c>
      <c r="E1101">
        <v>1.5898633187859399</v>
      </c>
    </row>
    <row r="1102" spans="1:5" x14ac:dyDescent="0.3">
      <c r="A1102" s="13">
        <v>43287</v>
      </c>
      <c r="B1102">
        <v>2.0874862097775781</v>
      </c>
      <c r="C1102">
        <v>1.791803243179829</v>
      </c>
      <c r="D1102">
        <v>1.4658648713792051</v>
      </c>
      <c r="E1102">
        <v>1.59923861660601</v>
      </c>
    </row>
    <row r="1103" spans="1:5" x14ac:dyDescent="0.3">
      <c r="A1103" s="13">
        <v>43290</v>
      </c>
      <c r="B1103">
        <v>2.1410551056442708</v>
      </c>
      <c r="C1103">
        <v>1.839107916317595</v>
      </c>
      <c r="D1103">
        <v>1.5068417773137519</v>
      </c>
      <c r="E1103">
        <v>1.641570776140731</v>
      </c>
    </row>
    <row r="1104" spans="1:5" x14ac:dyDescent="0.3">
      <c r="A1104" s="13">
        <v>43291</v>
      </c>
      <c r="B1104">
        <v>2.153842868778848</v>
      </c>
      <c r="C1104">
        <v>1.8467224772916579</v>
      </c>
      <c r="D1104">
        <v>1.51495230601206</v>
      </c>
      <c r="E1104">
        <v>1.65016285724755</v>
      </c>
    </row>
    <row r="1105" spans="1:5" x14ac:dyDescent="0.3">
      <c r="A1105" s="13">
        <v>43292</v>
      </c>
      <c r="B1105">
        <v>2.1227768614956308</v>
      </c>
      <c r="C1105">
        <v>1.8209422645576261</v>
      </c>
      <c r="D1105">
        <v>1.497486670893464</v>
      </c>
      <c r="E1105">
        <v>1.6319208864887631</v>
      </c>
    </row>
    <row r="1106" spans="1:5" x14ac:dyDescent="0.3">
      <c r="A1106" s="13">
        <v>43293</v>
      </c>
      <c r="B1106">
        <v>2.1678199955979109</v>
      </c>
      <c r="C1106">
        <v>1.858438857100535</v>
      </c>
      <c r="D1106">
        <v>1.5335961010232519</v>
      </c>
      <c r="E1106">
        <v>1.670333043546355</v>
      </c>
    </row>
    <row r="1107" spans="1:5" x14ac:dyDescent="0.3">
      <c r="A1107" s="13">
        <v>43294</v>
      </c>
      <c r="B1107">
        <v>2.1805099673581991</v>
      </c>
      <c r="C1107">
        <v>1.8757562608397631</v>
      </c>
      <c r="D1107">
        <v>1.544758457970383</v>
      </c>
      <c r="E1107">
        <v>1.687918048411001</v>
      </c>
    </row>
    <row r="1108" spans="1:5" x14ac:dyDescent="0.3">
      <c r="A1108" s="13">
        <v>43297</v>
      </c>
      <c r="B1108">
        <v>2.1731133793760451</v>
      </c>
      <c r="C1108">
        <v>1.8756534749198039</v>
      </c>
      <c r="D1108">
        <v>1.5456864388925919</v>
      </c>
      <c r="E1108">
        <v>1.688484141007492</v>
      </c>
    </row>
    <row r="1109" spans="1:5" x14ac:dyDescent="0.3">
      <c r="A1109" s="13">
        <v>43298</v>
      </c>
      <c r="B1109">
        <v>2.165906121253856</v>
      </c>
      <c r="C1109">
        <v>1.8672465258729529</v>
      </c>
      <c r="D1109">
        <v>1.5439203210292221</v>
      </c>
      <c r="E1109">
        <v>1.683168908124193</v>
      </c>
    </row>
    <row r="1110" spans="1:5" x14ac:dyDescent="0.3">
      <c r="A1110" s="13">
        <v>43299</v>
      </c>
      <c r="B1110">
        <v>2.1515810690270301</v>
      </c>
      <c r="C1110">
        <v>1.85614370351967</v>
      </c>
      <c r="D1110">
        <v>1.5345307982273091</v>
      </c>
      <c r="E1110">
        <v>1.6687547102826541</v>
      </c>
    </row>
    <row r="1111" spans="1:5" x14ac:dyDescent="0.3">
      <c r="A1111" s="13">
        <v>43300</v>
      </c>
      <c r="B1111">
        <v>2.1407195265326151</v>
      </c>
      <c r="C1111">
        <v>1.8483526330553011</v>
      </c>
      <c r="D1111">
        <v>1.525876511967684</v>
      </c>
      <c r="E1111">
        <v>1.6599473348279981</v>
      </c>
    </row>
    <row r="1112" spans="1:5" x14ac:dyDescent="0.3">
      <c r="A1112" s="13">
        <v>43301</v>
      </c>
      <c r="B1112">
        <v>2.17243291691286</v>
      </c>
      <c r="C1112">
        <v>1.8672977184686881</v>
      </c>
      <c r="D1112">
        <v>1.5425886078869031</v>
      </c>
      <c r="E1112">
        <v>1.679656958161889</v>
      </c>
    </row>
    <row r="1113" spans="1:5" x14ac:dyDescent="0.3">
      <c r="A1113" s="13">
        <v>43304</v>
      </c>
      <c r="B1113">
        <v>2.1903525029469071</v>
      </c>
      <c r="C1113">
        <v>1.8740889471905471</v>
      </c>
      <c r="D1113">
        <v>1.5453696777413299</v>
      </c>
      <c r="E1113">
        <v>1.6811962855497951</v>
      </c>
    </row>
    <row r="1114" spans="1:5" x14ac:dyDescent="0.3">
      <c r="A1114" s="13">
        <v>43305</v>
      </c>
      <c r="B1114">
        <v>2.1903525029469071</v>
      </c>
      <c r="C1114">
        <v>1.8740889471905471</v>
      </c>
      <c r="D1114">
        <v>1.5453696777413299</v>
      </c>
      <c r="E1114">
        <v>1.6811962855497951</v>
      </c>
    </row>
  </sheetData>
  <sortState ref="G1:I10">
    <sortCondition descending="1" ref="I1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643"/>
  <sheetViews>
    <sheetView tabSelected="1" workbookViewId="0">
      <selection activeCell="G23" sqref="G23"/>
    </sheetView>
  </sheetViews>
  <sheetFormatPr defaultRowHeight="13.5" x14ac:dyDescent="0.3"/>
  <cols>
    <col min="1" max="1" width="11.59765625" style="13" bestFit="1" customWidth="1"/>
    <col min="2" max="5" width="9" style="11"/>
    <col min="6" max="13" width="9.06640625" style="11"/>
  </cols>
  <sheetData>
    <row r="1" spans="1:13" x14ac:dyDescent="0.3">
      <c r="A1" s="13" t="str">
        <f>data!AG29</f>
        <v>期中日期</v>
      </c>
      <c r="B1" s="11" t="str">
        <f>data!AJ29</f>
        <v>全指金融</v>
      </c>
      <c r="C1" s="11" t="str">
        <f>data!AK29</f>
        <v>全指工业</v>
      </c>
      <c r="D1" s="11" t="str">
        <f>data!AL29</f>
        <v>全指可选</v>
      </c>
      <c r="E1" s="11" t="str">
        <f>data!AM29</f>
        <v>全指材料</v>
      </c>
      <c r="F1" s="11" t="str">
        <f>data!AN29</f>
        <v>全指信息</v>
      </c>
      <c r="G1" s="11" t="str">
        <f>data!AO29</f>
        <v>全指消费</v>
      </c>
      <c r="H1" s="11" t="str">
        <f>data!AP29</f>
        <v>全指医药</v>
      </c>
      <c r="I1" s="11" t="str">
        <f>data!AQ29</f>
        <v>全指能源</v>
      </c>
      <c r="J1" s="11" t="str">
        <f>data!AR29</f>
        <v>全指公用</v>
      </c>
      <c r="K1" s="11" t="str">
        <f>data!AS29</f>
        <v>全指电信</v>
      </c>
      <c r="L1" s="11" t="str">
        <f>data!AT29</f>
        <v>现金</v>
      </c>
      <c r="M1" s="11" t="str">
        <f>data!AU29</f>
        <v>R方</v>
      </c>
    </row>
    <row r="2" spans="1:13" x14ac:dyDescent="0.3">
      <c r="A2" s="13">
        <f>data!AG31</f>
        <v>41785.5</v>
      </c>
      <c r="B2" s="11">
        <f>data!AJ31</f>
        <v>0.12320242990483234</v>
      </c>
      <c r="C2" s="11">
        <f>data!AK31</f>
        <v>8.8277083073709094E-5</v>
      </c>
      <c r="D2" s="11">
        <f>data!AL31</f>
        <v>0.18923338512025098</v>
      </c>
      <c r="E2" s="11">
        <f>data!AM31</f>
        <v>5.2212483960308795E-2</v>
      </c>
      <c r="F2" s="11">
        <f>data!AN31</f>
        <v>0.19691881356708615</v>
      </c>
      <c r="G2" s="11">
        <f>data!AO31</f>
        <v>0.11256411061763713</v>
      </c>
      <c r="H2" s="11">
        <f>data!AP31</f>
        <v>1.8241804129288998E-5</v>
      </c>
      <c r="I2" s="11">
        <f>data!AQ31</f>
        <v>8.4887136974737944E-6</v>
      </c>
      <c r="J2" s="11">
        <f>data!AR31</f>
        <v>0.16727307907404829</v>
      </c>
      <c r="K2" s="11">
        <f>data!AS31</f>
        <v>2.136835246451001E-2</v>
      </c>
      <c r="L2" s="11">
        <f>data!AT31</f>
        <v>0.13711233769042588</v>
      </c>
      <c r="M2" s="11">
        <f>data!AU31</f>
        <v>0.96195732935628853</v>
      </c>
    </row>
    <row r="3" spans="1:13" x14ac:dyDescent="0.3">
      <c r="A3" s="13">
        <f>data!AG32</f>
        <v>41792.5</v>
      </c>
      <c r="B3" s="11">
        <f>data!AJ32</f>
        <v>0.10387336109401887</v>
      </c>
      <c r="C3" s="11">
        <f>data!AK32</f>
        <v>5.9072383498096871E-5</v>
      </c>
      <c r="D3" s="11">
        <f>data!AL32</f>
        <v>0.18286497822360628</v>
      </c>
      <c r="E3" s="11">
        <f>data!AM32</f>
        <v>0.10077189720539725</v>
      </c>
      <c r="F3" s="11">
        <f>data!AN32</f>
        <v>0.1980156873243166</v>
      </c>
      <c r="G3" s="11">
        <f>data!AO32</f>
        <v>0.10587860891126327</v>
      </c>
      <c r="H3" s="11">
        <f>data!AP32</f>
        <v>1.681426822809908E-5</v>
      </c>
      <c r="I3" s="11">
        <f>data!AQ32</f>
        <v>6.0390149796125153E-6</v>
      </c>
      <c r="J3" s="11">
        <f>data!AR32</f>
        <v>0.187684001712767</v>
      </c>
      <c r="K3" s="11">
        <f>data!AS32</f>
        <v>8.4693785804372578E-5</v>
      </c>
      <c r="L3" s="11">
        <f>data!AT32</f>
        <v>0.12074484607612054</v>
      </c>
      <c r="M3" s="11">
        <f>data!AU32</f>
        <v>0.96317009713200508</v>
      </c>
    </row>
    <row r="4" spans="1:13" x14ac:dyDescent="0.3">
      <c r="A4" s="13">
        <f>data!AG33</f>
        <v>41799.5</v>
      </c>
      <c r="B4" s="11">
        <f>data!AJ33</f>
        <v>0.11365708008791824</v>
      </c>
      <c r="C4" s="11">
        <f>data!AK33</f>
        <v>8.514899522490244E-5</v>
      </c>
      <c r="D4" s="11">
        <f>data!AL33</f>
        <v>0.18560961322185035</v>
      </c>
      <c r="E4" s="11">
        <f>data!AM33</f>
        <v>8.2409426618874293E-2</v>
      </c>
      <c r="F4" s="11">
        <f>data!AN33</f>
        <v>0.18563934627875547</v>
      </c>
      <c r="G4" s="11">
        <f>data!AO33</f>
        <v>0.11401999088603693</v>
      </c>
      <c r="H4" s="11">
        <f>data!AP33</f>
        <v>1.295093101499541E-5</v>
      </c>
      <c r="I4" s="11">
        <f>data!AQ33</f>
        <v>4.9145040030792835E-6</v>
      </c>
      <c r="J4" s="11">
        <f>data!AR33</f>
        <v>0.19683562740606339</v>
      </c>
      <c r="K4" s="11">
        <f>data!AS33</f>
        <v>5.4617392095728488E-3</v>
      </c>
      <c r="L4" s="11">
        <f>data!AT33</f>
        <v>0.11626416186068558</v>
      </c>
      <c r="M4" s="11">
        <f>data!AU33</f>
        <v>0.96767770714806223</v>
      </c>
    </row>
    <row r="5" spans="1:13" x14ac:dyDescent="0.3">
      <c r="A5" s="13">
        <f>data!AG34</f>
        <v>41806</v>
      </c>
      <c r="B5" s="11">
        <f>data!AJ34</f>
        <v>0.11853667736020841</v>
      </c>
      <c r="C5" s="11">
        <f>data!AK34</f>
        <v>8.3024373368269079E-5</v>
      </c>
      <c r="D5" s="11">
        <f>data!AL34</f>
        <v>0.13780033278286982</v>
      </c>
      <c r="E5" s="11">
        <f>data!AM34</f>
        <v>9.7865078931640093E-2</v>
      </c>
      <c r="F5" s="11">
        <f>data!AN34</f>
        <v>0.17463211223031808</v>
      </c>
      <c r="G5" s="11">
        <f>data!AO34</f>
        <v>0.1284001733900185</v>
      </c>
      <c r="H5" s="11">
        <f>data!AP34</f>
        <v>8.7579477918183387E-6</v>
      </c>
      <c r="I5" s="11">
        <f>data!AQ34</f>
        <v>1.4424373387591953E-6</v>
      </c>
      <c r="J5" s="11">
        <f>data!AR34</f>
        <v>0.18642709678708583</v>
      </c>
      <c r="K5" s="11">
        <f>data!AS34</f>
        <v>2.5926483782764301E-2</v>
      </c>
      <c r="L5" s="11">
        <f>data!AT34</f>
        <v>0.13031881997659611</v>
      </c>
      <c r="M5" s="11">
        <f>data!AU34</f>
        <v>0.96893175839889001</v>
      </c>
    </row>
    <row r="6" spans="1:13" x14ac:dyDescent="0.3">
      <c r="A6" s="13">
        <f>data!AG35</f>
        <v>41813.5</v>
      </c>
      <c r="B6" s="11">
        <f>data!AJ35</f>
        <v>0.11772639801792111</v>
      </c>
      <c r="C6" s="11">
        <f>data!AK35</f>
        <v>1.31358390705949E-2</v>
      </c>
      <c r="D6" s="11">
        <f>data!AL35</f>
        <v>0.10817813530031946</v>
      </c>
      <c r="E6" s="11">
        <f>data!AM35</f>
        <v>9.6935920109165949E-2</v>
      </c>
      <c r="F6" s="11">
        <f>data!AN35</f>
        <v>0.16852821259039424</v>
      </c>
      <c r="G6" s="11">
        <f>data!AO35</f>
        <v>0.15747029839258672</v>
      </c>
      <c r="H6" s="11">
        <f>data!AP35</f>
        <v>1.0248152567915449E-5</v>
      </c>
      <c r="I6" s="11">
        <f>data!AQ35</f>
        <v>5.0752842043439786E-6</v>
      </c>
      <c r="J6" s="11">
        <f>data!AR35</f>
        <v>0.1841159655581463</v>
      </c>
      <c r="K6" s="11">
        <f>data!AS35</f>
        <v>2.7888847515346038E-2</v>
      </c>
      <c r="L6" s="11">
        <f>data!AT35</f>
        <v>0.12600506000875308</v>
      </c>
      <c r="M6" s="11">
        <f>data!AU35</f>
        <v>0.97143336707690675</v>
      </c>
    </row>
    <row r="7" spans="1:13" x14ac:dyDescent="0.3">
      <c r="A7" s="13">
        <f>data!AG36</f>
        <v>41820.5</v>
      </c>
      <c r="B7" s="11">
        <f>data!AJ36</f>
        <v>0.11319311968817244</v>
      </c>
      <c r="C7" s="11">
        <f>data!AK36</f>
        <v>2.3427887078397082E-2</v>
      </c>
      <c r="D7" s="11">
        <f>data!AL36</f>
        <v>0.10992369076879834</v>
      </c>
      <c r="E7" s="11">
        <f>data!AM36</f>
        <v>9.5774928452596567E-2</v>
      </c>
      <c r="F7" s="11">
        <f>data!AN36</f>
        <v>0.17179857133245957</v>
      </c>
      <c r="G7" s="11">
        <f>data!AO36</f>
        <v>0.15347308897639733</v>
      </c>
      <c r="H7" s="11">
        <f>data!AP36</f>
        <v>3.6034079617246092E-5</v>
      </c>
      <c r="I7" s="11">
        <f>data!AQ36</f>
        <v>1.4943990501243338E-5</v>
      </c>
      <c r="J7" s="11">
        <f>data!AR36</f>
        <v>0.18198458503582751</v>
      </c>
      <c r="K7" s="11">
        <f>data!AS36</f>
        <v>2.1038172739602106E-2</v>
      </c>
      <c r="L7" s="11">
        <f>data!AT36</f>
        <v>0.1293349778576306</v>
      </c>
      <c r="M7" s="11">
        <f>data!AU36</f>
        <v>0.97134709325849422</v>
      </c>
    </row>
    <row r="8" spans="1:13" x14ac:dyDescent="0.3">
      <c r="A8" s="13">
        <f>data!AG37</f>
        <v>41827.5</v>
      </c>
      <c r="B8" s="11">
        <f>data!AJ37</f>
        <v>9.9100103505034523E-2</v>
      </c>
      <c r="C8" s="11">
        <f>data!AK37</f>
        <v>8.434561333014727E-2</v>
      </c>
      <c r="D8" s="11">
        <f>data!AL37</f>
        <v>0.11199812272683773</v>
      </c>
      <c r="E8" s="11">
        <f>data!AM37</f>
        <v>0.11652647641504268</v>
      </c>
      <c r="F8" s="11">
        <f>data!AN37</f>
        <v>0.16315555883563027</v>
      </c>
      <c r="G8" s="11">
        <f>data!AO37</f>
        <v>0.15683106170585037</v>
      </c>
      <c r="H8" s="11">
        <f>data!AP37</f>
        <v>6.4991047178941419E-5</v>
      </c>
      <c r="I8" s="11">
        <f>data!AQ37</f>
        <v>1.1413979495856125E-5</v>
      </c>
      <c r="J8" s="11">
        <f>data!AR37</f>
        <v>0.15426658011432254</v>
      </c>
      <c r="K8" s="11">
        <f>data!AS37</f>
        <v>8.3765452158982031E-5</v>
      </c>
      <c r="L8" s="11">
        <f>data!AT37</f>
        <v>0.11361631288830087</v>
      </c>
      <c r="M8" s="11">
        <f>data!AU37</f>
        <v>0.97269532199854591</v>
      </c>
    </row>
    <row r="9" spans="1:13" x14ac:dyDescent="0.3">
      <c r="A9" s="13">
        <f>data!AG38</f>
        <v>41834.5</v>
      </c>
      <c r="B9" s="11">
        <f>data!AJ38</f>
        <v>0.22174849010398021</v>
      </c>
      <c r="C9" s="11">
        <f>data!AK38</f>
        <v>0.1658720432261572</v>
      </c>
      <c r="D9" s="11">
        <f>data!AL38</f>
        <v>7.350635045562371E-3</v>
      </c>
      <c r="E9" s="11">
        <f>data!AM38</f>
        <v>9.6247232743757488E-2</v>
      </c>
      <c r="F9" s="11">
        <f>data!AN38</f>
        <v>0.22315501849034514</v>
      </c>
      <c r="G9" s="11">
        <f>data!AO38</f>
        <v>0.12099133141590984</v>
      </c>
      <c r="H9" s="11">
        <f>data!AP38</f>
        <v>5.9235262113944673E-7</v>
      </c>
      <c r="I9" s="11">
        <f>data!AQ38</f>
        <v>1.4143116003579033E-7</v>
      </c>
      <c r="J9" s="11">
        <f>data!AR38</f>
        <v>7.4471926870021368E-2</v>
      </c>
      <c r="K9" s="11">
        <f>data!AS38</f>
        <v>3.1573748540555144E-4</v>
      </c>
      <c r="L9" s="11">
        <f>data!AT38</f>
        <v>8.9846850835079664E-2</v>
      </c>
      <c r="M9" s="11">
        <f>data!AU38</f>
        <v>0.97079669702942417</v>
      </c>
    </row>
    <row r="10" spans="1:13" x14ac:dyDescent="0.3">
      <c r="A10" s="13">
        <f>data!AG39</f>
        <v>41841.5</v>
      </c>
      <c r="B10" s="11">
        <f>data!AJ39</f>
        <v>0.24336513237001195</v>
      </c>
      <c r="C10" s="11">
        <f>data!AK39</f>
        <v>0.12755878234546061</v>
      </c>
      <c r="D10" s="11">
        <f>data!AL39</f>
        <v>3.4220412473258723E-2</v>
      </c>
      <c r="E10" s="11">
        <f>data!AM39</f>
        <v>7.5552148276422038E-2</v>
      </c>
      <c r="F10" s="11">
        <f>data!AN39</f>
        <v>0.20595887439186572</v>
      </c>
      <c r="G10" s="11">
        <f>data!AO39</f>
        <v>0.12060490108101027</v>
      </c>
      <c r="H10" s="11">
        <f>data!AP39</f>
        <v>2.8091347877433643E-5</v>
      </c>
      <c r="I10" s="11">
        <f>data!AQ39</f>
        <v>7.4717248344861402E-6</v>
      </c>
      <c r="J10" s="11">
        <f>data!AR39</f>
        <v>8.4119475068447677E-2</v>
      </c>
      <c r="K10" s="11">
        <f>data!AS39</f>
        <v>2.9025698321198921E-2</v>
      </c>
      <c r="L10" s="11">
        <f>data!AT39</f>
        <v>7.9559012599612219E-2</v>
      </c>
      <c r="M10" s="11">
        <f>data!AU39</f>
        <v>0.97278677870592067</v>
      </c>
    </row>
    <row r="11" spans="1:13" x14ac:dyDescent="0.3">
      <c r="A11" s="13">
        <f>data!AG40</f>
        <v>41848.5</v>
      </c>
      <c r="B11" s="11">
        <f>data!AJ40</f>
        <v>0.26435849903942699</v>
      </c>
      <c r="C11" s="11">
        <f>data!AK40</f>
        <v>1.7835942837509111E-2</v>
      </c>
      <c r="D11" s="11">
        <f>data!AL40</f>
        <v>5.2183502172989164E-2</v>
      </c>
      <c r="E11" s="11">
        <f>data!AM40</f>
        <v>0.11562636640695911</v>
      </c>
      <c r="F11" s="11">
        <f>data!AN40</f>
        <v>0.24130989919927584</v>
      </c>
      <c r="G11" s="11">
        <f>data!AO40</f>
        <v>8.9471358808539278E-2</v>
      </c>
      <c r="H11" s="11">
        <f>data!AP40</f>
        <v>8.7522021400457666E-5</v>
      </c>
      <c r="I11" s="11">
        <f>data!AQ40</f>
        <v>1.2668494964619051E-6</v>
      </c>
      <c r="J11" s="11">
        <f>data!AR40</f>
        <v>7.552464743661326E-2</v>
      </c>
      <c r="K11" s="11">
        <f>data!AS40</f>
        <v>4.4723946768344243E-2</v>
      </c>
      <c r="L11" s="11">
        <f>data!AT40</f>
        <v>9.8877048459446115E-2</v>
      </c>
      <c r="M11" s="11">
        <f>data!AU40</f>
        <v>0.96984384128615808</v>
      </c>
    </row>
    <row r="12" spans="1:13" x14ac:dyDescent="0.3">
      <c r="A12" s="13">
        <f>data!AG41</f>
        <v>41855.5</v>
      </c>
      <c r="B12" s="11">
        <f>data!AJ41</f>
        <v>0.26728412106841137</v>
      </c>
      <c r="C12" s="11">
        <f>data!AK41</f>
        <v>8.4692224797757999E-5</v>
      </c>
      <c r="D12" s="11">
        <f>data!AL41</f>
        <v>0.13805492487722507</v>
      </c>
      <c r="E12" s="11">
        <f>data!AM41</f>
        <v>0.12330198945376392</v>
      </c>
      <c r="F12" s="11">
        <f>data!AN41</f>
        <v>0.19830602041178591</v>
      </c>
      <c r="G12" s="11">
        <f>data!AO41</f>
        <v>5.7869581926540667E-2</v>
      </c>
      <c r="H12" s="11">
        <f>data!AP41</f>
        <v>1.3025827568445336E-5</v>
      </c>
      <c r="I12" s="11">
        <f>data!AQ41</f>
        <v>5.0475540415859361E-6</v>
      </c>
      <c r="J12" s="11">
        <f>data!AR41</f>
        <v>4.7341023448233342E-2</v>
      </c>
      <c r="K12" s="11">
        <f>data!AS41</f>
        <v>7.8966152482140645E-2</v>
      </c>
      <c r="L12" s="11">
        <f>data!AT41</f>
        <v>8.877342072549127E-2</v>
      </c>
      <c r="M12" s="11">
        <f>data!AU41</f>
        <v>0.97195547797729809</v>
      </c>
    </row>
    <row r="13" spans="1:13" x14ac:dyDescent="0.3">
      <c r="A13" s="13">
        <f>data!AG42</f>
        <v>41862.5</v>
      </c>
      <c r="B13" s="11">
        <f>data!AJ42</f>
        <v>0.27304384708071</v>
      </c>
      <c r="C13" s="11">
        <f>data!AK42</f>
        <v>8.7509281553600088E-5</v>
      </c>
      <c r="D13" s="11">
        <f>data!AL42</f>
        <v>0.12228290196808442</v>
      </c>
      <c r="E13" s="11">
        <f>data!AM42</f>
        <v>0.15233136976254075</v>
      </c>
      <c r="F13" s="11">
        <f>data!AN42</f>
        <v>0.1762363056061895</v>
      </c>
      <c r="G13" s="11">
        <f>data!AO42</f>
        <v>4.2528434554713473E-2</v>
      </c>
      <c r="H13" s="11">
        <f>data!AP42</f>
        <v>2.9067470285634835E-5</v>
      </c>
      <c r="I13" s="11">
        <f>data!AQ42</f>
        <v>1.282232988928704E-5</v>
      </c>
      <c r="J13" s="11">
        <f>data!AR42</f>
        <v>3.7007616666591837E-2</v>
      </c>
      <c r="K13" s="11">
        <f>data!AS42</f>
        <v>0.10985162673342311</v>
      </c>
      <c r="L13" s="11">
        <f>data!AT42</f>
        <v>8.6588498546018342E-2</v>
      </c>
      <c r="M13" s="11">
        <f>data!AU42</f>
        <v>0.97594055823797365</v>
      </c>
    </row>
    <row r="14" spans="1:13" x14ac:dyDescent="0.3">
      <c r="A14" s="13">
        <f>data!AG43</f>
        <v>41868.5</v>
      </c>
      <c r="B14" s="11">
        <f>data!AJ43</f>
        <v>0.29402756555809245</v>
      </c>
      <c r="C14" s="11">
        <f>data!AK43</f>
        <v>1.3439238330996929E-2</v>
      </c>
      <c r="D14" s="11">
        <f>data!AL43</f>
        <v>0.16388073416889312</v>
      </c>
      <c r="E14" s="11">
        <f>data!AM43</f>
        <v>0.16630010569404549</v>
      </c>
      <c r="F14" s="11">
        <f>data!AN43</f>
        <v>0.12918259717892835</v>
      </c>
      <c r="G14" s="11">
        <f>data!AO43</f>
        <v>5.9873020723969104E-3</v>
      </c>
      <c r="H14" s="11">
        <f>data!AP43</f>
        <v>1.207086629012585E-2</v>
      </c>
      <c r="I14" s="11">
        <f>data!AQ43</f>
        <v>3.168797774675268E-6</v>
      </c>
      <c r="J14" s="11">
        <f>data!AR43</f>
        <v>1.8117118599103539E-2</v>
      </c>
      <c r="K14" s="11">
        <f>data!AS43</f>
        <v>9.2246677311242239E-2</v>
      </c>
      <c r="L14" s="11">
        <f>data!AT43</f>
        <v>0.10474462599840037</v>
      </c>
      <c r="M14" s="11">
        <f>data!AU43</f>
        <v>0.96386244397287135</v>
      </c>
    </row>
    <row r="15" spans="1:13" x14ac:dyDescent="0.3">
      <c r="A15" s="13">
        <f>data!AG44</f>
        <v>41876.5</v>
      </c>
      <c r="B15" s="11">
        <f>data!AJ44</f>
        <v>0.29455578496336537</v>
      </c>
      <c r="C15" s="11">
        <f>data!AK44</f>
        <v>2.4472672191041867E-2</v>
      </c>
      <c r="D15" s="11">
        <f>data!AL44</f>
        <v>0.20242473831669036</v>
      </c>
      <c r="E15" s="11">
        <f>data!AM44</f>
        <v>0.1537080018459524</v>
      </c>
      <c r="F15" s="11">
        <f>data!AN44</f>
        <v>0.122940280011772</v>
      </c>
      <c r="G15" s="11">
        <f>data!AO44</f>
        <v>9.6752477145344568E-5</v>
      </c>
      <c r="H15" s="11">
        <f>data!AP44</f>
        <v>9.0398735528595363E-3</v>
      </c>
      <c r="I15" s="11">
        <f>data!AQ44</f>
        <v>6.7529963166497354E-7</v>
      </c>
      <c r="J15" s="11">
        <f>data!AR44</f>
        <v>4.6984403565900387E-3</v>
      </c>
      <c r="K15" s="11">
        <f>data!AS44</f>
        <v>8.3246235227165927E-2</v>
      </c>
      <c r="L15" s="11">
        <f>data!AT44</f>
        <v>0.10481654575778544</v>
      </c>
      <c r="M15" s="11">
        <f>data!AU44</f>
        <v>0.96340298763393417</v>
      </c>
    </row>
    <row r="16" spans="1:13" x14ac:dyDescent="0.3">
      <c r="A16" s="13">
        <f>data!AG45</f>
        <v>41883.5</v>
      </c>
      <c r="B16" s="11">
        <f>data!AJ45</f>
        <v>0.29702100428484834</v>
      </c>
      <c r="C16" s="11">
        <f>data!AK45</f>
        <v>3.3820725612891893E-2</v>
      </c>
      <c r="D16" s="11">
        <f>data!AL45</f>
        <v>0.21561268890085791</v>
      </c>
      <c r="E16" s="11">
        <f>data!AM45</f>
        <v>0.12540211026186598</v>
      </c>
      <c r="F16" s="11">
        <f>data!AN45</f>
        <v>0.12670280104019935</v>
      </c>
      <c r="G16" s="11">
        <f>data!AO45</f>
        <v>9.621148236178963E-3</v>
      </c>
      <c r="H16" s="11">
        <f>data!AP45</f>
        <v>1.0242155069344507E-2</v>
      </c>
      <c r="I16" s="11">
        <f>data!AQ45</f>
        <v>1.4600830489673196E-6</v>
      </c>
      <c r="J16" s="11">
        <f>data!AR45</f>
        <v>1.8741031809619804E-3</v>
      </c>
      <c r="K16" s="11">
        <f>data!AS45</f>
        <v>8.0378493596948611E-2</v>
      </c>
      <c r="L16" s="11">
        <f>data!AT45</f>
        <v>9.9323309732853512E-2</v>
      </c>
      <c r="M16" s="11">
        <f>data!AU45</f>
        <v>0.96409052827868813</v>
      </c>
    </row>
    <row r="17" spans="1:13" x14ac:dyDescent="0.3">
      <c r="A17" s="13">
        <f>data!AG46</f>
        <v>41890.5</v>
      </c>
      <c r="B17" s="11">
        <f>data!AJ46</f>
        <v>0.29602291472060543</v>
      </c>
      <c r="C17" s="11">
        <f>data!AK46</f>
        <v>2.9762539963750667E-2</v>
      </c>
      <c r="D17" s="11">
        <f>data!AL46</f>
        <v>0.20552757383418122</v>
      </c>
      <c r="E17" s="11">
        <f>data!AM46</f>
        <v>0.10575655725934739</v>
      </c>
      <c r="F17" s="11">
        <f>data!AN46</f>
        <v>0.12849138931042081</v>
      </c>
      <c r="G17" s="11">
        <f>data!AO46</f>
        <v>2.4256835388535434E-2</v>
      </c>
      <c r="H17" s="11">
        <f>data!AP46</f>
        <v>8.4447903752773586E-5</v>
      </c>
      <c r="I17" s="11">
        <f>data!AQ46</f>
        <v>5.4799350715326487E-6</v>
      </c>
      <c r="J17" s="11">
        <f>data!AR46</f>
        <v>9.4020477253464151E-3</v>
      </c>
      <c r="K17" s="11">
        <f>data!AS46</f>
        <v>9.8846717244356827E-2</v>
      </c>
      <c r="L17" s="11">
        <f>data!AT46</f>
        <v>0.1018434967146314</v>
      </c>
      <c r="M17" s="11">
        <f>data!AU46</f>
        <v>0.96474501856496242</v>
      </c>
    </row>
    <row r="18" spans="1:13" x14ac:dyDescent="0.3">
      <c r="A18" s="13">
        <f>data!AG47</f>
        <v>41896.5</v>
      </c>
      <c r="B18" s="11">
        <f>data!AJ47</f>
        <v>0.28916817699878145</v>
      </c>
      <c r="C18" s="11">
        <f>data!AK47</f>
        <v>7.7156611842310778E-3</v>
      </c>
      <c r="D18" s="11">
        <f>data!AL47</f>
        <v>0.19850101312251181</v>
      </c>
      <c r="E18" s="11">
        <f>data!AM47</f>
        <v>0.11781136032648948</v>
      </c>
      <c r="F18" s="11">
        <f>data!AN47</f>
        <v>0.13924096764747784</v>
      </c>
      <c r="G18" s="11">
        <f>data!AO47</f>
        <v>2.957386467640925E-2</v>
      </c>
      <c r="H18" s="11">
        <f>data!AP47</f>
        <v>8.6340966567511186E-5</v>
      </c>
      <c r="I18" s="11">
        <f>data!AQ47</f>
        <v>2.2499467477749362E-6</v>
      </c>
      <c r="J18" s="11">
        <f>data!AR47</f>
        <v>2.7789267216889894E-2</v>
      </c>
      <c r="K18" s="11">
        <f>data!AS47</f>
        <v>9.7359370331094069E-2</v>
      </c>
      <c r="L18" s="11">
        <f>data!AT47</f>
        <v>9.2751727582799814E-2</v>
      </c>
      <c r="M18" s="11">
        <f>data!AU47</f>
        <v>0.96122807449072289</v>
      </c>
    </row>
    <row r="19" spans="1:13" x14ac:dyDescent="0.3">
      <c r="A19" s="13">
        <f>data!AG48</f>
        <v>41904.5</v>
      </c>
      <c r="B19" s="11">
        <f>data!AJ48</f>
        <v>0.28574701858371043</v>
      </c>
      <c r="C19" s="11">
        <f>data!AK48</f>
        <v>3.0176883708947599E-3</v>
      </c>
      <c r="D19" s="11">
        <f>data!AL48</f>
        <v>0.17979682864263127</v>
      </c>
      <c r="E19" s="11">
        <f>data!AM48</f>
        <v>0.12435602891730291</v>
      </c>
      <c r="F19" s="11">
        <f>data!AN48</f>
        <v>0.12115543314996695</v>
      </c>
      <c r="G19" s="11">
        <f>data!AO48</f>
        <v>2.5413019382938801E-2</v>
      </c>
      <c r="H19" s="11">
        <f>data!AP48</f>
        <v>3.4177604255976046E-2</v>
      </c>
      <c r="I19" s="11">
        <f>data!AQ48</f>
        <v>2.3111270444809852E-6</v>
      </c>
      <c r="J19" s="11">
        <f>data!AR48</f>
        <v>4.9812341368834966E-2</v>
      </c>
      <c r="K19" s="11">
        <f>data!AS48</f>
        <v>0.10060842226948823</v>
      </c>
      <c r="L19" s="11">
        <f>data!AT48</f>
        <v>7.5913303931211262E-2</v>
      </c>
      <c r="M19" s="11">
        <f>data!AU48</f>
        <v>0.96122794955594915</v>
      </c>
    </row>
    <row r="20" spans="1:13" x14ac:dyDescent="0.3">
      <c r="A20" s="13">
        <f>data!AG49</f>
        <v>41911.5</v>
      </c>
      <c r="B20" s="11">
        <f>data!AJ49</f>
        <v>0.28598693214357768</v>
      </c>
      <c r="C20" s="11">
        <f>data!AK49</f>
        <v>3.0089743158777911E-3</v>
      </c>
      <c r="D20" s="11">
        <f>data!AL49</f>
        <v>0.17922766390683328</v>
      </c>
      <c r="E20" s="11">
        <f>data!AM49</f>
        <v>0.13293221061660299</v>
      </c>
      <c r="F20" s="11">
        <f>data!AN49</f>
        <v>0.11830062444981918</v>
      </c>
      <c r="G20" s="11">
        <f>data!AO49</f>
        <v>1.5843028411041803E-2</v>
      </c>
      <c r="H20" s="11">
        <f>data!AP49</f>
        <v>3.6302235092048205E-2</v>
      </c>
      <c r="I20" s="11">
        <f>data!AQ49</f>
        <v>2.7227513849671624E-6</v>
      </c>
      <c r="J20" s="11">
        <f>data!AR49</f>
        <v>4.8205541944909856E-2</v>
      </c>
      <c r="K20" s="11">
        <f>data!AS49</f>
        <v>9.7497863511239014E-2</v>
      </c>
      <c r="L20" s="11">
        <f>data!AT49</f>
        <v>8.2692202856665301E-2</v>
      </c>
      <c r="M20" s="11">
        <f>data!AU49</f>
        <v>0.9620161333968289</v>
      </c>
    </row>
    <row r="21" spans="1:13" x14ac:dyDescent="0.3">
      <c r="A21" s="13">
        <f>data!AG50</f>
        <v>41917</v>
      </c>
      <c r="B21" s="11">
        <f>data!AJ50</f>
        <v>0.28728094444255514</v>
      </c>
      <c r="C21" s="11">
        <f>data!AK50</f>
        <v>1.2622907341729515E-3</v>
      </c>
      <c r="D21" s="11">
        <f>data!AL50</f>
        <v>0.20138989925863554</v>
      </c>
      <c r="E21" s="11">
        <f>data!AM50</f>
        <v>0.12466965780761136</v>
      </c>
      <c r="F21" s="11">
        <f>data!AN50</f>
        <v>0.11075453521933286</v>
      </c>
      <c r="G21" s="11">
        <f>data!AO50</f>
        <v>1.0450000108359996E-2</v>
      </c>
      <c r="H21" s="11">
        <f>data!AP50</f>
        <v>3.3594984237424699E-2</v>
      </c>
      <c r="I21" s="11">
        <f>data!AQ50</f>
        <v>9.8695520112200308E-7</v>
      </c>
      <c r="J21" s="11">
        <f>data!AR50</f>
        <v>4.6980022931124292E-2</v>
      </c>
      <c r="K21" s="11">
        <f>data!AS50</f>
        <v>0.10264716887044531</v>
      </c>
      <c r="L21" s="11">
        <f>data!AT50</f>
        <v>8.0969509435136741E-2</v>
      </c>
      <c r="M21" s="11">
        <f>data!AU50</f>
        <v>0.96181195374557371</v>
      </c>
    </row>
    <row r="22" spans="1:13" x14ac:dyDescent="0.3">
      <c r="A22" s="13">
        <f>data!AG51</f>
        <v>41925.5</v>
      </c>
      <c r="B22" s="11">
        <f>data!AJ51</f>
        <v>0.28939427587569971</v>
      </c>
      <c r="C22" s="11">
        <f>data!AK51</f>
        <v>6.8385096066987634E-5</v>
      </c>
      <c r="D22" s="11">
        <f>data!AL51</f>
        <v>0.2217199242753877</v>
      </c>
      <c r="E22" s="11">
        <f>data!AM51</f>
        <v>0.1121165692176813</v>
      </c>
      <c r="F22" s="11">
        <f>data!AN51</f>
        <v>0.10652794919768833</v>
      </c>
      <c r="G22" s="11">
        <f>data!AO51</f>
        <v>5.055522293456528E-3</v>
      </c>
      <c r="H22" s="11">
        <f>data!AP51</f>
        <v>3.5628046000043302E-2</v>
      </c>
      <c r="I22" s="11">
        <f>data!AQ51</f>
        <v>4.3343728719639276E-6</v>
      </c>
      <c r="J22" s="11">
        <f>data!AR51</f>
        <v>4.517499320403031E-2</v>
      </c>
      <c r="K22" s="11">
        <f>data!AS51</f>
        <v>0.10113799162348984</v>
      </c>
      <c r="L22" s="11">
        <f>data!AT51</f>
        <v>8.3172008843583986E-2</v>
      </c>
      <c r="M22" s="11">
        <f>data!AU51</f>
        <v>0.96134565822359086</v>
      </c>
    </row>
    <row r="23" spans="1:13" x14ac:dyDescent="0.3">
      <c r="A23" s="13">
        <f>data!AG52</f>
        <v>41932.5</v>
      </c>
      <c r="B23" s="11">
        <f>data!AJ52</f>
        <v>0.27935451438118114</v>
      </c>
      <c r="C23" s="11">
        <f>data!AK52</f>
        <v>2.8459412670917593E-5</v>
      </c>
      <c r="D23" s="11">
        <f>data!AL52</f>
        <v>0.17432210412149851</v>
      </c>
      <c r="E23" s="11">
        <f>data!AM52</f>
        <v>0.18610388155102295</v>
      </c>
      <c r="F23" s="11">
        <f>data!AN52</f>
        <v>0.13080956454270645</v>
      </c>
      <c r="G23" s="11">
        <f>data!AO52</f>
        <v>8.8106252012747882E-5</v>
      </c>
      <c r="H23" s="11">
        <f>data!AP52</f>
        <v>6.5707151250610926E-2</v>
      </c>
      <c r="I23" s="11">
        <f>data!AQ52</f>
        <v>2.3549911708930822E-6</v>
      </c>
      <c r="J23" s="11">
        <f>data!AR52</f>
        <v>3.8348659749418847E-2</v>
      </c>
      <c r="K23" s="11">
        <f>data!AS52</f>
        <v>5.4145291533249512E-2</v>
      </c>
      <c r="L23" s="11">
        <f>data!AT52</f>
        <v>7.1089912214456999E-2</v>
      </c>
      <c r="M23" s="11">
        <f>data!AU52</f>
        <v>0.95613648587922717</v>
      </c>
    </row>
    <row r="24" spans="1:13" x14ac:dyDescent="0.3">
      <c r="A24" s="13">
        <f>data!AG53</f>
        <v>41939.5</v>
      </c>
      <c r="B24" s="11">
        <f>data!AJ53</f>
        <v>0.27989703170599339</v>
      </c>
      <c r="C24" s="11">
        <f>data!AK53</f>
        <v>8.740763735059118E-5</v>
      </c>
      <c r="D24" s="11">
        <f>data!AL53</f>
        <v>0.17821552353180306</v>
      </c>
      <c r="E24" s="11">
        <f>data!AM53</f>
        <v>0.17454580775863462</v>
      </c>
      <c r="F24" s="11">
        <f>data!AN53</f>
        <v>0.13606253674205257</v>
      </c>
      <c r="G24" s="11">
        <f>data!AO53</f>
        <v>1.2325611163702061E-2</v>
      </c>
      <c r="H24" s="11">
        <f>data!AP53</f>
        <v>6.0162786344635261E-2</v>
      </c>
      <c r="I24" s="11">
        <f>data!AQ53</f>
        <v>7.5501364683454104E-6</v>
      </c>
      <c r="J24" s="11">
        <f>data!AR53</f>
        <v>3.9233766258133483E-2</v>
      </c>
      <c r="K24" s="11">
        <f>data!AS53</f>
        <v>5.5105210711523994E-2</v>
      </c>
      <c r="L24" s="11">
        <f>data!AT53</f>
        <v>6.4356768009702664E-2</v>
      </c>
      <c r="M24" s="11">
        <f>data!AU53</f>
        <v>0.95778070647610913</v>
      </c>
    </row>
    <row r="25" spans="1:13" x14ac:dyDescent="0.3">
      <c r="A25" s="13">
        <f>data!AG54</f>
        <v>41946.5</v>
      </c>
      <c r="B25" s="11">
        <f>data!AJ54</f>
        <v>0.28101919658440655</v>
      </c>
      <c r="C25" s="11">
        <f>data!AK54</f>
        <v>8.5895063333260962E-5</v>
      </c>
      <c r="D25" s="11">
        <f>data!AL54</f>
        <v>0.19192090287091765</v>
      </c>
      <c r="E25" s="11">
        <f>data!AM54</f>
        <v>0.17276279940406086</v>
      </c>
      <c r="F25" s="11">
        <f>data!AN54</f>
        <v>0.13343854078503392</v>
      </c>
      <c r="G25" s="11">
        <f>data!AO54</f>
        <v>9.7040263055528219E-3</v>
      </c>
      <c r="H25" s="11">
        <f>data!AP54</f>
        <v>5.8485456067374923E-2</v>
      </c>
      <c r="I25" s="11">
        <f>data!AQ54</f>
        <v>3.3943596444737716E-6</v>
      </c>
      <c r="J25" s="11">
        <f>data!AR54</f>
        <v>3.6796868703416939E-2</v>
      </c>
      <c r="K25" s="11">
        <f>data!AS54</f>
        <v>5.3999052926176024E-2</v>
      </c>
      <c r="L25" s="11">
        <f>data!AT54</f>
        <v>6.1783866930082608E-2</v>
      </c>
      <c r="M25" s="11">
        <f>data!AU54</f>
        <v>0.96598231492392017</v>
      </c>
    </row>
    <row r="26" spans="1:13" x14ac:dyDescent="0.3">
      <c r="A26" s="13">
        <f>data!AG55</f>
        <v>41953.5</v>
      </c>
      <c r="B26" s="11">
        <f>data!AJ55</f>
        <v>0.28099053223554366</v>
      </c>
      <c r="C26" s="11">
        <f>data!AK55</f>
        <v>8.8305015282875946E-5</v>
      </c>
      <c r="D26" s="11">
        <f>data!AL55</f>
        <v>0.20176770297243715</v>
      </c>
      <c r="E26" s="11">
        <f>data!AM55</f>
        <v>0.16451848399720206</v>
      </c>
      <c r="F26" s="11">
        <f>data!AN55</f>
        <v>0.13054078377122874</v>
      </c>
      <c r="G26" s="11">
        <f>data!AO55</f>
        <v>1.1586230145202733E-2</v>
      </c>
      <c r="H26" s="11">
        <f>data!AP55</f>
        <v>6.0645740438648683E-2</v>
      </c>
      <c r="I26" s="11">
        <f>data!AQ55</f>
        <v>3.0530614564834246E-6</v>
      </c>
      <c r="J26" s="11">
        <f>data!AR55</f>
        <v>3.7510132274988214E-2</v>
      </c>
      <c r="K26" s="11">
        <f>data!AS55</f>
        <v>5.3815675794080753E-2</v>
      </c>
      <c r="L26" s="11">
        <f>data!AT55</f>
        <v>5.8533360293928735E-2</v>
      </c>
      <c r="M26" s="11">
        <f>data!AU55</f>
        <v>0.96436891656013146</v>
      </c>
    </row>
    <row r="27" spans="1:13" x14ac:dyDescent="0.3">
      <c r="A27" s="13">
        <f>data!AG56</f>
        <v>41960.5</v>
      </c>
      <c r="B27" s="11">
        <f>data!AJ56</f>
        <v>0.28250501620759716</v>
      </c>
      <c r="C27" s="11">
        <f>data!AK56</f>
        <v>9.5149380915762386E-5</v>
      </c>
      <c r="D27" s="11">
        <f>data!AL56</f>
        <v>0.20742048743121891</v>
      </c>
      <c r="E27" s="11">
        <f>data!AM56</f>
        <v>0.16323352051144535</v>
      </c>
      <c r="F27" s="11">
        <f>data!AN56</f>
        <v>0.13407382431075238</v>
      </c>
      <c r="G27" s="11">
        <f>data!AO56</f>
        <v>1.2668120260194018E-5</v>
      </c>
      <c r="H27" s="11">
        <f>data!AP56</f>
        <v>7.3531012844767443E-2</v>
      </c>
      <c r="I27" s="11">
        <f>data!AQ56</f>
        <v>4.4279759436390836E-7</v>
      </c>
      <c r="J27" s="11">
        <f>data!AR56</f>
        <v>4.3408498256925027E-2</v>
      </c>
      <c r="K27" s="11">
        <f>data!AS56</f>
        <v>3.8443428337539574E-2</v>
      </c>
      <c r="L27" s="11">
        <f>data!AT56</f>
        <v>5.7275951800983813E-2</v>
      </c>
      <c r="M27" s="11">
        <f>data!AU56</f>
        <v>0.9685349338453928</v>
      </c>
    </row>
    <row r="28" spans="1:13" x14ac:dyDescent="0.3">
      <c r="A28" s="13">
        <f>data!AG57</f>
        <v>41967.5</v>
      </c>
      <c r="B28" s="11">
        <f>data!AJ57</f>
        <v>0.28357070589584826</v>
      </c>
      <c r="C28" s="11">
        <f>data!AK57</f>
        <v>4.9681328939367424E-3</v>
      </c>
      <c r="D28" s="11">
        <f>data!AL57</f>
        <v>0.1732787972859621</v>
      </c>
      <c r="E28" s="11">
        <f>data!AM57</f>
        <v>0.15906949656529054</v>
      </c>
      <c r="F28" s="11">
        <f>data!AN57</f>
        <v>0.13939204795778939</v>
      </c>
      <c r="G28" s="11">
        <f>data!AO57</f>
        <v>9.6331276931895873E-3</v>
      </c>
      <c r="H28" s="11">
        <f>data!AP57</f>
        <v>9.3974655158353321E-2</v>
      </c>
      <c r="I28" s="11">
        <f>data!AQ57</f>
        <v>2.3533585888729686E-6</v>
      </c>
      <c r="J28" s="11">
        <f>data!AR57</f>
        <v>4.4507389759122322E-2</v>
      </c>
      <c r="K28" s="11">
        <f>data!AS57</f>
        <v>4.0825442571887707E-2</v>
      </c>
      <c r="L28" s="11">
        <f>data!AT57</f>
        <v>5.0777850860031101E-2</v>
      </c>
      <c r="M28" s="11">
        <f>data!AU57</f>
        <v>0.96879307873735965</v>
      </c>
    </row>
    <row r="29" spans="1:13" x14ac:dyDescent="0.3">
      <c r="A29" s="13">
        <f>data!AG58</f>
        <v>41974.5</v>
      </c>
      <c r="B29" s="11">
        <f>data!AJ58</f>
        <v>0.28046712626360137</v>
      </c>
      <c r="C29" s="11">
        <f>data!AK58</f>
        <v>3.6350087580656013E-2</v>
      </c>
      <c r="D29" s="11">
        <f>data!AL58</f>
        <v>0.16321262954220131</v>
      </c>
      <c r="E29" s="11">
        <f>data!AM58</f>
        <v>0.119980551209512</v>
      </c>
      <c r="F29" s="11">
        <f>data!AN58</f>
        <v>0.14723746247487077</v>
      </c>
      <c r="G29" s="11">
        <f>data!AO58</f>
        <v>2.7037643271422135E-2</v>
      </c>
      <c r="H29" s="11">
        <f>data!AP58</f>
        <v>0.10673275358613513</v>
      </c>
      <c r="I29" s="11">
        <f>data!AQ58</f>
        <v>3.0612252560122546E-5</v>
      </c>
      <c r="J29" s="11">
        <f>data!AR58</f>
        <v>4.5962045743071299E-2</v>
      </c>
      <c r="K29" s="11">
        <f>data!AS58</f>
        <v>2.3152196746686688E-2</v>
      </c>
      <c r="L29" s="11">
        <f>data!AT58</f>
        <v>4.9836891329283144E-2</v>
      </c>
      <c r="M29" s="11">
        <f>data!AU58</f>
        <v>0.96820674599655665</v>
      </c>
    </row>
    <row r="30" spans="1:13" x14ac:dyDescent="0.3">
      <c r="A30" s="13">
        <f>data!AG59</f>
        <v>41981.5</v>
      </c>
      <c r="B30" s="11">
        <f>data!AJ59</f>
        <v>0.28380078950157345</v>
      </c>
      <c r="C30" s="11">
        <f>data!AK59</f>
        <v>3.3346278460779893E-2</v>
      </c>
      <c r="D30" s="11">
        <f>data!AL59</f>
        <v>0.16695660897902309</v>
      </c>
      <c r="E30" s="11">
        <f>data!AM59</f>
        <v>0.10625252299867627</v>
      </c>
      <c r="F30" s="11">
        <f>data!AN59</f>
        <v>0.14020748099991145</v>
      </c>
      <c r="G30" s="11">
        <f>data!AO59</f>
        <v>8.3845408148417076E-5</v>
      </c>
      <c r="H30" s="11">
        <f>data!AP59</f>
        <v>0.12259215626361888</v>
      </c>
      <c r="I30" s="11">
        <f>data!AQ59</f>
        <v>4.8438286312124331E-5</v>
      </c>
      <c r="J30" s="11">
        <f>data!AR59</f>
        <v>4.7643622620885714E-2</v>
      </c>
      <c r="K30" s="11">
        <f>data!AS59</f>
        <v>4.9118583022418116E-2</v>
      </c>
      <c r="L30" s="11">
        <f>data!AT59</f>
        <v>4.9949673458652671E-2</v>
      </c>
      <c r="M30" s="11">
        <f>data!AU59</f>
        <v>0.97216618250428566</v>
      </c>
    </row>
    <row r="31" spans="1:13" x14ac:dyDescent="0.3">
      <c r="A31" s="13">
        <f>data!AG60</f>
        <v>41988</v>
      </c>
      <c r="B31" s="11">
        <f>data!AJ60</f>
        <v>0.28261647588122291</v>
      </c>
      <c r="C31" s="11">
        <f>data!AK60</f>
        <v>3.1534680245714833E-2</v>
      </c>
      <c r="D31" s="11">
        <f>data!AL60</f>
        <v>0.15893914092990793</v>
      </c>
      <c r="E31" s="11">
        <f>data!AM60</f>
        <v>0.10432968160973329</v>
      </c>
      <c r="F31" s="11">
        <f>data!AN60</f>
        <v>0.15177779809702407</v>
      </c>
      <c r="G31" s="11">
        <f>data!AO60</f>
        <v>8.0749628286890649E-5</v>
      </c>
      <c r="H31" s="11">
        <f>data!AP60</f>
        <v>0.12384371567948436</v>
      </c>
      <c r="I31" s="11">
        <f>data!AQ60</f>
        <v>5.6887782427440674E-5</v>
      </c>
      <c r="J31" s="11">
        <f>data!AR60</f>
        <v>5.6459360357043201E-2</v>
      </c>
      <c r="K31" s="11">
        <f>data!AS60</f>
        <v>4.0141063876778148E-2</v>
      </c>
      <c r="L31" s="11">
        <f>data!AT60</f>
        <v>5.0220445912376947E-2</v>
      </c>
      <c r="M31" s="11">
        <f>data!AU60</f>
        <v>0.97188921865080846</v>
      </c>
    </row>
    <row r="32" spans="1:13" x14ac:dyDescent="0.3">
      <c r="A32" s="13">
        <f>data!AG61</f>
        <v>41995.5</v>
      </c>
      <c r="B32" s="11">
        <f>data!AJ61</f>
        <v>0.27862734316660537</v>
      </c>
      <c r="C32" s="11">
        <f>data!AK61</f>
        <v>4.0472611935466168E-2</v>
      </c>
      <c r="D32" s="11">
        <f>data!AL61</f>
        <v>0.17547440364562994</v>
      </c>
      <c r="E32" s="11">
        <f>data!AM61</f>
        <v>0.12742402531874739</v>
      </c>
      <c r="F32" s="11">
        <f>data!AN61</f>
        <v>0.13917840130601616</v>
      </c>
      <c r="G32" s="11">
        <f>data!AO61</f>
        <v>2.1563784791033378E-5</v>
      </c>
      <c r="H32" s="11">
        <f>data!AP61</f>
        <v>0.13275600741448559</v>
      </c>
      <c r="I32" s="11">
        <f>data!AQ61</f>
        <v>2.2140566762995122E-2</v>
      </c>
      <c r="J32" s="11">
        <f>data!AR61</f>
        <v>4.1741206734266061E-2</v>
      </c>
      <c r="K32" s="11">
        <f>data!AS61</f>
        <v>1.1060335783534218E-2</v>
      </c>
      <c r="L32" s="11">
        <f>data!AT61</f>
        <v>3.1103534147462968E-2</v>
      </c>
      <c r="M32" s="11">
        <f>data!AU61</f>
        <v>0.97597216660169528</v>
      </c>
    </row>
    <row r="33" spans="1:13" x14ac:dyDescent="0.3">
      <c r="A33" s="13">
        <f>data!AG62</f>
        <v>42002.5</v>
      </c>
      <c r="B33" s="11">
        <f>data!AJ62</f>
        <v>0.27562539256869001</v>
      </c>
      <c r="C33" s="11">
        <f>data!AK62</f>
        <v>1.911608368387669E-2</v>
      </c>
      <c r="D33" s="11">
        <f>data!AL62</f>
        <v>0.1054095590733246</v>
      </c>
      <c r="E33" s="11">
        <f>data!AM62</f>
        <v>0.18320682571298869</v>
      </c>
      <c r="F33" s="11">
        <f>data!AN62</f>
        <v>0.15221550229576672</v>
      </c>
      <c r="G33" s="11">
        <f>data!AO62</f>
        <v>8.8852691485169169E-5</v>
      </c>
      <c r="H33" s="11">
        <f>data!AP62</f>
        <v>0.14536029505613351</v>
      </c>
      <c r="I33" s="11">
        <f>data!AQ62</f>
        <v>7.2514439599843036E-3</v>
      </c>
      <c r="J33" s="11">
        <f>data!AR62</f>
        <v>5.8210796996565214E-2</v>
      </c>
      <c r="K33" s="11">
        <f>data!AS62</f>
        <v>3.7239302127747669E-2</v>
      </c>
      <c r="L33" s="11">
        <f>data!AT62</f>
        <v>1.6275945833437493E-2</v>
      </c>
      <c r="M33" s="11">
        <f>data!AU62</f>
        <v>0.97335277089722683</v>
      </c>
    </row>
    <row r="34" spans="1:13" x14ac:dyDescent="0.3">
      <c r="A34" s="13">
        <f>data!AG63</f>
        <v>42009.5</v>
      </c>
      <c r="B34" s="11">
        <f>data!AJ63</f>
        <v>0.27657557121940979</v>
      </c>
      <c r="C34" s="11">
        <f>data!AK63</f>
        <v>1.030920585587051E-2</v>
      </c>
      <c r="D34" s="11">
        <f>data!AL63</f>
        <v>0.11187466718376017</v>
      </c>
      <c r="E34" s="11">
        <f>data!AM63</f>
        <v>0.16875466166099001</v>
      </c>
      <c r="F34" s="11">
        <f>data!AN63</f>
        <v>0.14036517567793275</v>
      </c>
      <c r="G34" s="11">
        <f>data!AO63</f>
        <v>8.9672959483765322E-6</v>
      </c>
      <c r="H34" s="11">
        <f>data!AP63</f>
        <v>0.17515815117830713</v>
      </c>
      <c r="I34" s="11">
        <f>data!AQ63</f>
        <v>8.0230805828841231E-3</v>
      </c>
      <c r="J34" s="11">
        <f>data!AR63</f>
        <v>6.243906179905373E-2</v>
      </c>
      <c r="K34" s="11">
        <f>data!AS63</f>
        <v>4.6411152786370556E-2</v>
      </c>
      <c r="L34" s="11">
        <f>data!AT63</f>
        <v>8.0304759472848091E-5</v>
      </c>
      <c r="M34" s="11">
        <f>data!AU63</f>
        <v>0.97872615011086073</v>
      </c>
    </row>
    <row r="35" spans="1:13" x14ac:dyDescent="0.3">
      <c r="A35" s="13">
        <f>data!AG64</f>
        <v>42016.5</v>
      </c>
      <c r="B35" s="11">
        <f>data!AJ64</f>
        <v>0.27422173898102503</v>
      </c>
      <c r="C35" s="11">
        <f>data!AK64</f>
        <v>1.0875394882752375E-6</v>
      </c>
      <c r="D35" s="11">
        <f>data!AL64</f>
        <v>1.0243697508214093E-4</v>
      </c>
      <c r="E35" s="11">
        <f>data!AM64</f>
        <v>0.22136638591869562</v>
      </c>
      <c r="F35" s="11">
        <f>data!AN64</f>
        <v>0.12960650888178446</v>
      </c>
      <c r="G35" s="11">
        <f>data!AO64</f>
        <v>1.0460831500957261E-6</v>
      </c>
      <c r="H35" s="11">
        <f>data!AP64</f>
        <v>0.18005022881025573</v>
      </c>
      <c r="I35" s="11">
        <f>data!AQ64</f>
        <v>8.7122705131387199E-6</v>
      </c>
      <c r="J35" s="11">
        <f>data!AR64</f>
        <v>6.1743302136420819E-2</v>
      </c>
      <c r="K35" s="11">
        <f>data!AS64</f>
        <v>0.12854950743268467</v>
      </c>
      <c r="L35" s="11">
        <f>data!AT64</f>
        <v>4.3490449708999887E-3</v>
      </c>
      <c r="M35" s="11">
        <f>data!AU64</f>
        <v>0.97333679137488816</v>
      </c>
    </row>
    <row r="36" spans="1:13" x14ac:dyDescent="0.3">
      <c r="A36" s="13">
        <f>data!AG65</f>
        <v>42023.5</v>
      </c>
      <c r="B36" s="11">
        <f>data!AJ65</f>
        <v>0.27463987282915797</v>
      </c>
      <c r="C36" s="11">
        <f>data!AK65</f>
        <v>6.0938796326836542E-5</v>
      </c>
      <c r="D36" s="11">
        <f>data!AL65</f>
        <v>1.0523113689671742E-2</v>
      </c>
      <c r="E36" s="11">
        <f>data!AM65</f>
        <v>0.21054220088664616</v>
      </c>
      <c r="F36" s="11">
        <f>data!AN65</f>
        <v>0.12902122797807034</v>
      </c>
      <c r="G36" s="11">
        <f>data!AO65</f>
        <v>1.7377116727698843E-5</v>
      </c>
      <c r="H36" s="11">
        <f>data!AP65</f>
        <v>0.18401900617748734</v>
      </c>
      <c r="I36" s="11">
        <f>data!AQ65</f>
        <v>1.3569660641613563E-5</v>
      </c>
      <c r="J36" s="11">
        <f>data!AR65</f>
        <v>5.9342418959874313E-2</v>
      </c>
      <c r="K36" s="11">
        <f>data!AS65</f>
        <v>0.12330701727666608</v>
      </c>
      <c r="L36" s="11">
        <f>data!AT65</f>
        <v>8.5132566287299261E-3</v>
      </c>
      <c r="M36" s="11">
        <f>data!AU65</f>
        <v>0.97623882738548418</v>
      </c>
    </row>
    <row r="37" spans="1:13" x14ac:dyDescent="0.3">
      <c r="A37" s="13">
        <f>data!AG66</f>
        <v>42030.5</v>
      </c>
      <c r="B37" s="11">
        <f>data!AJ66</f>
        <v>0.27523550690275378</v>
      </c>
      <c r="C37" s="11">
        <f>data!AK66</f>
        <v>4.6450708771980903E-5</v>
      </c>
      <c r="D37" s="11">
        <f>data!AL66</f>
        <v>5.5944447325827693E-2</v>
      </c>
      <c r="E37" s="11">
        <f>data!AM66</f>
        <v>0.18856185837132561</v>
      </c>
      <c r="F37" s="11">
        <f>data!AN66</f>
        <v>0.11168865429162407</v>
      </c>
      <c r="G37" s="11">
        <f>data!AO66</f>
        <v>8.1970919595247162E-5</v>
      </c>
      <c r="H37" s="11">
        <f>data!AP66</f>
        <v>0.18351616483021416</v>
      </c>
      <c r="I37" s="11">
        <f>data!AQ66</f>
        <v>3.6764802966690828E-5</v>
      </c>
      <c r="J37" s="11">
        <f>data!AR66</f>
        <v>5.7731721380200135E-2</v>
      </c>
      <c r="K37" s="11">
        <f>data!AS66</f>
        <v>0.12261337857054429</v>
      </c>
      <c r="L37" s="11">
        <f>data!AT66</f>
        <v>4.5430818961763554E-3</v>
      </c>
      <c r="M37" s="11">
        <f>data!AU66</f>
        <v>0.97551471128214506</v>
      </c>
    </row>
    <row r="38" spans="1:13" x14ac:dyDescent="0.3">
      <c r="A38" s="13">
        <f>data!AG67</f>
        <v>42037.5</v>
      </c>
      <c r="B38" s="11">
        <f>data!AJ67</f>
        <v>0.2692370742402892</v>
      </c>
      <c r="C38" s="11">
        <f>data!AK67</f>
        <v>7.9700535054391241E-5</v>
      </c>
      <c r="D38" s="11">
        <f>data!AL67</f>
        <v>8.1654844168558768E-2</v>
      </c>
      <c r="E38" s="11">
        <f>data!AM67</f>
        <v>0.18647694772856277</v>
      </c>
      <c r="F38" s="11">
        <f>data!AN67</f>
        <v>0.11131804443066291</v>
      </c>
      <c r="G38" s="11">
        <f>data!AO67</f>
        <v>5.6573879416880011E-5</v>
      </c>
      <c r="H38" s="11">
        <f>data!AP67</f>
        <v>0.15627859567885244</v>
      </c>
      <c r="I38" s="11">
        <f>data!AQ67</f>
        <v>8.7449651356320913E-5</v>
      </c>
      <c r="J38" s="11">
        <f>data!AR67</f>
        <v>6.2471588033912985E-2</v>
      </c>
      <c r="K38" s="11">
        <f>data!AS67</f>
        <v>0.10940148952876255</v>
      </c>
      <c r="L38" s="11">
        <f>data!AT67</f>
        <v>2.2937692124570763E-2</v>
      </c>
      <c r="M38" s="11">
        <f>data!AU67</f>
        <v>0.98285144890342802</v>
      </c>
    </row>
    <row r="39" spans="1:13" x14ac:dyDescent="0.3">
      <c r="A39" s="13">
        <f>data!AG68</f>
        <v>42044.5</v>
      </c>
      <c r="B39" s="11">
        <f>data!AJ68</f>
        <v>0.26157181900002757</v>
      </c>
      <c r="C39" s="11">
        <f>data!AK68</f>
        <v>7.7926906325068847E-6</v>
      </c>
      <c r="D39" s="11">
        <f>data!AL68</f>
        <v>5.0123820168018189E-2</v>
      </c>
      <c r="E39" s="11">
        <f>data!AM68</f>
        <v>0.16076937281642384</v>
      </c>
      <c r="F39" s="11">
        <f>data!AN68</f>
        <v>0.1130995332467338</v>
      </c>
      <c r="G39" s="11">
        <f>data!AO68</f>
        <v>5.8281360022460276E-5</v>
      </c>
      <c r="H39" s="11">
        <f>data!AP68</f>
        <v>0.18117412823822021</v>
      </c>
      <c r="I39" s="11">
        <f>data!AQ68</f>
        <v>2.2367692249281412E-3</v>
      </c>
      <c r="J39" s="11">
        <f>data!AR68</f>
        <v>9.323593868416423E-2</v>
      </c>
      <c r="K39" s="11">
        <f>data!AS68</f>
        <v>0.10308807720901661</v>
      </c>
      <c r="L39" s="11">
        <f>data!AT68</f>
        <v>3.4634467361812506E-2</v>
      </c>
      <c r="M39" s="11">
        <f>data!AU68</f>
        <v>0.9826109770535093</v>
      </c>
    </row>
    <row r="40" spans="1:13" x14ac:dyDescent="0.3">
      <c r="A40" s="13">
        <f>data!AG69</f>
        <v>42050</v>
      </c>
      <c r="B40" s="11">
        <f>data!AJ69</f>
        <v>0.25427971034099828</v>
      </c>
      <c r="C40" s="11">
        <f>data!AK69</f>
        <v>4.5143356746573786E-6</v>
      </c>
      <c r="D40" s="11">
        <f>data!AL69</f>
        <v>3.476520683592399E-2</v>
      </c>
      <c r="E40" s="11">
        <f>data!AM69</f>
        <v>0.1876223690702252</v>
      </c>
      <c r="F40" s="11">
        <f>data!AN69</f>
        <v>0.12178896825521103</v>
      </c>
      <c r="G40" s="11">
        <f>data!AO69</f>
        <v>3.4962808421842573E-3</v>
      </c>
      <c r="H40" s="11">
        <f>data!AP69</f>
        <v>0.16476534776226923</v>
      </c>
      <c r="I40" s="11">
        <f>data!AQ69</f>
        <v>4.9594267111472161E-3</v>
      </c>
      <c r="J40" s="11">
        <f>data!AR69</f>
        <v>0.10051955362403379</v>
      </c>
      <c r="K40" s="11">
        <f>data!AS69</f>
        <v>0.10037312391544728</v>
      </c>
      <c r="L40" s="11">
        <f>data!AT69</f>
        <v>2.7425498306885052E-2</v>
      </c>
      <c r="M40" s="11">
        <f>data!AU69</f>
        <v>0.98739251923928251</v>
      </c>
    </row>
    <row r="41" spans="1:13" x14ac:dyDescent="0.3">
      <c r="A41" s="13">
        <f>data!AG70</f>
        <v>42058.5</v>
      </c>
      <c r="B41" s="11">
        <f>data!AJ70</f>
        <v>0.23513445755647039</v>
      </c>
      <c r="C41" s="11">
        <f>data!AK70</f>
        <v>2.0738855862115337E-5</v>
      </c>
      <c r="D41" s="11">
        <f>data!AL70</f>
        <v>8.3464971502353891E-5</v>
      </c>
      <c r="E41" s="11">
        <f>data!AM70</f>
        <v>0.18604504036806638</v>
      </c>
      <c r="F41" s="11">
        <f>data!AN70</f>
        <v>0.12689289081505958</v>
      </c>
      <c r="G41" s="11">
        <f>data!AO70</f>
        <v>4.8251281089769065E-5</v>
      </c>
      <c r="H41" s="11">
        <f>data!AP70</f>
        <v>0.13382686173318423</v>
      </c>
      <c r="I41" s="11">
        <f>data!AQ70</f>
        <v>1.9035160150044056E-2</v>
      </c>
      <c r="J41" s="11">
        <f>data!AR70</f>
        <v>9.0196209557850057E-2</v>
      </c>
      <c r="K41" s="11">
        <f>data!AS70</f>
        <v>0.16806003161469482</v>
      </c>
      <c r="L41" s="11">
        <f>data!AT70</f>
        <v>4.0656893096176316E-2</v>
      </c>
      <c r="M41" s="11">
        <f>data!AU70</f>
        <v>0.98336554759045303</v>
      </c>
    </row>
    <row r="42" spans="1:13" x14ac:dyDescent="0.3">
      <c r="A42" s="13">
        <f>data!AG71</f>
        <v>42065.5</v>
      </c>
      <c r="B42" s="11">
        <f>data!AJ71</f>
        <v>0.23307459406764788</v>
      </c>
      <c r="C42" s="11">
        <f>data!AK71</f>
        <v>3.1335810568006938E-5</v>
      </c>
      <c r="D42" s="11">
        <f>data!AL71</f>
        <v>5.4338075193850658E-5</v>
      </c>
      <c r="E42" s="11">
        <f>data!AM71</f>
        <v>8.0144284148324973E-2</v>
      </c>
      <c r="F42" s="11">
        <f>data!AN71</f>
        <v>8.3475088765761679E-2</v>
      </c>
      <c r="G42" s="11">
        <f>data!AO71</f>
        <v>4.3185587446048166E-5</v>
      </c>
      <c r="H42" s="11">
        <f>data!AP71</f>
        <v>0.22494562541103524</v>
      </c>
      <c r="I42" s="11">
        <f>data!AQ71</f>
        <v>8.7873679843582529E-5</v>
      </c>
      <c r="J42" s="11">
        <f>data!AR71</f>
        <v>0.11375812097510606</v>
      </c>
      <c r="K42" s="11">
        <f>data!AS71</f>
        <v>0.23925617781719019</v>
      </c>
      <c r="L42" s="11">
        <f>data!AT71</f>
        <v>2.512937566188252E-2</v>
      </c>
      <c r="M42" s="11">
        <f>data!AU71</f>
        <v>0.98154153197858174</v>
      </c>
    </row>
    <row r="43" spans="1:13" x14ac:dyDescent="0.3">
      <c r="A43" s="13">
        <f>data!AG72</f>
        <v>42072.5</v>
      </c>
      <c r="B43" s="11">
        <f>data!AJ72</f>
        <v>0.23745019910482282</v>
      </c>
      <c r="C43" s="11">
        <f>data!AK72</f>
        <v>3.4791100857400122E-5</v>
      </c>
      <c r="D43" s="11">
        <f>data!AL72</f>
        <v>5.6653153630818964E-5</v>
      </c>
      <c r="E43" s="11">
        <f>data!AM72</f>
        <v>7.7697543040178368E-2</v>
      </c>
      <c r="F43" s="11">
        <f>data!AN72</f>
        <v>6.5201914897578719E-2</v>
      </c>
      <c r="G43" s="11">
        <f>data!AO72</f>
        <v>5.0207626538320542E-5</v>
      </c>
      <c r="H43" s="11">
        <f>data!AP72</f>
        <v>0.20287101384353307</v>
      </c>
      <c r="I43" s="11">
        <f>data!AQ72</f>
        <v>8.498613682763073E-5</v>
      </c>
      <c r="J43" s="11">
        <f>data!AR72</f>
        <v>0.10226688034799991</v>
      </c>
      <c r="K43" s="11">
        <f>data!AS72</f>
        <v>0.28512453104065055</v>
      </c>
      <c r="L43" s="11">
        <f>data!AT72</f>
        <v>2.9161279707382495E-2</v>
      </c>
      <c r="M43" s="11">
        <f>data!AU72</f>
        <v>0.98155495496620215</v>
      </c>
    </row>
    <row r="44" spans="1:13" x14ac:dyDescent="0.3">
      <c r="A44" s="13">
        <f>data!AG73</f>
        <v>42079.5</v>
      </c>
      <c r="B44" s="11">
        <f>data!AJ73</f>
        <v>0.22756171015932997</v>
      </c>
      <c r="C44" s="11">
        <f>data!AK73</f>
        <v>3.1679430727132326E-5</v>
      </c>
      <c r="D44" s="11">
        <f>data!AL73</f>
        <v>7.5104256457330623E-5</v>
      </c>
      <c r="E44" s="11">
        <f>data!AM73</f>
        <v>7.3352519790632023E-2</v>
      </c>
      <c r="F44" s="11">
        <f>data!AN73</f>
        <v>6.7318578084607672E-2</v>
      </c>
      <c r="G44" s="11">
        <f>data!AO73</f>
        <v>6.3457835457424039E-5</v>
      </c>
      <c r="H44" s="11">
        <f>data!AP73</f>
        <v>0.20339823134368251</v>
      </c>
      <c r="I44" s="11">
        <f>data!AQ73</f>
        <v>3.095019898501978E-5</v>
      </c>
      <c r="J44" s="11">
        <f>data!AR73</f>
        <v>0.11823935078267324</v>
      </c>
      <c r="K44" s="11">
        <f>data!AS73</f>
        <v>0.26997371519279018</v>
      </c>
      <c r="L44" s="11">
        <f>data!AT73</f>
        <v>3.9954702924657484E-2</v>
      </c>
      <c r="M44" s="11">
        <f>data!AU73</f>
        <v>0.98139179742778793</v>
      </c>
    </row>
    <row r="45" spans="1:13" x14ac:dyDescent="0.3">
      <c r="A45" s="13">
        <f>data!AG74</f>
        <v>42086.5</v>
      </c>
      <c r="B45" s="11">
        <f>data!AJ74</f>
        <v>0.22752101775225608</v>
      </c>
      <c r="C45" s="11">
        <f>data!AK74</f>
        <v>3.1029116038098838E-5</v>
      </c>
      <c r="D45" s="11">
        <f>data!AL74</f>
        <v>7.8155878381748074E-5</v>
      </c>
      <c r="E45" s="11">
        <f>data!AM74</f>
        <v>7.0437802378783346E-2</v>
      </c>
      <c r="F45" s="11">
        <f>data!AN74</f>
        <v>6.9347626263903936E-2</v>
      </c>
      <c r="G45" s="11">
        <f>data!AO74</f>
        <v>6.2429826957933319E-5</v>
      </c>
      <c r="H45" s="11">
        <f>data!AP74</f>
        <v>0.20283557064159138</v>
      </c>
      <c r="I45" s="11">
        <f>data!AQ74</f>
        <v>3.0845686119191519E-5</v>
      </c>
      <c r="J45" s="11">
        <f>data!AR74</f>
        <v>0.12098558050235969</v>
      </c>
      <c r="K45" s="11">
        <f>data!AS74</f>
        <v>0.26886775273001473</v>
      </c>
      <c r="L45" s="11">
        <f>data!AT74</f>
        <v>3.9802189223593895E-2</v>
      </c>
      <c r="M45" s="11">
        <f>data!AU74</f>
        <v>0.98128224996692792</v>
      </c>
    </row>
    <row r="46" spans="1:13" x14ac:dyDescent="0.3">
      <c r="A46" s="13">
        <f>data!AG75</f>
        <v>42093.5</v>
      </c>
      <c r="B46" s="11">
        <f>data!AJ75</f>
        <v>0.2316669908709946</v>
      </c>
      <c r="C46" s="11">
        <f>data!AK75</f>
        <v>3.0411767929033908E-5</v>
      </c>
      <c r="D46" s="11">
        <f>data!AL75</f>
        <v>5.1036631369557185E-5</v>
      </c>
      <c r="E46" s="11">
        <f>data!AM75</f>
        <v>6.6199245813682986E-2</v>
      </c>
      <c r="F46" s="11">
        <f>data!AN75</f>
        <v>5.6423097436362035E-2</v>
      </c>
      <c r="G46" s="11">
        <f>data!AO75</f>
        <v>6.4039710457296199E-5</v>
      </c>
      <c r="H46" s="11">
        <f>data!AP75</f>
        <v>0.21616997405947658</v>
      </c>
      <c r="I46" s="11">
        <f>data!AQ75</f>
        <v>2.5239075803863346E-5</v>
      </c>
      <c r="J46" s="11">
        <f>data!AR75</f>
        <v>0.10762172746667295</v>
      </c>
      <c r="K46" s="11">
        <f>data!AS75</f>
        <v>0.28055568118330437</v>
      </c>
      <c r="L46" s="11">
        <f>data!AT75</f>
        <v>4.1192555983946812E-2</v>
      </c>
      <c r="M46" s="11">
        <f>data!AU75</f>
        <v>0.98121168377645129</v>
      </c>
    </row>
    <row r="47" spans="1:13" x14ac:dyDescent="0.3">
      <c r="A47" s="13">
        <f>data!AG76</f>
        <v>42100.5</v>
      </c>
      <c r="B47" s="11">
        <f>data!AJ76</f>
        <v>0.22581021714795724</v>
      </c>
      <c r="C47" s="11">
        <f>data!AK76</f>
        <v>3.6062109106082955E-5</v>
      </c>
      <c r="D47" s="11">
        <f>data!AL76</f>
        <v>4.144916146353427E-5</v>
      </c>
      <c r="E47" s="11">
        <f>data!AM76</f>
        <v>7.0445926958187938E-2</v>
      </c>
      <c r="F47" s="11">
        <f>data!AN76</f>
        <v>5.4998538114620438E-2</v>
      </c>
      <c r="G47" s="11">
        <f>data!AO76</f>
        <v>4.9313591165472959E-5</v>
      </c>
      <c r="H47" s="11">
        <f>data!AP76</f>
        <v>0.20369314779178227</v>
      </c>
      <c r="I47" s="11">
        <f>data!AQ76</f>
        <v>2.220422483636399E-5</v>
      </c>
      <c r="J47" s="11">
        <f>data!AR76</f>
        <v>0.10396955292614432</v>
      </c>
      <c r="K47" s="11">
        <f>data!AS76</f>
        <v>0.28714964734612747</v>
      </c>
      <c r="L47" s="11">
        <f>data!AT76</f>
        <v>5.3783940628608896E-2</v>
      </c>
      <c r="M47" s="11">
        <f>data!AU76</f>
        <v>0.98237954130782479</v>
      </c>
    </row>
    <row r="48" spans="1:13" x14ac:dyDescent="0.3">
      <c r="A48" s="13">
        <f>data!AG77</f>
        <v>42107.5</v>
      </c>
      <c r="B48" s="11">
        <f>data!AJ77</f>
        <v>0.22653860194840411</v>
      </c>
      <c r="C48" s="11">
        <f>data!AK77</f>
        <v>3.2705930867142679E-6</v>
      </c>
      <c r="D48" s="11">
        <f>data!AL77</f>
        <v>2.3399622520859491E-5</v>
      </c>
      <c r="E48" s="11">
        <f>data!AM77</f>
        <v>8.4850519020186424E-5</v>
      </c>
      <c r="F48" s="11">
        <f>data!AN77</f>
        <v>1.7573782514423871E-2</v>
      </c>
      <c r="G48" s="11">
        <f>data!AO77</f>
        <v>1.3351233366502353E-5</v>
      </c>
      <c r="H48" s="11">
        <f>data!AP77</f>
        <v>0.26742380496833545</v>
      </c>
      <c r="I48" s="11">
        <f>data!AQ77</f>
        <v>1.0907550519616932E-6</v>
      </c>
      <c r="J48" s="11">
        <f>data!AR77</f>
        <v>0.11922290954453871</v>
      </c>
      <c r="K48" s="11">
        <f>data!AS77</f>
        <v>0.30890507619292168</v>
      </c>
      <c r="L48" s="11">
        <f>data!AT77</f>
        <v>6.0209862108329945E-2</v>
      </c>
      <c r="M48" s="11">
        <f>data!AU77</f>
        <v>0.9791892740315169</v>
      </c>
    </row>
    <row r="49" spans="1:13" x14ac:dyDescent="0.3">
      <c r="A49" s="13">
        <f>data!AG78</f>
        <v>42113.5</v>
      </c>
      <c r="B49" s="11">
        <f>data!AJ78</f>
        <v>0.19818320639952586</v>
      </c>
      <c r="C49" s="11">
        <f>data!AK78</f>
        <v>4.3119276437657057E-6</v>
      </c>
      <c r="D49" s="11">
        <f>data!AL78</f>
        <v>2.5211279190175159E-5</v>
      </c>
      <c r="E49" s="11">
        <f>data!AM78</f>
        <v>9.9192881248576613E-6</v>
      </c>
      <c r="F49" s="11">
        <f>data!AN78</f>
        <v>8.4919423518982489E-5</v>
      </c>
      <c r="G49" s="11">
        <f>data!AO78</f>
        <v>4.6203066431237726E-5</v>
      </c>
      <c r="H49" s="11">
        <f>data!AP78</f>
        <v>0.3025220367604784</v>
      </c>
      <c r="I49" s="11">
        <f>data!AQ78</f>
        <v>2.8509264078361239E-6</v>
      </c>
      <c r="J49" s="11">
        <f>data!AR78</f>
        <v>0.13243899868672995</v>
      </c>
      <c r="K49" s="11">
        <f>data!AS78</f>
        <v>0.29870471792916797</v>
      </c>
      <c r="L49" s="11">
        <f>data!AT78</f>
        <v>6.7977624312780982E-2</v>
      </c>
      <c r="M49" s="11">
        <f>data!AU78</f>
        <v>0.98202800987222516</v>
      </c>
    </row>
    <row r="50" spans="1:13" x14ac:dyDescent="0.3">
      <c r="A50" s="13">
        <f>data!AG79</f>
        <v>42121.5</v>
      </c>
      <c r="B50" s="11">
        <f>data!AJ79</f>
        <v>0.16011041481005489</v>
      </c>
      <c r="C50" s="11">
        <f>data!AK79</f>
        <v>1.4630724710104108E-5</v>
      </c>
      <c r="D50" s="11">
        <f>data!AL79</f>
        <v>3.7341361494894871E-5</v>
      </c>
      <c r="E50" s="11">
        <f>data!AM79</f>
        <v>1.976006645942376E-5</v>
      </c>
      <c r="F50" s="11">
        <f>data!AN79</f>
        <v>1.6979793208999429E-2</v>
      </c>
      <c r="G50" s="11">
        <f>data!AO79</f>
        <v>4.6447007024068126E-5</v>
      </c>
      <c r="H50" s="11">
        <f>data!AP79</f>
        <v>0.33761828004262956</v>
      </c>
      <c r="I50" s="11">
        <f>data!AQ79</f>
        <v>6.8332009457309373E-6</v>
      </c>
      <c r="J50" s="11">
        <f>data!AR79</f>
        <v>0.15472519993436304</v>
      </c>
      <c r="K50" s="11">
        <f>data!AS79</f>
        <v>0.25443552689685622</v>
      </c>
      <c r="L50" s="11">
        <f>data!AT79</f>
        <v>7.6005772746462738E-2</v>
      </c>
      <c r="M50" s="11">
        <f>data!AU79</f>
        <v>0.98320172796394967</v>
      </c>
    </row>
    <row r="51" spans="1:13" x14ac:dyDescent="0.3">
      <c r="A51" s="13">
        <f>data!AG80</f>
        <v>42128.5</v>
      </c>
      <c r="B51" s="11">
        <f>data!AJ80</f>
        <v>0.15360597870345929</v>
      </c>
      <c r="C51" s="11">
        <f>data!AK80</f>
        <v>1.4081444685807115E-5</v>
      </c>
      <c r="D51" s="11">
        <f>data!AL80</f>
        <v>1.0065989834207425E-5</v>
      </c>
      <c r="E51" s="11">
        <f>data!AM80</f>
        <v>4.0074639177365015E-6</v>
      </c>
      <c r="F51" s="11">
        <f>data!AN80</f>
        <v>2.8984025372940921E-2</v>
      </c>
      <c r="G51" s="11">
        <f>data!AO80</f>
        <v>5.4155854867344094E-3</v>
      </c>
      <c r="H51" s="11">
        <f>data!AP80</f>
        <v>0.32294294484315067</v>
      </c>
      <c r="I51" s="11">
        <f>data!AQ80</f>
        <v>1.523546366152046E-6</v>
      </c>
      <c r="J51" s="11">
        <f>data!AR80</f>
        <v>0.16500390260344602</v>
      </c>
      <c r="K51" s="11">
        <f>data!AS80</f>
        <v>0.24227768031479488</v>
      </c>
      <c r="L51" s="11">
        <f>data!AT80</f>
        <v>8.1740204230669827E-2</v>
      </c>
      <c r="M51" s="11">
        <f>data!AU80</f>
        <v>0.98197132651126362</v>
      </c>
    </row>
    <row r="52" spans="1:13" x14ac:dyDescent="0.3">
      <c r="A52" s="13">
        <f>data!AG81</f>
        <v>42135.5</v>
      </c>
      <c r="B52" s="11">
        <f>data!AJ81</f>
        <v>0.14668093069182347</v>
      </c>
      <c r="C52" s="11">
        <f>data!AK81</f>
        <v>2.7509472128875993E-5</v>
      </c>
      <c r="D52" s="11">
        <f>data!AL81</f>
        <v>5.075936896884199E-5</v>
      </c>
      <c r="E52" s="11">
        <f>data!AM81</f>
        <v>1.4978628534309804E-5</v>
      </c>
      <c r="F52" s="11">
        <f>data!AN81</f>
        <v>1.8170880373796799E-2</v>
      </c>
      <c r="G52" s="11">
        <f>data!AO81</f>
        <v>2.7054145932855662E-2</v>
      </c>
      <c r="H52" s="11">
        <f>data!AP81</f>
        <v>0.33235467216136572</v>
      </c>
      <c r="I52" s="11">
        <f>data!AQ81</f>
        <v>5.3925578907583996E-6</v>
      </c>
      <c r="J52" s="11">
        <f>data!AR81</f>
        <v>0.14791913089529757</v>
      </c>
      <c r="K52" s="11">
        <f>data!AS81</f>
        <v>0.24628402402106991</v>
      </c>
      <c r="L52" s="11">
        <f>data!AT81</f>
        <v>8.14375758962681E-2</v>
      </c>
      <c r="M52" s="11">
        <f>data!AU81</f>
        <v>0.98222924604228556</v>
      </c>
    </row>
    <row r="53" spans="1:13" x14ac:dyDescent="0.3">
      <c r="A53" s="13">
        <f>data!AG82</f>
        <v>42140.5</v>
      </c>
      <c r="B53" s="11">
        <f>data!AJ82</f>
        <v>0.14558027734471546</v>
      </c>
      <c r="C53" s="11">
        <f>data!AK82</f>
        <v>3.3576034478075063E-5</v>
      </c>
      <c r="D53" s="11">
        <f>data!AL82</f>
        <v>4.2378297426275035E-5</v>
      </c>
      <c r="E53" s="11">
        <f>data!AM82</f>
        <v>1.1142197277322576E-5</v>
      </c>
      <c r="F53" s="11">
        <f>data!AN82</f>
        <v>1.7592336502204559E-2</v>
      </c>
      <c r="G53" s="11">
        <f>data!AO82</f>
        <v>2.0105647823273225E-2</v>
      </c>
      <c r="H53" s="11">
        <f>data!AP82</f>
        <v>0.34053216325755198</v>
      </c>
      <c r="I53" s="11">
        <f>data!AQ82</f>
        <v>4.17050429581763E-6</v>
      </c>
      <c r="J53" s="11">
        <f>data!AR82</f>
        <v>0.14375332019452922</v>
      </c>
      <c r="K53" s="11">
        <f>data!AS82</f>
        <v>0.24920096469537492</v>
      </c>
      <c r="L53" s="11">
        <f>data!AT82</f>
        <v>8.3144023148873245E-2</v>
      </c>
      <c r="M53" s="11">
        <f>data!AU82</f>
        <v>0.98234419195952627</v>
      </c>
    </row>
    <row r="54" spans="1:13" x14ac:dyDescent="0.3">
      <c r="A54" s="13">
        <f>data!AG83</f>
        <v>42149.5</v>
      </c>
      <c r="B54" s="11">
        <f>data!AJ83</f>
        <v>0.11253577767177886</v>
      </c>
      <c r="C54" s="11">
        <f>data!AK83</f>
        <v>5.969125174087069E-3</v>
      </c>
      <c r="D54" s="11">
        <f>data!AL83</f>
        <v>9.7976853615543702E-3</v>
      </c>
      <c r="E54" s="11">
        <f>data!AM83</f>
        <v>3.2264601607049409E-6</v>
      </c>
      <c r="F54" s="11">
        <f>data!AN83</f>
        <v>4.5166977051021372E-2</v>
      </c>
      <c r="G54" s="11">
        <f>data!AO83</f>
        <v>4.5691167837580732E-2</v>
      </c>
      <c r="H54" s="11">
        <f>data!AP83</f>
        <v>0.29823701237600464</v>
      </c>
      <c r="I54" s="11">
        <f>data!AQ83</f>
        <v>2.1424337495996811E-6</v>
      </c>
      <c r="J54" s="11">
        <f>data!AR83</f>
        <v>0.1510811354558714</v>
      </c>
      <c r="K54" s="11">
        <f>data!AS83</f>
        <v>0.23182721275015461</v>
      </c>
      <c r="L54" s="11">
        <f>data!AT83</f>
        <v>9.9688537428036669E-2</v>
      </c>
      <c r="M54" s="11">
        <f>data!AU83</f>
        <v>0.98537981637792249</v>
      </c>
    </row>
    <row r="55" spans="1:13" x14ac:dyDescent="0.3">
      <c r="A55" s="13">
        <f>data!AG84</f>
        <v>42156.5</v>
      </c>
      <c r="B55" s="11">
        <f>data!AJ84</f>
        <v>0.11243701943061948</v>
      </c>
      <c r="C55" s="11">
        <f>data!AK84</f>
        <v>1.9435958125069801E-2</v>
      </c>
      <c r="D55" s="11">
        <f>data!AL84</f>
        <v>2.0335518043382112E-3</v>
      </c>
      <c r="E55" s="11">
        <f>data!AM84</f>
        <v>6.1467956915571559E-7</v>
      </c>
      <c r="F55" s="11">
        <f>data!AN84</f>
        <v>6.3526897553597778E-2</v>
      </c>
      <c r="G55" s="11">
        <f>data!AO84</f>
        <v>5.7244793499509936E-2</v>
      </c>
      <c r="H55" s="11">
        <f>data!AP84</f>
        <v>0.27080722784196609</v>
      </c>
      <c r="I55" s="11">
        <f>data!AQ84</f>
        <v>3.8831503662301144E-7</v>
      </c>
      <c r="J55" s="11">
        <f>data!AR84</f>
        <v>0.14821205540406093</v>
      </c>
      <c r="K55" s="11">
        <f>data!AS84</f>
        <v>0.22567704464822658</v>
      </c>
      <c r="L55" s="11">
        <f>data!AT84</f>
        <v>0.10062444869800544</v>
      </c>
      <c r="M55" s="11">
        <f>data!AU84</f>
        <v>0.9855835032174689</v>
      </c>
    </row>
    <row r="56" spans="1:13" x14ac:dyDescent="0.3">
      <c r="A56" s="13">
        <f>data!AG85</f>
        <v>42163.5</v>
      </c>
      <c r="B56" s="11">
        <f>data!AJ85</f>
        <v>9.137595794741353E-2</v>
      </c>
      <c r="C56" s="11">
        <f>data!AK85</f>
        <v>7.9365473012189963E-2</v>
      </c>
      <c r="D56" s="11">
        <f>data!AL85</f>
        <v>5.0321515210520421E-3</v>
      </c>
      <c r="E56" s="11">
        <f>data!AM85</f>
        <v>3.1559608548923454E-6</v>
      </c>
      <c r="F56" s="11">
        <f>data!AN85</f>
        <v>8.5691042269316148E-2</v>
      </c>
      <c r="G56" s="11">
        <f>data!AO85</f>
        <v>0.15245892772529798</v>
      </c>
      <c r="H56" s="11">
        <f>data!AP85</f>
        <v>0.1449352173299199</v>
      </c>
      <c r="I56" s="11">
        <f>data!AQ85</f>
        <v>1.2031975197326676E-6</v>
      </c>
      <c r="J56" s="11">
        <f>data!AR85</f>
        <v>0.11776726977975245</v>
      </c>
      <c r="K56" s="11">
        <f>data!AS85</f>
        <v>0.20936024693696662</v>
      </c>
      <c r="L56" s="11">
        <f>data!AT85</f>
        <v>0.11400935431971675</v>
      </c>
      <c r="M56" s="11">
        <f>data!AU85</f>
        <v>0.9841905244714465</v>
      </c>
    </row>
    <row r="57" spans="1:13" x14ac:dyDescent="0.3">
      <c r="A57" s="13">
        <f>data!AG86</f>
        <v>42170.5</v>
      </c>
      <c r="B57" s="11">
        <f>data!AJ86</f>
        <v>8.5668401639804395E-2</v>
      </c>
      <c r="C57" s="11">
        <f>data!AK86</f>
        <v>0.11533056930259936</v>
      </c>
      <c r="D57" s="11">
        <f>data!AL86</f>
        <v>2.7556173099967416E-2</v>
      </c>
      <c r="E57" s="11">
        <f>data!AM86</f>
        <v>3.7047628827050367E-5</v>
      </c>
      <c r="F57" s="11">
        <f>data!AN86</f>
        <v>8.413026976151422E-2</v>
      </c>
      <c r="G57" s="11">
        <f>data!AO86</f>
        <v>0.15638410165212829</v>
      </c>
      <c r="H57" s="11">
        <f>data!AP86</f>
        <v>0.12055102135407754</v>
      </c>
      <c r="I57" s="11">
        <f>data!AQ86</f>
        <v>8.8336341762926447E-6</v>
      </c>
      <c r="J57" s="11">
        <f>data!AR86</f>
        <v>8.1401991339262195E-2</v>
      </c>
      <c r="K57" s="11">
        <f>data!AS86</f>
        <v>0.20745079229434116</v>
      </c>
      <c r="L57" s="11">
        <f>data!AT86</f>
        <v>0.12148079829330204</v>
      </c>
      <c r="M57" s="11">
        <f>data!AU86</f>
        <v>0.98401253944951406</v>
      </c>
    </row>
    <row r="58" spans="1:13" x14ac:dyDescent="0.3">
      <c r="A58" s="13">
        <f>data!AG87</f>
        <v>42177.5</v>
      </c>
      <c r="B58" s="11">
        <f>data!AJ87</f>
        <v>9.2284020750060286E-2</v>
      </c>
      <c r="C58" s="11">
        <f>data!AK87</f>
        <v>9.7142290949053092E-2</v>
      </c>
      <c r="D58" s="11">
        <f>data!AL87</f>
        <v>3.1517919769708892E-2</v>
      </c>
      <c r="E58" s="11">
        <f>data!AM87</f>
        <v>4.9700423859838627E-5</v>
      </c>
      <c r="F58" s="11">
        <f>data!AN87</f>
        <v>9.5606485427268642E-2</v>
      </c>
      <c r="G58" s="11">
        <f>data!AO87</f>
        <v>0.15816837270181355</v>
      </c>
      <c r="H58" s="11">
        <f>data!AP87</f>
        <v>0.10577353704750013</v>
      </c>
      <c r="I58" s="11">
        <f>data!AQ87</f>
        <v>9.0101560968690953E-6</v>
      </c>
      <c r="J58" s="11">
        <f>data!AR87</f>
        <v>9.2795861664738272E-2</v>
      </c>
      <c r="K58" s="11">
        <f>data!AS87</f>
        <v>0.20957912971233791</v>
      </c>
      <c r="L58" s="11">
        <f>data!AT87</f>
        <v>0.1170736713975626</v>
      </c>
      <c r="M58" s="11">
        <f>data!AU87</f>
        <v>0.98398707730675927</v>
      </c>
    </row>
    <row r="59" spans="1:13" x14ac:dyDescent="0.3">
      <c r="A59" s="13">
        <f>data!AG88</f>
        <v>42184.5</v>
      </c>
      <c r="B59" s="11">
        <f>data!AJ88</f>
        <v>9.3284956888261869E-2</v>
      </c>
      <c r="C59" s="11">
        <f>data!AK88</f>
        <v>9.9940998012462395E-2</v>
      </c>
      <c r="D59" s="11">
        <f>data!AL88</f>
        <v>3.6520645188659114E-2</v>
      </c>
      <c r="E59" s="11">
        <f>data!AM88</f>
        <v>6.7835002512654801E-5</v>
      </c>
      <c r="F59" s="11">
        <f>data!AN88</f>
        <v>9.8894930567590147E-2</v>
      </c>
      <c r="G59" s="11">
        <f>data!AO88</f>
        <v>0.1554307950792754</v>
      </c>
      <c r="H59" s="11">
        <f>data!AP88</f>
        <v>9.9771379156008227E-2</v>
      </c>
      <c r="I59" s="11">
        <f>data!AQ88</f>
        <v>1.2417933814595618E-5</v>
      </c>
      <c r="J59" s="11">
        <f>data!AR88</f>
        <v>8.6102097275121137E-2</v>
      </c>
      <c r="K59" s="11">
        <f>data!AS88</f>
        <v>0.21076060992029139</v>
      </c>
      <c r="L59" s="11">
        <f>data!AT88</f>
        <v>0.11921333497600317</v>
      </c>
      <c r="M59" s="11">
        <f>data!AU88</f>
        <v>0.98390802407730493</v>
      </c>
    </row>
    <row r="60" spans="1:13" x14ac:dyDescent="0.3">
      <c r="A60" s="13">
        <f>data!AG89</f>
        <v>42190</v>
      </c>
      <c r="B60" s="11">
        <f>data!AJ89</f>
        <v>9.5658721486168538E-2</v>
      </c>
      <c r="C60" s="11">
        <f>data!AK89</f>
        <v>0.1007341885826426</v>
      </c>
      <c r="D60" s="11">
        <f>data!AL89</f>
        <v>3.4714684218314078E-2</v>
      </c>
      <c r="E60" s="11">
        <f>data!AM89</f>
        <v>6.1074027159913741E-5</v>
      </c>
      <c r="F60" s="11">
        <f>data!AN89</f>
        <v>9.8850655019914829E-2</v>
      </c>
      <c r="G60" s="11">
        <f>data!AO89</f>
        <v>0.16227589662147515</v>
      </c>
      <c r="H60" s="11">
        <f>data!AP89</f>
        <v>9.0341346811183817E-2</v>
      </c>
      <c r="I60" s="11">
        <f>data!AQ89</f>
        <v>1.0802240211907632E-5</v>
      </c>
      <c r="J60" s="11">
        <f>data!AR89</f>
        <v>8.0023807004457326E-2</v>
      </c>
      <c r="K60" s="11">
        <f>data!AS89</f>
        <v>0.21819460263581994</v>
      </c>
      <c r="L60" s="11">
        <f>data!AT89</f>
        <v>0.11913422135265196</v>
      </c>
      <c r="M60" s="11">
        <f>data!AU89</f>
        <v>0.98382602322707158</v>
      </c>
    </row>
    <row r="61" spans="1:13" x14ac:dyDescent="0.3">
      <c r="A61" s="13">
        <f>data!AG90</f>
        <v>42198.5</v>
      </c>
      <c r="B61" s="11">
        <f>data!AJ90</f>
        <v>9.3405888817298083E-2</v>
      </c>
      <c r="C61" s="11">
        <f>data!AK90</f>
        <v>9.252013683180936E-2</v>
      </c>
      <c r="D61" s="11">
        <f>data!AL90</f>
        <v>2.3383511631528804E-2</v>
      </c>
      <c r="E61" s="11">
        <f>data!AM90</f>
        <v>3.6403729519026226E-5</v>
      </c>
      <c r="F61" s="11">
        <f>data!AN90</f>
        <v>0.10052987796081948</v>
      </c>
      <c r="G61" s="11">
        <f>data!AO90</f>
        <v>0.18040210833077369</v>
      </c>
      <c r="H61" s="11">
        <f>data!AP90</f>
        <v>8.7047747545026019E-2</v>
      </c>
      <c r="I61" s="11">
        <f>data!AQ90</f>
        <v>5.0829563860691198E-6</v>
      </c>
      <c r="J61" s="11">
        <f>data!AR90</f>
        <v>8.1914691175522858E-2</v>
      </c>
      <c r="K61" s="11">
        <f>data!AS90</f>
        <v>0.22151767217928278</v>
      </c>
      <c r="L61" s="11">
        <f>data!AT90</f>
        <v>0.11923687884203384</v>
      </c>
      <c r="M61" s="11">
        <f>data!AU90</f>
        <v>0.98402641218819997</v>
      </c>
    </row>
    <row r="62" spans="1:13" x14ac:dyDescent="0.3">
      <c r="A62" s="13">
        <f>data!AG91</f>
        <v>42205.5</v>
      </c>
      <c r="B62" s="11">
        <f>data!AJ91</f>
        <v>9.2948043358174484E-2</v>
      </c>
      <c r="C62" s="11">
        <f>data!AK91</f>
        <v>8.0037207915659478E-2</v>
      </c>
      <c r="D62" s="11">
        <f>data!AL91</f>
        <v>1.2897125476192355E-2</v>
      </c>
      <c r="E62" s="11">
        <f>data!AM91</f>
        <v>2.8709765788451046E-5</v>
      </c>
      <c r="F62" s="11">
        <f>data!AN91</f>
        <v>0.10550644716586392</v>
      </c>
      <c r="G62" s="11">
        <f>data!AO91</f>
        <v>0.19195261041275014</v>
      </c>
      <c r="H62" s="11">
        <f>data!AP91</f>
        <v>9.4387098407901576E-2</v>
      </c>
      <c r="I62" s="11">
        <f>data!AQ91</f>
        <v>2.1638842521229686E-6</v>
      </c>
      <c r="J62" s="11">
        <f>data!AR91</f>
        <v>9.8355981859558558E-2</v>
      </c>
      <c r="K62" s="11">
        <f>data!AS91</f>
        <v>0.21151888946849229</v>
      </c>
      <c r="L62" s="11">
        <f>data!AT91</f>
        <v>0.11236572228536668</v>
      </c>
      <c r="M62" s="11">
        <f>data!AU91</f>
        <v>0.9840622071925248</v>
      </c>
    </row>
    <row r="63" spans="1:13" x14ac:dyDescent="0.3">
      <c r="A63" s="13">
        <f>data!AG92</f>
        <v>42212.5</v>
      </c>
      <c r="B63" s="11">
        <f>data!AJ92</f>
        <v>0.10810678673450549</v>
      </c>
      <c r="C63" s="11">
        <f>data!AK92</f>
        <v>6.4670775951019138E-2</v>
      </c>
      <c r="D63" s="11">
        <f>data!AL92</f>
        <v>5.0125305687984531E-3</v>
      </c>
      <c r="E63" s="11">
        <f>data!AM92</f>
        <v>3.9816686367486489E-6</v>
      </c>
      <c r="F63" s="11">
        <f>data!AN92</f>
        <v>0.10210177958904784</v>
      </c>
      <c r="G63" s="11">
        <f>data!AO92</f>
        <v>0.18559803932025806</v>
      </c>
      <c r="H63" s="11">
        <f>data!AP92</f>
        <v>7.6512082208499227E-2</v>
      </c>
      <c r="I63" s="11">
        <f>data!AQ92</f>
        <v>6.2242162940497129E-7</v>
      </c>
      <c r="J63" s="11">
        <f>data!AR92</f>
        <v>0.10503157483699609</v>
      </c>
      <c r="K63" s="11">
        <f>data!AS92</f>
        <v>0.24042226933127075</v>
      </c>
      <c r="L63" s="11">
        <f>data!AT92</f>
        <v>0.11253955736933884</v>
      </c>
      <c r="M63" s="11">
        <f>data!AU92</f>
        <v>0.98446165086359205</v>
      </c>
    </row>
    <row r="64" spans="1:13" x14ac:dyDescent="0.3">
      <c r="A64" s="13">
        <f>data!AG93</f>
        <v>42219.5</v>
      </c>
      <c r="B64" s="11">
        <f>data!AJ93</f>
        <v>0.10040416298422274</v>
      </c>
      <c r="C64" s="11">
        <f>data!AK93</f>
        <v>7.5866174248714113E-2</v>
      </c>
      <c r="D64" s="11">
        <f>data!AL93</f>
        <v>2.8247603479077091E-3</v>
      </c>
      <c r="E64" s="11">
        <f>data!AM93</f>
        <v>5.4121427939632797E-6</v>
      </c>
      <c r="F64" s="11">
        <f>data!AN93</f>
        <v>9.2504019776888824E-2</v>
      </c>
      <c r="G64" s="11">
        <f>data!AO93</f>
        <v>0.18150252458872815</v>
      </c>
      <c r="H64" s="11">
        <f>data!AP93</f>
        <v>8.8214300014859109E-2</v>
      </c>
      <c r="I64" s="11">
        <f>data!AQ93</f>
        <v>3.8294457682249418E-7</v>
      </c>
      <c r="J64" s="11">
        <f>data!AR93</f>
        <v>0.10189589716272748</v>
      </c>
      <c r="K64" s="11">
        <f>data!AS93</f>
        <v>0.23966635248328605</v>
      </c>
      <c r="L64" s="11">
        <f>data!AT93</f>
        <v>0.11711601330529514</v>
      </c>
      <c r="M64" s="11">
        <f>data!AU93</f>
        <v>0.98503518781622557</v>
      </c>
    </row>
    <row r="65" spans="1:13" x14ac:dyDescent="0.3">
      <c r="A65" s="13">
        <f>data!AG94</f>
        <v>42226.5</v>
      </c>
      <c r="B65" s="11">
        <f>data!AJ94</f>
        <v>9.2978711134264869E-2</v>
      </c>
      <c r="C65" s="11">
        <f>data!AK94</f>
        <v>7.1218766343323331E-2</v>
      </c>
      <c r="D65" s="11">
        <f>data!AL94</f>
        <v>3.5471630257030914E-2</v>
      </c>
      <c r="E65" s="11">
        <f>data!AM94</f>
        <v>8.521939332579347E-5</v>
      </c>
      <c r="F65" s="11">
        <f>data!AN94</f>
        <v>6.0314951883758898E-2</v>
      </c>
      <c r="G65" s="11">
        <f>data!AO94</f>
        <v>0.19437372208050988</v>
      </c>
      <c r="H65" s="11">
        <f>data!AP94</f>
        <v>9.8899382495973714E-2</v>
      </c>
      <c r="I65" s="11">
        <f>data!AQ94</f>
        <v>3.9275968162690793E-6</v>
      </c>
      <c r="J65" s="11">
        <f>data!AR94</f>
        <v>8.3460104635951576E-2</v>
      </c>
      <c r="K65" s="11">
        <f>data!AS94</f>
        <v>0.24600384893020763</v>
      </c>
      <c r="L65" s="11">
        <f>data!AT94</f>
        <v>0.11718973524883713</v>
      </c>
      <c r="M65" s="11">
        <f>data!AU94</f>
        <v>0.98471044709321198</v>
      </c>
    </row>
    <row r="66" spans="1:13" x14ac:dyDescent="0.3">
      <c r="A66" s="13">
        <f>data!AG95</f>
        <v>42233</v>
      </c>
      <c r="B66" s="11">
        <f>data!AJ95</f>
        <v>8.4626382040032505E-2</v>
      </c>
      <c r="C66" s="11">
        <f>data!AK95</f>
        <v>9.871479218099137E-2</v>
      </c>
      <c r="D66" s="11">
        <f>data!AL95</f>
        <v>5.8512036801100398E-2</v>
      </c>
      <c r="E66" s="11">
        <f>data!AM95</f>
        <v>8.6776311244452951E-5</v>
      </c>
      <c r="F66" s="11">
        <f>data!AN95</f>
        <v>5.7938654028494171E-2</v>
      </c>
      <c r="G66" s="11">
        <f>data!AO95</f>
        <v>0.19492066210506956</v>
      </c>
      <c r="H66" s="11">
        <f>data!AP95</f>
        <v>9.9540585299142226E-2</v>
      </c>
      <c r="I66" s="11">
        <f>data!AQ95</f>
        <v>3.0247212379837283E-6</v>
      </c>
      <c r="J66" s="11">
        <f>data!AR95</f>
        <v>6.2969763369136567E-2</v>
      </c>
      <c r="K66" s="11">
        <f>data!AS95</f>
        <v>0.22534355577875989</v>
      </c>
      <c r="L66" s="11">
        <f>data!AT95</f>
        <v>0.11734376736479094</v>
      </c>
      <c r="M66" s="11">
        <f>data!AU95</f>
        <v>0.98482611840106193</v>
      </c>
    </row>
    <row r="67" spans="1:13" x14ac:dyDescent="0.3">
      <c r="A67" s="13">
        <f>data!AG96</f>
        <v>42240.5</v>
      </c>
      <c r="B67" s="11">
        <f>data!AJ96</f>
        <v>9.0113235300971803E-2</v>
      </c>
      <c r="C67" s="11">
        <f>data!AK96</f>
        <v>5.0987127982915423E-2</v>
      </c>
      <c r="D67" s="11">
        <f>data!AL96</f>
        <v>3.2470479071826432E-5</v>
      </c>
      <c r="E67" s="11">
        <f>data!AM96</f>
        <v>8.5993732742522313E-5</v>
      </c>
      <c r="F67" s="11">
        <f>data!AN96</f>
        <v>5.7985349574051714E-2</v>
      </c>
      <c r="G67" s="11">
        <f>data!AO96</f>
        <v>0.24585588767390171</v>
      </c>
      <c r="H67" s="11">
        <f>data!AP96</f>
        <v>6.4715462987645855E-2</v>
      </c>
      <c r="I67" s="11">
        <f>data!AQ96</f>
        <v>1.0922819925792994E-6</v>
      </c>
      <c r="J67" s="11">
        <f>data!AR96</f>
        <v>9.0928771710985706E-2</v>
      </c>
      <c r="K67" s="11">
        <f>data!AS96</f>
        <v>0.27510515827366033</v>
      </c>
      <c r="L67" s="11">
        <f>data!AT96</f>
        <v>0.12418945000206061</v>
      </c>
      <c r="M67" s="11">
        <f>data!AU96</f>
        <v>0.98644760909129836</v>
      </c>
    </row>
    <row r="68" spans="1:13" x14ac:dyDescent="0.3">
      <c r="A68" s="13">
        <f>data!AG97</f>
        <v>42247.5</v>
      </c>
      <c r="B68" s="11">
        <f>data!AJ97</f>
        <v>6.5554173589517692E-2</v>
      </c>
      <c r="C68" s="11">
        <f>data!AK97</f>
        <v>6.6228500411230601E-2</v>
      </c>
      <c r="D68" s="11">
        <f>data!AL97</f>
        <v>3.0788918664445782E-3</v>
      </c>
      <c r="E68" s="11">
        <f>data!AM97</f>
        <v>4.5647803475703173E-6</v>
      </c>
      <c r="F68" s="11">
        <f>data!AN97</f>
        <v>0.10033619703226489</v>
      </c>
      <c r="G68" s="11">
        <f>data!AO97</f>
        <v>0.22309840115934279</v>
      </c>
      <c r="H68" s="11">
        <f>data!AP97</f>
        <v>7.8477636777356835E-2</v>
      </c>
      <c r="I68" s="11">
        <f>data!AQ97</f>
        <v>6.048109422299074E-7</v>
      </c>
      <c r="J68" s="11">
        <f>data!AR97</f>
        <v>0.10715817761986672</v>
      </c>
      <c r="K68" s="11">
        <f>data!AS97</f>
        <v>0.21509623471734499</v>
      </c>
      <c r="L68" s="11">
        <f>data!AT97</f>
        <v>0.1409666172353411</v>
      </c>
      <c r="M68" s="11">
        <f>data!AU97</f>
        <v>0.98539508184213687</v>
      </c>
    </row>
    <row r="69" spans="1:13" x14ac:dyDescent="0.3">
      <c r="A69" s="13">
        <f>data!AG98</f>
        <v>42254.5</v>
      </c>
      <c r="B69" s="11">
        <f>data!AJ98</f>
        <v>5.5104171144050751E-2</v>
      </c>
      <c r="C69" s="11">
        <f>data!AK98</f>
        <v>0.14195313006593244</v>
      </c>
      <c r="D69" s="11">
        <f>data!AL98</f>
        <v>8.2632418238437052E-5</v>
      </c>
      <c r="E69" s="11">
        <f>data!AM98</f>
        <v>8.1774997303233232E-6</v>
      </c>
      <c r="F69" s="11">
        <f>data!AN98</f>
        <v>7.0609319784949373E-2</v>
      </c>
      <c r="G69" s="11">
        <f>data!AO98</f>
        <v>0.19902553921510086</v>
      </c>
      <c r="H69" s="11">
        <f>data!AP98</f>
        <v>9.5990600325189232E-2</v>
      </c>
      <c r="I69" s="11">
        <f>data!AQ98</f>
        <v>2.5385454556638762E-6</v>
      </c>
      <c r="J69" s="11">
        <f>data!AR98</f>
        <v>9.18299550022975E-2</v>
      </c>
      <c r="K69" s="11">
        <f>data!AS98</f>
        <v>0.20048096659728215</v>
      </c>
      <c r="L69" s="11">
        <f>data!AT98</f>
        <v>0.14491296940177331</v>
      </c>
      <c r="M69" s="11">
        <f>data!AU98</f>
        <v>0.98588855219734994</v>
      </c>
    </row>
    <row r="70" spans="1:13" x14ac:dyDescent="0.3">
      <c r="A70" s="13">
        <f>data!AG99</f>
        <v>42260.5</v>
      </c>
      <c r="B70" s="11">
        <f>data!AJ99</f>
        <v>2.712822360397376E-2</v>
      </c>
      <c r="C70" s="11">
        <f>data!AK99</f>
        <v>3.6119156339282872E-2</v>
      </c>
      <c r="D70" s="11">
        <f>data!AL99</f>
        <v>6.1261784401336617E-5</v>
      </c>
      <c r="E70" s="11">
        <f>data!AM99</f>
        <v>3.0540135989408396E-5</v>
      </c>
      <c r="F70" s="11">
        <f>data!AN99</f>
        <v>9.7400541035128171E-2</v>
      </c>
      <c r="G70" s="11">
        <f>data!AO99</f>
        <v>0.31617950509896364</v>
      </c>
      <c r="H70" s="11">
        <f>data!AP99</f>
        <v>5.0202829266684873E-2</v>
      </c>
      <c r="I70" s="11">
        <f>data!AQ99</f>
        <v>4.2096193649660572E-2</v>
      </c>
      <c r="J70" s="11">
        <f>data!AR99</f>
        <v>6.1196292079348374E-2</v>
      </c>
      <c r="K70" s="11">
        <f>data!AS99</f>
        <v>0.21701929702820996</v>
      </c>
      <c r="L70" s="11">
        <f>data!AT99</f>
        <v>0.15256615997835704</v>
      </c>
      <c r="M70" s="11">
        <f>data!AU99</f>
        <v>0.97904062871578779</v>
      </c>
    </row>
    <row r="71" spans="1:13" x14ac:dyDescent="0.3">
      <c r="A71" s="13">
        <f>data!AG100</f>
        <v>42268.5</v>
      </c>
      <c r="B71" s="11">
        <f>data!AJ100</f>
        <v>3.8617104893062118E-3</v>
      </c>
      <c r="C71" s="11">
        <f>data!AK100</f>
        <v>5.8749853194383174E-2</v>
      </c>
      <c r="D71" s="11">
        <f>data!AL100</f>
        <v>6.1381963687135178E-5</v>
      </c>
      <c r="E71" s="11">
        <f>data!AM100</f>
        <v>3.3151441700136991E-5</v>
      </c>
      <c r="F71" s="11">
        <f>data!AN100</f>
        <v>8.9964935701027038E-2</v>
      </c>
      <c r="G71" s="11">
        <f>data!AO100</f>
        <v>0.35859499543503376</v>
      </c>
      <c r="H71" s="11">
        <f>data!AP100</f>
        <v>6.6892480325106085E-2</v>
      </c>
      <c r="I71" s="11">
        <f>data!AQ100</f>
        <v>5.477062222966219E-2</v>
      </c>
      <c r="J71" s="11">
        <f>data!AR100</f>
        <v>2.5129741503583596E-2</v>
      </c>
      <c r="K71" s="11">
        <f>data!AS100</f>
        <v>0.19226396742968477</v>
      </c>
      <c r="L71" s="11">
        <f>data!AT100</f>
        <v>0.14967716028682587</v>
      </c>
      <c r="M71" s="11">
        <f>data!AU100</f>
        <v>0.97941391424779578</v>
      </c>
    </row>
    <row r="72" spans="1:13" x14ac:dyDescent="0.3">
      <c r="A72" s="13">
        <f>data!AG101</f>
        <v>42279</v>
      </c>
      <c r="B72" s="11">
        <f>data!AJ101</f>
        <v>1.4191922776668444E-2</v>
      </c>
      <c r="C72" s="11">
        <f>data!AK101</f>
        <v>3.7028844991486597E-5</v>
      </c>
      <c r="D72" s="11">
        <f>data!AL101</f>
        <v>4.2603316729998388E-5</v>
      </c>
      <c r="E72" s="11">
        <f>data!AM101</f>
        <v>2.0685024738897342E-5</v>
      </c>
      <c r="F72" s="11">
        <f>data!AN101</f>
        <v>0.14375813314156313</v>
      </c>
      <c r="G72" s="11">
        <f>data!AO101</f>
        <v>0.38615229235499149</v>
      </c>
      <c r="H72" s="11">
        <f>data!AP101</f>
        <v>3.3538810078158496E-2</v>
      </c>
      <c r="I72" s="11">
        <f>data!AQ101</f>
        <v>3.4884806319347643E-2</v>
      </c>
      <c r="J72" s="11">
        <f>data!AR101</f>
        <v>3.8497203845761788E-2</v>
      </c>
      <c r="K72" s="11">
        <f>data!AS101</f>
        <v>0.19665152997164265</v>
      </c>
      <c r="L72" s="11">
        <f>data!AT101</f>
        <v>0.15222498432540596</v>
      </c>
      <c r="M72" s="11">
        <f>data!AU101</f>
        <v>0.98105718081522164</v>
      </c>
    </row>
    <row r="73" spans="1:13" x14ac:dyDescent="0.3">
      <c r="A73" s="13">
        <f>data!AG102</f>
        <v>42286</v>
      </c>
      <c r="B73" s="11">
        <f>data!AJ102</f>
        <v>1.4368359576549396E-2</v>
      </c>
      <c r="C73" s="11">
        <f>data!AK102</f>
        <v>3.7273564257355013E-5</v>
      </c>
      <c r="D73" s="11">
        <f>data!AL102</f>
        <v>4.3827214483880844E-5</v>
      </c>
      <c r="E73" s="11">
        <f>data!AM102</f>
        <v>2.0401682709989256E-5</v>
      </c>
      <c r="F73" s="11">
        <f>data!AN102</f>
        <v>0.14149696822898722</v>
      </c>
      <c r="G73" s="11">
        <f>data!AO102</f>
        <v>0.3833023666075957</v>
      </c>
      <c r="H73" s="11">
        <f>data!AP102</f>
        <v>3.6708945590038906E-2</v>
      </c>
      <c r="I73" s="11">
        <f>data!AQ102</f>
        <v>4.029461269990825E-2</v>
      </c>
      <c r="J73" s="11">
        <f>data!AR102</f>
        <v>3.5849875281460719E-2</v>
      </c>
      <c r="K73" s="11">
        <f>data!AS102</f>
        <v>0.19584954308398142</v>
      </c>
      <c r="L73" s="11">
        <f>data!AT102</f>
        <v>0.15202782647002722</v>
      </c>
      <c r="M73" s="11">
        <f>data!AU102</f>
        <v>0.98090083737631828</v>
      </c>
    </row>
    <row r="74" spans="1:13" x14ac:dyDescent="0.3">
      <c r="A74" s="13">
        <f>data!AG103</f>
        <v>42293</v>
      </c>
      <c r="B74" s="11">
        <f>data!AJ103</f>
        <v>2.8342230246622843E-2</v>
      </c>
      <c r="C74" s="11">
        <f>data!AK103</f>
        <v>2.2672880693588859E-6</v>
      </c>
      <c r="D74" s="11">
        <f>data!AL103</f>
        <v>2.5316384752580981E-6</v>
      </c>
      <c r="E74" s="11">
        <f>data!AM103</f>
        <v>2.0107534450233881E-6</v>
      </c>
      <c r="F74" s="11">
        <f>data!AN103</f>
        <v>0.14588241771060709</v>
      </c>
      <c r="G74" s="11">
        <f>data!AO103</f>
        <v>0.37761483295933845</v>
      </c>
      <c r="H74" s="11">
        <f>data!AP103</f>
        <v>1.4178417412437376E-3</v>
      </c>
      <c r="I74" s="11">
        <f>data!AQ103</f>
        <v>3.2696114298460442E-2</v>
      </c>
      <c r="J74" s="11">
        <f>data!AR103</f>
        <v>4.4725952216518504E-2</v>
      </c>
      <c r="K74" s="11">
        <f>data!AS103</f>
        <v>0.21004581173603318</v>
      </c>
      <c r="L74" s="11">
        <f>data!AT103</f>
        <v>0.15926798941118608</v>
      </c>
      <c r="M74" s="11">
        <f>data!AU103</f>
        <v>0.97984836380232387</v>
      </c>
    </row>
    <row r="75" spans="1:13" x14ac:dyDescent="0.3">
      <c r="A75" s="13">
        <f>data!AG104</f>
        <v>42300</v>
      </c>
      <c r="B75" s="11">
        <f>data!AJ104</f>
        <v>2.4744736453018244E-2</v>
      </c>
      <c r="C75" s="11">
        <f>data!AK104</f>
        <v>6.0363744514270639E-6</v>
      </c>
      <c r="D75" s="11">
        <f>data!AL104</f>
        <v>6.7641160324006651E-6</v>
      </c>
      <c r="E75" s="11">
        <f>data!AM104</f>
        <v>6.2552649828659382E-6</v>
      </c>
      <c r="F75" s="11">
        <f>data!AN104</f>
        <v>0.15706547311111008</v>
      </c>
      <c r="G75" s="11">
        <f>data!AO104</f>
        <v>0.38456106809849461</v>
      </c>
      <c r="H75" s="11">
        <f>data!AP104</f>
        <v>3.376391879086945E-3</v>
      </c>
      <c r="I75" s="11">
        <f>data!AQ104</f>
        <v>4.7442077143384755E-2</v>
      </c>
      <c r="J75" s="11">
        <f>data!AR104</f>
        <v>3.7905408080507685E-2</v>
      </c>
      <c r="K75" s="11">
        <f>data!AS104</f>
        <v>0.18981231524692124</v>
      </c>
      <c r="L75" s="11">
        <f>data!AT104</f>
        <v>0.15507347423200979</v>
      </c>
      <c r="M75" s="11">
        <f>data!AU104</f>
        <v>0.97948294875276842</v>
      </c>
    </row>
    <row r="76" spans="1:13" x14ac:dyDescent="0.3">
      <c r="A76" s="13">
        <f>data!AG105</f>
        <v>42307</v>
      </c>
      <c r="B76" s="11">
        <f>data!AJ105</f>
        <v>5.0230929891420042E-3</v>
      </c>
      <c r="C76" s="11">
        <f>data!AK105</f>
        <v>2.6226526142103619E-5</v>
      </c>
      <c r="D76" s="11">
        <f>data!AL105</f>
        <v>5.9281024384575958E-6</v>
      </c>
      <c r="E76" s="11">
        <f>data!AM105</f>
        <v>4.5058186613198218E-6</v>
      </c>
      <c r="F76" s="11">
        <f>data!AN105</f>
        <v>0.20994301251470135</v>
      </c>
      <c r="G76" s="11">
        <f>data!AO105</f>
        <v>0.44712890325254639</v>
      </c>
      <c r="H76" s="11">
        <f>data!AP105</f>
        <v>1.4890988381363592E-5</v>
      </c>
      <c r="I76" s="11">
        <f>data!AQ105</f>
        <v>4.0507058490066673E-2</v>
      </c>
      <c r="J76" s="11">
        <f>data!AR105</f>
        <v>6.8571907573347412E-5</v>
      </c>
      <c r="K76" s="11">
        <f>data!AS105</f>
        <v>0.1350651551776349</v>
      </c>
      <c r="L76" s="11">
        <f>data!AT105</f>
        <v>0.16221265423271208</v>
      </c>
      <c r="M76" s="11">
        <f>data!AU105</f>
        <v>0.98062471815753549</v>
      </c>
    </row>
    <row r="77" spans="1:13" x14ac:dyDescent="0.3">
      <c r="A77" s="13">
        <f>data!AG106</f>
        <v>42314</v>
      </c>
      <c r="B77" s="11">
        <f>data!AJ106</f>
        <v>5.4282563334158386E-3</v>
      </c>
      <c r="C77" s="11">
        <f>data!AK106</f>
        <v>3.2718422816591747E-6</v>
      </c>
      <c r="D77" s="11">
        <f>data!AL106</f>
        <v>1.793602975902154E-6</v>
      </c>
      <c r="E77" s="11">
        <f>data!AM106</f>
        <v>1.5175494511197103E-6</v>
      </c>
      <c r="F77" s="11">
        <f>data!AN106</f>
        <v>0.20190443554785995</v>
      </c>
      <c r="G77" s="11">
        <f>data!AO106</f>
        <v>0.42794953795105672</v>
      </c>
      <c r="H77" s="11">
        <f>data!AP106</f>
        <v>9.1003392531640113E-3</v>
      </c>
      <c r="I77" s="11">
        <f>data!AQ106</f>
        <v>5.1371608608093873E-2</v>
      </c>
      <c r="J77" s="11">
        <f>data!AR106</f>
        <v>3.7401436140273406E-4</v>
      </c>
      <c r="K77" s="11">
        <f>data!AS106</f>
        <v>0.14110884627650669</v>
      </c>
      <c r="L77" s="11">
        <f>data!AT106</f>
        <v>0.16275637867379156</v>
      </c>
      <c r="M77" s="11">
        <f>data!AU106</f>
        <v>0.97994097506511102</v>
      </c>
    </row>
    <row r="78" spans="1:13" x14ac:dyDescent="0.3">
      <c r="A78" s="13">
        <f>data!AG107</f>
        <v>42321</v>
      </c>
      <c r="B78" s="11">
        <f>data!AJ107</f>
        <v>4.8815849461707325E-3</v>
      </c>
      <c r="C78" s="11">
        <f>data!AK107</f>
        <v>1.2468400938717532E-5</v>
      </c>
      <c r="D78" s="11">
        <f>data!AL107</f>
        <v>7.5073989610311253E-6</v>
      </c>
      <c r="E78" s="11">
        <f>data!AM107</f>
        <v>7.0105703483386258E-6</v>
      </c>
      <c r="F78" s="11">
        <f>data!AN107</f>
        <v>0.20034847540122958</v>
      </c>
      <c r="G78" s="11">
        <f>data!AO107</f>
        <v>0.42135851114767275</v>
      </c>
      <c r="H78" s="11">
        <f>data!AP107</f>
        <v>9.1093139916744777E-3</v>
      </c>
      <c r="I78" s="11">
        <f>data!AQ107</f>
        <v>5.2797961177852293E-2</v>
      </c>
      <c r="J78" s="11">
        <f>data!AR107</f>
        <v>3.5847261194504728E-3</v>
      </c>
      <c r="K78" s="11">
        <f>data!AS107</f>
        <v>0.14341380163335252</v>
      </c>
      <c r="L78" s="11">
        <f>data!AT107</f>
        <v>0.16447863921234906</v>
      </c>
      <c r="M78" s="11">
        <f>data!AU107</f>
        <v>0.97752854364674313</v>
      </c>
    </row>
    <row r="79" spans="1:13" x14ac:dyDescent="0.3">
      <c r="A79" s="13">
        <f>data!AG108</f>
        <v>42328</v>
      </c>
      <c r="B79" s="11">
        <f>data!AJ108</f>
        <v>3.1603199294320764E-3</v>
      </c>
      <c r="C79" s="11">
        <f>data!AK108</f>
        <v>1.3878426255953814E-5</v>
      </c>
      <c r="D79" s="11">
        <f>data!AL108</f>
        <v>7.331704006846778E-6</v>
      </c>
      <c r="E79" s="11">
        <f>data!AM108</f>
        <v>6.7803547197728584E-6</v>
      </c>
      <c r="F79" s="11">
        <f>data!AN108</f>
        <v>0.19888075129917157</v>
      </c>
      <c r="G79" s="11">
        <f>data!AO108</f>
        <v>0.42368354264368596</v>
      </c>
      <c r="H79" s="11">
        <f>data!AP108</f>
        <v>6.5485816419011142E-3</v>
      </c>
      <c r="I79" s="11">
        <f>data!AQ108</f>
        <v>5.2608336674579557E-2</v>
      </c>
      <c r="J79" s="11">
        <f>data!AR108</f>
        <v>6.3941320049656749E-3</v>
      </c>
      <c r="K79" s="11">
        <f>data!AS108</f>
        <v>0.14333132382013344</v>
      </c>
      <c r="L79" s="11">
        <f>data!AT108</f>
        <v>0.16536502150114804</v>
      </c>
      <c r="M79" s="11">
        <f>data!AU108</f>
        <v>0.97666730468654972</v>
      </c>
    </row>
    <row r="80" spans="1:13" x14ac:dyDescent="0.3">
      <c r="A80" s="13">
        <f>data!AG109</f>
        <v>42335</v>
      </c>
      <c r="B80" s="11">
        <f>data!AJ109</f>
        <v>3.6263668811020451E-2</v>
      </c>
      <c r="C80" s="11">
        <f>data!AK109</f>
        <v>2.3545553651980631E-5</v>
      </c>
      <c r="D80" s="11">
        <f>data!AL109</f>
        <v>4.4047170775245135E-5</v>
      </c>
      <c r="E80" s="11">
        <f>data!AM109</f>
        <v>2.1115983400435022E-5</v>
      </c>
      <c r="F80" s="11">
        <f>data!AN109</f>
        <v>0.22264749492469918</v>
      </c>
      <c r="G80" s="11">
        <f>data!AO109</f>
        <v>0.31395737889406017</v>
      </c>
      <c r="H80" s="11">
        <f>data!AP109</f>
        <v>4.946866014399505E-2</v>
      </c>
      <c r="I80" s="11">
        <f>data!AQ109</f>
        <v>5.9565895086743828E-2</v>
      </c>
      <c r="J80" s="11">
        <f>data!AR109</f>
        <v>1.3978462585040755E-5</v>
      </c>
      <c r="K80" s="11">
        <f>data!AS109</f>
        <v>0.12718849166813298</v>
      </c>
      <c r="L80" s="11">
        <f>data!AT109</f>
        <v>0.19080572330093556</v>
      </c>
      <c r="M80" s="11">
        <f>data!AU109</f>
        <v>0.97422279797159084</v>
      </c>
    </row>
    <row r="81" spans="1:13" x14ac:dyDescent="0.3">
      <c r="A81" s="13">
        <f>data!AG110</f>
        <v>42342</v>
      </c>
      <c r="B81" s="11">
        <f>data!AJ110</f>
        <v>6.082106375702992E-2</v>
      </c>
      <c r="C81" s="11">
        <f>data!AK110</f>
        <v>3.3632317681261369E-5</v>
      </c>
      <c r="D81" s="11">
        <f>data!AL110</f>
        <v>3.3227051012863136E-5</v>
      </c>
      <c r="E81" s="11">
        <f>data!AM110</f>
        <v>1.8080821817722364E-5</v>
      </c>
      <c r="F81" s="11">
        <f>data!AN110</f>
        <v>0.2117599119625892</v>
      </c>
      <c r="G81" s="11">
        <f>data!AO110</f>
        <v>0.33207585492166086</v>
      </c>
      <c r="H81" s="11">
        <f>data!AP110</f>
        <v>4.7569843232791446E-2</v>
      </c>
      <c r="I81" s="11">
        <f>data!AQ110</f>
        <v>4.4803673663215832E-2</v>
      </c>
      <c r="J81" s="11">
        <f>data!AR110</f>
        <v>1.3194724292719365E-5</v>
      </c>
      <c r="K81" s="11">
        <f>data!AS110</f>
        <v>0.12470823347333758</v>
      </c>
      <c r="L81" s="11">
        <f>data!AT110</f>
        <v>0.17816328407457066</v>
      </c>
      <c r="M81" s="11">
        <f>data!AU110</f>
        <v>0.97569999645614469</v>
      </c>
    </row>
    <row r="82" spans="1:13" x14ac:dyDescent="0.3">
      <c r="A82" s="13">
        <f>data!AG111</f>
        <v>42349</v>
      </c>
      <c r="B82" s="11">
        <f>data!AJ111</f>
        <v>0.11933377511478971</v>
      </c>
      <c r="C82" s="11">
        <f>data!AK111</f>
        <v>2.9047072302337714E-6</v>
      </c>
      <c r="D82" s="11">
        <f>data!AL111</f>
        <v>8.8710485159606279E-5</v>
      </c>
      <c r="E82" s="11">
        <f>data!AM111</f>
        <v>2.0614747097276192E-6</v>
      </c>
      <c r="F82" s="11">
        <f>data!AN111</f>
        <v>0.25384919973140813</v>
      </c>
      <c r="G82" s="11">
        <f>data!AO111</f>
        <v>0.27975876803861421</v>
      </c>
      <c r="H82" s="11">
        <f>data!AP111</f>
        <v>5.1728481926230293E-6</v>
      </c>
      <c r="I82" s="11">
        <f>data!AQ111</f>
        <v>6.1269751869660216E-2</v>
      </c>
      <c r="J82" s="11">
        <f>data!AR111</f>
        <v>8.55845686017234E-7</v>
      </c>
      <c r="K82" s="11">
        <f>data!AS111</f>
        <v>9.9053282272254545E-2</v>
      </c>
      <c r="L82" s="11">
        <f>data!AT111</f>
        <v>0.1866355176122951</v>
      </c>
      <c r="M82" s="11">
        <f>data!AU111</f>
        <v>0.97986645697637154</v>
      </c>
    </row>
    <row r="83" spans="1:13" x14ac:dyDescent="0.3">
      <c r="A83" s="13">
        <f>data!AG112</f>
        <v>42356</v>
      </c>
      <c r="B83" s="11">
        <f>data!AJ112</f>
        <v>0.15797781182219006</v>
      </c>
      <c r="C83" s="11">
        <f>data!AK112</f>
        <v>1.5903437307797921E-5</v>
      </c>
      <c r="D83" s="11">
        <f>data!AL112</f>
        <v>3.0745308438590274E-2</v>
      </c>
      <c r="E83" s="11">
        <f>data!AM112</f>
        <v>2.7665383393506098E-5</v>
      </c>
      <c r="F83" s="11">
        <f>data!AN112</f>
        <v>0.31020318356715038</v>
      </c>
      <c r="G83" s="11">
        <f>data!AO112</f>
        <v>0.22569563814273869</v>
      </c>
      <c r="H83" s="11">
        <f>data!AP112</f>
        <v>1.6733897564943343E-2</v>
      </c>
      <c r="I83" s="11">
        <f>data!AQ112</f>
        <v>6.9645335364770175E-2</v>
      </c>
      <c r="J83" s="11">
        <f>data!AR112</f>
        <v>6.0953013493156744E-6</v>
      </c>
      <c r="K83" s="11">
        <f>data!AS112</f>
        <v>2.3518986235970187E-5</v>
      </c>
      <c r="L83" s="11">
        <f>data!AT112</f>
        <v>0.1889256419913305</v>
      </c>
      <c r="M83" s="11">
        <f>data!AU112</f>
        <v>0.98411972521868929</v>
      </c>
    </row>
    <row r="84" spans="1:13" x14ac:dyDescent="0.3">
      <c r="A84" s="13">
        <f>data!AG113</f>
        <v>42363</v>
      </c>
      <c r="B84" s="11">
        <f>data!AJ113</f>
        <v>0.15582720989430091</v>
      </c>
      <c r="C84" s="11">
        <f>data!AK113</f>
        <v>8.9553089328940147E-6</v>
      </c>
      <c r="D84" s="11">
        <f>data!AL113</f>
        <v>5.4493738385785896E-2</v>
      </c>
      <c r="E84" s="11">
        <f>data!AM113</f>
        <v>1.6132173528750648E-5</v>
      </c>
      <c r="F84" s="11">
        <f>data!AN113</f>
        <v>0.30292930575124871</v>
      </c>
      <c r="G84" s="11">
        <f>data!AO113</f>
        <v>0.21880578307127607</v>
      </c>
      <c r="H84" s="11">
        <f>data!AP113</f>
        <v>8.935809684482366E-3</v>
      </c>
      <c r="I84" s="11">
        <f>data!AQ113</f>
        <v>6.6083227513024492E-2</v>
      </c>
      <c r="J84" s="11">
        <f>data!AR113</f>
        <v>3.2759165194793729E-6</v>
      </c>
      <c r="K84" s="11">
        <f>data!AS113</f>
        <v>1.2422603857339726E-5</v>
      </c>
      <c r="L84" s="11">
        <f>data!AT113</f>
        <v>0.19288413969704318</v>
      </c>
      <c r="M84" s="11">
        <f>data!AU113</f>
        <v>0.98281311344256517</v>
      </c>
    </row>
    <row r="85" spans="1:13" x14ac:dyDescent="0.3">
      <c r="A85" s="13">
        <f>data!AG114</f>
        <v>42370</v>
      </c>
      <c r="B85" s="11">
        <f>data!AJ114</f>
        <v>0.15464806573398024</v>
      </c>
      <c r="C85" s="11">
        <f>data!AK114</f>
        <v>6.7929973189078895E-6</v>
      </c>
      <c r="D85" s="11">
        <f>data!AL114</f>
        <v>7.5119293352643043E-2</v>
      </c>
      <c r="E85" s="11">
        <f>data!AM114</f>
        <v>8.353981544464196E-6</v>
      </c>
      <c r="F85" s="11">
        <f>data!AN114</f>
        <v>0.29066665659353741</v>
      </c>
      <c r="G85" s="11">
        <f>data!AO114</f>
        <v>0.22725420970272645</v>
      </c>
      <c r="H85" s="11">
        <f>data!AP114</f>
        <v>8.5643159167998124E-5</v>
      </c>
      <c r="I85" s="11">
        <f>data!AQ114</f>
        <v>5.9060259596594493E-2</v>
      </c>
      <c r="J85" s="11">
        <f>data!AR114</f>
        <v>2.5360108186143301E-6</v>
      </c>
      <c r="K85" s="11">
        <f>data!AS114</f>
        <v>1.3325309998002141E-5</v>
      </c>
      <c r="L85" s="11">
        <f>data!AT114</f>
        <v>0.19313486356167045</v>
      </c>
      <c r="M85" s="11">
        <f>data!AU114</f>
        <v>0.98260876086974025</v>
      </c>
    </row>
    <row r="86" spans="1:13" x14ac:dyDescent="0.3">
      <c r="A86" s="13">
        <f>data!AG115</f>
        <v>42377</v>
      </c>
      <c r="B86" s="11">
        <f>data!AJ115</f>
        <v>0.16307776370407268</v>
      </c>
      <c r="C86" s="11">
        <f>data!AK115</f>
        <v>3.5498691073215345E-6</v>
      </c>
      <c r="D86" s="11">
        <f>data!AL115</f>
        <v>5.53169153748082E-2</v>
      </c>
      <c r="E86" s="11">
        <f>data!AM115</f>
        <v>4.6132052888960785E-6</v>
      </c>
      <c r="F86" s="11">
        <f>data!AN115</f>
        <v>0.30509758766213918</v>
      </c>
      <c r="G86" s="11">
        <f>data!AO115</f>
        <v>0.22344075201272268</v>
      </c>
      <c r="H86" s="11">
        <f>data!AP115</f>
        <v>8.6107404559077489E-5</v>
      </c>
      <c r="I86" s="11">
        <f>data!AQ115</f>
        <v>5.650393036487103E-2</v>
      </c>
      <c r="J86" s="11">
        <f>data!AR115</f>
        <v>1.2937498334153598E-6</v>
      </c>
      <c r="K86" s="11">
        <f>data!AS115</f>
        <v>7.7512608759256413E-6</v>
      </c>
      <c r="L86" s="11">
        <f>data!AT115</f>
        <v>0.1964597353917216</v>
      </c>
      <c r="M86" s="11">
        <f>data!AU115</f>
        <v>0.98186205021537387</v>
      </c>
    </row>
    <row r="87" spans="1:13" x14ac:dyDescent="0.3">
      <c r="A87" s="13">
        <f>data!AG116</f>
        <v>42384</v>
      </c>
      <c r="B87" s="11">
        <f>data!AJ116</f>
        <v>0.16158808180749837</v>
      </c>
      <c r="C87" s="11">
        <f>data!AK116</f>
        <v>3.6769396634088329E-7</v>
      </c>
      <c r="D87" s="11">
        <f>data!AL116</f>
        <v>9.1616746764392798E-2</v>
      </c>
      <c r="E87" s="11">
        <f>data!AM116</f>
        <v>5.2613126408793869E-7</v>
      </c>
      <c r="F87" s="11">
        <f>data!AN116</f>
        <v>0.29318606534246311</v>
      </c>
      <c r="G87" s="11">
        <f>data!AO116</f>
        <v>0.18926682566797354</v>
      </c>
      <c r="H87" s="11">
        <f>data!AP116</f>
        <v>3.501941237014206E-4</v>
      </c>
      <c r="I87" s="11">
        <f>data!AQ116</f>
        <v>5.4955628100472081E-2</v>
      </c>
      <c r="J87" s="11">
        <f>data!AR116</f>
        <v>1.2009014645728758E-7</v>
      </c>
      <c r="K87" s="11">
        <f>data!AS116</f>
        <v>9.8260186986692639E-7</v>
      </c>
      <c r="L87" s="11">
        <f>data!AT116</f>
        <v>0.20903446167625198</v>
      </c>
      <c r="M87" s="11">
        <f>data!AU116</f>
        <v>0.97923890296556937</v>
      </c>
    </row>
    <row r="88" spans="1:13" x14ac:dyDescent="0.3">
      <c r="A88" s="13">
        <f>data!AG117</f>
        <v>42389</v>
      </c>
      <c r="B88" s="11">
        <f>data!AJ117</f>
        <v>0.15336468310807114</v>
      </c>
      <c r="C88" s="11">
        <f>data!AK117</f>
        <v>8.35327425752708E-6</v>
      </c>
      <c r="D88" s="11">
        <f>data!AL117</f>
        <v>8.3887820179934607E-5</v>
      </c>
      <c r="E88" s="11">
        <f>data!AM117</f>
        <v>1.6780888082516718E-5</v>
      </c>
      <c r="F88" s="11">
        <f>data!AN117</f>
        <v>0.34049564175903618</v>
      </c>
      <c r="G88" s="11">
        <f>data!AO117</f>
        <v>0.19348537290049475</v>
      </c>
      <c r="H88" s="11">
        <f>data!AP117</f>
        <v>1.6071357256411279E-2</v>
      </c>
      <c r="I88" s="11">
        <f>data!AQ117</f>
        <v>0.10092291548494756</v>
      </c>
      <c r="J88" s="11">
        <f>data!AR117</f>
        <v>3.5270725691644603E-6</v>
      </c>
      <c r="K88" s="11">
        <f>data!AS117</f>
        <v>1.5229579000959483E-5</v>
      </c>
      <c r="L88" s="11">
        <f>data!AT117</f>
        <v>0.19553225085694906</v>
      </c>
      <c r="M88" s="11">
        <f>data!AU117</f>
        <v>0.98120122305405355</v>
      </c>
    </row>
    <row r="89" spans="1:13" x14ac:dyDescent="0.3">
      <c r="A89" s="13">
        <f>data!AG118</f>
        <v>42398</v>
      </c>
      <c r="B89" s="11">
        <f>data!AJ118</f>
        <v>0.1381539021207594</v>
      </c>
      <c r="C89" s="11">
        <f>data!AK118</f>
        <v>8.6890882911351411E-6</v>
      </c>
      <c r="D89" s="11">
        <f>data!AL118</f>
        <v>4.0063524657823309E-5</v>
      </c>
      <c r="E89" s="11">
        <f>data!AM118</f>
        <v>6.1183047100950459E-5</v>
      </c>
      <c r="F89" s="11">
        <f>data!AN118</f>
        <v>0.33598697028982905</v>
      </c>
      <c r="G89" s="11">
        <f>data!AO118</f>
        <v>0.22363729741942934</v>
      </c>
      <c r="H89" s="11">
        <f>data!AP118</f>
        <v>1.0673550676634827E-2</v>
      </c>
      <c r="I89" s="11">
        <f>data!AQ118</f>
        <v>9.7378060460280219E-2</v>
      </c>
      <c r="J89" s="11">
        <f>data!AR118</f>
        <v>3.7048235179250025E-6</v>
      </c>
      <c r="K89" s="11">
        <f>data!AS118</f>
        <v>2.5388505003997714E-5</v>
      </c>
      <c r="L89" s="11">
        <f>data!AT118</f>
        <v>0.19403119004449543</v>
      </c>
      <c r="M89" s="11">
        <f>data!AU118</f>
        <v>0.97896215160589817</v>
      </c>
    </row>
    <row r="90" spans="1:13" x14ac:dyDescent="0.3">
      <c r="A90" s="13">
        <f>data!AG119</f>
        <v>42405</v>
      </c>
      <c r="B90" s="11">
        <f>data!AJ119</f>
        <v>0.15148964486989597</v>
      </c>
      <c r="C90" s="11">
        <f>data!AK119</f>
        <v>9.8975440826581625E-6</v>
      </c>
      <c r="D90" s="11">
        <f>data!AL119</f>
        <v>6.4837556104086922E-5</v>
      </c>
      <c r="E90" s="11">
        <f>data!AM119</f>
        <v>4.9776123557256399E-5</v>
      </c>
      <c r="F90" s="11">
        <f>data!AN119</f>
        <v>0.32331443073410931</v>
      </c>
      <c r="G90" s="11">
        <f>data!AO119</f>
        <v>0.23455193780677117</v>
      </c>
      <c r="H90" s="11">
        <f>data!AP119</f>
        <v>9.7912881917063977E-3</v>
      </c>
      <c r="I90" s="11">
        <f>data!AQ119</f>
        <v>8.9805239303066248E-2</v>
      </c>
      <c r="J90" s="11">
        <f>data!AR119</f>
        <v>3.6791252159369253E-6</v>
      </c>
      <c r="K90" s="11">
        <f>data!AS119</f>
        <v>2.3810391513578499E-5</v>
      </c>
      <c r="L90" s="11">
        <f>data!AT119</f>
        <v>0.19089545835397739</v>
      </c>
      <c r="M90" s="11">
        <f>data!AU119</f>
        <v>0.97882709766345566</v>
      </c>
    </row>
    <row r="91" spans="1:13" x14ac:dyDescent="0.3">
      <c r="A91" s="13">
        <f>data!AG120</f>
        <v>42412</v>
      </c>
      <c r="B91" s="11">
        <f>data!AJ120</f>
        <v>0.14693451830830637</v>
      </c>
      <c r="C91" s="11">
        <f>data!AK120</f>
        <v>9.4668186879767123E-6</v>
      </c>
      <c r="D91" s="11">
        <f>data!AL120</f>
        <v>7.8386383545176364E-5</v>
      </c>
      <c r="E91" s="11">
        <f>data!AM120</f>
        <v>6.1529836522525091E-5</v>
      </c>
      <c r="F91" s="11">
        <f>data!AN120</f>
        <v>0.32054544647033339</v>
      </c>
      <c r="G91" s="11">
        <f>data!AO120</f>
        <v>0.23735569272428378</v>
      </c>
      <c r="H91" s="11">
        <f>data!AP120</f>
        <v>1.4520998066375367E-2</v>
      </c>
      <c r="I91" s="11">
        <f>data!AQ120</f>
        <v>9.2251785557510152E-2</v>
      </c>
      <c r="J91" s="11">
        <f>data!AR120</f>
        <v>3.7468003554526717E-6</v>
      </c>
      <c r="K91" s="11">
        <f>data!AS120</f>
        <v>2.141970835333423E-5</v>
      </c>
      <c r="L91" s="11">
        <f>data!AT120</f>
        <v>0.18821700932572655</v>
      </c>
      <c r="M91" s="11">
        <f>data!AU120</f>
        <v>0.97862722388482459</v>
      </c>
    </row>
    <row r="92" spans="1:13" x14ac:dyDescent="0.3">
      <c r="A92" s="13">
        <f>data!AG121</f>
        <v>42418</v>
      </c>
      <c r="B92" s="11">
        <f>data!AJ121</f>
        <v>9.8347790968003793E-2</v>
      </c>
      <c r="C92" s="11">
        <f>data!AK121</f>
        <v>1.9534418956083496E-5</v>
      </c>
      <c r="D92" s="11">
        <f>data!AL121</f>
        <v>4.5997460698428713E-5</v>
      </c>
      <c r="E92" s="11">
        <f>data!AM121</f>
        <v>3.9069556643810344E-2</v>
      </c>
      <c r="F92" s="11">
        <f>data!AN121</f>
        <v>0.28476475741213403</v>
      </c>
      <c r="G92" s="11">
        <f>data!AO121</f>
        <v>0.27988699631065861</v>
      </c>
      <c r="H92" s="11">
        <f>data!AP121</f>
        <v>2.5917187897187211E-2</v>
      </c>
      <c r="I92" s="11">
        <f>data!AQ121</f>
        <v>9.2688203894824656E-2</v>
      </c>
      <c r="J92" s="11">
        <f>data!AR121</f>
        <v>8.138424912651074E-6</v>
      </c>
      <c r="K92" s="11">
        <f>data!AS121</f>
        <v>2.7009683536076595E-5</v>
      </c>
      <c r="L92" s="11">
        <f>data!AT121</f>
        <v>0.17922482688527816</v>
      </c>
      <c r="M92" s="11">
        <f>data!AU121</f>
        <v>0.97600544887939789</v>
      </c>
    </row>
    <row r="93" spans="1:13" x14ac:dyDescent="0.3">
      <c r="A93" s="13">
        <f>data!AG122</f>
        <v>42426</v>
      </c>
      <c r="B93" s="11">
        <f>data!AJ122</f>
        <v>9.3298676693833904E-2</v>
      </c>
      <c r="C93" s="11">
        <f>data!AK122</f>
        <v>1.7099575361524111E-5</v>
      </c>
      <c r="D93" s="11">
        <f>data!AL122</f>
        <v>4.5982891824239235E-5</v>
      </c>
      <c r="E93" s="11">
        <f>data!AM122</f>
        <v>2.6313041823448145E-2</v>
      </c>
      <c r="F93" s="11">
        <f>data!AN122</f>
        <v>0.28339355425678453</v>
      </c>
      <c r="G93" s="11">
        <f>data!AO122</f>
        <v>0.28664837101430135</v>
      </c>
      <c r="H93" s="11">
        <f>data!AP122</f>
        <v>3.1329447438651924E-2</v>
      </c>
      <c r="I93" s="11">
        <f>data!AQ122</f>
        <v>0.10409413831442418</v>
      </c>
      <c r="J93" s="11">
        <f>data!AR122</f>
        <v>7.3520884061471465E-6</v>
      </c>
      <c r="K93" s="11">
        <f>data!AS122</f>
        <v>2.561384169067464E-5</v>
      </c>
      <c r="L93" s="11">
        <f>data!AT122</f>
        <v>0.17482672206127345</v>
      </c>
      <c r="M93" s="11">
        <f>data!AU122</f>
        <v>0.97605008585444353</v>
      </c>
    </row>
    <row r="94" spans="1:13" x14ac:dyDescent="0.3">
      <c r="A94" s="13">
        <f>data!AG123</f>
        <v>42433</v>
      </c>
      <c r="B94" s="11">
        <f>data!AJ123</f>
        <v>9.1188161349953542E-2</v>
      </c>
      <c r="C94" s="11">
        <f>data!AK123</f>
        <v>1.7776170334204116E-5</v>
      </c>
      <c r="D94" s="11">
        <f>data!AL123</f>
        <v>4.0899799599596166E-5</v>
      </c>
      <c r="E94" s="11">
        <f>data!AM123</f>
        <v>2.9505130260258122E-2</v>
      </c>
      <c r="F94" s="11">
        <f>data!AN123</f>
        <v>0.27980121525472673</v>
      </c>
      <c r="G94" s="11">
        <f>data!AO123</f>
        <v>0.28753698803365291</v>
      </c>
      <c r="H94" s="11">
        <f>data!AP123</f>
        <v>3.5031636391784748E-2</v>
      </c>
      <c r="I94" s="11">
        <f>data!AQ123</f>
        <v>0.1058855250202569</v>
      </c>
      <c r="J94" s="11">
        <f>data!AR123</f>
        <v>8.0720162010765114E-6</v>
      </c>
      <c r="K94" s="11">
        <f>data!AS123</f>
        <v>2.6568011911869712E-5</v>
      </c>
      <c r="L94" s="11">
        <f>data!AT123</f>
        <v>0.17095802769132043</v>
      </c>
      <c r="M94" s="11">
        <f>data!AU123</f>
        <v>0.97575975627273881</v>
      </c>
    </row>
    <row r="95" spans="1:13" x14ac:dyDescent="0.3">
      <c r="A95" s="13">
        <f>data!AG124</f>
        <v>42440</v>
      </c>
      <c r="B95" s="11">
        <f>data!AJ124</f>
        <v>9.3451576262236768E-2</v>
      </c>
      <c r="C95" s="11">
        <f>data!AK124</f>
        <v>1.5741168325159221E-5</v>
      </c>
      <c r="D95" s="11">
        <f>data!AL124</f>
        <v>3.6156352594123329E-5</v>
      </c>
      <c r="E95" s="11">
        <f>data!AM124</f>
        <v>2.515765295367843E-2</v>
      </c>
      <c r="F95" s="11">
        <f>data!AN124</f>
        <v>0.25287872689761343</v>
      </c>
      <c r="G95" s="11">
        <f>data!AO124</f>
        <v>0.28719890281989341</v>
      </c>
      <c r="H95" s="11">
        <f>data!AP124</f>
        <v>7.0996982556546101E-2</v>
      </c>
      <c r="I95" s="11">
        <f>data!AQ124</f>
        <v>0.10016489840623478</v>
      </c>
      <c r="J95" s="11">
        <f>data!AR124</f>
        <v>6.8258107302824471E-6</v>
      </c>
      <c r="K95" s="11">
        <f>data!AS124</f>
        <v>2.024221476591132E-5</v>
      </c>
      <c r="L95" s="11">
        <f>data!AT124</f>
        <v>0.17007229455738157</v>
      </c>
      <c r="M95" s="11">
        <f>data!AU124</f>
        <v>0.97336955095246802</v>
      </c>
    </row>
    <row r="96" spans="1:13" x14ac:dyDescent="0.3">
      <c r="A96" s="13">
        <f>data!AG125</f>
        <v>42447</v>
      </c>
      <c r="B96" s="11">
        <f>data!AJ125</f>
        <v>0.10672733588880921</v>
      </c>
      <c r="C96" s="11">
        <f>data!AK125</f>
        <v>2.2840222055691788E-5</v>
      </c>
      <c r="D96" s="11">
        <f>data!AL125</f>
        <v>4.6595258996656204E-5</v>
      </c>
      <c r="E96" s="11">
        <f>data!AM125</f>
        <v>3.8220786444443093E-2</v>
      </c>
      <c r="F96" s="11">
        <f>data!AN125</f>
        <v>0.2395903561954866</v>
      </c>
      <c r="G96" s="11">
        <f>data!AO125</f>
        <v>0.25810614875058202</v>
      </c>
      <c r="H96" s="11">
        <f>data!AP125</f>
        <v>9.6226287118722081E-2</v>
      </c>
      <c r="I96" s="11">
        <f>data!AQ125</f>
        <v>9.0307448574337187E-2</v>
      </c>
      <c r="J96" s="11">
        <f>data!AR125</f>
        <v>9.7920855276813138E-6</v>
      </c>
      <c r="K96" s="11">
        <f>data!AS125</f>
        <v>3.9378639547891535E-5</v>
      </c>
      <c r="L96" s="11">
        <f>data!AT125</f>
        <v>0.17070303082149191</v>
      </c>
      <c r="M96" s="11">
        <f>data!AU125</f>
        <v>0.97309425778410596</v>
      </c>
    </row>
    <row r="97" spans="1:13" x14ac:dyDescent="0.3">
      <c r="A97" s="13">
        <f>data!AG126</f>
        <v>42454</v>
      </c>
      <c r="B97" s="11">
        <f>data!AJ126</f>
        <v>0.10529771935670129</v>
      </c>
      <c r="C97" s="11">
        <f>data!AK126</f>
        <v>2.0808013189107004E-5</v>
      </c>
      <c r="D97" s="11">
        <f>data!AL126</f>
        <v>4.0245816083019424E-5</v>
      </c>
      <c r="E97" s="11">
        <f>data!AM126</f>
        <v>4.1384325247702462E-2</v>
      </c>
      <c r="F97" s="11">
        <f>data!AN126</f>
        <v>0.21496178778286612</v>
      </c>
      <c r="G97" s="11">
        <f>data!AO126</f>
        <v>0.22572646515108388</v>
      </c>
      <c r="H97" s="11">
        <f>data!AP126</f>
        <v>0.14989621506256384</v>
      </c>
      <c r="I97" s="11">
        <f>data!AQ126</f>
        <v>9.4541648065718617E-2</v>
      </c>
      <c r="J97" s="11">
        <f>data!AR126</f>
        <v>9.1071249805294803E-6</v>
      </c>
      <c r="K97" s="11">
        <f>data!AS126</f>
        <v>5.1578785977626583E-5</v>
      </c>
      <c r="L97" s="11">
        <f>data!AT126</f>
        <v>0.16807009959313349</v>
      </c>
      <c r="M97" s="11">
        <f>data!AU126</f>
        <v>0.97425046422399775</v>
      </c>
    </row>
    <row r="98" spans="1:13" x14ac:dyDescent="0.3">
      <c r="A98" s="13">
        <f>data!AG127</f>
        <v>42461</v>
      </c>
      <c r="B98" s="11">
        <f>data!AJ127</f>
        <v>3.7797597459331519E-2</v>
      </c>
      <c r="C98" s="11">
        <f>data!AK127</f>
        <v>2.1769123269799615E-5</v>
      </c>
      <c r="D98" s="11">
        <f>data!AL127</f>
        <v>4.1372173197336487E-5</v>
      </c>
      <c r="E98" s="11">
        <f>data!AM127</f>
        <v>6.0314556638264474E-2</v>
      </c>
      <c r="F98" s="11">
        <f>data!AN127</f>
        <v>0.17841807080927047</v>
      </c>
      <c r="G98" s="11">
        <f>data!AO127</f>
        <v>0.22191804948126168</v>
      </c>
      <c r="H98" s="11">
        <f>data!AP127</f>
        <v>0.21200415059399574</v>
      </c>
      <c r="I98" s="11">
        <f>data!AQ127</f>
        <v>0.10460051202928568</v>
      </c>
      <c r="J98" s="11">
        <f>data!AR127</f>
        <v>8.2209902985782642E-6</v>
      </c>
      <c r="K98" s="11">
        <f>data!AS127</f>
        <v>5.9711632443288107E-5</v>
      </c>
      <c r="L98" s="11">
        <f>data!AT127</f>
        <v>0.18481598906938151</v>
      </c>
      <c r="M98" s="11">
        <f>data!AU127</f>
        <v>0.97629346042545329</v>
      </c>
    </row>
    <row r="99" spans="1:13" x14ac:dyDescent="0.3">
      <c r="A99" s="13">
        <f>data!AG128</f>
        <v>42468</v>
      </c>
      <c r="B99" s="11">
        <f>data!AJ128</f>
        <v>3.9859974813571418E-2</v>
      </c>
      <c r="C99" s="11">
        <f>data!AK128</f>
        <v>2.1499622922398226E-5</v>
      </c>
      <c r="D99" s="11">
        <f>data!AL128</f>
        <v>4.1764474005502995E-5</v>
      </c>
      <c r="E99" s="11">
        <f>data!AM128</f>
        <v>4.4627470377745476E-2</v>
      </c>
      <c r="F99" s="11">
        <f>data!AN128</f>
        <v>0.18983320558530875</v>
      </c>
      <c r="G99" s="11">
        <f>data!AO128</f>
        <v>0.23869041820568576</v>
      </c>
      <c r="H99" s="11">
        <f>data!AP128</f>
        <v>0.19376990810813569</v>
      </c>
      <c r="I99" s="11">
        <f>data!AQ128</f>
        <v>0.11126044992593943</v>
      </c>
      <c r="J99" s="11">
        <f>data!AR128</f>
        <v>7.4907288419614908E-6</v>
      </c>
      <c r="K99" s="11">
        <f>data!AS128</f>
        <v>4.8011241912995127E-5</v>
      </c>
      <c r="L99" s="11">
        <f>data!AT128</f>
        <v>0.18183980691593063</v>
      </c>
      <c r="M99" s="11">
        <f>data!AU128</f>
        <v>0.97631209751768244</v>
      </c>
    </row>
    <row r="100" spans="1:13" x14ac:dyDescent="0.3">
      <c r="A100" s="13">
        <f>data!AG129</f>
        <v>42475</v>
      </c>
      <c r="B100" s="11">
        <f>data!AJ129</f>
        <v>4.9562625877545827E-2</v>
      </c>
      <c r="C100" s="11">
        <f>data!AK129</f>
        <v>3.2580371843760796E-5</v>
      </c>
      <c r="D100" s="11">
        <f>data!AL129</f>
        <v>7.0488318906540532E-5</v>
      </c>
      <c r="E100" s="11">
        <f>data!AM129</f>
        <v>4.1433107065517297E-2</v>
      </c>
      <c r="F100" s="11">
        <f>data!AN129</f>
        <v>0.15774904244493104</v>
      </c>
      <c r="G100" s="11">
        <f>data!AO129</f>
        <v>0.20498358010181811</v>
      </c>
      <c r="H100" s="11">
        <f>data!AP129</f>
        <v>0.25579184897213836</v>
      </c>
      <c r="I100" s="11">
        <f>data!AQ129</f>
        <v>0.10923930171749438</v>
      </c>
      <c r="J100" s="11">
        <f>data!AR129</f>
        <v>1.2013828955046365E-5</v>
      </c>
      <c r="K100" s="11">
        <f>data!AS129</f>
        <v>3.5046331714120747E-5</v>
      </c>
      <c r="L100" s="11">
        <f>data!AT129</f>
        <v>0.18109036496913566</v>
      </c>
      <c r="M100" s="11">
        <f>data!AU129</f>
        <v>0.97786397177056505</v>
      </c>
    </row>
    <row r="101" spans="1:13" x14ac:dyDescent="0.3">
      <c r="A101" s="13">
        <f>data!AG130</f>
        <v>42482</v>
      </c>
      <c r="B101" s="11">
        <f>data!AJ130</f>
        <v>4.4970334398601264E-2</v>
      </c>
      <c r="C101" s="11">
        <f>data!AK130</f>
        <v>3.4525446639249347E-5</v>
      </c>
      <c r="D101" s="11">
        <f>data!AL130</f>
        <v>8.2246822110479829E-5</v>
      </c>
      <c r="E101" s="11">
        <f>data!AM130</f>
        <v>5.274399303997495E-2</v>
      </c>
      <c r="F101" s="11">
        <f>data!AN130</f>
        <v>0.15320601926328073</v>
      </c>
      <c r="G101" s="11">
        <f>data!AO130</f>
        <v>0.19852997142373288</v>
      </c>
      <c r="H101" s="11">
        <f>data!AP130</f>
        <v>0.2592081065105446</v>
      </c>
      <c r="I101" s="11">
        <f>data!AQ130</f>
        <v>0.10838573385892053</v>
      </c>
      <c r="J101" s="11">
        <f>data!AR130</f>
        <v>1.195378793305165E-5</v>
      </c>
      <c r="K101" s="11">
        <f>data!AS130</f>
        <v>4.0743918911307709E-5</v>
      </c>
      <c r="L101" s="11">
        <f>data!AT130</f>
        <v>0.18278637152935096</v>
      </c>
      <c r="M101" s="11">
        <f>data!AU130</f>
        <v>0.9767028348185689</v>
      </c>
    </row>
    <row r="102" spans="1:13" x14ac:dyDescent="0.3">
      <c r="A102" s="13">
        <f>data!AG131</f>
        <v>42488</v>
      </c>
      <c r="B102" s="11">
        <f>data!AJ131</f>
        <v>3.1344248143302215E-2</v>
      </c>
      <c r="C102" s="11">
        <f>data!AK131</f>
        <v>2.9650551844836892E-5</v>
      </c>
      <c r="D102" s="11">
        <f>data!AL131</f>
        <v>5.8802732432344826E-5</v>
      </c>
      <c r="E102" s="11">
        <f>data!AM131</f>
        <v>4.3775065234153303E-2</v>
      </c>
      <c r="F102" s="11">
        <f>data!AN131</f>
        <v>0.16273855832491463</v>
      </c>
      <c r="G102" s="11">
        <f>data!AO131</f>
        <v>0.20871882401971723</v>
      </c>
      <c r="H102" s="11">
        <f>data!AP131</f>
        <v>0.25012898887743268</v>
      </c>
      <c r="I102" s="11">
        <f>data!AQ131</f>
        <v>0.11999142418192785</v>
      </c>
      <c r="J102" s="11">
        <f>data!AR131</f>
        <v>8.4135954574379306E-6</v>
      </c>
      <c r="K102" s="11">
        <f>data!AS131</f>
        <v>3.9661277401534352E-5</v>
      </c>
      <c r="L102" s="11">
        <f>data!AT131</f>
        <v>0.18316636306141598</v>
      </c>
      <c r="M102" s="11">
        <f>data!AU131</f>
        <v>0.97657114647818399</v>
      </c>
    </row>
    <row r="103" spans="1:13" x14ac:dyDescent="0.3">
      <c r="A103" s="13">
        <f>data!AG132</f>
        <v>42496</v>
      </c>
      <c r="B103" s="11">
        <f>data!AJ132</f>
        <v>2.7354468394202996E-2</v>
      </c>
      <c r="C103" s="11">
        <f>data!AK132</f>
        <v>3.6681427921562012E-5</v>
      </c>
      <c r="D103" s="11">
        <f>data!AL132</f>
        <v>5.1104071007634692E-5</v>
      </c>
      <c r="E103" s="11">
        <f>data!AM132</f>
        <v>3.2144804226742089E-2</v>
      </c>
      <c r="F103" s="11">
        <f>data!AN132</f>
        <v>0.16192576447449464</v>
      </c>
      <c r="G103" s="11">
        <f>data!AO132</f>
        <v>0.21487375368718303</v>
      </c>
      <c r="H103" s="11">
        <f>data!AP132</f>
        <v>0.25436027077073503</v>
      </c>
      <c r="I103" s="11">
        <f>data!AQ132</f>
        <v>0.13128795831614662</v>
      </c>
      <c r="J103" s="11">
        <f>data!AR132</f>
        <v>8.7833548981514776E-6</v>
      </c>
      <c r="K103" s="11">
        <f>data!AS132</f>
        <v>3.0774189065039903E-5</v>
      </c>
      <c r="L103" s="11">
        <f>data!AT132</f>
        <v>0.17792563708760317</v>
      </c>
      <c r="M103" s="11">
        <f>data!AU132</f>
        <v>0.97672855729639652</v>
      </c>
    </row>
    <row r="104" spans="1:13" x14ac:dyDescent="0.3">
      <c r="A104" s="13">
        <f>data!AG133</f>
        <v>42503</v>
      </c>
      <c r="B104" s="11">
        <f>data!AJ133</f>
        <v>2.4379843104827249E-2</v>
      </c>
      <c r="C104" s="11">
        <f>data!AK133</f>
        <v>3.7192417892371009E-5</v>
      </c>
      <c r="D104" s="11">
        <f>data!AL133</f>
        <v>5.3801685824582931E-5</v>
      </c>
      <c r="E104" s="11">
        <f>data!AM133</f>
        <v>3.8565315377382288E-2</v>
      </c>
      <c r="F104" s="11">
        <f>data!AN133</f>
        <v>0.16276203550907553</v>
      </c>
      <c r="G104" s="11">
        <f>data!AO133</f>
        <v>0.21021327588523386</v>
      </c>
      <c r="H104" s="11">
        <f>data!AP133</f>
        <v>0.25163997315042291</v>
      </c>
      <c r="I104" s="11">
        <f>data!AQ133</f>
        <v>0.12785338316079664</v>
      </c>
      <c r="J104" s="11">
        <f>data!AR133</f>
        <v>9.1960677242856891E-6</v>
      </c>
      <c r="K104" s="11">
        <f>data!AS133</f>
        <v>2.6961002204644522E-5</v>
      </c>
      <c r="L104" s="11">
        <f>data!AT133</f>
        <v>0.18445902263861572</v>
      </c>
      <c r="M104" s="11">
        <f>data!AU133</f>
        <v>0.97568475534118515</v>
      </c>
    </row>
    <row r="105" spans="1:13" x14ac:dyDescent="0.3">
      <c r="A105" s="13">
        <f>data!AG134</f>
        <v>42513</v>
      </c>
      <c r="B105" s="11">
        <f>data!AJ134</f>
        <v>1.9303791258642979E-2</v>
      </c>
      <c r="C105" s="11">
        <f>data!AK134</f>
        <v>4.1660926035164367E-5</v>
      </c>
      <c r="D105" s="11">
        <f>data!AL134</f>
        <v>4.9433945186253659E-5</v>
      </c>
      <c r="E105" s="11">
        <f>data!AM134</f>
        <v>3.9915001029464811E-2</v>
      </c>
      <c r="F105" s="11">
        <f>data!AN134</f>
        <v>0.16864968195686619</v>
      </c>
      <c r="G105" s="11">
        <f>data!AO134</f>
        <v>0.2119711495587078</v>
      </c>
      <c r="H105" s="11">
        <f>data!AP134</f>
        <v>0.24302182983803647</v>
      </c>
      <c r="I105" s="11">
        <f>data!AQ134</f>
        <v>0.12988493838495485</v>
      </c>
      <c r="J105" s="11">
        <f>data!AR134</f>
        <v>9.5940936048449715E-6</v>
      </c>
      <c r="K105" s="11">
        <f>data!AS134</f>
        <v>2.9522968933726777E-5</v>
      </c>
      <c r="L105" s="11">
        <f>data!AT134</f>
        <v>0.18712339603956696</v>
      </c>
      <c r="M105" s="11">
        <f>data!AU134</f>
        <v>0.97586429829293941</v>
      </c>
    </row>
    <row r="106" spans="1:13" x14ac:dyDescent="0.3">
      <c r="A106" s="13">
        <f>data!AG135</f>
        <v>42520.5</v>
      </c>
      <c r="B106" s="11">
        <f>data!AJ135</f>
        <v>1.0315684826484778E-2</v>
      </c>
      <c r="C106" s="11">
        <f>data!AK135</f>
        <v>3.2138684852058848E-5</v>
      </c>
      <c r="D106" s="11">
        <f>data!AL135</f>
        <v>3.3514153980959234E-5</v>
      </c>
      <c r="E106" s="11">
        <f>data!AM135</f>
        <v>4.1196681934857107E-2</v>
      </c>
      <c r="F106" s="11">
        <f>data!AN135</f>
        <v>0.17706865415332346</v>
      </c>
      <c r="G106" s="11">
        <f>data!AO135</f>
        <v>0.22158073880546686</v>
      </c>
      <c r="H106" s="11">
        <f>data!AP135</f>
        <v>0.2265555197503184</v>
      </c>
      <c r="I106" s="11">
        <f>data!AQ135</f>
        <v>0.13231839285625452</v>
      </c>
      <c r="J106" s="11">
        <f>data!AR135</f>
        <v>6.3987980559723302E-6</v>
      </c>
      <c r="K106" s="11">
        <f>data!AS135</f>
        <v>1.9974834978283881E-5</v>
      </c>
      <c r="L106" s="11">
        <f>data!AT135</f>
        <v>0.19087230120142756</v>
      </c>
      <c r="M106" s="11">
        <f>data!AU135</f>
        <v>0.97573500572323779</v>
      </c>
    </row>
    <row r="107" spans="1:13" x14ac:dyDescent="0.3">
      <c r="A107" s="13">
        <f>data!AG136</f>
        <v>42527.5</v>
      </c>
      <c r="B107" s="11">
        <f>data!AJ136</f>
        <v>8.6042442745489089E-5</v>
      </c>
      <c r="C107" s="11">
        <f>data!AK136</f>
        <v>6.9860393704487291E-5</v>
      </c>
      <c r="D107" s="11">
        <f>data!AL136</f>
        <v>5.6252274283451796E-5</v>
      </c>
      <c r="E107" s="11">
        <f>data!AM136</f>
        <v>7.1146685099352597E-2</v>
      </c>
      <c r="F107" s="11">
        <f>data!AN136</f>
        <v>0.16802788359769413</v>
      </c>
      <c r="G107" s="11">
        <f>data!AO136</f>
        <v>0.18790501207890448</v>
      </c>
      <c r="H107" s="11">
        <f>data!AP136</f>
        <v>0.21147137022829571</v>
      </c>
      <c r="I107" s="11">
        <f>data!AQ136</f>
        <v>0.14509546627367156</v>
      </c>
      <c r="J107" s="11">
        <f>data!AR136</f>
        <v>1.095630989484103E-5</v>
      </c>
      <c r="K107" s="11">
        <f>data!AS136</f>
        <v>3.7656991269935425E-5</v>
      </c>
      <c r="L107" s="11">
        <f>data!AT136</f>
        <v>0.21609281431018326</v>
      </c>
      <c r="M107" s="11">
        <f>data!AU136</f>
        <v>0.96706933346046386</v>
      </c>
    </row>
    <row r="108" spans="1:13" x14ac:dyDescent="0.3">
      <c r="A108" s="13">
        <f>data!AG137</f>
        <v>42534.5</v>
      </c>
      <c r="B108" s="11">
        <f>data!AJ137</f>
        <v>5.8503271239019267E-5</v>
      </c>
      <c r="C108" s="11">
        <f>data!AK137</f>
        <v>6.5736502376999954E-5</v>
      </c>
      <c r="D108" s="11">
        <f>data!AL137</f>
        <v>5.4547695952700666E-5</v>
      </c>
      <c r="E108" s="11">
        <f>data!AM137</f>
        <v>7.76870888507631E-2</v>
      </c>
      <c r="F108" s="11">
        <f>data!AN137</f>
        <v>0.1633050104792225</v>
      </c>
      <c r="G108" s="11">
        <f>data!AO137</f>
        <v>0.18847004880582036</v>
      </c>
      <c r="H108" s="11">
        <f>data!AP137</f>
        <v>0.21264695678995896</v>
      </c>
      <c r="I108" s="11">
        <f>data!AQ137</f>
        <v>0.15167194323825109</v>
      </c>
      <c r="J108" s="11">
        <f>data!AR137</f>
        <v>8.9989856866641049E-6</v>
      </c>
      <c r="K108" s="11">
        <f>data!AS137</f>
        <v>4.6206945564960177E-5</v>
      </c>
      <c r="L108" s="11">
        <f>data!AT137</f>
        <v>0.20598495843516368</v>
      </c>
      <c r="M108" s="11">
        <f>data!AU137</f>
        <v>0.95923561448908878</v>
      </c>
    </row>
    <row r="109" spans="1:13" x14ac:dyDescent="0.3">
      <c r="A109" s="13">
        <f>data!AG138</f>
        <v>42541</v>
      </c>
      <c r="B109" s="11">
        <f>data!AJ138</f>
        <v>8.1677860709097254E-5</v>
      </c>
      <c r="C109" s="11">
        <f>data!AK138</f>
        <v>5.0069624604482018E-5</v>
      </c>
      <c r="D109" s="11">
        <f>data!AL138</f>
        <v>6.4680787368744217E-5</v>
      </c>
      <c r="E109" s="11">
        <f>data!AM138</f>
        <v>8.0851315313405059E-2</v>
      </c>
      <c r="F109" s="11">
        <f>data!AN138</f>
        <v>0.16091077131708995</v>
      </c>
      <c r="G109" s="11">
        <f>data!AO138</f>
        <v>0.18831099295958248</v>
      </c>
      <c r="H109" s="11">
        <f>data!AP138</f>
        <v>0.21212245072129177</v>
      </c>
      <c r="I109" s="11">
        <f>data!AQ138</f>
        <v>0.1501894673341837</v>
      </c>
      <c r="J109" s="11">
        <f>data!AR138</f>
        <v>9.1998760475095943E-6</v>
      </c>
      <c r="K109" s="11">
        <f>data!AS138</f>
        <v>3.6325638412439519E-5</v>
      </c>
      <c r="L109" s="11">
        <f>data!AT138</f>
        <v>0.20737304856730474</v>
      </c>
      <c r="M109" s="11">
        <f>data!AU138</f>
        <v>0.95976965207087506</v>
      </c>
    </row>
    <row r="110" spans="1:13" x14ac:dyDescent="0.3">
      <c r="A110" s="13">
        <f>data!AG139</f>
        <v>42548.5</v>
      </c>
      <c r="B110" s="11">
        <f>data!AJ139</f>
        <v>6.3229678452467922E-2</v>
      </c>
      <c r="C110" s="11">
        <f>data!AK139</f>
        <v>8.7064077511780108E-5</v>
      </c>
      <c r="D110" s="11">
        <f>data!AL139</f>
        <v>8.4145514994735285E-2</v>
      </c>
      <c r="E110" s="11">
        <f>data!AM139</f>
        <v>0.20861896049148571</v>
      </c>
      <c r="F110" s="11">
        <f>data!AN139</f>
        <v>5.5879935228254012E-2</v>
      </c>
      <c r="G110" s="11">
        <f>data!AO139</f>
        <v>0.14610514275408526</v>
      </c>
      <c r="H110" s="11">
        <f>data!AP139</f>
        <v>0.25145809408168518</v>
      </c>
      <c r="I110" s="11">
        <f>data!AQ139</f>
        <v>4.0086815533134812E-2</v>
      </c>
      <c r="J110" s="11">
        <f>data!AR139</f>
        <v>2.7758071114136621E-5</v>
      </c>
      <c r="K110" s="11">
        <f>data!AS139</f>
        <v>2.519430327167909E-2</v>
      </c>
      <c r="L110" s="11">
        <f>data!AT139</f>
        <v>0.12516673304384685</v>
      </c>
      <c r="M110" s="11">
        <f>data!AU139</f>
        <v>0.98382008682883748</v>
      </c>
    </row>
    <row r="111" spans="1:13" x14ac:dyDescent="0.3">
      <c r="A111" s="13">
        <f>data!AG140</f>
        <v>42559</v>
      </c>
      <c r="B111" s="11">
        <f>data!AJ140</f>
        <v>7.3741174892988717E-2</v>
      </c>
      <c r="C111" s="11">
        <f>data!AK140</f>
        <v>8.8226311855535812E-5</v>
      </c>
      <c r="D111" s="11">
        <f>data!AL140</f>
        <v>9.163931142950868E-2</v>
      </c>
      <c r="E111" s="11">
        <f>data!AM140</f>
        <v>0.19144657868134823</v>
      </c>
      <c r="F111" s="11">
        <f>data!AN140</f>
        <v>5.3831507122651369E-2</v>
      </c>
      <c r="G111" s="11">
        <f>data!AO140</f>
        <v>0.14814789693086822</v>
      </c>
      <c r="H111" s="11">
        <f>data!AP140</f>
        <v>0.24324394762808815</v>
      </c>
      <c r="I111" s="11">
        <f>data!AQ140</f>
        <v>4.7330940754582565E-2</v>
      </c>
      <c r="J111" s="11">
        <f>data!AR140</f>
        <v>1.074482975282896E-5</v>
      </c>
      <c r="K111" s="11">
        <f>data!AS140</f>
        <v>3.0887220813670239E-2</v>
      </c>
      <c r="L111" s="11">
        <f>data!AT140</f>
        <v>0.11963245060468541</v>
      </c>
      <c r="M111" s="11">
        <f>data!AU140</f>
        <v>0.98305896099981593</v>
      </c>
    </row>
    <row r="112" spans="1:13" x14ac:dyDescent="0.3">
      <c r="A112" s="13">
        <f>data!AG141</f>
        <v>42566</v>
      </c>
      <c r="B112" s="11">
        <f>data!AJ141</f>
        <v>7.0443165527206961E-2</v>
      </c>
      <c r="C112" s="11">
        <f>data!AK141</f>
        <v>9.1295830711695707E-5</v>
      </c>
      <c r="D112" s="11">
        <f>data!AL141</f>
        <v>8.7552384523671783E-2</v>
      </c>
      <c r="E112" s="11">
        <f>data!AM141</f>
        <v>0.19130273727048042</v>
      </c>
      <c r="F112" s="11">
        <f>data!AN141</f>
        <v>6.04300171213236E-2</v>
      </c>
      <c r="G112" s="11">
        <f>data!AO141</f>
        <v>0.15080923299433766</v>
      </c>
      <c r="H112" s="11">
        <f>data!AP141</f>
        <v>0.23999218133438563</v>
      </c>
      <c r="I112" s="11">
        <f>data!AQ141</f>
        <v>5.1823232224617266E-2</v>
      </c>
      <c r="J112" s="11">
        <f>data!AR141</f>
        <v>6.7315472261560275E-6</v>
      </c>
      <c r="K112" s="11">
        <f>data!AS141</f>
        <v>2.9773834493315127E-2</v>
      </c>
      <c r="L112" s="11">
        <f>data!AT141</f>
        <v>0.11777518713272377</v>
      </c>
      <c r="M112" s="11">
        <f>data!AU141</f>
        <v>0.98225108447936238</v>
      </c>
    </row>
    <row r="113" spans="1:13" x14ac:dyDescent="0.3">
      <c r="A113" s="13">
        <f>data!AG142</f>
        <v>42573</v>
      </c>
      <c r="B113" s="11">
        <f>data!AJ142</f>
        <v>5.1790242221060906E-2</v>
      </c>
      <c r="C113" s="11">
        <f>data!AK142</f>
        <v>6.4348178768678451E-4</v>
      </c>
      <c r="D113" s="11">
        <f>data!AL142</f>
        <v>9.2057074218177021E-2</v>
      </c>
      <c r="E113" s="11">
        <f>data!AM142</f>
        <v>0.19156855492734184</v>
      </c>
      <c r="F113" s="11">
        <f>data!AN142</f>
        <v>6.6838600554370894E-2</v>
      </c>
      <c r="G113" s="11">
        <f>data!AO142</f>
        <v>0.15041423021364753</v>
      </c>
      <c r="H113" s="11">
        <f>data!AP142</f>
        <v>0.22701185500901658</v>
      </c>
      <c r="I113" s="11">
        <f>data!AQ142</f>
        <v>7.485999413241147E-2</v>
      </c>
      <c r="J113" s="11">
        <f>data!AR142</f>
        <v>4.5678573443322596E-4</v>
      </c>
      <c r="K113" s="11">
        <f>data!AS142</f>
        <v>1.4171150914577187E-2</v>
      </c>
      <c r="L113" s="11">
        <f>data!AT142</f>
        <v>0.1301880302872766</v>
      </c>
      <c r="M113" s="11">
        <f>data!AU142</f>
        <v>0.98042969693031301</v>
      </c>
    </row>
    <row r="114" spans="1:13" x14ac:dyDescent="0.3">
      <c r="A114" s="13">
        <f>data!AG143</f>
        <v>42580</v>
      </c>
      <c r="B114" s="11">
        <f>data!AJ143</f>
        <v>8.8969035559055637E-2</v>
      </c>
      <c r="C114" s="11">
        <f>data!AK143</f>
        <v>8.7573959498457978E-5</v>
      </c>
      <c r="D114" s="11">
        <f>data!AL143</f>
        <v>8.4127831942548803E-2</v>
      </c>
      <c r="E114" s="11">
        <f>data!AM143</f>
        <v>0.20126803379502425</v>
      </c>
      <c r="F114" s="11">
        <f>data!AN143</f>
        <v>5.9051994395841245E-2</v>
      </c>
      <c r="G114" s="11">
        <f>data!AO143</f>
        <v>0.13206661790530386</v>
      </c>
      <c r="H114" s="11">
        <f>data!AP143</f>
        <v>0.25589665435266762</v>
      </c>
      <c r="I114" s="11">
        <f>data!AQ143</f>
        <v>4.6433337979340891E-2</v>
      </c>
      <c r="J114" s="11">
        <f>data!AR143</f>
        <v>8.3791139056115633E-5</v>
      </c>
      <c r="K114" s="11">
        <f>data!AS143</f>
        <v>1.7983293142766109E-2</v>
      </c>
      <c r="L114" s="11">
        <f>data!AT143</f>
        <v>0.11403183582889696</v>
      </c>
      <c r="M114" s="11">
        <f>data!AU143</f>
        <v>0.98047880148109168</v>
      </c>
    </row>
    <row r="115" spans="1:13" x14ac:dyDescent="0.3">
      <c r="A115" s="13">
        <f>data!AG144</f>
        <v>42587</v>
      </c>
      <c r="B115" s="11">
        <f>data!AJ144</f>
        <v>7.846058769236558E-2</v>
      </c>
      <c r="C115" s="11">
        <f>data!AK144</f>
        <v>8.546633125836469E-5</v>
      </c>
      <c r="D115" s="11">
        <f>data!AL144</f>
        <v>9.1627036350663896E-2</v>
      </c>
      <c r="E115" s="11">
        <f>data!AM144</f>
        <v>0.19652192360269621</v>
      </c>
      <c r="F115" s="11">
        <f>data!AN144</f>
        <v>5.3151851716770497E-2</v>
      </c>
      <c r="G115" s="11">
        <f>data!AO144</f>
        <v>0.1268325966304851</v>
      </c>
      <c r="H115" s="11">
        <f>data!AP144</f>
        <v>0.26448784090805777</v>
      </c>
      <c r="I115" s="11">
        <f>data!AQ144</f>
        <v>4.1575326685489383E-2</v>
      </c>
      <c r="J115" s="11">
        <f>data!AR144</f>
        <v>2.7109333896290351E-5</v>
      </c>
      <c r="K115" s="11">
        <f>data!AS144</f>
        <v>2.7121284759027905E-2</v>
      </c>
      <c r="L115" s="11">
        <f>data!AT144</f>
        <v>0.12010897598928909</v>
      </c>
      <c r="M115" s="11">
        <f>data!AU144</f>
        <v>0.98014894520714524</v>
      </c>
    </row>
    <row r="116" spans="1:13" x14ac:dyDescent="0.3">
      <c r="A116" s="13">
        <f>data!AG145</f>
        <v>42594</v>
      </c>
      <c r="B116" s="11">
        <f>data!AJ145</f>
        <v>8.9932988472425673E-2</v>
      </c>
      <c r="C116" s="11">
        <f>data!AK145</f>
        <v>3.1443599269070893E-2</v>
      </c>
      <c r="D116" s="11">
        <f>data!AL145</f>
        <v>4.5083299979607021E-2</v>
      </c>
      <c r="E116" s="11">
        <f>data!AM145</f>
        <v>0.18629988499381939</v>
      </c>
      <c r="F116" s="11">
        <f>data!AN145</f>
        <v>3.7244846674332303E-2</v>
      </c>
      <c r="G116" s="11">
        <f>data!AO145</f>
        <v>0.14854089302163803</v>
      </c>
      <c r="H116" s="11">
        <f>data!AP145</f>
        <v>0.23383209677489383</v>
      </c>
      <c r="I116" s="11">
        <f>data!AQ145</f>
        <v>5.3124128818015676E-2</v>
      </c>
      <c r="J116" s="11">
        <f>data!AR145</f>
        <v>6.9897000439055827E-5</v>
      </c>
      <c r="K116" s="11">
        <f>data!AS145</f>
        <v>3.8588200993380756E-2</v>
      </c>
      <c r="L116" s="11">
        <f>data!AT145</f>
        <v>0.13584016400237742</v>
      </c>
      <c r="M116" s="11">
        <f>data!AU145</f>
        <v>0.97570193813227946</v>
      </c>
    </row>
    <row r="117" spans="1:13" x14ac:dyDescent="0.3">
      <c r="A117" s="13">
        <f>data!AG146</f>
        <v>42601</v>
      </c>
      <c r="B117" s="11">
        <f>data!AJ146</f>
        <v>8.2535225676378249E-2</v>
      </c>
      <c r="C117" s="11">
        <f>data!AK146</f>
        <v>4.8187398725834794E-2</v>
      </c>
      <c r="D117" s="11">
        <f>data!AL146</f>
        <v>3.1304013506873604E-2</v>
      </c>
      <c r="E117" s="11">
        <f>data!AM146</f>
        <v>0.17554282361924892</v>
      </c>
      <c r="F117" s="11">
        <f>data!AN146</f>
        <v>4.4736003676318643E-2</v>
      </c>
      <c r="G117" s="11">
        <f>data!AO146</f>
        <v>0.15899922027959049</v>
      </c>
      <c r="H117" s="11">
        <f>data!AP146</f>
        <v>0.21959800827413484</v>
      </c>
      <c r="I117" s="11">
        <f>data!AQ146</f>
        <v>6.7917577401238188E-2</v>
      </c>
      <c r="J117" s="11">
        <f>data!AR146</f>
        <v>3.9946681676124097E-5</v>
      </c>
      <c r="K117" s="11">
        <f>data!AS146</f>
        <v>3.447150032529054E-2</v>
      </c>
      <c r="L117" s="11">
        <f>data!AT146</f>
        <v>0.13666828183341564</v>
      </c>
      <c r="M117" s="11">
        <f>data!AU146</f>
        <v>0.9754713524531321</v>
      </c>
    </row>
    <row r="118" spans="1:13" x14ac:dyDescent="0.3">
      <c r="A118" s="13">
        <f>data!AG147</f>
        <v>42608</v>
      </c>
      <c r="B118" s="11">
        <f>data!AJ147</f>
        <v>8.4791285035115807E-2</v>
      </c>
      <c r="C118" s="11">
        <f>data!AK147</f>
        <v>4.9686890529828248E-2</v>
      </c>
      <c r="D118" s="11">
        <f>data!AL147</f>
        <v>3.7139328649326515E-2</v>
      </c>
      <c r="E118" s="11">
        <f>data!AM147</f>
        <v>0.17193188250917046</v>
      </c>
      <c r="F118" s="11">
        <f>data!AN147</f>
        <v>4.7550777252291877E-2</v>
      </c>
      <c r="G118" s="11">
        <f>data!AO147</f>
        <v>0.1570961492812562</v>
      </c>
      <c r="H118" s="11">
        <f>data!AP147</f>
        <v>0.22085132273020205</v>
      </c>
      <c r="I118" s="11">
        <f>data!AQ147</f>
        <v>6.3714046066189967E-2</v>
      </c>
      <c r="J118" s="11">
        <f>data!AR147</f>
        <v>4.9703524572756139E-5</v>
      </c>
      <c r="K118" s="11">
        <f>data!AS147</f>
        <v>2.8694029386717036E-2</v>
      </c>
      <c r="L118" s="11">
        <f>data!AT147</f>
        <v>0.13849458503532908</v>
      </c>
      <c r="M118" s="11">
        <f>data!AU147</f>
        <v>0.97678672519663112</v>
      </c>
    </row>
    <row r="119" spans="1:13" x14ac:dyDescent="0.3">
      <c r="A119" s="13">
        <f>data!AG148</f>
        <v>42615</v>
      </c>
      <c r="B119" s="11">
        <f>data!AJ148</f>
        <v>8.4124213181508325E-2</v>
      </c>
      <c r="C119" s="11">
        <f>data!AK148</f>
        <v>5.2003436262873938E-2</v>
      </c>
      <c r="D119" s="11">
        <f>data!AL148</f>
        <v>4.0310971430756515E-2</v>
      </c>
      <c r="E119" s="11">
        <f>data!AM148</f>
        <v>0.16668617238437863</v>
      </c>
      <c r="F119" s="11">
        <f>data!AN148</f>
        <v>5.3363221657415007E-2</v>
      </c>
      <c r="G119" s="11">
        <f>data!AO148</f>
        <v>0.16289939509392729</v>
      </c>
      <c r="H119" s="11">
        <f>data!AP148</f>
        <v>0.21647804338470414</v>
      </c>
      <c r="I119" s="11">
        <f>data!AQ148</f>
        <v>6.6288311202451475E-2</v>
      </c>
      <c r="J119" s="11">
        <f>data!AR148</f>
        <v>5.5243665661264417E-5</v>
      </c>
      <c r="K119" s="11">
        <f>data!AS148</f>
        <v>1.8872634193175062E-2</v>
      </c>
      <c r="L119" s="11">
        <f>data!AT148</f>
        <v>0.13891835754314838</v>
      </c>
      <c r="M119" s="11">
        <f>data!AU148</f>
        <v>0.97595641944080513</v>
      </c>
    </row>
    <row r="120" spans="1:13" x14ac:dyDescent="0.3">
      <c r="A120" s="13">
        <f>data!AG149</f>
        <v>42621.5</v>
      </c>
      <c r="B120" s="11">
        <f>data!AJ149</f>
        <v>8.4629731021563265E-2</v>
      </c>
      <c r="C120" s="11">
        <f>data!AK149</f>
        <v>6.3426678952399951E-2</v>
      </c>
      <c r="D120" s="11">
        <f>data!AL149</f>
        <v>3.5223178092734453E-2</v>
      </c>
      <c r="E120" s="11">
        <f>data!AM149</f>
        <v>0.15396864730865079</v>
      </c>
      <c r="F120" s="11">
        <f>data!AN149</f>
        <v>5.9003875575363476E-2</v>
      </c>
      <c r="G120" s="11">
        <f>data!AO149</f>
        <v>0.17248796672769751</v>
      </c>
      <c r="H120" s="11">
        <f>data!AP149</f>
        <v>0.20653238870854843</v>
      </c>
      <c r="I120" s="11">
        <f>data!AQ149</f>
        <v>6.5834630199092012E-2</v>
      </c>
      <c r="J120" s="11">
        <f>data!AR149</f>
        <v>3.3943722670632392E-5</v>
      </c>
      <c r="K120" s="11">
        <f>data!AS149</f>
        <v>1.8721056557518771E-2</v>
      </c>
      <c r="L120" s="11">
        <f>data!AT149</f>
        <v>0.14013790313376071</v>
      </c>
      <c r="M120" s="11">
        <f>data!AU149</f>
        <v>0.97406183429198112</v>
      </c>
    </row>
    <row r="121" spans="1:13" x14ac:dyDescent="0.3">
      <c r="A121" s="13">
        <f>data!AG150</f>
        <v>42629</v>
      </c>
      <c r="B121" s="11">
        <f>data!AJ150</f>
        <v>8.4555363905943537E-2</v>
      </c>
      <c r="C121" s="11">
        <f>data!AK150</f>
        <v>6.4999963065850694E-2</v>
      </c>
      <c r="D121" s="11">
        <f>data!AL150</f>
        <v>3.379729259866552E-2</v>
      </c>
      <c r="E121" s="11">
        <f>data!AM150</f>
        <v>0.15196498083520707</v>
      </c>
      <c r="F121" s="11">
        <f>data!AN150</f>
        <v>6.1123941468615231E-2</v>
      </c>
      <c r="G121" s="11">
        <f>data!AO150</f>
        <v>0.17305277032406707</v>
      </c>
      <c r="H121" s="11">
        <f>data!AP150</f>
        <v>0.20717492959885347</v>
      </c>
      <c r="I121" s="11">
        <f>data!AQ150</f>
        <v>6.6966721227395387E-2</v>
      </c>
      <c r="J121" s="11">
        <f>data!AR150</f>
        <v>3.0923718939992027E-5</v>
      </c>
      <c r="K121" s="11">
        <f>data!AS150</f>
        <v>1.7804468327300014E-2</v>
      </c>
      <c r="L121" s="11">
        <f>data!AT150</f>
        <v>0.13852864492916203</v>
      </c>
      <c r="M121" s="11">
        <f>data!AU150</f>
        <v>0.96940912724052386</v>
      </c>
    </row>
    <row r="122" spans="1:13" x14ac:dyDescent="0.3">
      <c r="A122" s="13">
        <f>data!AG151</f>
        <v>42636</v>
      </c>
      <c r="B122" s="11">
        <f>data!AJ151</f>
        <v>0.10069599271944706</v>
      </c>
      <c r="C122" s="11">
        <f>data!AK151</f>
        <v>8.4147512847578695E-2</v>
      </c>
      <c r="D122" s="11">
        <f>data!AL151</f>
        <v>7.4411508905415352E-3</v>
      </c>
      <c r="E122" s="11">
        <f>data!AM151</f>
        <v>0.16478093962443657</v>
      </c>
      <c r="F122" s="11">
        <f>data!AN151</f>
        <v>5.33459750182163E-2</v>
      </c>
      <c r="G122" s="11">
        <f>data!AO151</f>
        <v>0.15512602754996305</v>
      </c>
      <c r="H122" s="11">
        <f>data!AP151</f>
        <v>0.21763965423382395</v>
      </c>
      <c r="I122" s="11">
        <f>data!AQ151</f>
        <v>6.2927348352081469E-2</v>
      </c>
      <c r="J122" s="11">
        <f>data!AR151</f>
        <v>4.2308795181607813E-6</v>
      </c>
      <c r="K122" s="11">
        <f>data!AS151</f>
        <v>1.777498645922667E-2</v>
      </c>
      <c r="L122" s="11">
        <f>data!AT151</f>
        <v>0.13611618142516652</v>
      </c>
      <c r="M122" s="11">
        <f>data!AU151</f>
        <v>0.97237830169958295</v>
      </c>
    </row>
    <row r="123" spans="1:13" x14ac:dyDescent="0.3">
      <c r="A123" s="13">
        <f>data!AG152</f>
        <v>42643</v>
      </c>
      <c r="B123" s="11">
        <f>data!AJ152</f>
        <v>0.10001000655080636</v>
      </c>
      <c r="C123" s="11">
        <f>data!AK152</f>
        <v>8.4073928284041172E-2</v>
      </c>
      <c r="D123" s="11">
        <f>data!AL152</f>
        <v>1.7618318458518478E-2</v>
      </c>
      <c r="E123" s="11">
        <f>data!AM152</f>
        <v>0.16604569307523576</v>
      </c>
      <c r="F123" s="11">
        <f>data!AN152</f>
        <v>5.2205618624787883E-2</v>
      </c>
      <c r="G123" s="11">
        <f>data!AO152</f>
        <v>0.15883693997252654</v>
      </c>
      <c r="H123" s="11">
        <f>data!AP152</f>
        <v>0.21259047091048644</v>
      </c>
      <c r="I123" s="11">
        <f>data!AQ152</f>
        <v>5.4849444149022472E-2</v>
      </c>
      <c r="J123" s="11">
        <f>data!AR152</f>
        <v>1.3792568887659681E-5</v>
      </c>
      <c r="K123" s="11">
        <f>data!AS152</f>
        <v>1.708934194196458E-2</v>
      </c>
      <c r="L123" s="11">
        <f>data!AT152</f>
        <v>0.13666644546372272</v>
      </c>
      <c r="M123" s="11">
        <f>data!AU152</f>
        <v>0.97227391913232009</v>
      </c>
    </row>
    <row r="124" spans="1:13" x14ac:dyDescent="0.3">
      <c r="A124" s="13">
        <f>data!AG153</f>
        <v>42650</v>
      </c>
      <c r="B124" s="11">
        <f>data!AJ153</f>
        <v>9.5638767472968636E-2</v>
      </c>
      <c r="C124" s="11">
        <f>data!AK153</f>
        <v>8.7170619018216156E-2</v>
      </c>
      <c r="D124" s="11">
        <f>data!AL153</f>
        <v>2.1438233576216621E-2</v>
      </c>
      <c r="E124" s="11">
        <f>data!AM153</f>
        <v>0.17104637159489766</v>
      </c>
      <c r="F124" s="11">
        <f>data!AN153</f>
        <v>5.3332032984582597E-2</v>
      </c>
      <c r="G124" s="11">
        <f>data!AO153</f>
        <v>0.14689750627146636</v>
      </c>
      <c r="H124" s="11">
        <f>data!AP153</f>
        <v>0.21146246452936637</v>
      </c>
      <c r="I124" s="11">
        <f>data!AQ153</f>
        <v>6.3140330799201796E-2</v>
      </c>
      <c r="J124" s="11">
        <f>data!AR153</f>
        <v>1.8303547267175215E-5</v>
      </c>
      <c r="K124" s="11">
        <f>data!AS153</f>
        <v>1.0663466425644532E-2</v>
      </c>
      <c r="L124" s="11">
        <f>data!AT153</f>
        <v>0.13919190378017207</v>
      </c>
      <c r="M124" s="11">
        <f>data!AU153</f>
        <v>0.97065455585641225</v>
      </c>
    </row>
    <row r="125" spans="1:13" x14ac:dyDescent="0.3">
      <c r="A125" s="13">
        <f>data!AG154</f>
        <v>42657</v>
      </c>
      <c r="B125" s="11">
        <f>data!AJ154</f>
        <v>8.5835067019342348E-2</v>
      </c>
      <c r="C125" s="11">
        <f>data!AK154</f>
        <v>6.1134113199926718E-2</v>
      </c>
      <c r="D125" s="11">
        <f>data!AL154</f>
        <v>3.5568979736814998E-2</v>
      </c>
      <c r="E125" s="11">
        <f>data!AM154</f>
        <v>0.19054135031686739</v>
      </c>
      <c r="F125" s="11">
        <f>data!AN154</f>
        <v>7.363469415529908E-2</v>
      </c>
      <c r="G125" s="11">
        <f>data!AO154</f>
        <v>0.12854081966359465</v>
      </c>
      <c r="H125" s="11">
        <f>data!AP154</f>
        <v>0.21334783004286373</v>
      </c>
      <c r="I125" s="11">
        <f>data!AQ154</f>
        <v>6.3334173176883807E-2</v>
      </c>
      <c r="J125" s="11">
        <f>data!AR154</f>
        <v>4.5339557060826562E-6</v>
      </c>
      <c r="K125" s="11">
        <f>data!AS154</f>
        <v>1.4505348118812125E-3</v>
      </c>
      <c r="L125" s="11">
        <f>data!AT154</f>
        <v>0.14660790392081999</v>
      </c>
      <c r="M125" s="11">
        <f>data!AU154</f>
        <v>0.9707871465868162</v>
      </c>
    </row>
    <row r="126" spans="1:13" x14ac:dyDescent="0.3">
      <c r="A126" s="13">
        <f>data!AG155</f>
        <v>42664</v>
      </c>
      <c r="B126" s="11">
        <f>data!AJ155</f>
        <v>0.1028175722207383</v>
      </c>
      <c r="C126" s="11">
        <f>data!AK155</f>
        <v>8.1592507107070888E-2</v>
      </c>
      <c r="D126" s="11">
        <f>data!AL155</f>
        <v>1.0615537694924488E-4</v>
      </c>
      <c r="E126" s="11">
        <f>data!AM155</f>
        <v>0.18062767796558932</v>
      </c>
      <c r="F126" s="11">
        <f>data!AN155</f>
        <v>5.6616868709171507E-2</v>
      </c>
      <c r="G126" s="11">
        <f>data!AO155</f>
        <v>0.14695838293670394</v>
      </c>
      <c r="H126" s="11">
        <f>data!AP155</f>
        <v>0.22691282991849854</v>
      </c>
      <c r="I126" s="11">
        <f>data!AQ155</f>
        <v>5.55645663831629E-2</v>
      </c>
      <c r="J126" s="11">
        <f>data!AR155</f>
        <v>5.215541669591713E-7</v>
      </c>
      <c r="K126" s="11">
        <f>data!AS155</f>
        <v>9.1386466097188035E-3</v>
      </c>
      <c r="L126" s="11">
        <f>data!AT155</f>
        <v>0.13966427121822958</v>
      </c>
      <c r="M126" s="11">
        <f>data!AU155</f>
        <v>0.97636991532865303</v>
      </c>
    </row>
    <row r="127" spans="1:13" x14ac:dyDescent="0.3">
      <c r="A127" s="13">
        <f>data!AG156</f>
        <v>42670</v>
      </c>
      <c r="B127" s="11">
        <f>data!AJ156</f>
        <v>0.10739373606230367</v>
      </c>
      <c r="C127" s="11">
        <f>data!AK156</f>
        <v>6.459969984864436E-2</v>
      </c>
      <c r="D127" s="11">
        <f>data!AL156</f>
        <v>8.8416938301160363E-5</v>
      </c>
      <c r="E127" s="11">
        <f>data!AM156</f>
        <v>0.17889610262690703</v>
      </c>
      <c r="F127" s="11">
        <f>data!AN156</f>
        <v>8.6031638425120099E-2</v>
      </c>
      <c r="G127" s="11">
        <f>data!AO156</f>
        <v>0.18025840062238385</v>
      </c>
      <c r="H127" s="11">
        <f>data!AP156</f>
        <v>0.20730479534374432</v>
      </c>
      <c r="I127" s="11">
        <f>data!AQ156</f>
        <v>4.4427372780330987E-2</v>
      </c>
      <c r="J127" s="11">
        <f>data!AR156</f>
        <v>1.6400501248590851E-5</v>
      </c>
      <c r="K127" s="11">
        <f>data!AS156</f>
        <v>1.0775701268756056E-2</v>
      </c>
      <c r="L127" s="11">
        <f>data!AT156</f>
        <v>0.12020773558225996</v>
      </c>
      <c r="M127" s="11">
        <f>data!AU156</f>
        <v>0.97372961154119342</v>
      </c>
    </row>
    <row r="128" spans="1:13" x14ac:dyDescent="0.3">
      <c r="A128" s="13">
        <f>data!AG157</f>
        <v>42678</v>
      </c>
      <c r="B128" s="11">
        <f>data!AJ157</f>
        <v>0.10363331847425973</v>
      </c>
      <c r="C128" s="11">
        <f>data!AK157</f>
        <v>7.0677214746940054E-2</v>
      </c>
      <c r="D128" s="11">
        <f>data!AL157</f>
        <v>8.6747972433843493E-5</v>
      </c>
      <c r="E128" s="11">
        <f>data!AM157</f>
        <v>0.1714795485206769</v>
      </c>
      <c r="F128" s="11">
        <f>data!AN157</f>
        <v>8.7187302019087434E-2</v>
      </c>
      <c r="G128" s="11">
        <f>data!AO157</f>
        <v>0.18436419495898945</v>
      </c>
      <c r="H128" s="11">
        <f>data!AP157</f>
        <v>0.20919985710424807</v>
      </c>
      <c r="I128" s="11">
        <f>data!AQ157</f>
        <v>4.5707400336590008E-2</v>
      </c>
      <c r="J128" s="11">
        <f>data!AR157</f>
        <v>1.4975521771549227E-5</v>
      </c>
      <c r="K128" s="11">
        <f>data!AS157</f>
        <v>8.4807375413577836E-3</v>
      </c>
      <c r="L128" s="11">
        <f>data!AT157</f>
        <v>0.11916870280364525</v>
      </c>
      <c r="M128" s="11">
        <f>data!AU157</f>
        <v>0.97383637120024225</v>
      </c>
    </row>
    <row r="129" spans="1:13" x14ac:dyDescent="0.3">
      <c r="A129" s="13">
        <f>data!AG158</f>
        <v>42685</v>
      </c>
      <c r="B129" s="11">
        <f>data!AJ158</f>
        <v>0.10140854931912792</v>
      </c>
      <c r="C129" s="11">
        <f>data!AK158</f>
        <v>8.4451277341742764E-2</v>
      </c>
      <c r="D129" s="11">
        <f>data!AL158</f>
        <v>9.1871897026794101E-5</v>
      </c>
      <c r="E129" s="11">
        <f>data!AM158</f>
        <v>0.15357393466504712</v>
      </c>
      <c r="F129" s="11">
        <f>data!AN158</f>
        <v>8.9002318973093797E-2</v>
      </c>
      <c r="G129" s="11">
        <f>data!AO158</f>
        <v>0.16992061404655398</v>
      </c>
      <c r="H129" s="11">
        <f>data!AP158</f>
        <v>0.21313172840504285</v>
      </c>
      <c r="I129" s="11">
        <f>data!AQ158</f>
        <v>6.4467778141590659E-2</v>
      </c>
      <c r="J129" s="11">
        <f>data!AR158</f>
        <v>7.9415569713816817E-6</v>
      </c>
      <c r="K129" s="11">
        <f>data!AS158</f>
        <v>1.7225911175398145E-5</v>
      </c>
      <c r="L129" s="11">
        <f>data!AT158</f>
        <v>0.12392675974262728</v>
      </c>
      <c r="M129" s="11">
        <f>data!AU158</f>
        <v>0.97431044698264291</v>
      </c>
    </row>
    <row r="130" spans="1:13" x14ac:dyDescent="0.3">
      <c r="A130" s="13">
        <f>data!AG159</f>
        <v>42692</v>
      </c>
      <c r="B130" s="11">
        <f>data!AJ159</f>
        <v>9.3649552690775448E-2</v>
      </c>
      <c r="C130" s="11">
        <f>data!AK159</f>
        <v>9.4601742415618015E-2</v>
      </c>
      <c r="D130" s="11">
        <f>data!AL159</f>
        <v>4.6351617213674673E-2</v>
      </c>
      <c r="E130" s="11">
        <f>data!AM159</f>
        <v>0.18904578106142594</v>
      </c>
      <c r="F130" s="11">
        <f>data!AN159</f>
        <v>5.212764169796745E-2</v>
      </c>
      <c r="G130" s="11">
        <f>data!AO159</f>
        <v>0.18574130382293028</v>
      </c>
      <c r="H130" s="11">
        <f>data!AP159</f>
        <v>0.17281911570483693</v>
      </c>
      <c r="I130" s="11">
        <f>data!AQ159</f>
        <v>2.3692741754386872E-2</v>
      </c>
      <c r="J130" s="11">
        <f>data!AR159</f>
        <v>3.8213573733601534E-2</v>
      </c>
      <c r="K130" s="11">
        <f>data!AS159</f>
        <v>2.8268134837821736E-5</v>
      </c>
      <c r="L130" s="11">
        <f>data!AT159</f>
        <v>0.10372866176994509</v>
      </c>
      <c r="M130" s="11">
        <f>data!AU159</f>
        <v>0.97551592943327325</v>
      </c>
    </row>
    <row r="131" spans="1:13" x14ac:dyDescent="0.3">
      <c r="A131" s="13">
        <f>data!AG160</f>
        <v>42699</v>
      </c>
      <c r="B131" s="11">
        <f>data!AJ160</f>
        <v>8.7721174781402761E-2</v>
      </c>
      <c r="C131" s="11">
        <f>data!AK160</f>
        <v>7.8847673618332795E-2</v>
      </c>
      <c r="D131" s="11">
        <f>data!AL160</f>
        <v>4.704923654191176E-2</v>
      </c>
      <c r="E131" s="11">
        <f>data!AM160</f>
        <v>0.19797767554850762</v>
      </c>
      <c r="F131" s="11">
        <f>data!AN160</f>
        <v>5.1122057274305285E-2</v>
      </c>
      <c r="G131" s="11">
        <f>data!AO160</f>
        <v>0.18424115244768186</v>
      </c>
      <c r="H131" s="11">
        <f>data!AP160</f>
        <v>0.17188662040961766</v>
      </c>
      <c r="I131" s="11">
        <f>data!AQ160</f>
        <v>1.6863823406870468E-2</v>
      </c>
      <c r="J131" s="11">
        <f>data!AR160</f>
        <v>6.9158293163943743E-2</v>
      </c>
      <c r="K131" s="11">
        <f>data!AS160</f>
        <v>3.4761785419223035E-5</v>
      </c>
      <c r="L131" s="11">
        <f>data!AT160</f>
        <v>9.5097531022006854E-2</v>
      </c>
      <c r="M131" s="11">
        <f>data!AU160</f>
        <v>0.97332594893607316</v>
      </c>
    </row>
    <row r="132" spans="1:13" x14ac:dyDescent="0.3">
      <c r="A132" s="13">
        <f>data!AG161</f>
        <v>42706</v>
      </c>
      <c r="B132" s="11">
        <f>data!AJ161</f>
        <v>0.11450044859730903</v>
      </c>
      <c r="C132" s="11">
        <f>data!AK161</f>
        <v>0.12277587295071193</v>
      </c>
      <c r="D132" s="11">
        <f>data!AL161</f>
        <v>7.9716419571936856E-2</v>
      </c>
      <c r="E132" s="11">
        <f>data!AM161</f>
        <v>0.12369011402087821</v>
      </c>
      <c r="F132" s="11">
        <f>data!AN161</f>
        <v>4.8899075883638253E-2</v>
      </c>
      <c r="G132" s="11">
        <f>data!AO161</f>
        <v>0.18662248057080946</v>
      </c>
      <c r="H132" s="11">
        <f>data!AP161</f>
        <v>0.15936779789102939</v>
      </c>
      <c r="I132" s="11">
        <f>data!AQ161</f>
        <v>1.7697758410026607E-2</v>
      </c>
      <c r="J132" s="11">
        <f>data!AR161</f>
        <v>2.6107833534067874E-2</v>
      </c>
      <c r="K132" s="11">
        <f>data!AS161</f>
        <v>2.2214798359466506E-5</v>
      </c>
      <c r="L132" s="11">
        <f>data!AT161</f>
        <v>0.12059998377123288</v>
      </c>
      <c r="M132" s="11">
        <f>data!AU161</f>
        <v>0.97026081065366865</v>
      </c>
    </row>
    <row r="133" spans="1:13" x14ac:dyDescent="0.3">
      <c r="A133" s="13">
        <f>data!AG162</f>
        <v>42713</v>
      </c>
      <c r="B133" s="11">
        <f>data!AJ162</f>
        <v>0.12661502131746835</v>
      </c>
      <c r="C133" s="11">
        <f>data!AK162</f>
        <v>0.11324019663029013</v>
      </c>
      <c r="D133" s="11">
        <f>data!AL162</f>
        <v>3.3907125565524887E-2</v>
      </c>
      <c r="E133" s="11">
        <f>data!AM162</f>
        <v>0.12039191068546687</v>
      </c>
      <c r="F133" s="11">
        <f>data!AN162</f>
        <v>8.6353993823395855E-2</v>
      </c>
      <c r="G133" s="11">
        <f>data!AO162</f>
        <v>0.19261677328791074</v>
      </c>
      <c r="H133" s="11">
        <f>data!AP162</f>
        <v>0.14986492354535716</v>
      </c>
      <c r="I133" s="11">
        <f>data!AQ162</f>
        <v>1.8289745058181848E-2</v>
      </c>
      <c r="J133" s="11">
        <f>data!AR162</f>
        <v>3.1015748268637545E-2</v>
      </c>
      <c r="K133" s="11">
        <f>data!AS162</f>
        <v>8.4358644795119886E-6</v>
      </c>
      <c r="L133" s="11">
        <f>data!AT162</f>
        <v>0.12769612595328711</v>
      </c>
      <c r="M133" s="11">
        <f>data!AU162</f>
        <v>0.96732837123482396</v>
      </c>
    </row>
    <row r="134" spans="1:13" x14ac:dyDescent="0.3">
      <c r="A134" s="13">
        <f>data!AG163</f>
        <v>42720</v>
      </c>
      <c r="B134" s="11">
        <f>data!AJ163</f>
        <v>0.12626295168454094</v>
      </c>
      <c r="C134" s="11">
        <f>data!AK163</f>
        <v>0.11336245661669873</v>
      </c>
      <c r="D134" s="11">
        <f>data!AL163</f>
        <v>3.0072172218193811E-2</v>
      </c>
      <c r="E134" s="11">
        <f>data!AM163</f>
        <v>0.11447348557011278</v>
      </c>
      <c r="F134" s="11">
        <f>data!AN163</f>
        <v>9.1953268697293922E-2</v>
      </c>
      <c r="G134" s="11">
        <f>data!AO163</f>
        <v>0.18577201609281613</v>
      </c>
      <c r="H134" s="11">
        <f>data!AP163</f>
        <v>0.15408845037597935</v>
      </c>
      <c r="I134" s="11">
        <f>data!AQ163</f>
        <v>2.3735603922259377E-2</v>
      </c>
      <c r="J134" s="11">
        <f>data!AR163</f>
        <v>3.1610581692009712E-2</v>
      </c>
      <c r="K134" s="11">
        <f>data!AS163</f>
        <v>7.9373348386688568E-6</v>
      </c>
      <c r="L134" s="11">
        <f>data!AT163</f>
        <v>0.12866107579525657</v>
      </c>
      <c r="M134" s="11">
        <f>data!AU163</f>
        <v>0.96773743435134407</v>
      </c>
    </row>
    <row r="135" spans="1:13" x14ac:dyDescent="0.3">
      <c r="A135" s="13">
        <f>data!AG164</f>
        <v>42727</v>
      </c>
      <c r="B135" s="11">
        <f>data!AJ164</f>
        <v>0.18857611781590206</v>
      </c>
      <c r="C135" s="11">
        <f>data!AK164</f>
        <v>9.9229815651590822E-2</v>
      </c>
      <c r="D135" s="11">
        <f>data!AL164</f>
        <v>3.2890031995178037E-5</v>
      </c>
      <c r="E135" s="11">
        <f>data!AM164</f>
        <v>8.2418050867798825E-2</v>
      </c>
      <c r="F135" s="11">
        <f>data!AN164</f>
        <v>0.10686281932799099</v>
      </c>
      <c r="G135" s="11">
        <f>data!AO164</f>
        <v>0.14994041170396732</v>
      </c>
      <c r="H135" s="11">
        <f>data!AP164</f>
        <v>0.17490448198869318</v>
      </c>
      <c r="I135" s="11">
        <f>data!AQ164</f>
        <v>4.8885710438678127E-2</v>
      </c>
      <c r="J135" s="11">
        <f>data!AR164</f>
        <v>1.0190676612895045E-2</v>
      </c>
      <c r="K135" s="11">
        <f>data!AS164</f>
        <v>4.3946586063517089E-5</v>
      </c>
      <c r="L135" s="11">
        <f>data!AT164</f>
        <v>0.13891507897442498</v>
      </c>
      <c r="M135" s="11">
        <f>data!AU164</f>
        <v>0.95346489396907219</v>
      </c>
    </row>
    <row r="136" spans="1:13" x14ac:dyDescent="0.3">
      <c r="A136" s="13">
        <f>data!AG165</f>
        <v>42734</v>
      </c>
      <c r="B136" s="11">
        <f>data!AJ165</f>
        <v>0.21390495146894503</v>
      </c>
      <c r="C136" s="11">
        <f>data!AK165</f>
        <v>0.13957402792751916</v>
      </c>
      <c r="D136" s="11">
        <f>data!AL165</f>
        <v>9.0512552211075711E-5</v>
      </c>
      <c r="E136" s="11">
        <f>data!AM165</f>
        <v>9.5395992262833462E-2</v>
      </c>
      <c r="F136" s="11">
        <f>data!AN165</f>
        <v>7.2430038465513519E-2</v>
      </c>
      <c r="G136" s="11">
        <f>data!AO165</f>
        <v>0.14782640539473826</v>
      </c>
      <c r="H136" s="11">
        <f>data!AP165</f>
        <v>0.16902459176151821</v>
      </c>
      <c r="I136" s="11">
        <f>data!AQ165</f>
        <v>1.1751966423069658E-2</v>
      </c>
      <c r="J136" s="11">
        <f>data!AR165</f>
        <v>4.8880670824246486E-6</v>
      </c>
      <c r="K136" s="11">
        <f>data!AS165</f>
        <v>2.1005552729375974E-5</v>
      </c>
      <c r="L136" s="11">
        <f>data!AT165</f>
        <v>0.1499756201238398</v>
      </c>
      <c r="M136" s="11">
        <f>data!AU165</f>
        <v>0.9510499632080831</v>
      </c>
    </row>
    <row r="137" spans="1:13" x14ac:dyDescent="0.3">
      <c r="A137" s="13">
        <f>data!AG166</f>
        <v>42741</v>
      </c>
      <c r="B137" s="11">
        <f>data!AJ166</f>
        <v>0.24867059878235348</v>
      </c>
      <c r="C137" s="11">
        <f>data!AK166</f>
        <v>0.14674898685890417</v>
      </c>
      <c r="D137" s="11">
        <f>data!AL166</f>
        <v>6.5846864006372557E-5</v>
      </c>
      <c r="E137" s="11">
        <f>data!AM166</f>
        <v>6.5742113454341347E-2</v>
      </c>
      <c r="F137" s="11">
        <f>data!AN166</f>
        <v>4.8337355151116645E-2</v>
      </c>
      <c r="G137" s="11">
        <f>data!AO166</f>
        <v>0.13794089143717286</v>
      </c>
      <c r="H137" s="11">
        <f>data!AP166</f>
        <v>0.18587315887754155</v>
      </c>
      <c r="I137" s="11">
        <f>data!AQ166</f>
        <v>3.4221868646847974E-2</v>
      </c>
      <c r="J137" s="11">
        <f>data!AR166</f>
        <v>5.1174163118352845E-5</v>
      </c>
      <c r="K137" s="11">
        <f>data!AS166</f>
        <v>1.2657976772586916E-2</v>
      </c>
      <c r="L137" s="11">
        <f>data!AT166</f>
        <v>0.11969002899201028</v>
      </c>
      <c r="M137" s="11">
        <f>data!AU166</f>
        <v>0.95669005140772456</v>
      </c>
    </row>
    <row r="138" spans="1:13" x14ac:dyDescent="0.3">
      <c r="A138" s="13">
        <f>data!AG167</f>
        <v>42748</v>
      </c>
      <c r="B138" s="11">
        <f>data!AJ167</f>
        <v>0.25573437847942876</v>
      </c>
      <c r="C138" s="11">
        <f>data!AK167</f>
        <v>0.17393650443795203</v>
      </c>
      <c r="D138" s="11">
        <f>data!AL167</f>
        <v>8.120410085460504E-5</v>
      </c>
      <c r="E138" s="11">
        <f>data!AM167</f>
        <v>4.662339680436027E-2</v>
      </c>
      <c r="F138" s="11">
        <f>data!AN167</f>
        <v>5.6849662956450026E-2</v>
      </c>
      <c r="G138" s="11">
        <f>data!AO167</f>
        <v>0.12626425761140292</v>
      </c>
      <c r="H138" s="11">
        <f>data!AP167</f>
        <v>0.19122885923888441</v>
      </c>
      <c r="I138" s="11">
        <f>data!AQ167</f>
        <v>3.4064140158243966E-2</v>
      </c>
      <c r="J138" s="11">
        <f>data!AR167</f>
        <v>2.6272548940888305E-5</v>
      </c>
      <c r="K138" s="11">
        <f>data!AS167</f>
        <v>4.9516298440419083E-3</v>
      </c>
      <c r="L138" s="11">
        <f>data!AT167</f>
        <v>0.11023969381944022</v>
      </c>
      <c r="M138" s="11">
        <f>data!AU167</f>
        <v>0.9561172523722673</v>
      </c>
    </row>
    <row r="139" spans="1:13" x14ac:dyDescent="0.3">
      <c r="A139" s="13">
        <f>data!AG168</f>
        <v>42755</v>
      </c>
      <c r="B139" s="11">
        <f>data!AJ168</f>
        <v>0.26056760245481941</v>
      </c>
      <c r="C139" s="11">
        <f>data!AK168</f>
        <v>0.18136674194396599</v>
      </c>
      <c r="D139" s="11">
        <f>data!AL168</f>
        <v>1.3062988796285551E-2</v>
      </c>
      <c r="E139" s="11">
        <f>data!AM168</f>
        <v>3.828355575245939E-2</v>
      </c>
      <c r="F139" s="11">
        <f>data!AN168</f>
        <v>6.8006095709526274E-2</v>
      </c>
      <c r="G139" s="11">
        <f>data!AO168</f>
        <v>0.14728497658856393</v>
      </c>
      <c r="H139" s="11">
        <f>data!AP168</f>
        <v>0.16137655616978624</v>
      </c>
      <c r="I139" s="11">
        <f>data!AQ168</f>
        <v>2.6214286510563997E-2</v>
      </c>
      <c r="J139" s="11">
        <f>data!AR168</f>
        <v>1.0858220401067304E-5</v>
      </c>
      <c r="K139" s="11">
        <f>data!AS168</f>
        <v>1.4995428362565408E-3</v>
      </c>
      <c r="L139" s="11">
        <f>data!AT168</f>
        <v>0.10232679501737167</v>
      </c>
      <c r="M139" s="11">
        <f>data!AU168</f>
        <v>0.96024077297365096</v>
      </c>
    </row>
    <row r="140" spans="1:13" x14ac:dyDescent="0.3">
      <c r="A140" s="13">
        <f>data!AG169</f>
        <v>42762</v>
      </c>
      <c r="B140" s="11">
        <f>data!AJ169</f>
        <v>0.26456689845723241</v>
      </c>
      <c r="C140" s="11">
        <f>data!AK169</f>
        <v>0.19252860453552023</v>
      </c>
      <c r="D140" s="11">
        <f>data!AL169</f>
        <v>4.5623553883306293E-2</v>
      </c>
      <c r="E140" s="11">
        <f>data!AM169</f>
        <v>1.3843394719188549E-2</v>
      </c>
      <c r="F140" s="11">
        <f>data!AN169</f>
        <v>6.3711596072963006E-2</v>
      </c>
      <c r="G140" s="11">
        <f>data!AO169</f>
        <v>0.14252948632027759</v>
      </c>
      <c r="H140" s="11">
        <f>data!AP169</f>
        <v>0.14444338884283114</v>
      </c>
      <c r="I140" s="11">
        <f>data!AQ169</f>
        <v>3.363981154825995E-2</v>
      </c>
      <c r="J140" s="11">
        <f>data!AR169</f>
        <v>4.9834232824355929E-5</v>
      </c>
      <c r="K140" s="11">
        <f>data!AS169</f>
        <v>4.6527647888355985E-5</v>
      </c>
      <c r="L140" s="11">
        <f>data!AT169</f>
        <v>9.9016903739708076E-2</v>
      </c>
      <c r="M140" s="11">
        <f>data!AU169</f>
        <v>0.96118035248810241</v>
      </c>
    </row>
    <row r="141" spans="1:13" x14ac:dyDescent="0.3">
      <c r="A141" s="13">
        <f>data!AG170</f>
        <v>42768</v>
      </c>
      <c r="B141" s="11">
        <f>data!AJ170</f>
        <v>0.28215949003619906</v>
      </c>
      <c r="C141" s="11">
        <f>data!AK170</f>
        <v>0.19522645986941736</v>
      </c>
      <c r="D141" s="11">
        <f>data!AL170</f>
        <v>1.3921179820311219E-2</v>
      </c>
      <c r="E141" s="11">
        <f>data!AM170</f>
        <v>1.7078713780402502E-2</v>
      </c>
      <c r="F141" s="11">
        <f>data!AN170</f>
        <v>7.5173807067145035E-2</v>
      </c>
      <c r="G141" s="11">
        <f>data!AO170</f>
        <v>0.17339616492238574</v>
      </c>
      <c r="H141" s="11">
        <f>data!AP170</f>
        <v>0.12759353488878311</v>
      </c>
      <c r="I141" s="11">
        <f>data!AQ170</f>
        <v>1.7211197960919966E-2</v>
      </c>
      <c r="J141" s="11">
        <f>data!AR170</f>
        <v>7.5445729180176303E-5</v>
      </c>
      <c r="K141" s="11">
        <f>data!AS170</f>
        <v>9.9482099801059859E-6</v>
      </c>
      <c r="L141" s="11">
        <f>data!AT170</f>
        <v>9.8154057715275689E-2</v>
      </c>
      <c r="M141" s="11">
        <f>data!AU170</f>
        <v>0.96341728394852666</v>
      </c>
    </row>
    <row r="142" spans="1:13" x14ac:dyDescent="0.3">
      <c r="A142" s="13">
        <f>data!AG171</f>
        <v>42776</v>
      </c>
      <c r="B142" s="11">
        <f>data!AJ171</f>
        <v>0.28045817430006287</v>
      </c>
      <c r="C142" s="11">
        <f>data!AK171</f>
        <v>0.17341148965783471</v>
      </c>
      <c r="D142" s="11">
        <f>data!AL171</f>
        <v>8.5788461370703007E-5</v>
      </c>
      <c r="E142" s="11">
        <f>data!AM171</f>
        <v>4.0136173366879579E-2</v>
      </c>
      <c r="F142" s="11">
        <f>data!AN171</f>
        <v>7.1633634870730781E-2</v>
      </c>
      <c r="G142" s="11">
        <f>data!AO171</f>
        <v>0.17064874443650732</v>
      </c>
      <c r="H142" s="11">
        <f>data!AP171</f>
        <v>0.15189635824995404</v>
      </c>
      <c r="I142" s="11">
        <f>data!AQ171</f>
        <v>1.6319454264517804E-2</v>
      </c>
      <c r="J142" s="11">
        <f>data!AR171</f>
        <v>3.5793109923235893E-5</v>
      </c>
      <c r="K142" s="11">
        <f>data!AS171</f>
        <v>2.2239709703928307E-5</v>
      </c>
      <c r="L142" s="11">
        <f>data!AT171</f>
        <v>9.5352149572514949E-2</v>
      </c>
      <c r="M142" s="11">
        <f>data!AU171</f>
        <v>0.95820331284786009</v>
      </c>
    </row>
    <row r="143" spans="1:13" x14ac:dyDescent="0.3">
      <c r="A143" s="13">
        <f>data!AG172</f>
        <v>42783</v>
      </c>
      <c r="B143" s="11">
        <f>data!AJ172</f>
        <v>0.27856695248373547</v>
      </c>
      <c r="C143" s="11">
        <f>data!AK172</f>
        <v>0.14955681546143362</v>
      </c>
      <c r="D143" s="11">
        <f>data!AL172</f>
        <v>5.3357146601038659E-5</v>
      </c>
      <c r="E143" s="11">
        <f>data!AM172</f>
        <v>7.9528385890436329E-2</v>
      </c>
      <c r="F143" s="11">
        <f>data!AN172</f>
        <v>7.5982662883794502E-2</v>
      </c>
      <c r="G143" s="11">
        <f>data!AO172</f>
        <v>0.14959923280155452</v>
      </c>
      <c r="H143" s="11">
        <f>data!AP172</f>
        <v>0.1373996810836916</v>
      </c>
      <c r="I143" s="11">
        <f>data!AQ172</f>
        <v>2.29155439001314E-2</v>
      </c>
      <c r="J143" s="11">
        <f>data!AR172</f>
        <v>1.8862744828695875E-5</v>
      </c>
      <c r="K143" s="11">
        <f>data!AS172</f>
        <v>4.9553377329612592E-3</v>
      </c>
      <c r="L143" s="11">
        <f>data!AT172</f>
        <v>0.10142316787083154</v>
      </c>
      <c r="M143" s="11">
        <f>data!AU172</f>
        <v>0.95302427164831149</v>
      </c>
    </row>
    <row r="144" spans="1:13" x14ac:dyDescent="0.3">
      <c r="A144" s="13">
        <f>data!AG173</f>
        <v>42793.5</v>
      </c>
      <c r="B144" s="11">
        <f>data!AJ173</f>
        <v>0.28852191831354945</v>
      </c>
      <c r="C144" s="11">
        <f>data!AK173</f>
        <v>0.16366483612873059</v>
      </c>
      <c r="D144" s="11">
        <f>data!AL173</f>
        <v>9.6430967648208306E-6</v>
      </c>
      <c r="E144" s="11">
        <f>data!AM173</f>
        <v>9.154008201043809E-2</v>
      </c>
      <c r="F144" s="11">
        <f>data!AN173</f>
        <v>6.5714943416851315E-2</v>
      </c>
      <c r="G144" s="11">
        <f>data!AO173</f>
        <v>0.1610119425586525</v>
      </c>
      <c r="H144" s="11">
        <f>data!AP173</f>
        <v>0.12434877721631118</v>
      </c>
      <c r="I144" s="11">
        <f>data!AQ173</f>
        <v>4.1184710995899468E-3</v>
      </c>
      <c r="J144" s="11">
        <f>data!AR173</f>
        <v>7.4499648879569152E-6</v>
      </c>
      <c r="K144" s="11">
        <f>data!AS173</f>
        <v>8.9417358399052787E-5</v>
      </c>
      <c r="L144" s="11">
        <f>data!AT173</f>
        <v>0.10097251883582506</v>
      </c>
      <c r="M144" s="11">
        <f>data!AU173</f>
        <v>0.95320015054936191</v>
      </c>
    </row>
    <row r="145" spans="1:13" x14ac:dyDescent="0.3">
      <c r="A145" s="13">
        <f>data!AG174</f>
        <v>42800.5</v>
      </c>
      <c r="B145" s="11">
        <f>data!AJ174</f>
        <v>0.28490043309732321</v>
      </c>
      <c r="C145" s="11">
        <f>data!AK174</f>
        <v>0.1404374757798067</v>
      </c>
      <c r="D145" s="11">
        <f>data!AL174</f>
        <v>3.6152874321938256E-5</v>
      </c>
      <c r="E145" s="11">
        <f>data!AM174</f>
        <v>0.11815666224642986</v>
      </c>
      <c r="F145" s="11">
        <f>data!AN174</f>
        <v>5.1362457271931186E-2</v>
      </c>
      <c r="G145" s="11">
        <f>data!AO174</f>
        <v>0.17520976029698798</v>
      </c>
      <c r="H145" s="11">
        <f>data!AP174</f>
        <v>0.10847729173293497</v>
      </c>
      <c r="I145" s="11">
        <f>data!AQ174</f>
        <v>1.2155131420597832E-2</v>
      </c>
      <c r="J145" s="11">
        <f>data!AR174</f>
        <v>2.6485679701812027E-5</v>
      </c>
      <c r="K145" s="11">
        <f>data!AS174</f>
        <v>8.5249762533922923E-5</v>
      </c>
      <c r="L145" s="11">
        <f>data!AT174</f>
        <v>0.10915289983743073</v>
      </c>
      <c r="M145" s="11">
        <f>data!AU174</f>
        <v>0.94742898130673048</v>
      </c>
    </row>
    <row r="146" spans="1:13" x14ac:dyDescent="0.3">
      <c r="A146" s="13">
        <f>data!AG175</f>
        <v>42807.5</v>
      </c>
      <c r="B146" s="11">
        <f>data!AJ175</f>
        <v>0.28382556515805579</v>
      </c>
      <c r="C146" s="11">
        <f>data!AK175</f>
        <v>0.14319724100996295</v>
      </c>
      <c r="D146" s="11">
        <f>data!AL175</f>
        <v>4.5320916776577299E-6</v>
      </c>
      <c r="E146" s="11">
        <f>data!AM175</f>
        <v>0.11086551860366299</v>
      </c>
      <c r="F146" s="11">
        <f>data!AN175</f>
        <v>3.2786541635265225E-2</v>
      </c>
      <c r="G146" s="11">
        <f>data!AO175</f>
        <v>0.15465781681314902</v>
      </c>
      <c r="H146" s="11">
        <f>data!AP175</f>
        <v>0.14326577516520433</v>
      </c>
      <c r="I146" s="11">
        <f>data!AQ175</f>
        <v>2.7772614911931892E-2</v>
      </c>
      <c r="J146" s="11">
        <f>data!AR175</f>
        <v>7.2955288386794465E-7</v>
      </c>
      <c r="K146" s="11">
        <f>data!AS175</f>
        <v>1.7090056552469324E-4</v>
      </c>
      <c r="L146" s="11">
        <f>data!AT175</f>
        <v>0.10345276449268162</v>
      </c>
      <c r="M146" s="11">
        <f>data!AU175</f>
        <v>0.94547448765021169</v>
      </c>
    </row>
    <row r="147" spans="1:13" x14ac:dyDescent="0.3">
      <c r="A147" s="13">
        <f>data!AG176</f>
        <v>42814.5</v>
      </c>
      <c r="B147" s="11">
        <f>data!AJ176</f>
        <v>0.28278270862562221</v>
      </c>
      <c r="C147" s="11">
        <f>data!AK176</f>
        <v>0.13665012167835455</v>
      </c>
      <c r="D147" s="11">
        <f>data!AL176</f>
        <v>5.1232480466070528E-5</v>
      </c>
      <c r="E147" s="11">
        <f>data!AM176</f>
        <v>0.10614629198393723</v>
      </c>
      <c r="F147" s="11">
        <f>data!AN176</f>
        <v>3.3976123388383447E-2</v>
      </c>
      <c r="G147" s="11">
        <f>data!AO176</f>
        <v>0.17045292725591585</v>
      </c>
      <c r="H147" s="11">
        <f>data!AP176</f>
        <v>0.13169220689293429</v>
      </c>
      <c r="I147" s="11">
        <f>data!AQ176</f>
        <v>3.6414514687304042E-2</v>
      </c>
      <c r="J147" s="11">
        <f>data!AR176</f>
        <v>1.2116534820004349E-5</v>
      </c>
      <c r="K147" s="11">
        <f>data!AS176</f>
        <v>9.0255227185793204E-5</v>
      </c>
      <c r="L147" s="11">
        <f>data!AT176</f>
        <v>0.10173150124507661</v>
      </c>
      <c r="M147" s="11">
        <f>data!AU176</f>
        <v>0.94645227464631299</v>
      </c>
    </row>
    <row r="148" spans="1:13" x14ac:dyDescent="0.3">
      <c r="A148" s="13">
        <f>data!AG177</f>
        <v>42821.5</v>
      </c>
      <c r="B148" s="11">
        <f>data!AJ177</f>
        <v>0.29187694458704561</v>
      </c>
      <c r="C148" s="11">
        <f>data!AK177</f>
        <v>0.13988363989072117</v>
      </c>
      <c r="D148" s="11">
        <f>data!AL177</f>
        <v>2.893248326594967E-2</v>
      </c>
      <c r="E148" s="11">
        <f>data!AM177</f>
        <v>0.11328877674484449</v>
      </c>
      <c r="F148" s="11">
        <f>data!AN177</f>
        <v>2.8138996626765209E-2</v>
      </c>
      <c r="G148" s="11">
        <f>data!AO177</f>
        <v>0.14368601694306068</v>
      </c>
      <c r="H148" s="11">
        <f>data!AP177</f>
        <v>0.12246790283379691</v>
      </c>
      <c r="I148" s="11">
        <f>data!AQ177</f>
        <v>3.4212838814554968E-2</v>
      </c>
      <c r="J148" s="11">
        <f>data!AR177</f>
        <v>1.3746309166800778E-5</v>
      </c>
      <c r="K148" s="11">
        <f>data!AS177</f>
        <v>8.6208211427423677E-5</v>
      </c>
      <c r="L148" s="11">
        <f>data!AT177</f>
        <v>9.7412445772667056E-2</v>
      </c>
      <c r="M148" s="11">
        <f>data!AU177</f>
        <v>0.9460174819539714</v>
      </c>
    </row>
    <row r="149" spans="1:13" x14ac:dyDescent="0.3">
      <c r="A149" s="13">
        <f>data!AG178</f>
        <v>42828.5</v>
      </c>
      <c r="B149" s="11">
        <f>data!AJ178</f>
        <v>0.3066817758725916</v>
      </c>
      <c r="C149" s="11">
        <f>data!AK178</f>
        <v>0.15733618058001594</v>
      </c>
      <c r="D149" s="11">
        <f>data!AL178</f>
        <v>5.9118558885001807E-5</v>
      </c>
      <c r="E149" s="11">
        <f>data!AM178</f>
        <v>0.11456062119547364</v>
      </c>
      <c r="F149" s="11">
        <f>data!AN178</f>
        <v>4.7749341851571883E-2</v>
      </c>
      <c r="G149" s="11">
        <f>data!AO178</f>
        <v>0.15306657447414099</v>
      </c>
      <c r="H149" s="11">
        <f>data!AP178</f>
        <v>9.9429847282391223E-2</v>
      </c>
      <c r="I149" s="11">
        <f>data!AQ178</f>
        <v>3.3084971611728388E-2</v>
      </c>
      <c r="J149" s="11">
        <f>data!AR178</f>
        <v>1.2081809365937127E-5</v>
      </c>
      <c r="K149" s="11">
        <f>data!AS178</f>
        <v>7.0451592158129479E-3</v>
      </c>
      <c r="L149" s="11">
        <f>data!AT178</f>
        <v>8.0974327548022473E-2</v>
      </c>
      <c r="M149" s="11">
        <f>data!AU178</f>
        <v>0.95278902258081788</v>
      </c>
    </row>
    <row r="150" spans="1:13" x14ac:dyDescent="0.3">
      <c r="A150" s="13">
        <f>data!AG179</f>
        <v>42835.5</v>
      </c>
      <c r="B150" s="11">
        <f>data!AJ179</f>
        <v>0.31276527779090924</v>
      </c>
      <c r="C150" s="11">
        <f>data!AK179</f>
        <v>0.16962937921846949</v>
      </c>
      <c r="D150" s="11">
        <f>data!AL179</f>
        <v>8.2306272919395492E-5</v>
      </c>
      <c r="E150" s="11">
        <f>data!AM179</f>
        <v>0.10711088608627305</v>
      </c>
      <c r="F150" s="11">
        <f>data!AN179</f>
        <v>3.1900015719122828E-2</v>
      </c>
      <c r="G150" s="11">
        <f>data!AO179</f>
        <v>0.13979238429689222</v>
      </c>
      <c r="H150" s="11">
        <f>data!AP179</f>
        <v>0.10050241558704605</v>
      </c>
      <c r="I150" s="11">
        <f>data!AQ179</f>
        <v>3.0070098832168407E-2</v>
      </c>
      <c r="J150" s="11">
        <f>data!AR179</f>
        <v>2.1813384106379372E-5</v>
      </c>
      <c r="K150" s="11">
        <f>data!AS179</f>
        <v>3.05892510033021E-2</v>
      </c>
      <c r="L150" s="11">
        <f>data!AT179</f>
        <v>7.7536171808790924E-2</v>
      </c>
      <c r="M150" s="11">
        <f>data!AU179</f>
        <v>0.95577280347231874</v>
      </c>
    </row>
    <row r="151" spans="1:13" x14ac:dyDescent="0.3">
      <c r="A151" s="13">
        <f>data!AG180</f>
        <v>42842.5</v>
      </c>
      <c r="B151" s="11">
        <f>data!AJ180</f>
        <v>0.3183183771048263</v>
      </c>
      <c r="C151" s="11">
        <f>data!AK180</f>
        <v>0.16303083025063775</v>
      </c>
      <c r="D151" s="11">
        <f>data!AL180</f>
        <v>4.7383749590417295E-5</v>
      </c>
      <c r="E151" s="11">
        <f>data!AM180</f>
        <v>9.9923779500381713E-2</v>
      </c>
      <c r="F151" s="11">
        <f>data!AN180</f>
        <v>5.2798528749059576E-2</v>
      </c>
      <c r="G151" s="11">
        <f>data!AO180</f>
        <v>0.15767463245649854</v>
      </c>
      <c r="H151" s="11">
        <f>data!AP180</f>
        <v>8.9011384101940899E-2</v>
      </c>
      <c r="I151" s="11">
        <f>data!AQ180</f>
        <v>5.2992502963575425E-2</v>
      </c>
      <c r="J151" s="11">
        <f>data!AR180</f>
        <v>1.2138669698907725E-5</v>
      </c>
      <c r="K151" s="11">
        <f>data!AS180</f>
        <v>6.562406605018274E-3</v>
      </c>
      <c r="L151" s="11">
        <f>data!AT180</f>
        <v>5.9628035848772222E-2</v>
      </c>
      <c r="M151" s="11">
        <f>data!AU180</f>
        <v>0.95705754352791106</v>
      </c>
    </row>
    <row r="152" spans="1:13" x14ac:dyDescent="0.3">
      <c r="A152" s="13">
        <f>data!AG181</f>
        <v>42849.5</v>
      </c>
      <c r="B152" s="11">
        <f>data!AJ181</f>
        <v>0.31754193599749009</v>
      </c>
      <c r="C152" s="11">
        <f>data!AK181</f>
        <v>0.16745075244656277</v>
      </c>
      <c r="D152" s="11">
        <f>data!AL181</f>
        <v>8.0243350476721603E-5</v>
      </c>
      <c r="E152" s="11">
        <f>data!AM181</f>
        <v>9.3869223233251198E-2</v>
      </c>
      <c r="F152" s="11">
        <f>data!AN181</f>
        <v>4.7416346643231487E-2</v>
      </c>
      <c r="G152" s="11">
        <f>data!AO181</f>
        <v>0.16548539480782332</v>
      </c>
      <c r="H152" s="11">
        <f>data!AP181</f>
        <v>7.1807665474443685E-2</v>
      </c>
      <c r="I152" s="11">
        <f>data!AQ181</f>
        <v>5.385266168188841E-2</v>
      </c>
      <c r="J152" s="11">
        <f>data!AR181</f>
        <v>3.0760659789542117E-5</v>
      </c>
      <c r="K152" s="11">
        <f>data!AS181</f>
        <v>1.915897081201735E-2</v>
      </c>
      <c r="L152" s="11">
        <f>data!AT181</f>
        <v>6.3306044893025451E-2</v>
      </c>
      <c r="M152" s="11">
        <f>data!AU181</f>
        <v>0.95577657654273296</v>
      </c>
    </row>
    <row r="153" spans="1:13" x14ac:dyDescent="0.3">
      <c r="A153" s="13">
        <f>data!AG182</f>
        <v>42856.5</v>
      </c>
      <c r="B153" s="11">
        <f>data!AJ182</f>
        <v>0.31717779079997105</v>
      </c>
      <c r="C153" s="11">
        <f>data!AK182</f>
        <v>0.16133812941140038</v>
      </c>
      <c r="D153" s="11">
        <f>data!AL182</f>
        <v>7.1387776199753058E-5</v>
      </c>
      <c r="E153" s="11">
        <f>data!AM182</f>
        <v>9.112686052221676E-2</v>
      </c>
      <c r="F153" s="11">
        <f>data!AN182</f>
        <v>5.0232519281784516E-2</v>
      </c>
      <c r="G153" s="11">
        <f>data!AO182</f>
        <v>0.15478089974592035</v>
      </c>
      <c r="H153" s="11">
        <f>data!AP182</f>
        <v>8.1634747354846535E-2</v>
      </c>
      <c r="I153" s="11">
        <f>data!AQ182</f>
        <v>6.0332812274641268E-2</v>
      </c>
      <c r="J153" s="11">
        <f>data!AR182</f>
        <v>3.8317574867140645E-5</v>
      </c>
      <c r="K153" s="11">
        <f>data!AS182</f>
        <v>2.0575531818737901E-2</v>
      </c>
      <c r="L153" s="11">
        <f>data!AT182</f>
        <v>6.2691003439414444E-2</v>
      </c>
      <c r="M153" s="11">
        <f>data!AU182</f>
        <v>0.95538127151290064</v>
      </c>
    </row>
    <row r="154" spans="1:13" x14ac:dyDescent="0.3">
      <c r="A154" s="13">
        <f>data!AG183</f>
        <v>42863.5</v>
      </c>
      <c r="B154" s="11">
        <f>data!AJ183</f>
        <v>0.31265283297841201</v>
      </c>
      <c r="C154" s="11">
        <f>data!AK183</f>
        <v>0.15368575003120416</v>
      </c>
      <c r="D154" s="11">
        <f>data!AL183</f>
        <v>8.7258354932669122E-5</v>
      </c>
      <c r="E154" s="11">
        <f>data!AM183</f>
        <v>8.8490630432836004E-2</v>
      </c>
      <c r="F154" s="11">
        <f>data!AN183</f>
        <v>4.4479587976896294E-2</v>
      </c>
      <c r="G154" s="11">
        <f>data!AO183</f>
        <v>0.15972312293998786</v>
      </c>
      <c r="H154" s="11">
        <f>data!AP183</f>
        <v>6.7577140844790815E-2</v>
      </c>
      <c r="I154" s="11">
        <f>data!AQ183</f>
        <v>6.3487908986830377E-2</v>
      </c>
      <c r="J154" s="11">
        <f>data!AR183</f>
        <v>4.6138806185205471E-5</v>
      </c>
      <c r="K154" s="11">
        <f>data!AS183</f>
        <v>3.8423034292441385E-2</v>
      </c>
      <c r="L154" s="11">
        <f>data!AT183</f>
        <v>7.1346594355483239E-2</v>
      </c>
      <c r="M154" s="11">
        <f>data!AU183</f>
        <v>0.94468895112752449</v>
      </c>
    </row>
    <row r="155" spans="1:13" x14ac:dyDescent="0.3">
      <c r="A155" s="13">
        <f>data!AG184</f>
        <v>42870.5</v>
      </c>
      <c r="B155" s="11">
        <f>data!AJ184</f>
        <v>0.31315227223253178</v>
      </c>
      <c r="C155" s="11">
        <f>data!AK184</f>
        <v>0.10350575648756939</v>
      </c>
      <c r="D155" s="11">
        <f>data!AL184</f>
        <v>6.6229075848248451E-5</v>
      </c>
      <c r="E155" s="11">
        <f>data!AM184</f>
        <v>0.11370607837393128</v>
      </c>
      <c r="F155" s="11">
        <f>data!AN184</f>
        <v>4.5623071893797641E-2</v>
      </c>
      <c r="G155" s="11">
        <f>data!AO184</f>
        <v>0.17648888698116499</v>
      </c>
      <c r="H155" s="11">
        <f>data!AP184</f>
        <v>6.6432368214643184E-2</v>
      </c>
      <c r="I155" s="11">
        <f>data!AQ184</f>
        <v>5.5533919602960162E-2</v>
      </c>
      <c r="J155" s="11">
        <f>data!AR184</f>
        <v>7.0761214872533295E-5</v>
      </c>
      <c r="K155" s="11">
        <f>data!AS184</f>
        <v>5.7620409027642025E-2</v>
      </c>
      <c r="L155" s="11">
        <f>data!AT184</f>
        <v>6.7800246895038802E-2</v>
      </c>
      <c r="M155" s="11">
        <f>data!AU184</f>
        <v>0.94178159997894439</v>
      </c>
    </row>
    <row r="156" spans="1:13" x14ac:dyDescent="0.3">
      <c r="A156" s="13">
        <f>data!AG185</f>
        <v>42881</v>
      </c>
      <c r="B156" s="11">
        <f>data!AJ185</f>
        <v>0.3114338900863704</v>
      </c>
      <c r="C156" s="11">
        <f>data!AK185</f>
        <v>0.10639146352820943</v>
      </c>
      <c r="D156" s="11">
        <f>data!AL185</f>
        <v>7.8377954695591E-5</v>
      </c>
      <c r="E156" s="11">
        <f>data!AM185</f>
        <v>0.1075088179125331</v>
      </c>
      <c r="F156" s="11">
        <f>data!AN185</f>
        <v>4.7720450685182103E-2</v>
      </c>
      <c r="G156" s="11">
        <f>data!AO185</f>
        <v>0.17525744330915352</v>
      </c>
      <c r="H156" s="11">
        <f>data!AP185</f>
        <v>6.0414058119770901E-2</v>
      </c>
      <c r="I156" s="11">
        <f>data!AQ185</f>
        <v>6.0400520249393463E-2</v>
      </c>
      <c r="J156" s="11">
        <f>data!AR185</f>
        <v>6.6996850528684801E-5</v>
      </c>
      <c r="K156" s="11">
        <f>data!AS185</f>
        <v>6.0456733264152941E-2</v>
      </c>
      <c r="L156" s="11">
        <f>data!AT185</f>
        <v>7.0271248040009851E-2</v>
      </c>
      <c r="M156" s="11">
        <f>data!AU185</f>
        <v>0.94425022151946492</v>
      </c>
    </row>
    <row r="157" spans="1:13" x14ac:dyDescent="0.3">
      <c r="A157" s="13">
        <f>data!AG186</f>
        <v>42888</v>
      </c>
      <c r="B157" s="11">
        <f>data!AJ186</f>
        <v>0.31398370443174001</v>
      </c>
      <c r="C157" s="11">
        <f>data!AK186</f>
        <v>9.6579992205340026E-2</v>
      </c>
      <c r="D157" s="11">
        <f>data!AL186</f>
        <v>7.5129995783619087E-5</v>
      </c>
      <c r="E157" s="11">
        <f>data!AM186</f>
        <v>0.12359907288722692</v>
      </c>
      <c r="F157" s="11">
        <f>data!AN186</f>
        <v>4.0763359974588867E-2</v>
      </c>
      <c r="G157" s="11">
        <f>data!AO186</f>
        <v>0.17317289142487663</v>
      </c>
      <c r="H157" s="11">
        <f>data!AP186</f>
        <v>8.277324424529614E-2</v>
      </c>
      <c r="I157" s="11">
        <f>data!AQ186</f>
        <v>4.7015624113587527E-2</v>
      </c>
      <c r="J157" s="11">
        <f>data!AR186</f>
        <v>7.659794065360038E-5</v>
      </c>
      <c r="K157" s="11">
        <f>data!AS186</f>
        <v>5.1337672956303662E-2</v>
      </c>
      <c r="L157" s="11">
        <f>data!AT186</f>
        <v>7.0622709824602989E-2</v>
      </c>
      <c r="M157" s="11">
        <f>data!AU186</f>
        <v>0.94245125470266189</v>
      </c>
    </row>
    <row r="158" spans="1:13" x14ac:dyDescent="0.3">
      <c r="A158" s="13">
        <f>data!AG187</f>
        <v>42895</v>
      </c>
      <c r="B158" s="11">
        <f>data!AJ187</f>
        <v>0.31773243945689467</v>
      </c>
      <c r="C158" s="11">
        <f>data!AK187</f>
        <v>9.2785897773055723E-2</v>
      </c>
      <c r="D158" s="11">
        <f>data!AL187</f>
        <v>6.3664087871479413E-5</v>
      </c>
      <c r="E158" s="11">
        <f>data!AM187</f>
        <v>0.12358393662526738</v>
      </c>
      <c r="F158" s="11">
        <f>data!AN187</f>
        <v>4.5806819712264343E-2</v>
      </c>
      <c r="G158" s="11">
        <f>data!AO187</f>
        <v>0.17438863642173155</v>
      </c>
      <c r="H158" s="11">
        <f>data!AP187</f>
        <v>8.0092389739492648E-2</v>
      </c>
      <c r="I158" s="11">
        <f>data!AQ187</f>
        <v>4.490525438822883E-2</v>
      </c>
      <c r="J158" s="11">
        <f>data!AR187</f>
        <v>8.312414658688205E-5</v>
      </c>
      <c r="K158" s="11">
        <f>data!AS187</f>
        <v>4.354790085606778E-2</v>
      </c>
      <c r="L158" s="11">
        <f>data!AT187</f>
        <v>7.7009936792538786E-2</v>
      </c>
      <c r="M158" s="11">
        <f>data!AU187</f>
        <v>0.93981716718357344</v>
      </c>
    </row>
    <row r="159" spans="1:13" x14ac:dyDescent="0.3">
      <c r="A159" s="13">
        <f>data!AG188</f>
        <v>42901.5</v>
      </c>
      <c r="B159" s="11">
        <f>data!AJ188</f>
        <v>0.31986684053905895</v>
      </c>
      <c r="C159" s="11">
        <f>data!AK188</f>
        <v>9.1013953986181451E-2</v>
      </c>
      <c r="D159" s="11">
        <f>data!AL188</f>
        <v>7.2329488509841823E-5</v>
      </c>
      <c r="E159" s="11">
        <f>data!AM188</f>
        <v>0.13464425205607686</v>
      </c>
      <c r="F159" s="11">
        <f>data!AN188</f>
        <v>4.0226586272792964E-2</v>
      </c>
      <c r="G159" s="11">
        <f>data!AO188</f>
        <v>0.16825542809474106</v>
      </c>
      <c r="H159" s="11">
        <f>data!AP188</f>
        <v>9.2835420258769702E-2</v>
      </c>
      <c r="I159" s="11">
        <f>data!AQ188</f>
        <v>3.9818229266903336E-2</v>
      </c>
      <c r="J159" s="11">
        <f>data!AR188</f>
        <v>7.8915203209081465E-5</v>
      </c>
      <c r="K159" s="11">
        <f>data!AS188</f>
        <v>4.3431692491505434E-2</v>
      </c>
      <c r="L159" s="11">
        <f>data!AT188</f>
        <v>6.9756352342251346E-2</v>
      </c>
      <c r="M159" s="11">
        <f>data!AU188</f>
        <v>0.94396657426034059</v>
      </c>
    </row>
    <row r="160" spans="1:13" x14ac:dyDescent="0.3">
      <c r="A160" s="13">
        <f>data!AG189</f>
        <v>42909</v>
      </c>
      <c r="B160" s="11">
        <f>data!AJ189</f>
        <v>0.32673748648302914</v>
      </c>
      <c r="C160" s="11">
        <f>data!AK189</f>
        <v>6.284787789492248E-2</v>
      </c>
      <c r="D160" s="11">
        <f>data!AL189</f>
        <v>8.7492034574382923E-6</v>
      </c>
      <c r="E160" s="11">
        <f>data!AM189</f>
        <v>0.14087975568532757</v>
      </c>
      <c r="F160" s="11">
        <f>data!AN189</f>
        <v>3.6041066832679866E-2</v>
      </c>
      <c r="G160" s="11">
        <f>data!AO189</f>
        <v>0.16725333093349601</v>
      </c>
      <c r="H160" s="11">
        <f>data!AP189</f>
        <v>9.8959387507749449E-2</v>
      </c>
      <c r="I160" s="11">
        <f>data!AQ189</f>
        <v>4.115937859646069E-2</v>
      </c>
      <c r="J160" s="11">
        <f>data!AR189</f>
        <v>3.6165188898595543E-4</v>
      </c>
      <c r="K160" s="11">
        <f>data!AS189</f>
        <v>7.9545604093727088E-2</v>
      </c>
      <c r="L160" s="11">
        <f>data!AT189</f>
        <v>4.6205710880164313E-2</v>
      </c>
      <c r="M160" s="11">
        <f>data!AU189</f>
        <v>0.94504955125395929</v>
      </c>
    </row>
    <row r="161" spans="1:13" x14ac:dyDescent="0.3">
      <c r="A161" s="13">
        <f>data!AG190</f>
        <v>42916</v>
      </c>
      <c r="B161" s="11">
        <f>data!AJ190</f>
        <v>0.32317118936225903</v>
      </c>
      <c r="C161" s="11">
        <f>data!AK190</f>
        <v>6.7065300270860759E-2</v>
      </c>
      <c r="D161" s="11">
        <f>data!AL190</f>
        <v>5.3737332400343035E-3</v>
      </c>
      <c r="E161" s="11">
        <f>data!AM190</f>
        <v>0.1358888575593292</v>
      </c>
      <c r="F161" s="11">
        <f>data!AN190</f>
        <v>3.9681506585171007E-2</v>
      </c>
      <c r="G161" s="11">
        <f>data!AO190</f>
        <v>0.16744292119134624</v>
      </c>
      <c r="H161" s="11">
        <f>data!AP190</f>
        <v>9.3908705644094453E-2</v>
      </c>
      <c r="I161" s="11">
        <f>data!AQ190</f>
        <v>4.583816037571109E-2</v>
      </c>
      <c r="J161" s="11">
        <f>data!AR190</f>
        <v>8.6020482318546545E-5</v>
      </c>
      <c r="K161" s="11">
        <f>data!AS190</f>
        <v>7.6073246872104386E-2</v>
      </c>
      <c r="L161" s="11">
        <f>data!AT190</f>
        <v>4.5470358416771058E-2</v>
      </c>
      <c r="M161" s="11">
        <f>data!AU190</f>
        <v>0.94622495373169191</v>
      </c>
    </row>
    <row r="162" spans="1:13" x14ac:dyDescent="0.3">
      <c r="A162" s="13">
        <f>data!AG191</f>
        <v>42923</v>
      </c>
      <c r="B162" s="11">
        <f>data!AJ191</f>
        <v>0.31933035349923261</v>
      </c>
      <c r="C162" s="11">
        <f>data!AK191</f>
        <v>6.4318510522390071E-2</v>
      </c>
      <c r="D162" s="11">
        <f>data!AL191</f>
        <v>5.7471073459919291E-3</v>
      </c>
      <c r="E162" s="11">
        <f>data!AM191</f>
        <v>0.13440301824550377</v>
      </c>
      <c r="F162" s="11">
        <f>data!AN191</f>
        <v>5.5519018460329465E-2</v>
      </c>
      <c r="G162" s="11">
        <f>data!AO191</f>
        <v>0.18973716886186312</v>
      </c>
      <c r="H162" s="11">
        <f>data!AP191</f>
        <v>8.4024555541676343E-2</v>
      </c>
      <c r="I162" s="11">
        <f>data!AQ191</f>
        <v>4.4979913256173489E-2</v>
      </c>
      <c r="J162" s="11">
        <f>data!AR191</f>
        <v>3.9521028299025453E-5</v>
      </c>
      <c r="K162" s="11">
        <f>data!AS191</f>
        <v>5.6341636218722756E-2</v>
      </c>
      <c r="L162" s="11">
        <f>data!AT191</f>
        <v>4.5559197019817352E-2</v>
      </c>
      <c r="M162" s="11">
        <f>data!AU191</f>
        <v>0.94473698533755901</v>
      </c>
    </row>
    <row r="163" spans="1:13" x14ac:dyDescent="0.3">
      <c r="A163" s="13">
        <f>data!AG192</f>
        <v>42930</v>
      </c>
      <c r="B163" s="11">
        <f>data!AJ192</f>
        <v>0.31673556811141035</v>
      </c>
      <c r="C163" s="11">
        <f>data!AK192</f>
        <v>5.6408498464080116E-2</v>
      </c>
      <c r="D163" s="11">
        <f>data!AL192</f>
        <v>4.7011922460002391E-3</v>
      </c>
      <c r="E163" s="11">
        <f>data!AM192</f>
        <v>0.1438939052489942</v>
      </c>
      <c r="F163" s="11">
        <f>data!AN192</f>
        <v>5.944448143932831E-2</v>
      </c>
      <c r="G163" s="11">
        <f>data!AO192</f>
        <v>0.18683632626319946</v>
      </c>
      <c r="H163" s="11">
        <f>data!AP192</f>
        <v>8.8610400451647711E-2</v>
      </c>
      <c r="I163" s="11">
        <f>data!AQ192</f>
        <v>4.0774261006246378E-2</v>
      </c>
      <c r="J163" s="11">
        <f>data!AR192</f>
        <v>3.0220037601404539E-5</v>
      </c>
      <c r="K163" s="11">
        <f>data!AS192</f>
        <v>5.2265240903306899E-2</v>
      </c>
      <c r="L163" s="11">
        <f>data!AT192</f>
        <v>5.0299905828184929E-2</v>
      </c>
      <c r="M163" s="11">
        <f>data!AU192</f>
        <v>0.94610646240242968</v>
      </c>
    </row>
    <row r="164" spans="1:13" x14ac:dyDescent="0.3">
      <c r="A164" s="13">
        <f>data!AG193</f>
        <v>42937</v>
      </c>
      <c r="B164" s="11">
        <f>data!AJ193</f>
        <v>0.31464098749894459</v>
      </c>
      <c r="C164" s="11">
        <f>data!AK193</f>
        <v>5.0760016370159672E-2</v>
      </c>
      <c r="D164" s="11">
        <f>data!AL193</f>
        <v>1.609735845891587E-2</v>
      </c>
      <c r="E164" s="11">
        <f>data!AM193</f>
        <v>0.15065498222333223</v>
      </c>
      <c r="F164" s="11">
        <f>data!AN193</f>
        <v>4.8840927528490868E-2</v>
      </c>
      <c r="G164" s="11">
        <f>data!AO193</f>
        <v>0.17485042800723322</v>
      </c>
      <c r="H164" s="11">
        <f>data!AP193</f>
        <v>0.10364128187429116</v>
      </c>
      <c r="I164" s="11">
        <f>data!AQ193</f>
        <v>4.2163407814407819E-2</v>
      </c>
      <c r="J164" s="11">
        <f>data!AR193</f>
        <v>8.6119450887575357E-5</v>
      </c>
      <c r="K164" s="11">
        <f>data!AS193</f>
        <v>5.5189259462467312E-2</v>
      </c>
      <c r="L164" s="11">
        <f>data!AT193</f>
        <v>4.3075231310869717E-2</v>
      </c>
      <c r="M164" s="11">
        <f>data!AU193</f>
        <v>0.94371028727377804</v>
      </c>
    </row>
    <row r="165" spans="1:13" x14ac:dyDescent="0.3">
      <c r="A165" s="13">
        <f>data!AG194</f>
        <v>42944</v>
      </c>
      <c r="B165" s="11">
        <f>data!AJ194</f>
        <v>0.32357559302743816</v>
      </c>
      <c r="C165" s="11">
        <f>data!AK194</f>
        <v>6.8498899041187847E-2</v>
      </c>
      <c r="D165" s="11">
        <f>data!AL194</f>
        <v>7.6959351768738778E-5</v>
      </c>
      <c r="E165" s="11">
        <f>data!AM194</f>
        <v>0.13491504244535052</v>
      </c>
      <c r="F165" s="11">
        <f>data!AN194</f>
        <v>4.1363127764439622E-2</v>
      </c>
      <c r="G165" s="11">
        <f>data!AO194</f>
        <v>0.17821254938581688</v>
      </c>
      <c r="H165" s="11">
        <f>data!AP194</f>
        <v>0.11997482842859991</v>
      </c>
      <c r="I165" s="11">
        <f>data!AQ194</f>
        <v>5.8209928368691793E-2</v>
      </c>
      <c r="J165" s="11">
        <f>data!AR194</f>
        <v>6.9312055405135927E-5</v>
      </c>
      <c r="K165" s="11">
        <f>data!AS194</f>
        <v>5.4375963804146235E-2</v>
      </c>
      <c r="L165" s="11">
        <f>data!AT194</f>
        <v>2.0727796327155261E-2</v>
      </c>
      <c r="M165" s="11">
        <f>data!AU194</f>
        <v>0.94931572795593067</v>
      </c>
    </row>
    <row r="166" spans="1:13" x14ac:dyDescent="0.3">
      <c r="A166" s="13">
        <f>data!AG195</f>
        <v>42951</v>
      </c>
      <c r="B166" s="11">
        <f>data!AJ195</f>
        <v>0.32094396514862744</v>
      </c>
      <c r="C166" s="11">
        <f>data!AK195</f>
        <v>7.1623536599304177E-2</v>
      </c>
      <c r="D166" s="11">
        <f>data!AL195</f>
        <v>8.9927930599607351E-5</v>
      </c>
      <c r="E166" s="11">
        <f>data!AM195</f>
        <v>0.11557060139329725</v>
      </c>
      <c r="F166" s="11">
        <f>data!AN195</f>
        <v>3.2567760857638371E-2</v>
      </c>
      <c r="G166" s="11">
        <f>data!AO195</f>
        <v>0.19400687854389947</v>
      </c>
      <c r="H166" s="11">
        <f>data!AP195</f>
        <v>0.12051787624264144</v>
      </c>
      <c r="I166" s="11">
        <f>data!AQ195</f>
        <v>8.7618005288187015E-2</v>
      </c>
      <c r="J166" s="11">
        <f>data!AR195</f>
        <v>4.840562427065517E-5</v>
      </c>
      <c r="K166" s="11">
        <f>data!AS195</f>
        <v>4.9704097679552181E-2</v>
      </c>
      <c r="L166" s="11">
        <f>data!AT195</f>
        <v>7.3089446919824682E-3</v>
      </c>
      <c r="M166" s="11">
        <f>data!AU195</f>
        <v>0.94813420182613017</v>
      </c>
    </row>
    <row r="167" spans="1:13" x14ac:dyDescent="0.3">
      <c r="A167" s="13">
        <f>data!AG196</f>
        <v>42958</v>
      </c>
      <c r="B167" s="11">
        <f>data!AJ196</f>
        <v>0.32116564166640788</v>
      </c>
      <c r="C167" s="11">
        <f>data!AK196</f>
        <v>7.1829739264005266E-2</v>
      </c>
      <c r="D167" s="11">
        <f>data!AL196</f>
        <v>7.428181411975016E-5</v>
      </c>
      <c r="E167" s="11">
        <f>data!AM196</f>
        <v>0.11632249844592757</v>
      </c>
      <c r="F167" s="11">
        <f>data!AN196</f>
        <v>3.1231920854007424E-2</v>
      </c>
      <c r="G167" s="11">
        <f>data!AO196</f>
        <v>0.19314156119829057</v>
      </c>
      <c r="H167" s="11">
        <f>data!AP196</f>
        <v>0.1224036827997136</v>
      </c>
      <c r="I167" s="11">
        <f>data!AQ196</f>
        <v>8.7247193964156297E-2</v>
      </c>
      <c r="J167" s="11">
        <f>data!AR196</f>
        <v>4.8537213391126058E-5</v>
      </c>
      <c r="K167" s="11">
        <f>data!AS196</f>
        <v>5.0469693854302201E-2</v>
      </c>
      <c r="L167" s="11">
        <f>data!AT196</f>
        <v>6.0652489256783106E-3</v>
      </c>
      <c r="M167" s="11">
        <f>data!AU196</f>
        <v>0.94846260141542771</v>
      </c>
    </row>
    <row r="168" spans="1:13" x14ac:dyDescent="0.3">
      <c r="A168" s="13">
        <f>data!AG197</f>
        <v>42965</v>
      </c>
      <c r="B168" s="11">
        <f>data!AJ197</f>
        <v>0.3202215343033884</v>
      </c>
      <c r="C168" s="11">
        <f>data!AK197</f>
        <v>3.023788781346376E-2</v>
      </c>
      <c r="D168" s="11">
        <f>data!AL197</f>
        <v>5.2117311318993033E-6</v>
      </c>
      <c r="E168" s="11">
        <f>data!AM197</f>
        <v>0.15402219210055904</v>
      </c>
      <c r="F168" s="11">
        <f>data!AN197</f>
        <v>6.1494184506608922E-2</v>
      </c>
      <c r="G168" s="11">
        <f>data!AO197</f>
        <v>0.17464693747638865</v>
      </c>
      <c r="H168" s="11">
        <f>data!AP197</f>
        <v>0.10494981742201119</v>
      </c>
      <c r="I168" s="11">
        <f>data!AQ197</f>
        <v>3.398404434562291E-2</v>
      </c>
      <c r="J168" s="11">
        <f>data!AR197</f>
        <v>6.6470770184453958E-4</v>
      </c>
      <c r="K168" s="11">
        <f>data!AS197</f>
        <v>5.8812037394383197E-2</v>
      </c>
      <c r="L168" s="11">
        <f>data!AT197</f>
        <v>6.0961445204597439E-2</v>
      </c>
      <c r="M168" s="11">
        <f>data!AU197</f>
        <v>0.94127222926900544</v>
      </c>
    </row>
    <row r="169" spans="1:13" x14ac:dyDescent="0.3">
      <c r="A169" s="13">
        <f>data!AG198</f>
        <v>42972</v>
      </c>
      <c r="B169" s="11">
        <f>data!AJ198</f>
        <v>0.3138933046539561</v>
      </c>
      <c r="C169" s="11">
        <f>data!AK198</f>
        <v>3.8457793298291798E-2</v>
      </c>
      <c r="D169" s="11">
        <f>data!AL198</f>
        <v>4.3810070085160849E-5</v>
      </c>
      <c r="E169" s="11">
        <f>data!AM198</f>
        <v>0.16257358420104481</v>
      </c>
      <c r="F169" s="11">
        <f>data!AN198</f>
        <v>3.37695824740235E-2</v>
      </c>
      <c r="G169" s="11">
        <f>data!AO198</f>
        <v>0.15654797051813255</v>
      </c>
      <c r="H169" s="11">
        <f>data!AP198</f>
        <v>0.11811214052498685</v>
      </c>
      <c r="I169" s="11">
        <f>data!AQ198</f>
        <v>2.189059294377238E-2</v>
      </c>
      <c r="J169" s="11">
        <f>data!AR198</f>
        <v>1.2483295596730528E-2</v>
      </c>
      <c r="K169" s="11">
        <f>data!AS198</f>
        <v>8.6793627423336808E-2</v>
      </c>
      <c r="L169" s="11">
        <f>data!AT198</f>
        <v>5.5434298295639478E-2</v>
      </c>
      <c r="M169" s="11">
        <f>data!AU198</f>
        <v>0.93599087589643792</v>
      </c>
    </row>
    <row r="170" spans="1:13" x14ac:dyDescent="0.3">
      <c r="A170" s="13">
        <f>data!AG199</f>
        <v>42979</v>
      </c>
      <c r="B170" s="11">
        <f>data!AJ199</f>
        <v>0.30804477674763225</v>
      </c>
      <c r="C170" s="11">
        <f>data!AK199</f>
        <v>3.4672263892467748E-4</v>
      </c>
      <c r="D170" s="11">
        <f>data!AL199</f>
        <v>2.8205958602285798E-6</v>
      </c>
      <c r="E170" s="11">
        <f>data!AM199</f>
        <v>0.16892451595152833</v>
      </c>
      <c r="F170" s="11">
        <f>data!AN199</f>
        <v>4.2577234012659899E-2</v>
      </c>
      <c r="G170" s="11">
        <f>data!AO199</f>
        <v>0.15681528446652626</v>
      </c>
      <c r="H170" s="11">
        <f>data!AP199</f>
        <v>0.12532252376750136</v>
      </c>
      <c r="I170" s="11">
        <f>data!AQ199</f>
        <v>2.5609624818053067E-2</v>
      </c>
      <c r="J170" s="11">
        <f>data!AR199</f>
        <v>2.5766695445367533E-5</v>
      </c>
      <c r="K170" s="11">
        <f>data!AS199</f>
        <v>9.0693194991098708E-2</v>
      </c>
      <c r="L170" s="11">
        <f>data!AT199</f>
        <v>8.1637535314769916E-2</v>
      </c>
      <c r="M170" s="11">
        <f>data!AU199</f>
        <v>0.94005477986989561</v>
      </c>
    </row>
    <row r="171" spans="1:13" x14ac:dyDescent="0.3">
      <c r="A171" s="13">
        <f>data!AG200</f>
        <v>42986</v>
      </c>
      <c r="B171" s="11">
        <f>data!AJ200</f>
        <v>0.30656072391885553</v>
      </c>
      <c r="C171" s="11">
        <f>data!AK200</f>
        <v>9.0389247893351101E-5</v>
      </c>
      <c r="D171" s="11">
        <f>data!AL200</f>
        <v>4.0842261361599082E-2</v>
      </c>
      <c r="E171" s="11">
        <f>data!AM200</f>
        <v>0.14296929907573375</v>
      </c>
      <c r="F171" s="11">
        <f>data!AN200</f>
        <v>5.9117911370134786E-2</v>
      </c>
      <c r="G171" s="11">
        <f>data!AO200</f>
        <v>0.15223237937564901</v>
      </c>
      <c r="H171" s="11">
        <f>data!AP200</f>
        <v>0.10771734035165237</v>
      </c>
      <c r="I171" s="11">
        <f>data!AQ200</f>
        <v>4.7604514894804155E-2</v>
      </c>
      <c r="J171" s="11">
        <f>data!AR200</f>
        <v>1.0153275267357586E-5</v>
      </c>
      <c r="K171" s="11">
        <f>data!AS200</f>
        <v>7.2187502828748237E-2</v>
      </c>
      <c r="L171" s="11">
        <f>data!AT200</f>
        <v>7.0667524299662429E-2</v>
      </c>
      <c r="M171" s="11">
        <f>data!AU200</f>
        <v>0.94070097359063831</v>
      </c>
    </row>
    <row r="172" spans="1:13" x14ac:dyDescent="0.3">
      <c r="A172" s="13">
        <f>data!AG201</f>
        <v>42993</v>
      </c>
      <c r="B172" s="11">
        <f>data!AJ201</f>
        <v>0.26059552350345716</v>
      </c>
      <c r="C172" s="11">
        <f>data!AK201</f>
        <v>1.2173694157415702E-5</v>
      </c>
      <c r="D172" s="11">
        <f>data!AL201</f>
        <v>0.11407797895268625</v>
      </c>
      <c r="E172" s="11">
        <f>data!AM201</f>
        <v>7.4988333096204937E-2</v>
      </c>
      <c r="F172" s="11">
        <f>data!AN201</f>
        <v>5.122613619466862E-2</v>
      </c>
      <c r="G172" s="11">
        <f>data!AO201</f>
        <v>0.15776065618515656</v>
      </c>
      <c r="H172" s="11">
        <f>data!AP201</f>
        <v>1.352428257768608E-2</v>
      </c>
      <c r="I172" s="11">
        <f>data!AQ201</f>
        <v>0.14186335133466565</v>
      </c>
      <c r="J172" s="11">
        <f>data!AR201</f>
        <v>7.0750309758068127E-6</v>
      </c>
      <c r="K172" s="11">
        <f>data!AS201</f>
        <v>3.1041882156962013E-2</v>
      </c>
      <c r="L172" s="11">
        <f>data!AT201</f>
        <v>0.15490260727337954</v>
      </c>
      <c r="M172" s="11">
        <f>data!AU201</f>
        <v>0.91066281326570464</v>
      </c>
    </row>
    <row r="173" spans="1:13" x14ac:dyDescent="0.3">
      <c r="A173" s="13">
        <f>data!AG202</f>
        <v>43000</v>
      </c>
      <c r="B173" s="11">
        <f>data!AJ202</f>
        <v>0.27769920481691307</v>
      </c>
      <c r="C173" s="11">
        <f>data!AK202</f>
        <v>8.4181632156427586E-5</v>
      </c>
      <c r="D173" s="11">
        <f>data!AL202</f>
        <v>0.11471162371020302</v>
      </c>
      <c r="E173" s="11">
        <f>data!AM202</f>
        <v>7.5829983236112425E-2</v>
      </c>
      <c r="F173" s="11">
        <f>data!AN202</f>
        <v>3.0326269798791553E-2</v>
      </c>
      <c r="G173" s="11">
        <f>data!AO202</f>
        <v>0.14863149032038003</v>
      </c>
      <c r="H173" s="11">
        <f>data!AP202</f>
        <v>6.4292723460521395E-2</v>
      </c>
      <c r="I173" s="11">
        <f>data!AQ202</f>
        <v>0.1641545208834293</v>
      </c>
      <c r="J173" s="11">
        <f>data!AR202</f>
        <v>3.1058681938433463E-5</v>
      </c>
      <c r="K173" s="11">
        <f>data!AS202</f>
        <v>3.017421524561998E-2</v>
      </c>
      <c r="L173" s="11">
        <f>data!AT202</f>
        <v>9.4064728213934301E-2</v>
      </c>
      <c r="M173" s="11">
        <f>data!AU202</f>
        <v>0.96034306503938627</v>
      </c>
    </row>
    <row r="174" spans="1:13" x14ac:dyDescent="0.3">
      <c r="A174" s="13">
        <f>data!AG203</f>
        <v>43006</v>
      </c>
      <c r="B174" s="11">
        <f>data!AJ203</f>
        <v>0.2804552084399094</v>
      </c>
      <c r="C174" s="11">
        <f>data!AK203</f>
        <v>1.5256756515578978E-6</v>
      </c>
      <c r="D174" s="11">
        <f>data!AL203</f>
        <v>0.11453187340313113</v>
      </c>
      <c r="E174" s="11">
        <f>data!AM203</f>
        <v>0.10573875649993007</v>
      </c>
      <c r="F174" s="11">
        <f>data!AN203</f>
        <v>9.7657200578274263E-5</v>
      </c>
      <c r="G174" s="11">
        <f>data!AO203</f>
        <v>0.13677864715412388</v>
      </c>
      <c r="H174" s="11">
        <f>data!AP203</f>
        <v>0.11093009624277002</v>
      </c>
      <c r="I174" s="11">
        <f>data!AQ203</f>
        <v>0.14664203737965614</v>
      </c>
      <c r="J174" s="11">
        <f>data!AR203</f>
        <v>1.0348950382755451E-6</v>
      </c>
      <c r="K174" s="11">
        <f>data!AS203</f>
        <v>4.0603120013960083E-2</v>
      </c>
      <c r="L174" s="11">
        <f>data!AT203</f>
        <v>6.4220043095251075E-2</v>
      </c>
      <c r="M174" s="11">
        <f>data!AU203</f>
        <v>0.95977670099961054</v>
      </c>
    </row>
    <row r="175" spans="1:13" x14ac:dyDescent="0.3">
      <c r="A175" s="13">
        <f>data!AG204</f>
        <v>43014</v>
      </c>
      <c r="B175" s="11">
        <f>data!AJ204</f>
        <v>0.27852098102207834</v>
      </c>
      <c r="C175" s="11">
        <f>data!AK204</f>
        <v>1.0244663010347049E-5</v>
      </c>
      <c r="D175" s="11">
        <f>data!AL204</f>
        <v>0.10934993238891323</v>
      </c>
      <c r="E175" s="11">
        <f>data!AM204</f>
        <v>0.11819203635246951</v>
      </c>
      <c r="F175" s="11">
        <f>data!AN204</f>
        <v>8.6361586831870988E-5</v>
      </c>
      <c r="G175" s="11">
        <f>data!AO204</f>
        <v>0.14371404534025439</v>
      </c>
      <c r="H175" s="11">
        <f>data!AP204</f>
        <v>0.10782459610207727</v>
      </c>
      <c r="I175" s="11">
        <f>data!AQ204</f>
        <v>0.14245435532920214</v>
      </c>
      <c r="J175" s="11">
        <f>data!AR204</f>
        <v>5.8319259945191423E-6</v>
      </c>
      <c r="K175" s="11">
        <f>data!AS204</f>
        <v>4.0873997119385191E-2</v>
      </c>
      <c r="L175" s="11">
        <f>data!AT204</f>
        <v>5.8967618169783194E-2</v>
      </c>
      <c r="M175" s="11">
        <f>data!AU204</f>
        <v>0.96075008467238709</v>
      </c>
    </row>
    <row r="176" spans="1:13" x14ac:dyDescent="0.3">
      <c r="A176" s="13">
        <f>data!AG205</f>
        <v>43021</v>
      </c>
      <c r="B176" s="11">
        <f>data!AJ205</f>
        <v>0.26629903000819927</v>
      </c>
      <c r="C176" s="11">
        <f>data!AK205</f>
        <v>5.7669775779758636E-6</v>
      </c>
      <c r="D176" s="11">
        <f>data!AL205</f>
        <v>9.3945107916029974E-2</v>
      </c>
      <c r="E176" s="11">
        <f>data!AM205</f>
        <v>0.10122225284906158</v>
      </c>
      <c r="F176" s="11">
        <f>data!AN205</f>
        <v>9.1724335354365796E-5</v>
      </c>
      <c r="G176" s="11">
        <f>data!AO205</f>
        <v>0.14852880394823631</v>
      </c>
      <c r="H176" s="11">
        <f>data!AP205</f>
        <v>0.12512894987242135</v>
      </c>
      <c r="I176" s="11">
        <f>data!AQ205</f>
        <v>0.16500737900151791</v>
      </c>
      <c r="J176" s="11">
        <f>data!AR205</f>
        <v>4.6255487060076541E-6</v>
      </c>
      <c r="K176" s="11">
        <f>data!AS205</f>
        <v>4.7543960793165259E-2</v>
      </c>
      <c r="L176" s="11">
        <f>data!AT205</f>
        <v>5.2222398749730024E-2</v>
      </c>
      <c r="M176" s="11">
        <f>data!AU205</f>
        <v>0.96388185824727468</v>
      </c>
    </row>
    <row r="177" spans="1:13" x14ac:dyDescent="0.3">
      <c r="A177" s="13">
        <f>data!AG206</f>
        <v>43028</v>
      </c>
      <c r="B177" s="11">
        <f>data!AJ206</f>
        <v>0.27283965122746373</v>
      </c>
      <c r="C177" s="11">
        <f>data!AK206</f>
        <v>5.5061048759669649E-7</v>
      </c>
      <c r="D177" s="11">
        <f>data!AL206</f>
        <v>9.9716368406544575E-2</v>
      </c>
      <c r="E177" s="11">
        <f>data!AM206</f>
        <v>9.9086054798247808E-2</v>
      </c>
      <c r="F177" s="11">
        <f>data!AN206</f>
        <v>1.4336813329481805E-4</v>
      </c>
      <c r="G177" s="11">
        <f>data!AO206</f>
        <v>0.15691795911970377</v>
      </c>
      <c r="H177" s="11">
        <f>data!AP206</f>
        <v>9.952182240402975E-2</v>
      </c>
      <c r="I177" s="11">
        <f>data!AQ206</f>
        <v>0.16386239909574257</v>
      </c>
      <c r="J177" s="11">
        <f>data!AR206</f>
        <v>4.2029235862099547E-7</v>
      </c>
      <c r="K177" s="11">
        <f>data!AS206</f>
        <v>4.8889177647635416E-2</v>
      </c>
      <c r="L177" s="11">
        <f>data!AT206</f>
        <v>5.9022228264491342E-2</v>
      </c>
      <c r="M177" s="11">
        <f>data!AU206</f>
        <v>0.9647515349782716</v>
      </c>
    </row>
    <row r="178" spans="1:13" x14ac:dyDescent="0.3">
      <c r="A178" s="13">
        <f>data!AG207</f>
        <v>43035</v>
      </c>
      <c r="B178" s="11">
        <f>data!AJ207</f>
        <v>0.27756386572783892</v>
      </c>
      <c r="C178" s="11">
        <f>data!AK207</f>
        <v>1.2234691895563394E-5</v>
      </c>
      <c r="D178" s="11">
        <f>data!AL207</f>
        <v>8.5276968672217193E-2</v>
      </c>
      <c r="E178" s="11">
        <f>data!AM207</f>
        <v>9.4663535771518301E-2</v>
      </c>
      <c r="F178" s="11">
        <f>data!AN207</f>
        <v>6.7721652167577881E-3</v>
      </c>
      <c r="G178" s="11">
        <f>data!AO207</f>
        <v>0.15745336108421304</v>
      </c>
      <c r="H178" s="11">
        <f>data!AP207</f>
        <v>0.10268406094062768</v>
      </c>
      <c r="I178" s="11">
        <f>data!AQ207</f>
        <v>0.16754761951889999</v>
      </c>
      <c r="J178" s="11">
        <f>data!AR207</f>
        <v>8.5212359784478201E-6</v>
      </c>
      <c r="K178" s="11">
        <f>data!AS207</f>
        <v>5.2636488333008206E-2</v>
      </c>
      <c r="L178" s="11">
        <f>data!AT207</f>
        <v>5.5381178807044885E-2</v>
      </c>
      <c r="M178" s="11">
        <f>data!AU207</f>
        <v>0.96477860850183517</v>
      </c>
    </row>
    <row r="179" spans="1:13" x14ac:dyDescent="0.3">
      <c r="A179" s="13">
        <f>data!AG208</f>
        <v>43042</v>
      </c>
      <c r="B179" s="11">
        <f>data!AJ208</f>
        <v>0.2782088637319039</v>
      </c>
      <c r="C179" s="11">
        <f>data!AK208</f>
        <v>1.0736364783711826E-5</v>
      </c>
      <c r="D179" s="11">
        <f>data!AL208</f>
        <v>9.0876281163642755E-2</v>
      </c>
      <c r="E179" s="11">
        <f>data!AM208</f>
        <v>9.250568567697616E-2</v>
      </c>
      <c r="F179" s="11">
        <f>data!AN208</f>
        <v>6.0837491609369238E-3</v>
      </c>
      <c r="G179" s="11">
        <f>data!AO208</f>
        <v>0.15396592848294188</v>
      </c>
      <c r="H179" s="11">
        <f>data!AP208</f>
        <v>9.2679720699448895E-2</v>
      </c>
      <c r="I179" s="11">
        <f>data!AQ208</f>
        <v>0.17093285609468536</v>
      </c>
      <c r="J179" s="11">
        <f>data!AR208</f>
        <v>8.1943095035765778E-6</v>
      </c>
      <c r="K179" s="11">
        <f>data!AS208</f>
        <v>5.8521936025642998E-2</v>
      </c>
      <c r="L179" s="11">
        <f>data!AT208</f>
        <v>5.6206048289533857E-2</v>
      </c>
      <c r="M179" s="11">
        <f>data!AU208</f>
        <v>0.96762837614469677</v>
      </c>
    </row>
    <row r="180" spans="1:13" x14ac:dyDescent="0.3">
      <c r="A180" s="13">
        <f>data!AG209</f>
        <v>43049</v>
      </c>
      <c r="B180" s="11">
        <f>data!AJ209</f>
        <v>0.27947397227945808</v>
      </c>
      <c r="C180" s="11">
        <f>data!AK209</f>
        <v>1.910261568721449E-6</v>
      </c>
      <c r="D180" s="11">
        <f>data!AL209</f>
        <v>4.0338087168682785E-2</v>
      </c>
      <c r="E180" s="11">
        <f>data!AM209</f>
        <v>0.12550664053609378</v>
      </c>
      <c r="F180" s="11">
        <f>data!AN209</f>
        <v>8.9869878494325533E-5</v>
      </c>
      <c r="G180" s="11">
        <f>data!AO209</f>
        <v>0.13713866824667689</v>
      </c>
      <c r="H180" s="11">
        <f>data!AP209</f>
        <v>0.14676404332326695</v>
      </c>
      <c r="I180" s="11">
        <f>data!AQ209</f>
        <v>0.15512347706254376</v>
      </c>
      <c r="J180" s="11">
        <f>data!AR209</f>
        <v>1.2730727876891725E-6</v>
      </c>
      <c r="K180" s="11">
        <f>data!AS209</f>
        <v>7.5719440681564387E-2</v>
      </c>
      <c r="L180" s="11">
        <f>data!AT209</f>
        <v>3.9842617488862551E-2</v>
      </c>
      <c r="M180" s="11">
        <f>data!AU209</f>
        <v>0.96606819931477317</v>
      </c>
    </row>
    <row r="181" spans="1:13" x14ac:dyDescent="0.3">
      <c r="A181" s="13">
        <f>data!AG210</f>
        <v>43055</v>
      </c>
      <c r="B181" s="11">
        <f>data!AJ210</f>
        <v>0.27669448847229544</v>
      </c>
      <c r="C181" s="11">
        <f>data!AK210</f>
        <v>4.1463936563404311E-7</v>
      </c>
      <c r="D181" s="11">
        <f>data!AL210</f>
        <v>3.6422217944081493E-2</v>
      </c>
      <c r="E181" s="11">
        <f>data!AM210</f>
        <v>0.12554066893148863</v>
      </c>
      <c r="F181" s="11">
        <f>data!AN210</f>
        <v>1.9867678158455134E-4</v>
      </c>
      <c r="G181" s="11">
        <f>data!AO210</f>
        <v>0.13931423605741089</v>
      </c>
      <c r="H181" s="11">
        <f>data!AP210</f>
        <v>0.14840119115677264</v>
      </c>
      <c r="I181" s="11">
        <f>data!AQ210</f>
        <v>0.15698758764986082</v>
      </c>
      <c r="J181" s="11">
        <f>data!AR210</f>
        <v>2.6364980709759571E-7</v>
      </c>
      <c r="K181" s="11">
        <f>data!AS210</f>
        <v>7.5361692957967796E-2</v>
      </c>
      <c r="L181" s="11">
        <f>data!AT210</f>
        <v>4.1078561759365008E-2</v>
      </c>
      <c r="M181" s="11">
        <f>data!AU210</f>
        <v>0.96602619756557973</v>
      </c>
    </row>
    <row r="182" spans="1:13" x14ac:dyDescent="0.3">
      <c r="A182" s="13">
        <f>data!AG211</f>
        <v>43063</v>
      </c>
      <c r="B182" s="11">
        <f>data!AJ211</f>
        <v>0.28061301482959139</v>
      </c>
      <c r="C182" s="11">
        <f>data!AK211</f>
        <v>6.7253560664175962E-6</v>
      </c>
      <c r="D182" s="11">
        <f>data!AL211</f>
        <v>3.6337805591866494E-2</v>
      </c>
      <c r="E182" s="11">
        <f>data!AM211</f>
        <v>0.12411918732286646</v>
      </c>
      <c r="F182" s="11">
        <f>data!AN211</f>
        <v>5.2060617825635935E-3</v>
      </c>
      <c r="G182" s="11">
        <f>data!AO211</f>
        <v>0.13585105110596429</v>
      </c>
      <c r="H182" s="11">
        <f>data!AP211</f>
        <v>0.14385158478706594</v>
      </c>
      <c r="I182" s="11">
        <f>data!AQ211</f>
        <v>0.15684234685850817</v>
      </c>
      <c r="J182" s="11">
        <f>data!AR211</f>
        <v>4.4941996120171049E-6</v>
      </c>
      <c r="K182" s="11">
        <f>data!AS211</f>
        <v>7.4179664936476139E-2</v>
      </c>
      <c r="L182" s="11">
        <f>data!AT211</f>
        <v>4.2988063229419053E-2</v>
      </c>
      <c r="M182" s="11">
        <f>data!AU211</f>
        <v>0.96521491984776264</v>
      </c>
    </row>
    <row r="183" spans="1:13" x14ac:dyDescent="0.3">
      <c r="A183" s="13">
        <f>data!AG212</f>
        <v>43070</v>
      </c>
      <c r="B183" s="11">
        <f>data!AJ212</f>
        <v>0.27970190545424362</v>
      </c>
      <c r="C183" s="11">
        <f>data!AK212</f>
        <v>1.7527420769018945E-5</v>
      </c>
      <c r="D183" s="11">
        <f>data!AL212</f>
        <v>3.1902884933593043E-2</v>
      </c>
      <c r="E183" s="11">
        <f>data!AM212</f>
        <v>0.12259459750005573</v>
      </c>
      <c r="F183" s="11">
        <f>data!AN212</f>
        <v>1.0442142903513479E-2</v>
      </c>
      <c r="G183" s="11">
        <f>data!AO212</f>
        <v>0.13864463238188141</v>
      </c>
      <c r="H183" s="11">
        <f>data!AP212</f>
        <v>0.14035371044380945</v>
      </c>
      <c r="I183" s="11">
        <f>data!AQ212</f>
        <v>0.15892698903042457</v>
      </c>
      <c r="J183" s="11">
        <f>data!AR212</f>
        <v>1.122018395307514E-5</v>
      </c>
      <c r="K183" s="11">
        <f>data!AS212</f>
        <v>7.1700770888473681E-2</v>
      </c>
      <c r="L183" s="11">
        <f>data!AT212</f>
        <v>4.5703618859282938E-2</v>
      </c>
      <c r="M183" s="11">
        <f>data!AU212</f>
        <v>0.96622548014214271</v>
      </c>
    </row>
    <row r="184" spans="1:13" x14ac:dyDescent="0.3">
      <c r="A184" s="13">
        <f>data!AG213</f>
        <v>43077</v>
      </c>
      <c r="B184" s="11">
        <f>data!AJ213</f>
        <v>0.26829206844634579</v>
      </c>
      <c r="C184" s="11">
        <f>data!AK213</f>
        <v>1.58783223458945E-5</v>
      </c>
      <c r="D184" s="11">
        <f>data!AL213</f>
        <v>3.7466354578978615E-2</v>
      </c>
      <c r="E184" s="11">
        <f>data!AM213</f>
        <v>0.1124207338818221</v>
      </c>
      <c r="F184" s="11">
        <f>data!AN213</f>
        <v>7.7126908651370353E-3</v>
      </c>
      <c r="G184" s="11">
        <f>data!AO213</f>
        <v>0.13363965853536386</v>
      </c>
      <c r="H184" s="11">
        <f>data!AP213</f>
        <v>0.14911345028331427</v>
      </c>
      <c r="I184" s="11">
        <f>data!AQ213</f>
        <v>0.17188620078429506</v>
      </c>
      <c r="J184" s="11">
        <f>data!AR213</f>
        <v>1.0658639251118746E-5</v>
      </c>
      <c r="K184" s="11">
        <f>data!AS213</f>
        <v>7.4721118873684808E-2</v>
      </c>
      <c r="L184" s="11">
        <f>data!AT213</f>
        <v>4.4721186789461485E-2</v>
      </c>
      <c r="M184" s="11">
        <f>data!AU213</f>
        <v>0.96676240077601561</v>
      </c>
    </row>
    <row r="185" spans="1:13" x14ac:dyDescent="0.3">
      <c r="A185" s="13">
        <f>data!AG214</f>
        <v>43084</v>
      </c>
      <c r="B185" s="11">
        <f>data!AJ214</f>
        <v>0.26578526361641708</v>
      </c>
      <c r="C185" s="11">
        <f>data!AK214</f>
        <v>5.2395729938428236E-6</v>
      </c>
      <c r="D185" s="11">
        <f>data!AL214</f>
        <v>3.5507594624316539E-2</v>
      </c>
      <c r="E185" s="11">
        <f>data!AM214</f>
        <v>0.11744907796963931</v>
      </c>
      <c r="F185" s="11">
        <f>data!AN214</f>
        <v>3.1962258865974387E-3</v>
      </c>
      <c r="G185" s="11">
        <f>data!AO214</f>
        <v>0.13591307778144179</v>
      </c>
      <c r="H185" s="11">
        <f>data!AP214</f>
        <v>0.15400118722024381</v>
      </c>
      <c r="I185" s="11">
        <f>data!AQ214</f>
        <v>0.17083377082436846</v>
      </c>
      <c r="J185" s="11">
        <f>data!AR214</f>
        <v>3.8395809335828711E-6</v>
      </c>
      <c r="K185" s="11">
        <f>data!AS214</f>
        <v>7.4514604886986774E-2</v>
      </c>
      <c r="L185" s="11">
        <f>data!AT214</f>
        <v>4.2790118036061295E-2</v>
      </c>
      <c r="M185" s="11">
        <f>data!AU214</f>
        <v>0.96655541483052976</v>
      </c>
    </row>
    <row r="186" spans="1:13" x14ac:dyDescent="0.3">
      <c r="A186" s="13">
        <f>data!AG215</f>
        <v>43091</v>
      </c>
      <c r="B186" s="11">
        <f>data!AJ215</f>
        <v>0.27610173676240435</v>
      </c>
      <c r="C186" s="11">
        <f>data!AK215</f>
        <v>3.7139400759386598E-5</v>
      </c>
      <c r="D186" s="11">
        <f>data!AL215</f>
        <v>2.8480859016248108E-2</v>
      </c>
      <c r="E186" s="11">
        <f>data!AM215</f>
        <v>0.12077752815729992</v>
      </c>
      <c r="F186" s="11">
        <f>data!AN215</f>
        <v>1.4833961403475241E-2</v>
      </c>
      <c r="G186" s="11">
        <f>data!AO215</f>
        <v>0.12231000103202343</v>
      </c>
      <c r="H186" s="11">
        <f>data!AP215</f>
        <v>0.1504624073079173</v>
      </c>
      <c r="I186" s="11">
        <f>data!AQ215</f>
        <v>0.15654362991291787</v>
      </c>
      <c r="J186" s="11">
        <f>data!AR215</f>
        <v>3.1527231184278059E-5</v>
      </c>
      <c r="K186" s="11">
        <f>data!AS215</f>
        <v>7.4460000342377361E-2</v>
      </c>
      <c r="L186" s="11">
        <f>data!AT215</f>
        <v>5.5961209433392792E-2</v>
      </c>
      <c r="M186" s="11">
        <f>data!AU215</f>
        <v>0.96165959124135814</v>
      </c>
    </row>
    <row r="187" spans="1:13" x14ac:dyDescent="0.3">
      <c r="A187" s="13">
        <f>data!AG216</f>
        <v>43098</v>
      </c>
      <c r="B187" s="11">
        <f>data!AJ216</f>
        <v>0.29728986006155028</v>
      </c>
      <c r="C187" s="11">
        <f>data!AK216</f>
        <v>9.4742772623223062E-6</v>
      </c>
      <c r="D187" s="11">
        <f>data!AL216</f>
        <v>1.0547018541349755E-2</v>
      </c>
      <c r="E187" s="11">
        <f>data!AM216</f>
        <v>0.16987207748547828</v>
      </c>
      <c r="F187" s="11">
        <f>data!AN216</f>
        <v>1.757876970660863E-2</v>
      </c>
      <c r="G187" s="11">
        <f>data!AO216</f>
        <v>0.12643971680223029</v>
      </c>
      <c r="H187" s="11">
        <f>data!AP216</f>
        <v>0.13392184744068225</v>
      </c>
      <c r="I187" s="11">
        <f>data!AQ216</f>
        <v>0.11198088346086214</v>
      </c>
      <c r="J187" s="11">
        <f>data!AR216</f>
        <v>6.8259818941733336E-6</v>
      </c>
      <c r="K187" s="11">
        <f>data!AS216</f>
        <v>7.2134925630452748E-2</v>
      </c>
      <c r="L187" s="11">
        <f>data!AT216</f>
        <v>6.0218600611629196E-2</v>
      </c>
      <c r="M187" s="11">
        <f>data!AU216</f>
        <v>0.95873285535827213</v>
      </c>
    </row>
    <row r="188" spans="1:13" x14ac:dyDescent="0.3">
      <c r="A188" s="13">
        <f>data!AG217</f>
        <v>43105</v>
      </c>
      <c r="B188" s="11">
        <f>data!AJ217</f>
        <v>0.29139363046808037</v>
      </c>
      <c r="C188" s="11">
        <f>data!AK217</f>
        <v>7.2330361707901739E-6</v>
      </c>
      <c r="D188" s="11">
        <f>data!AL217</f>
        <v>8.2536589380151903E-3</v>
      </c>
      <c r="E188" s="11">
        <f>data!AM217</f>
        <v>0.17443987099682554</v>
      </c>
      <c r="F188" s="11">
        <f>data!AN217</f>
        <v>5.8397953526667986E-3</v>
      </c>
      <c r="G188" s="11">
        <f>data!AO217</f>
        <v>0.12781426228559262</v>
      </c>
      <c r="H188" s="11">
        <f>data!AP217</f>
        <v>0.14882308310031672</v>
      </c>
      <c r="I188" s="11">
        <f>data!AQ217</f>
        <v>0.10693469278227911</v>
      </c>
      <c r="J188" s="11">
        <f>data!AR217</f>
        <v>6.148455714855016E-6</v>
      </c>
      <c r="K188" s="11">
        <f>data!AS217</f>
        <v>7.6719298979924286E-2</v>
      </c>
      <c r="L188" s="11">
        <f>data!AT217</f>
        <v>5.9768325604413718E-2</v>
      </c>
      <c r="M188" s="11">
        <f>data!AU217</f>
        <v>0.95867260726685666</v>
      </c>
    </row>
    <row r="189" spans="1:13" x14ac:dyDescent="0.3">
      <c r="A189" s="13">
        <f>data!AG218</f>
        <v>43112</v>
      </c>
      <c r="B189" s="11">
        <f>data!AJ218</f>
        <v>0.28216435917159988</v>
      </c>
      <c r="C189" s="11">
        <f>data!AK218</f>
        <v>1.9403828617314422E-5</v>
      </c>
      <c r="D189" s="11">
        <f>data!AL218</f>
        <v>2.4528904456004773E-2</v>
      </c>
      <c r="E189" s="11">
        <f>data!AM218</f>
        <v>0.17117813885221903</v>
      </c>
      <c r="F189" s="11">
        <f>data!AN218</f>
        <v>8.6681777373882353E-5</v>
      </c>
      <c r="G189" s="11">
        <f>data!AO218</f>
        <v>0.13979848166781061</v>
      </c>
      <c r="H189" s="11">
        <f>data!AP218</f>
        <v>0.13508070819957249</v>
      </c>
      <c r="I189" s="11">
        <f>data!AQ218</f>
        <v>0.10497008518854413</v>
      </c>
      <c r="J189" s="11">
        <f>data!AR218</f>
        <v>1.8944786735918546E-5</v>
      </c>
      <c r="K189" s="11">
        <f>data!AS218</f>
        <v>7.1492134818880726E-2</v>
      </c>
      <c r="L189" s="11">
        <f>data!AT218</f>
        <v>7.0662157252641314E-2</v>
      </c>
      <c r="M189" s="11">
        <f>data!AU218</f>
        <v>0.95843769521111855</v>
      </c>
    </row>
    <row r="190" spans="1:13" x14ac:dyDescent="0.3">
      <c r="A190" s="13">
        <f>data!AG219</f>
        <v>43119</v>
      </c>
      <c r="B190" s="11">
        <f>data!AJ219</f>
        <v>0.28285752940690534</v>
      </c>
      <c r="C190" s="11">
        <f>data!AK219</f>
        <v>2.6522889378360596E-6</v>
      </c>
      <c r="D190" s="11">
        <f>data!AL219</f>
        <v>8.3394474886463291E-5</v>
      </c>
      <c r="E190" s="11">
        <f>data!AM219</f>
        <v>0.20406364362976276</v>
      </c>
      <c r="F190" s="11">
        <f>data!AN219</f>
        <v>1.7752672048880581E-5</v>
      </c>
      <c r="G190" s="11">
        <f>data!AO219</f>
        <v>0.15238182415241447</v>
      </c>
      <c r="H190" s="11">
        <f>data!AP219</f>
        <v>0.14477264577382454</v>
      </c>
      <c r="I190" s="11">
        <f>data!AQ219</f>
        <v>8.2234995373446793E-2</v>
      </c>
      <c r="J190" s="11">
        <f>data!AR219</f>
        <v>2.5351371146056758E-6</v>
      </c>
      <c r="K190" s="11">
        <f>data!AS219</f>
        <v>6.4764003369980075E-2</v>
      </c>
      <c r="L190" s="11">
        <f>data!AT219</f>
        <v>6.8819023720678205E-2</v>
      </c>
      <c r="M190" s="11">
        <f>data!AU219</f>
        <v>0.95268535534759624</v>
      </c>
    </row>
    <row r="191" spans="1:13" x14ac:dyDescent="0.3">
      <c r="A191" s="13">
        <f>data!AG220</f>
        <v>43126</v>
      </c>
      <c r="B191" s="11">
        <f>data!AJ220</f>
        <v>0.2940912987132519</v>
      </c>
      <c r="C191" s="11">
        <f>data!AK220</f>
        <v>9.5193717488445252E-6</v>
      </c>
      <c r="D191" s="11">
        <f>data!AL220</f>
        <v>1.624496054767699E-2</v>
      </c>
      <c r="E191" s="11">
        <f>data!AM220</f>
        <v>0.20491238587746263</v>
      </c>
      <c r="F191" s="11">
        <f>data!AN220</f>
        <v>7.865864401176122E-3</v>
      </c>
      <c r="G191" s="11">
        <f>data!AO220</f>
        <v>0.14495439230741489</v>
      </c>
      <c r="H191" s="11">
        <f>data!AP220</f>
        <v>0.13453726958780396</v>
      </c>
      <c r="I191" s="11">
        <f>data!AQ220</f>
        <v>7.6808662598930363E-2</v>
      </c>
      <c r="J191" s="11">
        <f>data!AR220</f>
        <v>1.1498052189087017E-5</v>
      </c>
      <c r="K191" s="11">
        <f>data!AS220</f>
        <v>4.4592637853103412E-2</v>
      </c>
      <c r="L191" s="11">
        <f>data!AT220</f>
        <v>7.5971510689241725E-2</v>
      </c>
      <c r="M191" s="11">
        <f>data!AU220</f>
        <v>0.94940816819268314</v>
      </c>
    </row>
    <row r="192" spans="1:13" x14ac:dyDescent="0.3">
      <c r="A192" s="13">
        <f>data!AG221</f>
        <v>43133</v>
      </c>
      <c r="B192" s="11">
        <f>data!AJ221</f>
        <v>0.28810021116359408</v>
      </c>
      <c r="C192" s="11">
        <f>data!AK221</f>
        <v>9.3867323014006801E-7</v>
      </c>
      <c r="D192" s="11">
        <f>data!AL221</f>
        <v>2.0223698324524454E-2</v>
      </c>
      <c r="E192" s="11">
        <f>data!AM221</f>
        <v>0.20408551315113763</v>
      </c>
      <c r="F192" s="11">
        <f>data!AN221</f>
        <v>9.1978904766119683E-5</v>
      </c>
      <c r="G192" s="11">
        <f>data!AO221</f>
        <v>0.14049952086712661</v>
      </c>
      <c r="H192" s="11">
        <f>data!AP221</f>
        <v>0.15463126279878031</v>
      </c>
      <c r="I192" s="11">
        <f>data!AQ221</f>
        <v>7.7911068955573856E-2</v>
      </c>
      <c r="J192" s="11">
        <f>data!AR221</f>
        <v>8.9369239347193187E-7</v>
      </c>
      <c r="K192" s="11">
        <f>data!AS221</f>
        <v>3.2664325830638961E-2</v>
      </c>
      <c r="L192" s="11">
        <f>data!AT221</f>
        <v>8.1790587638234352E-2</v>
      </c>
      <c r="M192" s="11">
        <f>data!AU221</f>
        <v>0.95079712209943812</v>
      </c>
    </row>
    <row r="193" spans="1:13" x14ac:dyDescent="0.3">
      <c r="A193" s="13">
        <f>data!AG222</f>
        <v>43140</v>
      </c>
      <c r="B193" s="11">
        <f>data!AJ222</f>
        <v>0.28762013656417262</v>
      </c>
      <c r="C193" s="11">
        <f>data!AK222</f>
        <v>4.4196620773254256E-7</v>
      </c>
      <c r="D193" s="11">
        <f>data!AL222</f>
        <v>1.9550643168205484E-2</v>
      </c>
      <c r="E193" s="11">
        <f>data!AM222</f>
        <v>0.20202431891996561</v>
      </c>
      <c r="F193" s="11">
        <f>data!AN222</f>
        <v>4.1408564494299481E-4</v>
      </c>
      <c r="G193" s="11">
        <f>data!AO222</f>
        <v>0.13920894701221323</v>
      </c>
      <c r="H193" s="11">
        <f>data!AP222</f>
        <v>0.15566556034199497</v>
      </c>
      <c r="I193" s="11">
        <f>data!AQ222</f>
        <v>8.0623233186184098E-2</v>
      </c>
      <c r="J193" s="11">
        <f>data!AR222</f>
        <v>4.310024956456131E-7</v>
      </c>
      <c r="K193" s="11">
        <f>data!AS222</f>
        <v>3.3005636528928579E-2</v>
      </c>
      <c r="L193" s="11">
        <f>data!AT222</f>
        <v>8.1886565664689021E-2</v>
      </c>
      <c r="M193" s="11">
        <f>data!AU222</f>
        <v>0.9514293527496116</v>
      </c>
    </row>
    <row r="194" spans="1:13" x14ac:dyDescent="0.3">
      <c r="A194" s="13">
        <f>data!AG223</f>
        <v>43147</v>
      </c>
      <c r="B194" s="11">
        <f>data!AJ223</f>
        <v>0.29126496246978228</v>
      </c>
      <c r="C194" s="11">
        <f>data!AK223</f>
        <v>2.3613104955349959E-7</v>
      </c>
      <c r="D194" s="11">
        <f>data!AL223</f>
        <v>7.0119208756597965E-4</v>
      </c>
      <c r="E194" s="11">
        <f>data!AM223</f>
        <v>0.2127842528384177</v>
      </c>
      <c r="F194" s="11">
        <f>data!AN223</f>
        <v>8.1843953193628579E-3</v>
      </c>
      <c r="G194" s="11">
        <f>data!AO223</f>
        <v>0.14623750809275857</v>
      </c>
      <c r="H194" s="11">
        <f>data!AP223</f>
        <v>0.1508072339269462</v>
      </c>
      <c r="I194" s="11">
        <f>data!AQ223</f>
        <v>7.4331735312217401E-2</v>
      </c>
      <c r="J194" s="11">
        <f>data!AR223</f>
        <v>2.5901710282338423E-7</v>
      </c>
      <c r="K194" s="11">
        <f>data!AS223</f>
        <v>2.9196354973616823E-2</v>
      </c>
      <c r="L194" s="11">
        <f>data!AT223</f>
        <v>8.6491869831179805E-2</v>
      </c>
      <c r="M194" s="11">
        <f>data!AU223</f>
        <v>0.95391622933217424</v>
      </c>
    </row>
    <row r="195" spans="1:13" x14ac:dyDescent="0.3">
      <c r="A195" s="13">
        <f>data!AG224</f>
        <v>43157.5</v>
      </c>
      <c r="B195" s="11">
        <f>data!AJ224</f>
        <v>0.3000725439499024</v>
      </c>
      <c r="C195" s="11">
        <f>data!AK224</f>
        <v>1.5300455142376864E-6</v>
      </c>
      <c r="D195" s="11">
        <f>data!AL224</f>
        <v>8.4577147852556709E-5</v>
      </c>
      <c r="E195" s="11">
        <f>data!AM224</f>
        <v>0.23121973981565541</v>
      </c>
      <c r="F195" s="11">
        <f>data!AN224</f>
        <v>1.330582582452795E-2</v>
      </c>
      <c r="G195" s="11">
        <f>data!AO224</f>
        <v>0.14286054230019146</v>
      </c>
      <c r="H195" s="11">
        <f>data!AP224</f>
        <v>0.15937974461056639</v>
      </c>
      <c r="I195" s="11">
        <f>data!AQ224</f>
        <v>5.9572302528329471E-2</v>
      </c>
      <c r="J195" s="11">
        <f>data!AR224</f>
        <v>1.7600522006933182E-6</v>
      </c>
      <c r="K195" s="11">
        <f>data!AS224</f>
        <v>1.3040166920267104E-2</v>
      </c>
      <c r="L195" s="11">
        <f>data!AT224</f>
        <v>8.046126680499234E-2</v>
      </c>
      <c r="M195" s="11">
        <f>data!AU224</f>
        <v>0.95875914929885264</v>
      </c>
    </row>
    <row r="196" spans="1:13" x14ac:dyDescent="0.3">
      <c r="A196" s="13">
        <f>data!AG225</f>
        <v>43164.5</v>
      </c>
      <c r="B196" s="11">
        <f>data!AJ225</f>
        <v>0.30081567679610083</v>
      </c>
      <c r="C196" s="11">
        <f>data!AK225</f>
        <v>3.8829763746621443E-6</v>
      </c>
      <c r="D196" s="11">
        <f>data!AL225</f>
        <v>8.8355241369486589E-5</v>
      </c>
      <c r="E196" s="11">
        <f>data!AM225</f>
        <v>0.23049570049643375</v>
      </c>
      <c r="F196" s="11">
        <f>data!AN225</f>
        <v>1.1322154410666361E-2</v>
      </c>
      <c r="G196" s="11">
        <f>data!AO225</f>
        <v>0.14149212735983085</v>
      </c>
      <c r="H196" s="11">
        <f>data!AP225</f>
        <v>0.15567734027624897</v>
      </c>
      <c r="I196" s="11">
        <f>data!AQ225</f>
        <v>6.0778933213071394E-2</v>
      </c>
      <c r="J196" s="11">
        <f>data!AR225</f>
        <v>4.8490264889270369E-6</v>
      </c>
      <c r="K196" s="11">
        <f>data!AS225</f>
        <v>1.7774896804091854E-2</v>
      </c>
      <c r="L196" s="11">
        <f>data!AT225</f>
        <v>8.1546083399323011E-2</v>
      </c>
      <c r="M196" s="11">
        <f>data!AU225</f>
        <v>0.95811249764914252</v>
      </c>
    </row>
    <row r="223" spans="1:5" x14ac:dyDescent="0.3">
      <c r="A223" s="13" t="str">
        <f>IF(ISBLANK(data!AI252),"",data!AI252)</f>
        <v/>
      </c>
      <c r="B223" s="11" t="str">
        <f>IF(ISBLANK(data!AJ252),"",data!AJ252)</f>
        <v/>
      </c>
      <c r="C223" s="11" t="str">
        <f>IF(ISBLANK(data!AK252),"",data!AK252)</f>
        <v/>
      </c>
      <c r="D223" s="11" t="str">
        <f>IF(ISBLANK(data!AL252),"",data!AL252)</f>
        <v/>
      </c>
      <c r="E223" s="11" t="str">
        <f>IF(ISBLANK(data!AM252),"",data!AM252)</f>
        <v/>
      </c>
    </row>
    <row r="224" spans="1:5" x14ac:dyDescent="0.3">
      <c r="A224" s="13" t="str">
        <f>IF(ISBLANK(data!AI253),"",data!AI253)</f>
        <v/>
      </c>
      <c r="B224" s="11" t="str">
        <f>IF(ISBLANK(data!AJ253),"",data!AJ253)</f>
        <v/>
      </c>
      <c r="C224" s="11" t="str">
        <f>IF(ISBLANK(data!AK253),"",data!AK253)</f>
        <v/>
      </c>
      <c r="D224" s="11" t="str">
        <f>IF(ISBLANK(data!AL253),"",data!AL253)</f>
        <v/>
      </c>
      <c r="E224" s="11" t="str">
        <f>IF(ISBLANK(data!AM253),"",data!AM253)</f>
        <v/>
      </c>
    </row>
    <row r="225" spans="1:5" x14ac:dyDescent="0.3">
      <c r="A225" s="13" t="str">
        <f>IF(ISBLANK(data!AI254),"",data!AI254)</f>
        <v/>
      </c>
      <c r="B225" s="11" t="str">
        <f>IF(ISBLANK(data!AJ254),"",data!AJ254)</f>
        <v/>
      </c>
      <c r="C225" s="11" t="str">
        <f>IF(ISBLANK(data!AK254),"",data!AK254)</f>
        <v/>
      </c>
      <c r="D225" s="11" t="str">
        <f>IF(ISBLANK(data!AL254),"",data!AL254)</f>
        <v/>
      </c>
      <c r="E225" s="11" t="str">
        <f>IF(ISBLANK(data!AM254),"",data!AM254)</f>
        <v/>
      </c>
    </row>
    <row r="226" spans="1:5" x14ac:dyDescent="0.3">
      <c r="A226" s="13" t="str">
        <f>IF(ISBLANK(data!AI255),"",data!AI255)</f>
        <v/>
      </c>
      <c r="B226" s="11" t="str">
        <f>IF(ISBLANK(data!AJ255),"",data!AJ255)</f>
        <v/>
      </c>
      <c r="C226" s="11" t="str">
        <f>IF(ISBLANK(data!AK255),"",data!AK255)</f>
        <v/>
      </c>
      <c r="D226" s="11" t="str">
        <f>IF(ISBLANK(data!AL255),"",data!AL255)</f>
        <v/>
      </c>
      <c r="E226" s="11" t="str">
        <f>IF(ISBLANK(data!AM255),"",data!AM255)</f>
        <v/>
      </c>
    </row>
    <row r="227" spans="1:5" x14ac:dyDescent="0.3">
      <c r="A227" s="13" t="str">
        <f>IF(ISBLANK(data!AI256),"",data!AI256)</f>
        <v/>
      </c>
      <c r="B227" s="11" t="str">
        <f>IF(ISBLANK(data!AJ256),"",data!AJ256)</f>
        <v/>
      </c>
      <c r="C227" s="11" t="str">
        <f>IF(ISBLANK(data!AK256),"",data!AK256)</f>
        <v/>
      </c>
      <c r="D227" s="11" t="str">
        <f>IF(ISBLANK(data!AL256),"",data!AL256)</f>
        <v/>
      </c>
      <c r="E227" s="11" t="str">
        <f>IF(ISBLANK(data!AM256),"",data!AM256)</f>
        <v/>
      </c>
    </row>
    <row r="228" spans="1:5" x14ac:dyDescent="0.3">
      <c r="A228" s="13" t="str">
        <f>IF(ISBLANK(data!AI257),"",data!AI257)</f>
        <v/>
      </c>
      <c r="B228" s="11" t="str">
        <f>IF(ISBLANK(data!AJ257),"",data!AJ257)</f>
        <v/>
      </c>
      <c r="C228" s="11" t="str">
        <f>IF(ISBLANK(data!AK257),"",data!AK257)</f>
        <v/>
      </c>
      <c r="D228" s="11" t="str">
        <f>IF(ISBLANK(data!AL257),"",data!AL257)</f>
        <v/>
      </c>
      <c r="E228" s="11" t="str">
        <f>IF(ISBLANK(data!AM257),"",data!AM257)</f>
        <v/>
      </c>
    </row>
    <row r="229" spans="1:5" x14ac:dyDescent="0.3">
      <c r="A229" s="13" t="str">
        <f>IF(ISBLANK(data!AI258),"",data!AI258)</f>
        <v/>
      </c>
      <c r="B229" s="11" t="str">
        <f>IF(ISBLANK(data!AJ258),"",data!AJ258)</f>
        <v/>
      </c>
      <c r="C229" s="11" t="str">
        <f>IF(ISBLANK(data!AK258),"",data!AK258)</f>
        <v/>
      </c>
      <c r="D229" s="11" t="str">
        <f>IF(ISBLANK(data!AL258),"",data!AL258)</f>
        <v/>
      </c>
      <c r="E229" s="11" t="str">
        <f>IF(ISBLANK(data!AM258),"",data!AM258)</f>
        <v/>
      </c>
    </row>
    <row r="230" spans="1:5" x14ac:dyDescent="0.3">
      <c r="A230" s="13" t="str">
        <f>IF(ISBLANK(data!AI259),"",data!AI259)</f>
        <v/>
      </c>
      <c r="B230" s="11" t="str">
        <f>IF(ISBLANK(data!AJ259),"",data!AJ259)</f>
        <v/>
      </c>
      <c r="C230" s="11" t="str">
        <f>IF(ISBLANK(data!AK259),"",data!AK259)</f>
        <v/>
      </c>
      <c r="D230" s="11" t="str">
        <f>IF(ISBLANK(data!AL259),"",data!AL259)</f>
        <v/>
      </c>
      <c r="E230" s="11" t="str">
        <f>IF(ISBLANK(data!AM259),"",data!AM259)</f>
        <v/>
      </c>
    </row>
    <row r="231" spans="1:5" x14ac:dyDescent="0.3">
      <c r="A231" s="13" t="str">
        <f>IF(ISBLANK(data!AI260),"",data!AI260)</f>
        <v/>
      </c>
      <c r="B231" s="11" t="str">
        <f>IF(ISBLANK(data!AJ260),"",data!AJ260)</f>
        <v/>
      </c>
      <c r="C231" s="11" t="str">
        <f>IF(ISBLANK(data!AK260),"",data!AK260)</f>
        <v/>
      </c>
      <c r="D231" s="11" t="str">
        <f>IF(ISBLANK(data!AL260),"",data!AL260)</f>
        <v/>
      </c>
      <c r="E231" s="11" t="str">
        <f>IF(ISBLANK(data!AM260),"",data!AM260)</f>
        <v/>
      </c>
    </row>
    <row r="232" spans="1:5" x14ac:dyDescent="0.3">
      <c r="A232" s="13" t="str">
        <f>IF(ISBLANK(data!AI261),"",data!AI261)</f>
        <v/>
      </c>
      <c r="B232" s="11" t="str">
        <f>IF(ISBLANK(data!AJ261),"",data!AJ261)</f>
        <v/>
      </c>
      <c r="C232" s="11" t="str">
        <f>IF(ISBLANK(data!AK261),"",data!AK261)</f>
        <v/>
      </c>
      <c r="D232" s="11" t="str">
        <f>IF(ISBLANK(data!AL261),"",data!AL261)</f>
        <v/>
      </c>
      <c r="E232" s="11" t="str">
        <f>IF(ISBLANK(data!AM261),"",data!AM261)</f>
        <v/>
      </c>
    </row>
    <row r="233" spans="1:5" x14ac:dyDescent="0.3">
      <c r="A233" s="13" t="str">
        <f>IF(ISBLANK(data!AI262),"",data!AI262)</f>
        <v/>
      </c>
      <c r="B233" s="11" t="str">
        <f>IF(ISBLANK(data!AJ262),"",data!AJ262)</f>
        <v/>
      </c>
      <c r="C233" s="11" t="str">
        <f>IF(ISBLANK(data!AK262),"",data!AK262)</f>
        <v/>
      </c>
      <c r="D233" s="11" t="str">
        <f>IF(ISBLANK(data!AL262),"",data!AL262)</f>
        <v/>
      </c>
      <c r="E233" s="11" t="str">
        <f>IF(ISBLANK(data!AM262),"",data!AM262)</f>
        <v/>
      </c>
    </row>
    <row r="234" spans="1:5" x14ac:dyDescent="0.3">
      <c r="A234" s="13" t="str">
        <f>IF(ISBLANK(data!AI263),"",data!AI263)</f>
        <v/>
      </c>
      <c r="B234" s="11" t="str">
        <f>IF(ISBLANK(data!AJ263),"",data!AJ263)</f>
        <v/>
      </c>
      <c r="C234" s="11" t="str">
        <f>IF(ISBLANK(data!AK263),"",data!AK263)</f>
        <v/>
      </c>
      <c r="D234" s="11" t="str">
        <f>IF(ISBLANK(data!AL263),"",data!AL263)</f>
        <v/>
      </c>
      <c r="E234" s="11" t="str">
        <f>IF(ISBLANK(data!AM263),"",data!AM263)</f>
        <v/>
      </c>
    </row>
    <row r="235" spans="1:5" x14ac:dyDescent="0.3">
      <c r="A235" s="13" t="str">
        <f>IF(ISBLANK(data!AI264),"",data!AI264)</f>
        <v/>
      </c>
      <c r="B235" s="11" t="str">
        <f>IF(ISBLANK(data!AJ264),"",data!AJ264)</f>
        <v/>
      </c>
      <c r="C235" s="11" t="str">
        <f>IF(ISBLANK(data!AK264),"",data!AK264)</f>
        <v/>
      </c>
      <c r="D235" s="11" t="str">
        <f>IF(ISBLANK(data!AL264),"",data!AL264)</f>
        <v/>
      </c>
      <c r="E235" s="11" t="str">
        <f>IF(ISBLANK(data!AM264),"",data!AM264)</f>
        <v/>
      </c>
    </row>
    <row r="236" spans="1:5" x14ac:dyDescent="0.3">
      <c r="A236" s="13" t="str">
        <f>IF(ISBLANK(data!AI265),"",data!AI265)</f>
        <v/>
      </c>
      <c r="B236" s="11" t="str">
        <f>IF(ISBLANK(data!AJ265),"",data!AJ265)</f>
        <v/>
      </c>
      <c r="C236" s="11" t="str">
        <f>IF(ISBLANK(data!AK265),"",data!AK265)</f>
        <v/>
      </c>
      <c r="D236" s="11" t="str">
        <f>IF(ISBLANK(data!AL265),"",data!AL265)</f>
        <v/>
      </c>
      <c r="E236" s="11" t="str">
        <f>IF(ISBLANK(data!AM265),"",data!AM265)</f>
        <v/>
      </c>
    </row>
    <row r="237" spans="1:5" x14ac:dyDescent="0.3">
      <c r="A237" s="13" t="str">
        <f>IF(ISBLANK(data!AI266),"",data!AI266)</f>
        <v/>
      </c>
      <c r="B237" s="11" t="str">
        <f>IF(ISBLANK(data!AJ266),"",data!AJ266)</f>
        <v/>
      </c>
      <c r="C237" s="11" t="str">
        <f>IF(ISBLANK(data!AK266),"",data!AK266)</f>
        <v/>
      </c>
      <c r="D237" s="11" t="str">
        <f>IF(ISBLANK(data!AL266),"",data!AL266)</f>
        <v/>
      </c>
      <c r="E237" s="11" t="str">
        <f>IF(ISBLANK(data!AM266),"",data!AM266)</f>
        <v/>
      </c>
    </row>
    <row r="238" spans="1:5" x14ac:dyDescent="0.3">
      <c r="A238" s="13" t="str">
        <f>IF(ISBLANK(data!AI267),"",data!AI267)</f>
        <v/>
      </c>
      <c r="B238" s="11" t="str">
        <f>IF(ISBLANK(data!AJ267),"",data!AJ267)</f>
        <v/>
      </c>
      <c r="C238" s="11" t="str">
        <f>IF(ISBLANK(data!AK267),"",data!AK267)</f>
        <v/>
      </c>
      <c r="D238" s="11" t="str">
        <f>IF(ISBLANK(data!AL267),"",data!AL267)</f>
        <v/>
      </c>
      <c r="E238" s="11" t="str">
        <f>IF(ISBLANK(data!AM267),"",data!AM267)</f>
        <v/>
      </c>
    </row>
    <row r="239" spans="1:5" x14ac:dyDescent="0.3">
      <c r="A239" s="13" t="str">
        <f>IF(ISBLANK(data!AI268),"",data!AI268)</f>
        <v/>
      </c>
      <c r="B239" s="11" t="str">
        <f>IF(ISBLANK(data!AJ268),"",data!AJ268)</f>
        <v/>
      </c>
      <c r="C239" s="11" t="str">
        <f>IF(ISBLANK(data!AK268),"",data!AK268)</f>
        <v/>
      </c>
      <c r="D239" s="11" t="str">
        <f>IF(ISBLANK(data!AL268),"",data!AL268)</f>
        <v/>
      </c>
      <c r="E239" s="11" t="str">
        <f>IF(ISBLANK(data!AM268),"",data!AM268)</f>
        <v/>
      </c>
    </row>
    <row r="240" spans="1:5" x14ac:dyDescent="0.3">
      <c r="A240" s="13" t="str">
        <f>IF(ISBLANK(data!AI269),"",data!AI269)</f>
        <v/>
      </c>
      <c r="B240" s="11" t="str">
        <f>IF(ISBLANK(data!AJ269),"",data!AJ269)</f>
        <v/>
      </c>
      <c r="C240" s="11" t="str">
        <f>IF(ISBLANK(data!AK269),"",data!AK269)</f>
        <v/>
      </c>
      <c r="D240" s="11" t="str">
        <f>IF(ISBLANK(data!AL269),"",data!AL269)</f>
        <v/>
      </c>
      <c r="E240" s="11" t="str">
        <f>IF(ISBLANK(data!AM269),"",data!AM269)</f>
        <v/>
      </c>
    </row>
    <row r="241" spans="1:5" x14ac:dyDescent="0.3">
      <c r="A241" s="13" t="str">
        <f>IF(ISBLANK(data!AI270),"",data!AI270)</f>
        <v/>
      </c>
      <c r="B241" s="11" t="str">
        <f>IF(ISBLANK(data!AJ270),"",data!AJ270)</f>
        <v/>
      </c>
      <c r="C241" s="11" t="str">
        <f>IF(ISBLANK(data!AK270),"",data!AK270)</f>
        <v/>
      </c>
      <c r="D241" s="11" t="str">
        <f>IF(ISBLANK(data!AL270),"",data!AL270)</f>
        <v/>
      </c>
      <c r="E241" s="11" t="str">
        <f>IF(ISBLANK(data!AM270),"",data!AM270)</f>
        <v/>
      </c>
    </row>
    <row r="242" spans="1:5" x14ac:dyDescent="0.3">
      <c r="A242" s="13" t="str">
        <f>IF(ISBLANK(data!AI271),"",data!AI271)</f>
        <v/>
      </c>
      <c r="B242" s="11" t="str">
        <f>IF(ISBLANK(data!AJ271),"",data!AJ271)</f>
        <v/>
      </c>
      <c r="C242" s="11" t="str">
        <f>IF(ISBLANK(data!AK271),"",data!AK271)</f>
        <v/>
      </c>
      <c r="D242" s="11" t="str">
        <f>IF(ISBLANK(data!AL271),"",data!AL271)</f>
        <v/>
      </c>
      <c r="E242" s="11" t="str">
        <f>IF(ISBLANK(data!AM271),"",data!AM271)</f>
        <v/>
      </c>
    </row>
    <row r="243" spans="1:5" x14ac:dyDescent="0.3">
      <c r="A243" s="13" t="str">
        <f>IF(ISBLANK(data!AI272),"",data!AI272)</f>
        <v/>
      </c>
      <c r="B243" s="11" t="str">
        <f>IF(ISBLANK(data!AJ272),"",data!AJ272)</f>
        <v/>
      </c>
      <c r="C243" s="11" t="str">
        <f>IF(ISBLANK(data!AK272),"",data!AK272)</f>
        <v/>
      </c>
      <c r="D243" s="11" t="str">
        <f>IF(ISBLANK(data!AL272),"",data!AL272)</f>
        <v/>
      </c>
      <c r="E243" s="11" t="str">
        <f>IF(ISBLANK(data!AM272),"",data!AM272)</f>
        <v/>
      </c>
    </row>
    <row r="244" spans="1:5" x14ac:dyDescent="0.3">
      <c r="A244" s="13" t="str">
        <f>IF(ISBLANK(data!AI273),"",data!AI273)</f>
        <v/>
      </c>
      <c r="B244" s="11" t="str">
        <f>IF(ISBLANK(data!AJ273),"",data!AJ273)</f>
        <v/>
      </c>
      <c r="C244" s="11" t="str">
        <f>IF(ISBLANK(data!AK273),"",data!AK273)</f>
        <v/>
      </c>
      <c r="D244" s="11" t="str">
        <f>IF(ISBLANK(data!AL273),"",data!AL273)</f>
        <v/>
      </c>
      <c r="E244" s="11" t="str">
        <f>IF(ISBLANK(data!AM273),"",data!AM273)</f>
        <v/>
      </c>
    </row>
    <row r="245" spans="1:5" x14ac:dyDescent="0.3">
      <c r="A245" s="13" t="str">
        <f>IF(ISBLANK(data!AI274),"",data!AI274)</f>
        <v/>
      </c>
      <c r="B245" s="11" t="str">
        <f>IF(ISBLANK(data!AJ274),"",data!AJ274)</f>
        <v/>
      </c>
      <c r="C245" s="11" t="str">
        <f>IF(ISBLANK(data!AK274),"",data!AK274)</f>
        <v/>
      </c>
      <c r="D245" s="11" t="str">
        <f>IF(ISBLANK(data!AL274),"",data!AL274)</f>
        <v/>
      </c>
      <c r="E245" s="11" t="str">
        <f>IF(ISBLANK(data!AM274),"",data!AM274)</f>
        <v/>
      </c>
    </row>
    <row r="246" spans="1:5" x14ac:dyDescent="0.3">
      <c r="A246" s="13" t="str">
        <f>IF(ISBLANK(data!AI275),"",data!AI275)</f>
        <v/>
      </c>
      <c r="B246" s="11" t="str">
        <f>IF(ISBLANK(data!AJ275),"",data!AJ275)</f>
        <v/>
      </c>
      <c r="C246" s="11" t="str">
        <f>IF(ISBLANK(data!AK275),"",data!AK275)</f>
        <v/>
      </c>
      <c r="D246" s="11" t="str">
        <f>IF(ISBLANK(data!AL275),"",data!AL275)</f>
        <v/>
      </c>
      <c r="E246" s="11" t="str">
        <f>IF(ISBLANK(data!AM275),"",data!AM275)</f>
        <v/>
      </c>
    </row>
    <row r="247" spans="1:5" x14ac:dyDescent="0.3">
      <c r="A247" s="13" t="str">
        <f>IF(ISBLANK(data!AI276),"",data!AI276)</f>
        <v/>
      </c>
      <c r="B247" s="11" t="str">
        <f>IF(ISBLANK(data!AJ276),"",data!AJ276)</f>
        <v/>
      </c>
      <c r="C247" s="11" t="str">
        <f>IF(ISBLANK(data!AK276),"",data!AK276)</f>
        <v/>
      </c>
      <c r="D247" s="11" t="str">
        <f>IF(ISBLANK(data!AL276),"",data!AL276)</f>
        <v/>
      </c>
      <c r="E247" s="11" t="str">
        <f>IF(ISBLANK(data!AM276),"",data!AM276)</f>
        <v/>
      </c>
    </row>
    <row r="248" spans="1:5" x14ac:dyDescent="0.3">
      <c r="A248" s="13" t="str">
        <f>IF(ISBLANK(data!AI277),"",data!AI277)</f>
        <v/>
      </c>
      <c r="B248" s="11" t="str">
        <f>IF(ISBLANK(data!AJ277),"",data!AJ277)</f>
        <v/>
      </c>
      <c r="C248" s="11" t="str">
        <f>IF(ISBLANK(data!AK277),"",data!AK277)</f>
        <v/>
      </c>
      <c r="D248" s="11" t="str">
        <f>IF(ISBLANK(data!AL277),"",data!AL277)</f>
        <v/>
      </c>
      <c r="E248" s="11" t="str">
        <f>IF(ISBLANK(data!AM277),"",data!AM277)</f>
        <v/>
      </c>
    </row>
    <row r="249" spans="1:5" x14ac:dyDescent="0.3">
      <c r="A249" s="13" t="str">
        <f>IF(ISBLANK(data!AI278),"",data!AI278)</f>
        <v/>
      </c>
      <c r="B249" s="11" t="str">
        <f>IF(ISBLANK(data!AJ278),"",data!AJ278)</f>
        <v/>
      </c>
      <c r="C249" s="11" t="str">
        <f>IF(ISBLANK(data!AK278),"",data!AK278)</f>
        <v/>
      </c>
      <c r="D249" s="11" t="str">
        <f>IF(ISBLANK(data!AL278),"",data!AL278)</f>
        <v/>
      </c>
      <c r="E249" s="11" t="str">
        <f>IF(ISBLANK(data!AM278),"",data!AM278)</f>
        <v/>
      </c>
    </row>
    <row r="250" spans="1:5" x14ac:dyDescent="0.3">
      <c r="A250" s="13" t="str">
        <f>IF(ISBLANK(data!AI279),"",data!AI279)</f>
        <v/>
      </c>
      <c r="B250" s="11" t="str">
        <f>IF(ISBLANK(data!AJ279),"",data!AJ279)</f>
        <v/>
      </c>
      <c r="C250" s="11" t="str">
        <f>IF(ISBLANK(data!AK279),"",data!AK279)</f>
        <v/>
      </c>
      <c r="D250" s="11" t="str">
        <f>IF(ISBLANK(data!AL279),"",data!AL279)</f>
        <v/>
      </c>
      <c r="E250" s="11" t="str">
        <f>IF(ISBLANK(data!AM279),"",data!AM279)</f>
        <v/>
      </c>
    </row>
    <row r="251" spans="1:5" x14ac:dyDescent="0.3">
      <c r="A251" s="13" t="str">
        <f>IF(ISBLANK(data!AI280),"",data!AI280)</f>
        <v/>
      </c>
      <c r="B251" s="11" t="str">
        <f>IF(ISBLANK(data!AJ280),"",data!AJ280)</f>
        <v/>
      </c>
      <c r="C251" s="11" t="str">
        <f>IF(ISBLANK(data!AK280),"",data!AK280)</f>
        <v/>
      </c>
      <c r="D251" s="11" t="str">
        <f>IF(ISBLANK(data!AL280),"",data!AL280)</f>
        <v/>
      </c>
      <c r="E251" s="11" t="str">
        <f>IF(ISBLANK(data!AM280),"",data!AM280)</f>
        <v/>
      </c>
    </row>
    <row r="252" spans="1:5" x14ac:dyDescent="0.3">
      <c r="A252" s="13" t="str">
        <f>IF(ISBLANK(data!AI281),"",data!AI281)</f>
        <v/>
      </c>
      <c r="B252" s="11" t="str">
        <f>IF(ISBLANK(data!AJ281),"",data!AJ281)</f>
        <v/>
      </c>
      <c r="C252" s="11" t="str">
        <f>IF(ISBLANK(data!AK281),"",data!AK281)</f>
        <v/>
      </c>
      <c r="D252" s="11" t="str">
        <f>IF(ISBLANK(data!AL281),"",data!AL281)</f>
        <v/>
      </c>
      <c r="E252" s="11" t="str">
        <f>IF(ISBLANK(data!AM281),"",data!AM281)</f>
        <v/>
      </c>
    </row>
    <row r="253" spans="1:5" x14ac:dyDescent="0.3">
      <c r="A253" s="13" t="str">
        <f>IF(ISBLANK(data!AI282),"",data!AI282)</f>
        <v/>
      </c>
      <c r="B253" s="11" t="str">
        <f>IF(ISBLANK(data!AJ282),"",data!AJ282)</f>
        <v/>
      </c>
      <c r="C253" s="11" t="str">
        <f>IF(ISBLANK(data!AK282),"",data!AK282)</f>
        <v/>
      </c>
      <c r="D253" s="11" t="str">
        <f>IF(ISBLANK(data!AL282),"",data!AL282)</f>
        <v/>
      </c>
      <c r="E253" s="11" t="str">
        <f>IF(ISBLANK(data!AM282),"",data!AM282)</f>
        <v/>
      </c>
    </row>
    <row r="254" spans="1:5" x14ac:dyDescent="0.3">
      <c r="A254" s="13" t="str">
        <f>IF(ISBLANK(data!AI283),"",data!AI283)</f>
        <v/>
      </c>
      <c r="B254" s="11" t="str">
        <f>IF(ISBLANK(data!AJ283),"",data!AJ283)</f>
        <v/>
      </c>
      <c r="C254" s="11" t="str">
        <f>IF(ISBLANK(data!AK283),"",data!AK283)</f>
        <v/>
      </c>
      <c r="D254" s="11" t="str">
        <f>IF(ISBLANK(data!AL283),"",data!AL283)</f>
        <v/>
      </c>
      <c r="E254" s="11" t="str">
        <f>IF(ISBLANK(data!AM283),"",data!AM283)</f>
        <v/>
      </c>
    </row>
    <row r="255" spans="1:5" x14ac:dyDescent="0.3">
      <c r="A255" s="13" t="str">
        <f>IF(ISBLANK(data!AI284),"",data!AI284)</f>
        <v/>
      </c>
      <c r="B255" s="11" t="str">
        <f>IF(ISBLANK(data!AJ284),"",data!AJ284)</f>
        <v/>
      </c>
      <c r="C255" s="11" t="str">
        <f>IF(ISBLANK(data!AK284),"",data!AK284)</f>
        <v/>
      </c>
      <c r="D255" s="11" t="str">
        <f>IF(ISBLANK(data!AL284),"",data!AL284)</f>
        <v/>
      </c>
      <c r="E255" s="11" t="str">
        <f>IF(ISBLANK(data!AM284),"",data!AM284)</f>
        <v/>
      </c>
    </row>
    <row r="256" spans="1:5" x14ac:dyDescent="0.3">
      <c r="A256" s="13" t="str">
        <f>IF(ISBLANK(data!AI285),"",data!AI285)</f>
        <v/>
      </c>
      <c r="B256" s="11" t="str">
        <f>IF(ISBLANK(data!AJ285),"",data!AJ285)</f>
        <v/>
      </c>
      <c r="C256" s="11" t="str">
        <f>IF(ISBLANK(data!AK285),"",data!AK285)</f>
        <v/>
      </c>
      <c r="D256" s="11" t="str">
        <f>IF(ISBLANK(data!AL285),"",data!AL285)</f>
        <v/>
      </c>
      <c r="E256" s="11" t="str">
        <f>IF(ISBLANK(data!AM285),"",data!AM285)</f>
        <v/>
      </c>
    </row>
    <row r="257" spans="1:5" x14ac:dyDescent="0.3">
      <c r="A257" s="13" t="str">
        <f>IF(ISBLANK(data!AI286),"",data!AI286)</f>
        <v/>
      </c>
      <c r="B257" s="11" t="str">
        <f>IF(ISBLANK(data!AJ286),"",data!AJ286)</f>
        <v/>
      </c>
      <c r="C257" s="11" t="str">
        <f>IF(ISBLANK(data!AK286),"",data!AK286)</f>
        <v/>
      </c>
      <c r="D257" s="11" t="str">
        <f>IF(ISBLANK(data!AL286),"",data!AL286)</f>
        <v/>
      </c>
      <c r="E257" s="11" t="str">
        <f>IF(ISBLANK(data!AM286),"",data!AM286)</f>
        <v/>
      </c>
    </row>
    <row r="258" spans="1:5" x14ac:dyDescent="0.3">
      <c r="A258" s="13" t="str">
        <f>IF(ISBLANK(data!AI287),"",data!AI287)</f>
        <v/>
      </c>
      <c r="B258" s="11" t="str">
        <f>IF(ISBLANK(data!AJ287),"",data!AJ287)</f>
        <v/>
      </c>
      <c r="C258" s="11" t="str">
        <f>IF(ISBLANK(data!AK287),"",data!AK287)</f>
        <v/>
      </c>
      <c r="D258" s="11" t="str">
        <f>IF(ISBLANK(data!AL287),"",data!AL287)</f>
        <v/>
      </c>
      <c r="E258" s="11" t="str">
        <f>IF(ISBLANK(data!AM287),"",data!AM287)</f>
        <v/>
      </c>
    </row>
    <row r="259" spans="1:5" x14ac:dyDescent="0.3">
      <c r="A259" s="13" t="str">
        <f>IF(ISBLANK(data!AI288),"",data!AI288)</f>
        <v/>
      </c>
      <c r="B259" s="11" t="str">
        <f>IF(ISBLANK(data!AJ288),"",data!AJ288)</f>
        <v/>
      </c>
      <c r="C259" s="11" t="str">
        <f>IF(ISBLANK(data!AK288),"",data!AK288)</f>
        <v/>
      </c>
      <c r="D259" s="11" t="str">
        <f>IF(ISBLANK(data!AL288),"",data!AL288)</f>
        <v/>
      </c>
      <c r="E259" s="11" t="str">
        <f>IF(ISBLANK(data!AM288),"",data!AM288)</f>
        <v/>
      </c>
    </row>
    <row r="260" spans="1:5" x14ac:dyDescent="0.3">
      <c r="A260" s="13" t="str">
        <f>IF(ISBLANK(data!AI289),"",data!AI289)</f>
        <v/>
      </c>
      <c r="B260" s="11" t="str">
        <f>IF(ISBLANK(data!AJ289),"",data!AJ289)</f>
        <v/>
      </c>
      <c r="C260" s="11" t="str">
        <f>IF(ISBLANK(data!AK289),"",data!AK289)</f>
        <v/>
      </c>
      <c r="D260" s="11" t="str">
        <f>IF(ISBLANK(data!AL289),"",data!AL289)</f>
        <v/>
      </c>
      <c r="E260" s="11" t="str">
        <f>IF(ISBLANK(data!AM289),"",data!AM289)</f>
        <v/>
      </c>
    </row>
    <row r="261" spans="1:5" x14ac:dyDescent="0.3">
      <c r="A261" s="13" t="str">
        <f>IF(ISBLANK(data!AI290),"",data!AI290)</f>
        <v/>
      </c>
      <c r="B261" s="11" t="str">
        <f>IF(ISBLANK(data!AJ290),"",data!AJ290)</f>
        <v/>
      </c>
      <c r="C261" s="11" t="str">
        <f>IF(ISBLANK(data!AK290),"",data!AK290)</f>
        <v/>
      </c>
      <c r="D261" s="11" t="str">
        <f>IF(ISBLANK(data!AL290),"",data!AL290)</f>
        <v/>
      </c>
      <c r="E261" s="11" t="str">
        <f>IF(ISBLANK(data!AM290),"",data!AM290)</f>
        <v/>
      </c>
    </row>
    <row r="262" spans="1:5" x14ac:dyDescent="0.3">
      <c r="A262" s="13" t="str">
        <f>IF(ISBLANK(data!AI291),"",data!AI291)</f>
        <v/>
      </c>
      <c r="B262" s="11" t="str">
        <f>IF(ISBLANK(data!AJ291),"",data!AJ291)</f>
        <v/>
      </c>
      <c r="C262" s="11" t="str">
        <f>IF(ISBLANK(data!AK291),"",data!AK291)</f>
        <v/>
      </c>
      <c r="D262" s="11" t="str">
        <f>IF(ISBLANK(data!AL291),"",data!AL291)</f>
        <v/>
      </c>
      <c r="E262" s="11" t="str">
        <f>IF(ISBLANK(data!AM291),"",data!AM291)</f>
        <v/>
      </c>
    </row>
    <row r="263" spans="1:5" x14ac:dyDescent="0.3">
      <c r="A263" s="13" t="str">
        <f>IF(ISBLANK(data!AI292),"",data!AI292)</f>
        <v/>
      </c>
      <c r="B263" s="11" t="str">
        <f>IF(ISBLANK(data!AJ292),"",data!AJ292)</f>
        <v/>
      </c>
      <c r="C263" s="11" t="str">
        <f>IF(ISBLANK(data!AK292),"",data!AK292)</f>
        <v/>
      </c>
      <c r="D263" s="11" t="str">
        <f>IF(ISBLANK(data!AL292),"",data!AL292)</f>
        <v/>
      </c>
      <c r="E263" s="11" t="str">
        <f>IF(ISBLANK(data!AM292),"",data!AM292)</f>
        <v/>
      </c>
    </row>
    <row r="264" spans="1:5" x14ac:dyDescent="0.3">
      <c r="A264" s="13" t="str">
        <f>IF(ISBLANK(data!AI293),"",data!AI293)</f>
        <v/>
      </c>
      <c r="B264" s="11" t="str">
        <f>IF(ISBLANK(data!AJ293),"",data!AJ293)</f>
        <v/>
      </c>
      <c r="C264" s="11" t="str">
        <f>IF(ISBLANK(data!AK293),"",data!AK293)</f>
        <v/>
      </c>
      <c r="D264" s="11" t="str">
        <f>IF(ISBLANK(data!AL293),"",data!AL293)</f>
        <v/>
      </c>
      <c r="E264" s="11" t="str">
        <f>IF(ISBLANK(data!AM293),"",data!AM293)</f>
        <v/>
      </c>
    </row>
    <row r="265" spans="1:5" x14ac:dyDescent="0.3">
      <c r="A265" s="13" t="str">
        <f>IF(ISBLANK(data!AI294),"",data!AI294)</f>
        <v/>
      </c>
      <c r="B265" s="11" t="str">
        <f>IF(ISBLANK(data!AJ294),"",data!AJ294)</f>
        <v/>
      </c>
      <c r="C265" s="11" t="str">
        <f>IF(ISBLANK(data!AK294),"",data!AK294)</f>
        <v/>
      </c>
      <c r="D265" s="11" t="str">
        <f>IF(ISBLANK(data!AL294),"",data!AL294)</f>
        <v/>
      </c>
      <c r="E265" s="11" t="str">
        <f>IF(ISBLANK(data!AM294),"",data!AM294)</f>
        <v/>
      </c>
    </row>
    <row r="266" spans="1:5" x14ac:dyDescent="0.3">
      <c r="A266" s="13" t="str">
        <f>IF(ISBLANK(data!AI295),"",data!AI295)</f>
        <v/>
      </c>
      <c r="B266" s="11" t="str">
        <f>IF(ISBLANK(data!AJ295),"",data!AJ295)</f>
        <v/>
      </c>
      <c r="C266" s="11" t="str">
        <f>IF(ISBLANK(data!AK295),"",data!AK295)</f>
        <v/>
      </c>
      <c r="D266" s="11" t="str">
        <f>IF(ISBLANK(data!AL295),"",data!AL295)</f>
        <v/>
      </c>
      <c r="E266" s="11" t="str">
        <f>IF(ISBLANK(data!AM295),"",data!AM295)</f>
        <v/>
      </c>
    </row>
    <row r="267" spans="1:5" x14ac:dyDescent="0.3">
      <c r="A267" s="13" t="str">
        <f>IF(ISBLANK(data!AI296),"",data!AI296)</f>
        <v/>
      </c>
      <c r="B267" s="11" t="str">
        <f>IF(ISBLANK(data!AJ296),"",data!AJ296)</f>
        <v/>
      </c>
      <c r="C267" s="11" t="str">
        <f>IF(ISBLANK(data!AK296),"",data!AK296)</f>
        <v/>
      </c>
      <c r="D267" s="11" t="str">
        <f>IF(ISBLANK(data!AL296),"",data!AL296)</f>
        <v/>
      </c>
      <c r="E267" s="11" t="str">
        <f>IF(ISBLANK(data!AM296),"",data!AM296)</f>
        <v/>
      </c>
    </row>
    <row r="268" spans="1:5" x14ac:dyDescent="0.3">
      <c r="A268" s="13" t="str">
        <f>IF(ISBLANK(data!AI297),"",data!AI297)</f>
        <v/>
      </c>
      <c r="B268" s="11" t="str">
        <f>IF(ISBLANK(data!AJ297),"",data!AJ297)</f>
        <v/>
      </c>
      <c r="C268" s="11" t="str">
        <f>IF(ISBLANK(data!AK297),"",data!AK297)</f>
        <v/>
      </c>
      <c r="D268" s="11" t="str">
        <f>IF(ISBLANK(data!AL297),"",data!AL297)</f>
        <v/>
      </c>
      <c r="E268" s="11" t="str">
        <f>IF(ISBLANK(data!AM297),"",data!AM297)</f>
        <v/>
      </c>
    </row>
    <row r="269" spans="1:5" x14ac:dyDescent="0.3">
      <c r="A269" s="13" t="str">
        <f>IF(ISBLANK(data!AI298),"",data!AI298)</f>
        <v/>
      </c>
      <c r="B269" s="11" t="str">
        <f>IF(ISBLANK(data!AJ298),"",data!AJ298)</f>
        <v/>
      </c>
      <c r="C269" s="11" t="str">
        <f>IF(ISBLANK(data!AK298),"",data!AK298)</f>
        <v/>
      </c>
      <c r="D269" s="11" t="str">
        <f>IF(ISBLANK(data!AL298),"",data!AL298)</f>
        <v/>
      </c>
      <c r="E269" s="11" t="str">
        <f>IF(ISBLANK(data!AM298),"",data!AM298)</f>
        <v/>
      </c>
    </row>
    <row r="270" spans="1:5" x14ac:dyDescent="0.3">
      <c r="A270" s="13" t="str">
        <f>IF(ISBLANK(data!AI299),"",data!AI299)</f>
        <v/>
      </c>
      <c r="B270" s="11" t="str">
        <f>IF(ISBLANK(data!AJ299),"",data!AJ299)</f>
        <v/>
      </c>
      <c r="C270" s="11" t="str">
        <f>IF(ISBLANK(data!AK299),"",data!AK299)</f>
        <v/>
      </c>
      <c r="D270" s="11" t="str">
        <f>IF(ISBLANK(data!AL299),"",data!AL299)</f>
        <v/>
      </c>
      <c r="E270" s="11" t="str">
        <f>IF(ISBLANK(data!AM299),"",data!AM299)</f>
        <v/>
      </c>
    </row>
    <row r="271" spans="1:5" x14ac:dyDescent="0.3">
      <c r="A271" s="13" t="str">
        <f>IF(ISBLANK(data!AI300),"",data!AI300)</f>
        <v/>
      </c>
      <c r="B271" s="11" t="str">
        <f>IF(ISBLANK(data!AJ300),"",data!AJ300)</f>
        <v/>
      </c>
      <c r="C271" s="11" t="str">
        <f>IF(ISBLANK(data!AK300),"",data!AK300)</f>
        <v/>
      </c>
      <c r="D271" s="11" t="str">
        <f>IF(ISBLANK(data!AL300),"",data!AL300)</f>
        <v/>
      </c>
      <c r="E271" s="11" t="str">
        <f>IF(ISBLANK(data!AM300),"",data!AM300)</f>
        <v/>
      </c>
    </row>
    <row r="272" spans="1:5" x14ac:dyDescent="0.3">
      <c r="A272" s="13" t="str">
        <f>IF(ISBLANK(data!AI301),"",data!AI301)</f>
        <v/>
      </c>
      <c r="B272" s="11" t="str">
        <f>IF(ISBLANK(data!AJ301),"",data!AJ301)</f>
        <v/>
      </c>
      <c r="C272" s="11" t="str">
        <f>IF(ISBLANK(data!AK301),"",data!AK301)</f>
        <v/>
      </c>
      <c r="D272" s="11" t="str">
        <f>IF(ISBLANK(data!AL301),"",data!AL301)</f>
        <v/>
      </c>
      <c r="E272" s="11" t="str">
        <f>IF(ISBLANK(data!AM301),"",data!AM301)</f>
        <v/>
      </c>
    </row>
    <row r="273" spans="1:9" x14ac:dyDescent="0.3">
      <c r="A273" s="13" t="str">
        <f>IF(ISBLANK(data!AI302),"",data!AI302)</f>
        <v/>
      </c>
      <c r="B273" s="11" t="str">
        <f>IF(ISBLANK(data!AJ302),"",data!AJ302)</f>
        <v/>
      </c>
      <c r="C273" s="11" t="str">
        <f>IF(ISBLANK(data!AK302),"",data!AK302)</f>
        <v/>
      </c>
      <c r="D273" s="11" t="str">
        <f>IF(ISBLANK(data!AL302),"",data!AL302)</f>
        <v/>
      </c>
      <c r="E273" s="11" t="str">
        <f>IF(ISBLANK(data!AM302),"",data!AM302)</f>
        <v/>
      </c>
    </row>
    <row r="274" spans="1:9" x14ac:dyDescent="0.3">
      <c r="A274" s="13" t="str">
        <f>IF(ISBLANK(data!AI303),"",data!AI303)</f>
        <v/>
      </c>
      <c r="B274" s="11" t="str">
        <f>IF(ISBLANK(data!AJ303),"",data!AJ303)</f>
        <v/>
      </c>
      <c r="C274" s="11" t="str">
        <f>IF(ISBLANK(data!AK303),"",data!AK303)</f>
        <v/>
      </c>
      <c r="D274" s="11" t="str">
        <f>IF(ISBLANK(data!AL303),"",data!AL303)</f>
        <v/>
      </c>
      <c r="E274" s="11" t="str">
        <f>IF(ISBLANK(data!AM303),"",data!AM303)</f>
        <v/>
      </c>
    </row>
    <row r="275" spans="1:9" x14ac:dyDescent="0.3">
      <c r="A275" s="13" t="str">
        <f>IF(ISBLANK(data!AI304),"",data!AI304)</f>
        <v/>
      </c>
      <c r="B275" s="11" t="str">
        <f>IF(ISBLANK(data!AJ304),"",data!AJ304)</f>
        <v/>
      </c>
      <c r="C275" s="11" t="str">
        <f>IF(ISBLANK(data!AK304),"",data!AK304)</f>
        <v/>
      </c>
      <c r="D275" s="11" t="str">
        <f>IF(ISBLANK(data!AL304),"",data!AL304)</f>
        <v/>
      </c>
      <c r="E275" s="11" t="str">
        <f>IF(ISBLANK(data!AM304),"",data!AM304)</f>
        <v/>
      </c>
    </row>
    <row r="276" spans="1:9" x14ac:dyDescent="0.3">
      <c r="A276" s="13" t="str">
        <f>IF(ISBLANK(data!AI305),"",data!AI305)</f>
        <v/>
      </c>
      <c r="B276" s="11" t="str">
        <f>IF(ISBLANK(data!AJ305),"",data!AJ305)</f>
        <v/>
      </c>
      <c r="C276" s="11" t="str">
        <f>IF(ISBLANK(data!AK305),"",data!AK305)</f>
        <v/>
      </c>
      <c r="D276" s="11" t="str">
        <f>IF(ISBLANK(data!AL305),"",data!AL305)</f>
        <v/>
      </c>
      <c r="E276" s="11" t="str">
        <f>IF(ISBLANK(data!AM305),"",data!AM305)</f>
        <v/>
      </c>
    </row>
    <row r="277" spans="1:9" x14ac:dyDescent="0.3">
      <c r="A277" s="13" t="str">
        <f>IF(ISBLANK(data!AI306),"",data!AI306)</f>
        <v/>
      </c>
      <c r="B277" s="11" t="str">
        <f>IF(ISBLANK(data!AJ306),"",data!AJ306)</f>
        <v/>
      </c>
      <c r="C277" s="11" t="str">
        <f>IF(ISBLANK(data!AK306),"",data!AK306)</f>
        <v/>
      </c>
      <c r="D277" s="11" t="str">
        <f>IF(ISBLANK(data!AL306),"",data!AL306)</f>
        <v/>
      </c>
      <c r="E277" s="11" t="str">
        <f>IF(ISBLANK(data!AM306),"",data!AM306)</f>
        <v/>
      </c>
    </row>
    <row r="278" spans="1:9" x14ac:dyDescent="0.3">
      <c r="A278" s="13" t="str">
        <f>IF(ISBLANK(data!AI307),"",data!AI307)</f>
        <v/>
      </c>
      <c r="B278" s="11" t="str">
        <f>IF(ISBLANK(data!AJ307),"",data!AJ307)</f>
        <v/>
      </c>
      <c r="C278" s="11" t="str">
        <f>IF(ISBLANK(data!AK307),"",data!AK307)</f>
        <v/>
      </c>
      <c r="D278" s="11" t="str">
        <f>IF(ISBLANK(data!AL307),"",data!AL307)</f>
        <v/>
      </c>
      <c r="E278" s="11" t="str">
        <f>IF(ISBLANK(data!AM307),"",data!AM307)</f>
        <v/>
      </c>
    </row>
    <row r="279" spans="1:9" x14ac:dyDescent="0.3">
      <c r="A279" s="13" t="str">
        <f>IF(ISBLANK(data!AI308),"",data!AI308)</f>
        <v/>
      </c>
      <c r="B279" s="11" t="str">
        <f>IF(ISBLANK(data!AJ308),"",data!AJ308)</f>
        <v/>
      </c>
      <c r="C279" s="11" t="str">
        <f>IF(ISBLANK(data!AK308),"",data!AK308)</f>
        <v/>
      </c>
      <c r="D279" s="11" t="str">
        <f>IF(ISBLANK(data!AL308),"",data!AL308)</f>
        <v/>
      </c>
      <c r="E279" s="11" t="str">
        <f>IF(ISBLANK(data!AM308),"",data!AM308)</f>
        <v/>
      </c>
    </row>
    <row r="280" spans="1:9" x14ac:dyDescent="0.3">
      <c r="A280" s="13" t="str">
        <f>IF(ISBLANK(data!AI309),"",data!AI309)</f>
        <v/>
      </c>
      <c r="B280" s="11" t="str">
        <f>IF(ISBLANK(data!AJ309),"",data!AJ309)</f>
        <v/>
      </c>
      <c r="C280" s="11" t="str">
        <f>IF(ISBLANK(data!AK309),"",data!AK309)</f>
        <v/>
      </c>
      <c r="D280" s="11" t="str">
        <f>IF(ISBLANK(data!AL309),"",data!AL309)</f>
        <v/>
      </c>
      <c r="E280" s="11" t="str">
        <f>IF(ISBLANK(data!AM309),"",data!AM309)</f>
        <v/>
      </c>
    </row>
    <row r="281" spans="1:9" x14ac:dyDescent="0.3">
      <c r="A281" s="13" t="str">
        <f>IF(ISBLANK(data!AI310),"",data!AI310)</f>
        <v/>
      </c>
      <c r="B281" s="11" t="str">
        <f>IF(ISBLANK(data!AJ310),"",data!AJ310)</f>
        <v/>
      </c>
      <c r="C281" s="11" t="str">
        <f>IF(ISBLANK(data!AK310),"",data!AK310)</f>
        <v/>
      </c>
      <c r="D281" s="11" t="str">
        <f>IF(ISBLANK(data!AL310),"",data!AL310)</f>
        <v/>
      </c>
      <c r="E281" s="11" t="str">
        <f>IF(ISBLANK(data!AM310),"",data!AM310)</f>
        <v/>
      </c>
    </row>
    <row r="282" spans="1:9" x14ac:dyDescent="0.3">
      <c r="A282" s="13" t="str">
        <f>IF(ISBLANK(data!AI311),"",data!AI311)</f>
        <v/>
      </c>
      <c r="B282" s="11" t="str">
        <f>IF(ISBLANK(data!AJ311),"",data!AJ311)</f>
        <v/>
      </c>
      <c r="C282" s="11" t="str">
        <f>IF(ISBLANK(data!AK311),"",data!AK311)</f>
        <v/>
      </c>
      <c r="D282" s="11" t="str">
        <f>IF(ISBLANK(data!AL311),"",data!AL311)</f>
        <v/>
      </c>
      <c r="E282" s="11" t="str">
        <f>IF(ISBLANK(data!AM311),"",data!AM311)</f>
        <v/>
      </c>
    </row>
    <row r="283" spans="1:9" x14ac:dyDescent="0.3">
      <c r="A283" s="13" t="str">
        <f>IF(ISBLANK(data!AI312),"",data!AI312)</f>
        <v/>
      </c>
      <c r="B283" s="11" t="str">
        <f>IF(ISBLANK(data!AJ312),"",data!AJ312)</f>
        <v/>
      </c>
      <c r="C283" s="11" t="str">
        <f>IF(ISBLANK(data!AK312),"",data!AK312)</f>
        <v/>
      </c>
      <c r="D283" s="11" t="str">
        <f>IF(ISBLANK(data!AL312),"",data!AL312)</f>
        <v/>
      </c>
      <c r="E283" s="11" t="str">
        <f>IF(ISBLANK(data!AM312),"",data!AM312)</f>
        <v/>
      </c>
    </row>
    <row r="284" spans="1:9" x14ac:dyDescent="0.3">
      <c r="A284" s="13" t="str">
        <f>IF(ISBLANK(data!AI313),"",data!AI313)</f>
        <v/>
      </c>
      <c r="B284" s="11" t="str">
        <f>IF(ISBLANK(data!AJ313),"",data!AJ313)</f>
        <v/>
      </c>
      <c r="C284" s="11" t="str">
        <f>IF(ISBLANK(data!AK313),"",data!AK313)</f>
        <v/>
      </c>
      <c r="D284" s="11" t="str">
        <f>IF(ISBLANK(data!AL313),"",data!AL313)</f>
        <v/>
      </c>
      <c r="E284" s="11" t="str">
        <f>IF(ISBLANK(data!AM313),"",data!AM313)</f>
        <v/>
      </c>
      <c r="I284" s="11" t="str">
        <f>data!AH7&amp;"风格分析"</f>
        <v>兴全合润分级风格分析</v>
      </c>
    </row>
    <row r="285" spans="1:9" x14ac:dyDescent="0.3">
      <c r="A285" s="13" t="str">
        <f>IF(ISBLANK(data!AI314),"",data!AI314)</f>
        <v/>
      </c>
      <c r="B285" s="11" t="str">
        <f>IF(ISBLANK(data!AJ314),"",data!AJ314)</f>
        <v/>
      </c>
      <c r="C285" s="11" t="str">
        <f>IF(ISBLANK(data!AK314),"",data!AK314)</f>
        <v/>
      </c>
      <c r="D285" s="11" t="str">
        <f>IF(ISBLANK(data!AL314),"",data!AL314)</f>
        <v/>
      </c>
      <c r="E285" s="11" t="str">
        <f>IF(ISBLANK(data!AM314),"",data!AM314)</f>
        <v/>
      </c>
    </row>
    <row r="286" spans="1:9" x14ac:dyDescent="0.3">
      <c r="A286" s="13" t="str">
        <f>IF(ISBLANK(data!AI315),"",data!AI315)</f>
        <v/>
      </c>
      <c r="B286" s="11" t="str">
        <f>IF(ISBLANK(data!AJ315),"",data!AJ315)</f>
        <v/>
      </c>
      <c r="C286" s="11" t="str">
        <f>IF(ISBLANK(data!AK315),"",data!AK315)</f>
        <v/>
      </c>
      <c r="D286" s="11" t="str">
        <f>IF(ISBLANK(data!AL315),"",data!AL315)</f>
        <v/>
      </c>
      <c r="E286" s="11" t="str">
        <f>IF(ISBLANK(data!AM315),"",data!AM315)</f>
        <v/>
      </c>
    </row>
    <row r="287" spans="1:9" x14ac:dyDescent="0.3">
      <c r="A287" s="13" t="str">
        <f>IF(ISBLANK(data!AI316),"",data!AI316)</f>
        <v/>
      </c>
      <c r="B287" s="11" t="str">
        <f>IF(ISBLANK(data!AJ316),"",data!AJ316)</f>
        <v/>
      </c>
      <c r="C287" s="11" t="str">
        <f>IF(ISBLANK(data!AK316),"",data!AK316)</f>
        <v/>
      </c>
      <c r="D287" s="11" t="str">
        <f>IF(ISBLANK(data!AL316),"",data!AL316)</f>
        <v/>
      </c>
      <c r="E287" s="11" t="str">
        <f>IF(ISBLANK(data!AM316),"",data!AM316)</f>
        <v/>
      </c>
    </row>
    <row r="288" spans="1:9" x14ac:dyDescent="0.3">
      <c r="A288" s="13" t="str">
        <f>IF(ISBLANK(data!AI317),"",data!AI317)</f>
        <v/>
      </c>
      <c r="B288" s="11" t="str">
        <f>IF(ISBLANK(data!AJ317),"",data!AJ317)</f>
        <v/>
      </c>
      <c r="C288" s="11" t="str">
        <f>IF(ISBLANK(data!AK317),"",data!AK317)</f>
        <v/>
      </c>
      <c r="D288" s="11" t="str">
        <f>IF(ISBLANK(data!AL317),"",data!AL317)</f>
        <v/>
      </c>
      <c r="E288" s="11" t="str">
        <f>IF(ISBLANK(data!AM317),"",data!AM317)</f>
        <v/>
      </c>
    </row>
    <row r="289" spans="1:5" x14ac:dyDescent="0.3">
      <c r="A289" s="13" t="str">
        <f>IF(ISBLANK(data!AI318),"",data!AI318)</f>
        <v/>
      </c>
      <c r="B289" s="11" t="str">
        <f>IF(ISBLANK(data!AJ318),"",data!AJ318)</f>
        <v/>
      </c>
      <c r="C289" s="11" t="str">
        <f>IF(ISBLANK(data!AK318),"",data!AK318)</f>
        <v/>
      </c>
      <c r="D289" s="11" t="str">
        <f>IF(ISBLANK(data!AL318),"",data!AL318)</f>
        <v/>
      </c>
      <c r="E289" s="11" t="str">
        <f>IF(ISBLANK(data!AM318),"",data!AM318)</f>
        <v/>
      </c>
    </row>
    <row r="290" spans="1:5" x14ac:dyDescent="0.3">
      <c r="A290" s="13" t="str">
        <f>IF(ISBLANK(data!AI319),"",data!AI319)</f>
        <v/>
      </c>
      <c r="B290" s="11" t="str">
        <f>IF(ISBLANK(data!AJ319),"",data!AJ319)</f>
        <v/>
      </c>
      <c r="C290" s="11" t="str">
        <f>IF(ISBLANK(data!AK319),"",data!AK319)</f>
        <v/>
      </c>
      <c r="D290" s="11" t="str">
        <f>IF(ISBLANK(data!AL319),"",data!AL319)</f>
        <v/>
      </c>
      <c r="E290" s="11" t="str">
        <f>IF(ISBLANK(data!AM319),"",data!AM319)</f>
        <v/>
      </c>
    </row>
    <row r="291" spans="1:5" x14ac:dyDescent="0.3">
      <c r="A291" s="13" t="str">
        <f>IF(ISBLANK(data!AI320),"",data!AI320)</f>
        <v/>
      </c>
      <c r="B291" s="11" t="str">
        <f>IF(ISBLANK(data!AJ320),"",data!AJ320)</f>
        <v/>
      </c>
      <c r="C291" s="11" t="str">
        <f>IF(ISBLANK(data!AK320),"",data!AK320)</f>
        <v/>
      </c>
      <c r="D291" s="11" t="str">
        <f>IF(ISBLANK(data!AL320),"",data!AL320)</f>
        <v/>
      </c>
      <c r="E291" s="11" t="str">
        <f>IF(ISBLANK(data!AM320),"",data!AM320)</f>
        <v/>
      </c>
    </row>
    <row r="292" spans="1:5" x14ac:dyDescent="0.3">
      <c r="A292" s="13" t="str">
        <f>IF(ISBLANK(data!AI321),"",data!AI321)</f>
        <v/>
      </c>
      <c r="B292" s="11" t="str">
        <f>IF(ISBLANK(data!AJ321),"",data!AJ321)</f>
        <v/>
      </c>
      <c r="C292" s="11" t="str">
        <f>IF(ISBLANK(data!AK321),"",data!AK321)</f>
        <v/>
      </c>
      <c r="D292" s="11" t="str">
        <f>IF(ISBLANK(data!AL321),"",data!AL321)</f>
        <v/>
      </c>
      <c r="E292" s="11" t="str">
        <f>IF(ISBLANK(data!AM321),"",data!AM321)</f>
        <v/>
      </c>
    </row>
    <row r="293" spans="1:5" x14ac:dyDescent="0.3">
      <c r="A293" s="13" t="str">
        <f>IF(ISBLANK(data!AI322),"",data!AI322)</f>
        <v/>
      </c>
      <c r="B293" s="11" t="str">
        <f>IF(ISBLANK(data!AJ322),"",data!AJ322)</f>
        <v/>
      </c>
      <c r="C293" s="11" t="str">
        <f>IF(ISBLANK(data!AK322),"",data!AK322)</f>
        <v/>
      </c>
      <c r="D293" s="11" t="str">
        <f>IF(ISBLANK(data!AL322),"",data!AL322)</f>
        <v/>
      </c>
      <c r="E293" s="11" t="str">
        <f>IF(ISBLANK(data!AM322),"",data!AM322)</f>
        <v/>
      </c>
    </row>
    <row r="294" spans="1:5" x14ac:dyDescent="0.3">
      <c r="A294" s="13" t="str">
        <f>IF(ISBLANK(data!AI323),"",data!AI323)</f>
        <v/>
      </c>
      <c r="B294" s="11" t="str">
        <f>IF(ISBLANK(data!AJ323),"",data!AJ323)</f>
        <v/>
      </c>
      <c r="C294" s="11" t="str">
        <f>IF(ISBLANK(data!AK323),"",data!AK323)</f>
        <v/>
      </c>
      <c r="D294" s="11" t="str">
        <f>IF(ISBLANK(data!AL323),"",data!AL323)</f>
        <v/>
      </c>
      <c r="E294" s="11" t="str">
        <f>IF(ISBLANK(data!AM323),"",data!AM323)</f>
        <v/>
      </c>
    </row>
    <row r="295" spans="1:5" x14ac:dyDescent="0.3">
      <c r="A295" s="13" t="str">
        <f>IF(ISBLANK(data!AI324),"",data!AI324)</f>
        <v/>
      </c>
      <c r="B295" s="11" t="str">
        <f>IF(ISBLANK(data!AJ324),"",data!AJ324)</f>
        <v/>
      </c>
      <c r="C295" s="11" t="str">
        <f>IF(ISBLANK(data!AK324),"",data!AK324)</f>
        <v/>
      </c>
      <c r="D295" s="11" t="str">
        <f>IF(ISBLANK(data!AL324),"",data!AL324)</f>
        <v/>
      </c>
      <c r="E295" s="11" t="str">
        <f>IF(ISBLANK(data!AM324),"",data!AM324)</f>
        <v/>
      </c>
    </row>
    <row r="296" spans="1:5" x14ac:dyDescent="0.3">
      <c r="A296" s="13" t="str">
        <f>IF(ISBLANK(data!AI325),"",data!AI325)</f>
        <v/>
      </c>
      <c r="B296" s="11" t="str">
        <f>IF(ISBLANK(data!AJ325),"",data!AJ325)</f>
        <v/>
      </c>
      <c r="C296" s="11" t="str">
        <f>IF(ISBLANK(data!AK325),"",data!AK325)</f>
        <v/>
      </c>
      <c r="D296" s="11" t="str">
        <f>IF(ISBLANK(data!AL325),"",data!AL325)</f>
        <v/>
      </c>
      <c r="E296" s="11" t="str">
        <f>IF(ISBLANK(data!AM325),"",data!AM325)</f>
        <v/>
      </c>
    </row>
    <row r="297" spans="1:5" x14ac:dyDescent="0.3">
      <c r="A297" s="13" t="str">
        <f>IF(ISBLANK(data!AI326),"",data!AI326)</f>
        <v/>
      </c>
      <c r="B297" s="11" t="str">
        <f>IF(ISBLANK(data!AJ326),"",data!AJ326)</f>
        <v/>
      </c>
      <c r="C297" s="11" t="str">
        <f>IF(ISBLANK(data!AK326),"",data!AK326)</f>
        <v/>
      </c>
      <c r="D297" s="11" t="str">
        <f>IF(ISBLANK(data!AL326),"",data!AL326)</f>
        <v/>
      </c>
      <c r="E297" s="11" t="str">
        <f>IF(ISBLANK(data!AM326),"",data!AM326)</f>
        <v/>
      </c>
    </row>
    <row r="298" spans="1:5" x14ac:dyDescent="0.3">
      <c r="A298" s="13" t="str">
        <f>IF(ISBLANK(data!AI327),"",data!AI327)</f>
        <v/>
      </c>
      <c r="B298" s="11" t="str">
        <f>IF(ISBLANK(data!AJ327),"",data!AJ327)</f>
        <v/>
      </c>
      <c r="C298" s="11" t="str">
        <f>IF(ISBLANK(data!AK327),"",data!AK327)</f>
        <v/>
      </c>
      <c r="D298" s="11" t="str">
        <f>IF(ISBLANK(data!AL327),"",data!AL327)</f>
        <v/>
      </c>
      <c r="E298" s="11" t="str">
        <f>IF(ISBLANK(data!AM327),"",data!AM327)</f>
        <v/>
      </c>
    </row>
    <row r="299" spans="1:5" x14ac:dyDescent="0.3">
      <c r="A299" s="13" t="str">
        <f>IF(ISBLANK(data!AI328),"",data!AI328)</f>
        <v/>
      </c>
      <c r="B299" s="11" t="str">
        <f>IF(ISBLANK(data!AJ328),"",data!AJ328)</f>
        <v/>
      </c>
      <c r="C299" s="11" t="str">
        <f>IF(ISBLANK(data!AK328),"",data!AK328)</f>
        <v/>
      </c>
      <c r="D299" s="11" t="str">
        <f>IF(ISBLANK(data!AL328),"",data!AL328)</f>
        <v/>
      </c>
      <c r="E299" s="11" t="str">
        <f>IF(ISBLANK(data!AM328),"",data!AM328)</f>
        <v/>
      </c>
    </row>
    <row r="300" spans="1:5" x14ac:dyDescent="0.3">
      <c r="A300" s="13" t="str">
        <f>IF(ISBLANK(data!AI329),"",data!AI329)</f>
        <v/>
      </c>
      <c r="B300" s="11" t="str">
        <f>IF(ISBLANK(data!AJ329),"",data!AJ329)</f>
        <v/>
      </c>
      <c r="C300" s="11" t="str">
        <f>IF(ISBLANK(data!AK329),"",data!AK329)</f>
        <v/>
      </c>
      <c r="D300" s="11" t="str">
        <f>IF(ISBLANK(data!AL329),"",data!AL329)</f>
        <v/>
      </c>
      <c r="E300" s="11" t="str">
        <f>IF(ISBLANK(data!AM329),"",data!AM329)</f>
        <v/>
      </c>
    </row>
    <row r="301" spans="1:5" x14ac:dyDescent="0.3">
      <c r="A301" s="13" t="str">
        <f>IF(ISBLANK(data!AI330),"",data!AI330)</f>
        <v/>
      </c>
      <c r="B301" s="11" t="str">
        <f>IF(ISBLANK(data!AJ330),"",data!AJ330)</f>
        <v/>
      </c>
      <c r="C301" s="11" t="str">
        <f>IF(ISBLANK(data!AK330),"",data!AK330)</f>
        <v/>
      </c>
      <c r="D301" s="11" t="str">
        <f>IF(ISBLANK(data!AL330),"",data!AL330)</f>
        <v/>
      </c>
      <c r="E301" s="11" t="str">
        <f>IF(ISBLANK(data!AM330),"",data!AM330)</f>
        <v/>
      </c>
    </row>
    <row r="302" spans="1:5" x14ac:dyDescent="0.3">
      <c r="A302" s="13" t="str">
        <f>IF(ISBLANK(data!AI331),"",data!AI331)</f>
        <v/>
      </c>
      <c r="B302" s="11" t="str">
        <f>IF(ISBLANK(data!AJ331),"",data!AJ331)</f>
        <v/>
      </c>
      <c r="C302" s="11" t="str">
        <f>IF(ISBLANK(data!AK331),"",data!AK331)</f>
        <v/>
      </c>
      <c r="D302" s="11" t="str">
        <f>IF(ISBLANK(data!AL331),"",data!AL331)</f>
        <v/>
      </c>
      <c r="E302" s="11" t="str">
        <f>IF(ISBLANK(data!AM331),"",data!AM331)</f>
        <v/>
      </c>
    </row>
    <row r="303" spans="1:5" x14ac:dyDescent="0.3">
      <c r="A303" s="13" t="str">
        <f>IF(ISBLANK(data!AI332),"",data!AI332)</f>
        <v/>
      </c>
      <c r="B303" s="11" t="str">
        <f>IF(ISBLANK(data!AJ332),"",data!AJ332)</f>
        <v/>
      </c>
      <c r="C303" s="11" t="str">
        <f>IF(ISBLANK(data!AK332),"",data!AK332)</f>
        <v/>
      </c>
      <c r="D303" s="11" t="str">
        <f>IF(ISBLANK(data!AL332),"",data!AL332)</f>
        <v/>
      </c>
      <c r="E303" s="11" t="str">
        <f>IF(ISBLANK(data!AM332),"",data!AM332)</f>
        <v/>
      </c>
    </row>
    <row r="304" spans="1:5" x14ac:dyDescent="0.3">
      <c r="A304" s="13" t="str">
        <f>IF(ISBLANK(data!AI333),"",data!AI333)</f>
        <v/>
      </c>
      <c r="B304" s="11" t="str">
        <f>IF(ISBLANK(data!AJ333),"",data!AJ333)</f>
        <v/>
      </c>
      <c r="C304" s="11" t="str">
        <f>IF(ISBLANK(data!AK333),"",data!AK333)</f>
        <v/>
      </c>
      <c r="D304" s="11" t="str">
        <f>IF(ISBLANK(data!AL333),"",data!AL333)</f>
        <v/>
      </c>
      <c r="E304" s="11" t="str">
        <f>IF(ISBLANK(data!AM333),"",data!AM333)</f>
        <v/>
      </c>
    </row>
    <row r="305" spans="1:5" x14ac:dyDescent="0.3">
      <c r="A305" s="13" t="str">
        <f>IF(ISBLANK(data!AI334),"",data!AI334)</f>
        <v/>
      </c>
      <c r="B305" s="11" t="str">
        <f>IF(ISBLANK(data!AJ334),"",data!AJ334)</f>
        <v/>
      </c>
      <c r="C305" s="11" t="str">
        <f>IF(ISBLANK(data!AK334),"",data!AK334)</f>
        <v/>
      </c>
      <c r="D305" s="11" t="str">
        <f>IF(ISBLANK(data!AL334),"",data!AL334)</f>
        <v/>
      </c>
      <c r="E305" s="11" t="str">
        <f>IF(ISBLANK(data!AM334),"",data!AM334)</f>
        <v/>
      </c>
    </row>
    <row r="306" spans="1:5" x14ac:dyDescent="0.3">
      <c r="A306" s="13" t="str">
        <f>IF(ISBLANK(data!AI335),"",data!AI335)</f>
        <v/>
      </c>
      <c r="B306" s="11" t="str">
        <f>IF(ISBLANK(data!AJ335),"",data!AJ335)</f>
        <v/>
      </c>
      <c r="C306" s="11" t="str">
        <f>IF(ISBLANK(data!AK335),"",data!AK335)</f>
        <v/>
      </c>
      <c r="D306" s="11" t="str">
        <f>IF(ISBLANK(data!AL335),"",data!AL335)</f>
        <v/>
      </c>
      <c r="E306" s="11" t="str">
        <f>IF(ISBLANK(data!AM335),"",data!AM335)</f>
        <v/>
      </c>
    </row>
    <row r="307" spans="1:5" x14ac:dyDescent="0.3">
      <c r="A307" s="13" t="str">
        <f>IF(ISBLANK(data!AI336),"",data!AI336)</f>
        <v/>
      </c>
      <c r="B307" s="11" t="str">
        <f>IF(ISBLANK(data!AJ336),"",data!AJ336)</f>
        <v/>
      </c>
      <c r="C307" s="11" t="str">
        <f>IF(ISBLANK(data!AK336),"",data!AK336)</f>
        <v/>
      </c>
      <c r="D307" s="11" t="str">
        <f>IF(ISBLANK(data!AL336),"",data!AL336)</f>
        <v/>
      </c>
      <c r="E307" s="11" t="str">
        <f>IF(ISBLANK(data!AM336),"",data!AM336)</f>
        <v/>
      </c>
    </row>
    <row r="308" spans="1:5" x14ac:dyDescent="0.3">
      <c r="A308" s="13" t="str">
        <f>IF(ISBLANK(data!AI337),"",data!AI337)</f>
        <v/>
      </c>
      <c r="B308" s="11" t="str">
        <f>IF(ISBLANK(data!AJ337),"",data!AJ337)</f>
        <v/>
      </c>
      <c r="C308" s="11" t="str">
        <f>IF(ISBLANK(data!AK337),"",data!AK337)</f>
        <v/>
      </c>
      <c r="D308" s="11" t="str">
        <f>IF(ISBLANK(data!AL337),"",data!AL337)</f>
        <v/>
      </c>
      <c r="E308" s="11" t="str">
        <f>IF(ISBLANK(data!AM337),"",data!AM337)</f>
        <v/>
      </c>
    </row>
    <row r="309" spans="1:5" x14ac:dyDescent="0.3">
      <c r="A309" s="13" t="str">
        <f>IF(ISBLANK(data!AI338),"",data!AI338)</f>
        <v/>
      </c>
      <c r="B309" s="11" t="str">
        <f>IF(ISBLANK(data!AJ338),"",data!AJ338)</f>
        <v/>
      </c>
      <c r="C309" s="11" t="str">
        <f>IF(ISBLANK(data!AK338),"",data!AK338)</f>
        <v/>
      </c>
      <c r="D309" s="11" t="str">
        <f>IF(ISBLANK(data!AL338),"",data!AL338)</f>
        <v/>
      </c>
      <c r="E309" s="11" t="str">
        <f>IF(ISBLANK(data!AM338),"",data!AM338)</f>
        <v/>
      </c>
    </row>
    <row r="310" spans="1:5" x14ac:dyDescent="0.3">
      <c r="A310" s="13" t="str">
        <f>IF(ISBLANK(data!AI339),"",data!AI339)</f>
        <v/>
      </c>
      <c r="B310" s="11" t="str">
        <f>IF(ISBLANK(data!AJ339),"",data!AJ339)</f>
        <v/>
      </c>
      <c r="C310" s="11" t="str">
        <f>IF(ISBLANK(data!AK339),"",data!AK339)</f>
        <v/>
      </c>
      <c r="D310" s="11" t="str">
        <f>IF(ISBLANK(data!AL339),"",data!AL339)</f>
        <v/>
      </c>
      <c r="E310" s="11" t="str">
        <f>IF(ISBLANK(data!AM339),"",data!AM339)</f>
        <v/>
      </c>
    </row>
    <row r="311" spans="1:5" x14ac:dyDescent="0.3">
      <c r="A311" s="13" t="str">
        <f>IF(ISBLANK(data!AI340),"",data!AI340)</f>
        <v/>
      </c>
      <c r="B311" s="11" t="str">
        <f>IF(ISBLANK(data!AJ340),"",data!AJ340)</f>
        <v/>
      </c>
      <c r="C311" s="11" t="str">
        <f>IF(ISBLANK(data!AK340),"",data!AK340)</f>
        <v/>
      </c>
      <c r="D311" s="11" t="str">
        <f>IF(ISBLANK(data!AL340),"",data!AL340)</f>
        <v/>
      </c>
      <c r="E311" s="11" t="str">
        <f>IF(ISBLANK(data!AM340),"",data!AM340)</f>
        <v/>
      </c>
    </row>
    <row r="312" spans="1:5" x14ac:dyDescent="0.3">
      <c r="A312" s="13" t="str">
        <f>IF(ISBLANK(data!AI341),"",data!AI341)</f>
        <v/>
      </c>
      <c r="B312" s="11" t="str">
        <f>IF(ISBLANK(data!AJ341),"",data!AJ341)</f>
        <v/>
      </c>
      <c r="C312" s="11" t="str">
        <f>IF(ISBLANK(data!AK341),"",data!AK341)</f>
        <v/>
      </c>
      <c r="D312" s="11" t="str">
        <f>IF(ISBLANK(data!AL341),"",data!AL341)</f>
        <v/>
      </c>
      <c r="E312" s="11" t="str">
        <f>IF(ISBLANK(data!AM341),"",data!AM341)</f>
        <v/>
      </c>
    </row>
    <row r="313" spans="1:5" x14ac:dyDescent="0.3">
      <c r="A313" s="13" t="str">
        <f>IF(ISBLANK(data!AI342),"",data!AI342)</f>
        <v/>
      </c>
      <c r="B313" s="11" t="str">
        <f>IF(ISBLANK(data!AJ342),"",data!AJ342)</f>
        <v/>
      </c>
      <c r="C313" s="11" t="str">
        <f>IF(ISBLANK(data!AK342),"",data!AK342)</f>
        <v/>
      </c>
      <c r="D313" s="11" t="str">
        <f>IF(ISBLANK(data!AL342),"",data!AL342)</f>
        <v/>
      </c>
      <c r="E313" s="11" t="str">
        <f>IF(ISBLANK(data!AM342),"",data!AM342)</f>
        <v/>
      </c>
    </row>
    <row r="314" spans="1:5" x14ac:dyDescent="0.3">
      <c r="A314" s="13" t="str">
        <f>IF(ISBLANK(data!AI343),"",data!AI343)</f>
        <v/>
      </c>
      <c r="B314" s="11" t="str">
        <f>IF(ISBLANK(data!AJ343),"",data!AJ343)</f>
        <v/>
      </c>
      <c r="C314" s="11" t="str">
        <f>IF(ISBLANK(data!AK343),"",data!AK343)</f>
        <v/>
      </c>
      <c r="D314" s="11" t="str">
        <f>IF(ISBLANK(data!AL343),"",data!AL343)</f>
        <v/>
      </c>
      <c r="E314" s="11" t="str">
        <f>IF(ISBLANK(data!AM343),"",data!AM343)</f>
        <v/>
      </c>
    </row>
    <row r="315" spans="1:5" x14ac:dyDescent="0.3">
      <c r="A315" s="13" t="str">
        <f>IF(ISBLANK(data!AI344),"",data!AI344)</f>
        <v/>
      </c>
      <c r="B315" s="11" t="str">
        <f>IF(ISBLANK(data!AJ344),"",data!AJ344)</f>
        <v/>
      </c>
      <c r="C315" s="11" t="str">
        <f>IF(ISBLANK(data!AK344),"",data!AK344)</f>
        <v/>
      </c>
      <c r="D315" s="11" t="str">
        <f>IF(ISBLANK(data!AL344),"",data!AL344)</f>
        <v/>
      </c>
      <c r="E315" s="11" t="str">
        <f>IF(ISBLANK(data!AM344),"",data!AM344)</f>
        <v/>
      </c>
    </row>
    <row r="316" spans="1:5" x14ac:dyDescent="0.3">
      <c r="A316" s="13" t="str">
        <f>IF(ISBLANK(data!AI345),"",data!AI345)</f>
        <v/>
      </c>
      <c r="B316" s="11" t="str">
        <f>IF(ISBLANK(data!AJ345),"",data!AJ345)</f>
        <v/>
      </c>
      <c r="C316" s="11" t="str">
        <f>IF(ISBLANK(data!AK345),"",data!AK345)</f>
        <v/>
      </c>
      <c r="D316" s="11" t="str">
        <f>IF(ISBLANK(data!AL345),"",data!AL345)</f>
        <v/>
      </c>
      <c r="E316" s="11" t="str">
        <f>IF(ISBLANK(data!AM345),"",data!AM345)</f>
        <v/>
      </c>
    </row>
    <row r="317" spans="1:5" x14ac:dyDescent="0.3">
      <c r="A317" s="13" t="str">
        <f>IF(ISBLANK(data!AI346),"",data!AI346)</f>
        <v/>
      </c>
      <c r="B317" s="11" t="str">
        <f>IF(ISBLANK(data!AJ346),"",data!AJ346)</f>
        <v/>
      </c>
      <c r="C317" s="11" t="str">
        <f>IF(ISBLANK(data!AK346),"",data!AK346)</f>
        <v/>
      </c>
      <c r="D317" s="11" t="str">
        <f>IF(ISBLANK(data!AL346),"",data!AL346)</f>
        <v/>
      </c>
      <c r="E317" s="11" t="str">
        <f>IF(ISBLANK(data!AM346),"",data!AM346)</f>
        <v/>
      </c>
    </row>
    <row r="318" spans="1:5" x14ac:dyDescent="0.3">
      <c r="A318" s="13" t="str">
        <f>IF(ISBLANK(data!AI347),"",data!AI347)</f>
        <v/>
      </c>
      <c r="B318" s="11" t="str">
        <f>IF(ISBLANK(data!AJ347),"",data!AJ347)</f>
        <v/>
      </c>
      <c r="C318" s="11" t="str">
        <f>IF(ISBLANK(data!AK347),"",data!AK347)</f>
        <v/>
      </c>
      <c r="D318" s="11" t="str">
        <f>IF(ISBLANK(data!AL347),"",data!AL347)</f>
        <v/>
      </c>
      <c r="E318" s="11" t="str">
        <f>IF(ISBLANK(data!AM347),"",data!AM347)</f>
        <v/>
      </c>
    </row>
    <row r="319" spans="1:5" x14ac:dyDescent="0.3">
      <c r="A319" s="13" t="str">
        <f>IF(ISBLANK(data!AI348),"",data!AI348)</f>
        <v/>
      </c>
      <c r="B319" s="11" t="str">
        <f>IF(ISBLANK(data!AJ348),"",data!AJ348)</f>
        <v/>
      </c>
      <c r="C319" s="11" t="str">
        <f>IF(ISBLANK(data!AK348),"",data!AK348)</f>
        <v/>
      </c>
      <c r="D319" s="11" t="str">
        <f>IF(ISBLANK(data!AL348),"",data!AL348)</f>
        <v/>
      </c>
      <c r="E319" s="11" t="str">
        <f>IF(ISBLANK(data!AM348),"",data!AM348)</f>
        <v/>
      </c>
    </row>
    <row r="320" spans="1:5" x14ac:dyDescent="0.3">
      <c r="A320" s="13" t="str">
        <f>IF(ISBLANK(data!AI349),"",data!AI349)</f>
        <v/>
      </c>
      <c r="B320" s="11" t="str">
        <f>IF(ISBLANK(data!AJ349),"",data!AJ349)</f>
        <v/>
      </c>
      <c r="C320" s="11" t="str">
        <f>IF(ISBLANK(data!AK349),"",data!AK349)</f>
        <v/>
      </c>
      <c r="D320" s="11" t="str">
        <f>IF(ISBLANK(data!AL349),"",data!AL349)</f>
        <v/>
      </c>
      <c r="E320" s="11" t="str">
        <f>IF(ISBLANK(data!AM349),"",data!AM349)</f>
        <v/>
      </c>
    </row>
    <row r="321" spans="1:5" x14ac:dyDescent="0.3">
      <c r="A321" s="13" t="str">
        <f>IF(ISBLANK(data!AI350),"",data!AI350)</f>
        <v/>
      </c>
      <c r="B321" s="11" t="str">
        <f>IF(ISBLANK(data!AJ350),"",data!AJ350)</f>
        <v/>
      </c>
      <c r="C321" s="11" t="str">
        <f>IF(ISBLANK(data!AK350),"",data!AK350)</f>
        <v/>
      </c>
      <c r="D321" s="11" t="str">
        <f>IF(ISBLANK(data!AL350),"",data!AL350)</f>
        <v/>
      </c>
      <c r="E321" s="11" t="str">
        <f>IF(ISBLANK(data!AM350),"",data!AM350)</f>
        <v/>
      </c>
    </row>
    <row r="322" spans="1:5" x14ac:dyDescent="0.3">
      <c r="A322" s="13" t="str">
        <f>IF(ISBLANK(data!AI351),"",data!AI351)</f>
        <v/>
      </c>
      <c r="B322" s="11" t="str">
        <f>IF(ISBLANK(data!AJ351),"",data!AJ351)</f>
        <v/>
      </c>
      <c r="C322" s="11" t="str">
        <f>IF(ISBLANK(data!AK351),"",data!AK351)</f>
        <v/>
      </c>
      <c r="D322" s="11" t="str">
        <f>IF(ISBLANK(data!AL351),"",data!AL351)</f>
        <v/>
      </c>
      <c r="E322" s="11" t="str">
        <f>IF(ISBLANK(data!AM351),"",data!AM351)</f>
        <v/>
      </c>
    </row>
    <row r="323" spans="1:5" x14ac:dyDescent="0.3">
      <c r="A323" s="13" t="str">
        <f>IF(ISBLANK(data!AI352),"",data!AI352)</f>
        <v/>
      </c>
      <c r="B323" s="11" t="str">
        <f>IF(ISBLANK(data!AJ352),"",data!AJ352)</f>
        <v/>
      </c>
      <c r="C323" s="11" t="str">
        <f>IF(ISBLANK(data!AK352),"",data!AK352)</f>
        <v/>
      </c>
      <c r="D323" s="11" t="str">
        <f>IF(ISBLANK(data!AL352),"",data!AL352)</f>
        <v/>
      </c>
      <c r="E323" s="11" t="str">
        <f>IF(ISBLANK(data!AM352),"",data!AM352)</f>
        <v/>
      </c>
    </row>
    <row r="324" spans="1:5" x14ac:dyDescent="0.3">
      <c r="A324" s="13" t="str">
        <f>IF(ISBLANK(data!AI353),"",data!AI353)</f>
        <v/>
      </c>
      <c r="B324" s="11" t="str">
        <f>IF(ISBLANK(data!AJ353),"",data!AJ353)</f>
        <v/>
      </c>
      <c r="C324" s="11" t="str">
        <f>IF(ISBLANK(data!AK353),"",data!AK353)</f>
        <v/>
      </c>
      <c r="D324" s="11" t="str">
        <f>IF(ISBLANK(data!AL353),"",data!AL353)</f>
        <v/>
      </c>
      <c r="E324" s="11" t="str">
        <f>IF(ISBLANK(data!AM353),"",data!AM353)</f>
        <v/>
      </c>
    </row>
    <row r="325" spans="1:5" x14ac:dyDescent="0.3">
      <c r="A325" s="13" t="str">
        <f>IF(ISBLANK(data!AI354),"",data!AI354)</f>
        <v/>
      </c>
      <c r="B325" s="11" t="str">
        <f>IF(ISBLANK(data!AJ354),"",data!AJ354)</f>
        <v/>
      </c>
      <c r="C325" s="11" t="str">
        <f>IF(ISBLANK(data!AK354),"",data!AK354)</f>
        <v/>
      </c>
      <c r="D325" s="11" t="str">
        <f>IF(ISBLANK(data!AL354),"",data!AL354)</f>
        <v/>
      </c>
      <c r="E325" s="11" t="str">
        <f>IF(ISBLANK(data!AM354),"",data!AM354)</f>
        <v/>
      </c>
    </row>
    <row r="326" spans="1:5" x14ac:dyDescent="0.3">
      <c r="A326" s="13" t="str">
        <f>IF(ISBLANK(data!AI355),"",data!AI355)</f>
        <v/>
      </c>
      <c r="B326" s="11" t="str">
        <f>IF(ISBLANK(data!AJ355),"",data!AJ355)</f>
        <v/>
      </c>
      <c r="C326" s="11" t="str">
        <f>IF(ISBLANK(data!AK355),"",data!AK355)</f>
        <v/>
      </c>
      <c r="D326" s="11" t="str">
        <f>IF(ISBLANK(data!AL355),"",data!AL355)</f>
        <v/>
      </c>
      <c r="E326" s="11" t="str">
        <f>IF(ISBLANK(data!AM355),"",data!AM355)</f>
        <v/>
      </c>
    </row>
    <row r="327" spans="1:5" x14ac:dyDescent="0.3">
      <c r="A327" s="13" t="str">
        <f>IF(ISBLANK(data!AI356),"",data!AI356)</f>
        <v/>
      </c>
      <c r="B327" s="11" t="str">
        <f>IF(ISBLANK(data!AJ356),"",data!AJ356)</f>
        <v/>
      </c>
      <c r="C327" s="11" t="str">
        <f>IF(ISBLANK(data!AK356),"",data!AK356)</f>
        <v/>
      </c>
      <c r="D327" s="11" t="str">
        <f>IF(ISBLANK(data!AL356),"",data!AL356)</f>
        <v/>
      </c>
      <c r="E327" s="11" t="str">
        <f>IF(ISBLANK(data!AM356),"",data!AM356)</f>
        <v/>
      </c>
    </row>
    <row r="328" spans="1:5" x14ac:dyDescent="0.3">
      <c r="A328" s="13" t="str">
        <f>IF(ISBLANK(data!AI357),"",data!AI357)</f>
        <v/>
      </c>
      <c r="B328" s="11" t="str">
        <f>IF(ISBLANK(data!AJ357),"",data!AJ357)</f>
        <v/>
      </c>
      <c r="C328" s="11" t="str">
        <f>IF(ISBLANK(data!AK357),"",data!AK357)</f>
        <v/>
      </c>
      <c r="D328" s="11" t="str">
        <f>IF(ISBLANK(data!AL357),"",data!AL357)</f>
        <v/>
      </c>
      <c r="E328" s="11" t="str">
        <f>IF(ISBLANK(data!AM357),"",data!AM357)</f>
        <v/>
      </c>
    </row>
    <row r="329" spans="1:5" x14ac:dyDescent="0.3">
      <c r="A329" s="13" t="str">
        <f>IF(ISBLANK(data!AI358),"",data!AI358)</f>
        <v/>
      </c>
      <c r="B329" s="11" t="str">
        <f>IF(ISBLANK(data!AJ358),"",data!AJ358)</f>
        <v/>
      </c>
      <c r="C329" s="11" t="str">
        <f>IF(ISBLANK(data!AK358),"",data!AK358)</f>
        <v/>
      </c>
      <c r="D329" s="11" t="str">
        <f>IF(ISBLANK(data!AL358),"",data!AL358)</f>
        <v/>
      </c>
      <c r="E329" s="11" t="str">
        <f>IF(ISBLANK(data!AM358),"",data!AM358)</f>
        <v/>
      </c>
    </row>
    <row r="330" spans="1:5" x14ac:dyDescent="0.3">
      <c r="A330" s="13" t="str">
        <f>IF(ISBLANK(data!AI359),"",data!AI359)</f>
        <v/>
      </c>
      <c r="B330" s="11" t="str">
        <f>IF(ISBLANK(data!AJ359),"",data!AJ359)</f>
        <v/>
      </c>
      <c r="C330" s="11" t="str">
        <f>IF(ISBLANK(data!AK359),"",data!AK359)</f>
        <v/>
      </c>
      <c r="D330" s="11" t="str">
        <f>IF(ISBLANK(data!AL359),"",data!AL359)</f>
        <v/>
      </c>
      <c r="E330" s="11" t="str">
        <f>IF(ISBLANK(data!AM359),"",data!AM359)</f>
        <v/>
      </c>
    </row>
    <row r="331" spans="1:5" x14ac:dyDescent="0.3">
      <c r="A331" s="13" t="str">
        <f>IF(ISBLANK(data!AI360),"",data!AI360)</f>
        <v/>
      </c>
      <c r="B331" s="11" t="str">
        <f>IF(ISBLANK(data!AJ360),"",data!AJ360)</f>
        <v/>
      </c>
      <c r="C331" s="11" t="str">
        <f>IF(ISBLANK(data!AK360),"",data!AK360)</f>
        <v/>
      </c>
      <c r="D331" s="11" t="str">
        <f>IF(ISBLANK(data!AL360),"",data!AL360)</f>
        <v/>
      </c>
      <c r="E331" s="11" t="str">
        <f>IF(ISBLANK(data!AM360),"",data!AM360)</f>
        <v/>
      </c>
    </row>
    <row r="332" spans="1:5" x14ac:dyDescent="0.3">
      <c r="A332" s="13" t="str">
        <f>IF(ISBLANK(data!AI361),"",data!AI361)</f>
        <v/>
      </c>
      <c r="B332" s="11" t="str">
        <f>IF(ISBLANK(data!AJ361),"",data!AJ361)</f>
        <v/>
      </c>
      <c r="C332" s="11" t="str">
        <f>IF(ISBLANK(data!AK361),"",data!AK361)</f>
        <v/>
      </c>
      <c r="D332" s="11" t="str">
        <f>IF(ISBLANK(data!AL361),"",data!AL361)</f>
        <v/>
      </c>
      <c r="E332" s="11" t="str">
        <f>IF(ISBLANK(data!AM361),"",data!AM361)</f>
        <v/>
      </c>
    </row>
    <row r="333" spans="1:5" x14ac:dyDescent="0.3">
      <c r="A333" s="13" t="str">
        <f>IF(ISBLANK(data!AI362),"",data!AI362)</f>
        <v/>
      </c>
      <c r="B333" s="11" t="str">
        <f>IF(ISBLANK(data!AJ362),"",data!AJ362)</f>
        <v/>
      </c>
      <c r="C333" s="11" t="str">
        <f>IF(ISBLANK(data!AK362),"",data!AK362)</f>
        <v/>
      </c>
      <c r="D333" s="11" t="str">
        <f>IF(ISBLANK(data!AL362),"",data!AL362)</f>
        <v/>
      </c>
      <c r="E333" s="11" t="str">
        <f>IF(ISBLANK(data!AM362),"",data!AM362)</f>
        <v/>
      </c>
    </row>
    <row r="334" spans="1:5" x14ac:dyDescent="0.3">
      <c r="A334" s="13" t="str">
        <f>IF(ISBLANK(data!AI363),"",data!AI363)</f>
        <v/>
      </c>
      <c r="B334" s="11" t="str">
        <f>IF(ISBLANK(data!AJ363),"",data!AJ363)</f>
        <v/>
      </c>
      <c r="C334" s="11" t="str">
        <f>IF(ISBLANK(data!AK363),"",data!AK363)</f>
        <v/>
      </c>
      <c r="D334" s="11" t="str">
        <f>IF(ISBLANK(data!AL363),"",data!AL363)</f>
        <v/>
      </c>
      <c r="E334" s="11" t="str">
        <f>IF(ISBLANK(data!AM363),"",data!AM363)</f>
        <v/>
      </c>
    </row>
    <row r="335" spans="1:5" x14ac:dyDescent="0.3">
      <c r="A335" s="13" t="str">
        <f>IF(ISBLANK(data!AI364),"",data!AI364)</f>
        <v/>
      </c>
      <c r="B335" s="11" t="str">
        <f>IF(ISBLANK(data!AJ364),"",data!AJ364)</f>
        <v/>
      </c>
      <c r="C335" s="11" t="str">
        <f>IF(ISBLANK(data!AK364),"",data!AK364)</f>
        <v/>
      </c>
      <c r="D335" s="11" t="str">
        <f>IF(ISBLANK(data!AL364),"",data!AL364)</f>
        <v/>
      </c>
      <c r="E335" s="11" t="str">
        <f>IF(ISBLANK(data!AM364),"",data!AM364)</f>
        <v/>
      </c>
    </row>
    <row r="336" spans="1:5" x14ac:dyDescent="0.3">
      <c r="A336" s="13" t="str">
        <f>IF(ISBLANK(data!AI365),"",data!AI365)</f>
        <v/>
      </c>
      <c r="B336" s="11" t="str">
        <f>IF(ISBLANK(data!AJ365),"",data!AJ365)</f>
        <v/>
      </c>
      <c r="C336" s="11" t="str">
        <f>IF(ISBLANK(data!AK365),"",data!AK365)</f>
        <v/>
      </c>
      <c r="D336" s="11" t="str">
        <f>IF(ISBLANK(data!AL365),"",data!AL365)</f>
        <v/>
      </c>
      <c r="E336" s="11" t="str">
        <f>IF(ISBLANK(data!AM365),"",data!AM365)</f>
        <v/>
      </c>
    </row>
    <row r="337" spans="1:5" x14ac:dyDescent="0.3">
      <c r="A337" s="13" t="str">
        <f>IF(ISBLANK(data!AI366),"",data!AI366)</f>
        <v/>
      </c>
      <c r="B337" s="11" t="str">
        <f>IF(ISBLANK(data!AJ366),"",data!AJ366)</f>
        <v/>
      </c>
      <c r="C337" s="11" t="str">
        <f>IF(ISBLANK(data!AK366),"",data!AK366)</f>
        <v/>
      </c>
      <c r="D337" s="11" t="str">
        <f>IF(ISBLANK(data!AL366),"",data!AL366)</f>
        <v/>
      </c>
      <c r="E337" s="11" t="str">
        <f>IF(ISBLANK(data!AM366),"",data!AM366)</f>
        <v/>
      </c>
    </row>
    <row r="338" spans="1:5" x14ac:dyDescent="0.3">
      <c r="A338" s="13" t="str">
        <f>IF(ISBLANK(data!AI367),"",data!AI367)</f>
        <v/>
      </c>
      <c r="B338" s="11" t="str">
        <f>IF(ISBLANK(data!AJ367),"",data!AJ367)</f>
        <v/>
      </c>
      <c r="C338" s="11" t="str">
        <f>IF(ISBLANK(data!AK367),"",data!AK367)</f>
        <v/>
      </c>
      <c r="D338" s="11" t="str">
        <f>IF(ISBLANK(data!AL367),"",data!AL367)</f>
        <v/>
      </c>
      <c r="E338" s="11" t="str">
        <f>IF(ISBLANK(data!AM367),"",data!AM367)</f>
        <v/>
      </c>
    </row>
    <row r="339" spans="1:5" x14ac:dyDescent="0.3">
      <c r="A339" s="13" t="str">
        <f>IF(ISBLANK(data!AI368),"",data!AI368)</f>
        <v/>
      </c>
      <c r="B339" s="11" t="str">
        <f>IF(ISBLANK(data!AJ368),"",data!AJ368)</f>
        <v/>
      </c>
      <c r="C339" s="11" t="str">
        <f>IF(ISBLANK(data!AK368),"",data!AK368)</f>
        <v/>
      </c>
      <c r="D339" s="11" t="str">
        <f>IF(ISBLANK(data!AL368),"",data!AL368)</f>
        <v/>
      </c>
      <c r="E339" s="11" t="str">
        <f>IF(ISBLANK(data!AM368),"",data!AM368)</f>
        <v/>
      </c>
    </row>
    <row r="340" spans="1:5" x14ac:dyDescent="0.3">
      <c r="A340" s="13" t="str">
        <f>IF(ISBLANK(data!AI369),"",data!AI369)</f>
        <v/>
      </c>
      <c r="B340" s="11" t="str">
        <f>IF(ISBLANK(data!AJ369),"",data!AJ369)</f>
        <v/>
      </c>
      <c r="C340" s="11" t="str">
        <f>IF(ISBLANK(data!AK369),"",data!AK369)</f>
        <v/>
      </c>
      <c r="D340" s="11" t="str">
        <f>IF(ISBLANK(data!AL369),"",data!AL369)</f>
        <v/>
      </c>
      <c r="E340" s="11" t="str">
        <f>IF(ISBLANK(data!AM369),"",data!AM369)</f>
        <v/>
      </c>
    </row>
    <row r="341" spans="1:5" x14ac:dyDescent="0.3">
      <c r="A341" s="13" t="str">
        <f>IF(ISBLANK(data!AI370),"",data!AI370)</f>
        <v/>
      </c>
      <c r="B341" s="11" t="str">
        <f>IF(ISBLANK(data!AJ370),"",data!AJ370)</f>
        <v/>
      </c>
      <c r="C341" s="11" t="str">
        <f>IF(ISBLANK(data!AK370),"",data!AK370)</f>
        <v/>
      </c>
      <c r="D341" s="11" t="str">
        <f>IF(ISBLANK(data!AL370),"",data!AL370)</f>
        <v/>
      </c>
      <c r="E341" s="11" t="str">
        <f>IF(ISBLANK(data!AM370),"",data!AM370)</f>
        <v/>
      </c>
    </row>
    <row r="342" spans="1:5" x14ac:dyDescent="0.3">
      <c r="A342" s="13" t="str">
        <f>IF(ISBLANK(data!AI371),"",data!AI371)</f>
        <v/>
      </c>
      <c r="B342" s="11" t="str">
        <f>IF(ISBLANK(data!AJ371),"",data!AJ371)</f>
        <v/>
      </c>
      <c r="C342" s="11" t="str">
        <f>IF(ISBLANK(data!AK371),"",data!AK371)</f>
        <v/>
      </c>
      <c r="D342" s="11" t="str">
        <f>IF(ISBLANK(data!AL371),"",data!AL371)</f>
        <v/>
      </c>
      <c r="E342" s="11" t="str">
        <f>IF(ISBLANK(data!AM371),"",data!AM371)</f>
        <v/>
      </c>
    </row>
    <row r="343" spans="1:5" x14ac:dyDescent="0.3">
      <c r="A343" s="13" t="str">
        <f>IF(ISBLANK(data!AI372),"",data!AI372)</f>
        <v/>
      </c>
      <c r="B343" s="11" t="str">
        <f>IF(ISBLANK(data!AJ372),"",data!AJ372)</f>
        <v/>
      </c>
      <c r="C343" s="11" t="str">
        <f>IF(ISBLANK(data!AK372),"",data!AK372)</f>
        <v/>
      </c>
      <c r="D343" s="11" t="str">
        <f>IF(ISBLANK(data!AL372),"",data!AL372)</f>
        <v/>
      </c>
      <c r="E343" s="11" t="str">
        <f>IF(ISBLANK(data!AM372),"",data!AM372)</f>
        <v/>
      </c>
    </row>
    <row r="344" spans="1:5" x14ac:dyDescent="0.3">
      <c r="A344" s="13" t="str">
        <f>IF(ISBLANK(data!AI373),"",data!AI373)</f>
        <v/>
      </c>
      <c r="B344" s="11" t="str">
        <f>IF(ISBLANK(data!AJ373),"",data!AJ373)</f>
        <v/>
      </c>
      <c r="C344" s="11" t="str">
        <f>IF(ISBLANK(data!AK373),"",data!AK373)</f>
        <v/>
      </c>
      <c r="D344" s="11" t="str">
        <f>IF(ISBLANK(data!AL373),"",data!AL373)</f>
        <v/>
      </c>
      <c r="E344" s="11" t="str">
        <f>IF(ISBLANK(data!AM373),"",data!AM373)</f>
        <v/>
      </c>
    </row>
    <row r="345" spans="1:5" x14ac:dyDescent="0.3">
      <c r="A345" s="13" t="str">
        <f>IF(ISBLANK(data!AI374),"",data!AI374)</f>
        <v/>
      </c>
      <c r="B345" s="11" t="str">
        <f>IF(ISBLANK(data!AJ374),"",data!AJ374)</f>
        <v/>
      </c>
      <c r="C345" s="11" t="str">
        <f>IF(ISBLANK(data!AK374),"",data!AK374)</f>
        <v/>
      </c>
      <c r="D345" s="11" t="str">
        <f>IF(ISBLANK(data!AL374),"",data!AL374)</f>
        <v/>
      </c>
      <c r="E345" s="11" t="str">
        <f>IF(ISBLANK(data!AM374),"",data!AM374)</f>
        <v/>
      </c>
    </row>
    <row r="346" spans="1:5" x14ac:dyDescent="0.3">
      <c r="A346" s="13" t="str">
        <f>IF(ISBLANK(data!AI375),"",data!AI375)</f>
        <v/>
      </c>
      <c r="B346" s="11" t="str">
        <f>IF(ISBLANK(data!AJ375),"",data!AJ375)</f>
        <v/>
      </c>
      <c r="C346" s="11" t="str">
        <f>IF(ISBLANK(data!AK375),"",data!AK375)</f>
        <v/>
      </c>
      <c r="D346" s="11" t="str">
        <f>IF(ISBLANK(data!AL375),"",data!AL375)</f>
        <v/>
      </c>
      <c r="E346" s="11" t="str">
        <f>IF(ISBLANK(data!AM375),"",data!AM375)</f>
        <v/>
      </c>
    </row>
    <row r="347" spans="1:5" x14ac:dyDescent="0.3">
      <c r="A347" s="13" t="str">
        <f>IF(ISBLANK(data!AI376),"",data!AI376)</f>
        <v/>
      </c>
      <c r="B347" s="11" t="str">
        <f>IF(ISBLANK(data!AJ376),"",data!AJ376)</f>
        <v/>
      </c>
      <c r="C347" s="11" t="str">
        <f>IF(ISBLANK(data!AK376),"",data!AK376)</f>
        <v/>
      </c>
      <c r="D347" s="11" t="str">
        <f>IF(ISBLANK(data!AL376),"",data!AL376)</f>
        <v/>
      </c>
      <c r="E347" s="11" t="str">
        <f>IF(ISBLANK(data!AM376),"",data!AM376)</f>
        <v/>
      </c>
    </row>
    <row r="348" spans="1:5" x14ac:dyDescent="0.3">
      <c r="A348" s="13" t="str">
        <f>IF(ISBLANK(data!AI377),"",data!AI377)</f>
        <v/>
      </c>
      <c r="B348" s="11" t="str">
        <f>IF(ISBLANK(data!AJ377),"",data!AJ377)</f>
        <v/>
      </c>
      <c r="C348" s="11" t="str">
        <f>IF(ISBLANK(data!AK377),"",data!AK377)</f>
        <v/>
      </c>
      <c r="D348" s="11" t="str">
        <f>IF(ISBLANK(data!AL377),"",data!AL377)</f>
        <v/>
      </c>
      <c r="E348" s="11" t="str">
        <f>IF(ISBLANK(data!AM377),"",data!AM377)</f>
        <v/>
      </c>
    </row>
    <row r="349" spans="1:5" x14ac:dyDescent="0.3">
      <c r="A349" s="13" t="str">
        <f>IF(ISBLANK(data!AI378),"",data!AI378)</f>
        <v/>
      </c>
      <c r="B349" s="11" t="str">
        <f>IF(ISBLANK(data!AJ378),"",data!AJ378)</f>
        <v/>
      </c>
      <c r="C349" s="11" t="str">
        <f>IF(ISBLANK(data!AK378),"",data!AK378)</f>
        <v/>
      </c>
      <c r="D349" s="11" t="str">
        <f>IF(ISBLANK(data!AL378),"",data!AL378)</f>
        <v/>
      </c>
      <c r="E349" s="11" t="str">
        <f>IF(ISBLANK(data!AM378),"",data!AM378)</f>
        <v/>
      </c>
    </row>
    <row r="350" spans="1:5" x14ac:dyDescent="0.3">
      <c r="A350" s="13" t="str">
        <f>IF(ISBLANK(data!AI379),"",data!AI379)</f>
        <v/>
      </c>
      <c r="B350" s="11" t="str">
        <f>IF(ISBLANK(data!AJ379),"",data!AJ379)</f>
        <v/>
      </c>
      <c r="C350" s="11" t="str">
        <f>IF(ISBLANK(data!AK379),"",data!AK379)</f>
        <v/>
      </c>
      <c r="D350" s="11" t="str">
        <f>IF(ISBLANK(data!AL379),"",data!AL379)</f>
        <v/>
      </c>
      <c r="E350" s="11" t="str">
        <f>IF(ISBLANK(data!AM379),"",data!AM379)</f>
        <v/>
      </c>
    </row>
    <row r="351" spans="1:5" x14ac:dyDescent="0.3">
      <c r="A351" s="13" t="str">
        <f>IF(ISBLANK(data!AI380),"",data!AI380)</f>
        <v/>
      </c>
      <c r="B351" s="11" t="str">
        <f>IF(ISBLANK(data!AJ380),"",data!AJ380)</f>
        <v/>
      </c>
      <c r="C351" s="11" t="str">
        <f>IF(ISBLANK(data!AK380),"",data!AK380)</f>
        <v/>
      </c>
      <c r="D351" s="11" t="str">
        <f>IF(ISBLANK(data!AL380),"",data!AL380)</f>
        <v/>
      </c>
      <c r="E351" s="11" t="str">
        <f>IF(ISBLANK(data!AM380),"",data!AM380)</f>
        <v/>
      </c>
    </row>
    <row r="352" spans="1:5" x14ac:dyDescent="0.3">
      <c r="A352" s="13" t="str">
        <f>IF(ISBLANK(data!AI381),"",data!AI381)</f>
        <v/>
      </c>
      <c r="B352" s="11" t="str">
        <f>IF(ISBLANK(data!AJ381),"",data!AJ381)</f>
        <v/>
      </c>
      <c r="C352" s="11" t="str">
        <f>IF(ISBLANK(data!AK381),"",data!AK381)</f>
        <v/>
      </c>
      <c r="D352" s="11" t="str">
        <f>IF(ISBLANK(data!AL381),"",data!AL381)</f>
        <v/>
      </c>
      <c r="E352" s="11" t="str">
        <f>IF(ISBLANK(data!AM381),"",data!AM381)</f>
        <v/>
      </c>
    </row>
    <row r="353" spans="1:5" x14ac:dyDescent="0.3">
      <c r="A353" s="13" t="str">
        <f>IF(ISBLANK(data!AI382),"",data!AI382)</f>
        <v/>
      </c>
      <c r="B353" s="11" t="str">
        <f>IF(ISBLANK(data!AJ382),"",data!AJ382)</f>
        <v/>
      </c>
      <c r="C353" s="11" t="str">
        <f>IF(ISBLANK(data!AK382),"",data!AK382)</f>
        <v/>
      </c>
      <c r="D353" s="11" t="str">
        <f>IF(ISBLANK(data!AL382),"",data!AL382)</f>
        <v/>
      </c>
      <c r="E353" s="11" t="str">
        <f>IF(ISBLANK(data!AM382),"",data!AM382)</f>
        <v/>
      </c>
    </row>
    <row r="354" spans="1:5" x14ac:dyDescent="0.3">
      <c r="A354" s="13" t="str">
        <f>IF(ISBLANK(data!AI383),"",data!AI383)</f>
        <v/>
      </c>
      <c r="B354" s="11" t="str">
        <f>IF(ISBLANK(data!AJ383),"",data!AJ383)</f>
        <v/>
      </c>
      <c r="C354" s="11" t="str">
        <f>IF(ISBLANK(data!AK383),"",data!AK383)</f>
        <v/>
      </c>
      <c r="D354" s="11" t="str">
        <f>IF(ISBLANK(data!AL383),"",data!AL383)</f>
        <v/>
      </c>
      <c r="E354" s="11" t="str">
        <f>IF(ISBLANK(data!AM383),"",data!AM383)</f>
        <v/>
      </c>
    </row>
    <row r="355" spans="1:5" x14ac:dyDescent="0.3">
      <c r="A355" s="13" t="str">
        <f>IF(ISBLANK(data!AI384),"",data!AI384)</f>
        <v/>
      </c>
      <c r="B355" s="11" t="str">
        <f>IF(ISBLANK(data!AJ384),"",data!AJ384)</f>
        <v/>
      </c>
      <c r="C355" s="11" t="str">
        <f>IF(ISBLANK(data!AK384),"",data!AK384)</f>
        <v/>
      </c>
      <c r="D355" s="11" t="str">
        <f>IF(ISBLANK(data!AL384),"",data!AL384)</f>
        <v/>
      </c>
      <c r="E355" s="11" t="str">
        <f>IF(ISBLANK(data!AM384),"",data!AM384)</f>
        <v/>
      </c>
    </row>
    <row r="356" spans="1:5" x14ac:dyDescent="0.3">
      <c r="A356" s="13" t="str">
        <f>IF(ISBLANK(data!AI385),"",data!AI385)</f>
        <v/>
      </c>
      <c r="B356" s="11" t="str">
        <f>IF(ISBLANK(data!AJ385),"",data!AJ385)</f>
        <v/>
      </c>
      <c r="C356" s="11" t="str">
        <f>IF(ISBLANK(data!AK385),"",data!AK385)</f>
        <v/>
      </c>
      <c r="D356" s="11" t="str">
        <f>IF(ISBLANK(data!AL385),"",data!AL385)</f>
        <v/>
      </c>
      <c r="E356" s="11" t="str">
        <f>IF(ISBLANK(data!AM385),"",data!AM385)</f>
        <v/>
      </c>
    </row>
    <row r="357" spans="1:5" x14ac:dyDescent="0.3">
      <c r="A357" s="13" t="str">
        <f>IF(ISBLANK(data!AI386),"",data!AI386)</f>
        <v/>
      </c>
      <c r="B357" s="11" t="str">
        <f>IF(ISBLANK(data!AJ386),"",data!AJ386)</f>
        <v/>
      </c>
      <c r="C357" s="11" t="str">
        <f>IF(ISBLANK(data!AK386),"",data!AK386)</f>
        <v/>
      </c>
      <c r="D357" s="11" t="str">
        <f>IF(ISBLANK(data!AL386),"",data!AL386)</f>
        <v/>
      </c>
      <c r="E357" s="11" t="str">
        <f>IF(ISBLANK(data!AM386),"",data!AM386)</f>
        <v/>
      </c>
    </row>
    <row r="358" spans="1:5" x14ac:dyDescent="0.3">
      <c r="A358" s="13" t="str">
        <f>IF(ISBLANK(data!AI387),"",data!AI387)</f>
        <v/>
      </c>
      <c r="B358" s="11" t="str">
        <f>IF(ISBLANK(data!AJ387),"",data!AJ387)</f>
        <v/>
      </c>
      <c r="C358" s="11" t="str">
        <f>IF(ISBLANK(data!AK387),"",data!AK387)</f>
        <v/>
      </c>
      <c r="D358" s="11" t="str">
        <f>IF(ISBLANK(data!AL387),"",data!AL387)</f>
        <v/>
      </c>
      <c r="E358" s="11" t="str">
        <f>IF(ISBLANK(data!AM387),"",data!AM387)</f>
        <v/>
      </c>
    </row>
    <row r="359" spans="1:5" x14ac:dyDescent="0.3">
      <c r="A359" s="13" t="str">
        <f>IF(ISBLANK(data!AI388),"",data!AI388)</f>
        <v/>
      </c>
      <c r="B359" s="11" t="str">
        <f>IF(ISBLANK(data!AJ388),"",data!AJ388)</f>
        <v/>
      </c>
      <c r="C359" s="11" t="str">
        <f>IF(ISBLANK(data!AK388),"",data!AK388)</f>
        <v/>
      </c>
      <c r="D359" s="11" t="str">
        <f>IF(ISBLANK(data!AL388),"",data!AL388)</f>
        <v/>
      </c>
      <c r="E359" s="11" t="str">
        <f>IF(ISBLANK(data!AM388),"",data!AM388)</f>
        <v/>
      </c>
    </row>
    <row r="360" spans="1:5" x14ac:dyDescent="0.3">
      <c r="A360" s="13" t="str">
        <f>IF(ISBLANK(data!AI389),"",data!AI389)</f>
        <v/>
      </c>
      <c r="B360" s="11" t="str">
        <f>IF(ISBLANK(data!AJ389),"",data!AJ389)</f>
        <v/>
      </c>
      <c r="C360" s="11" t="str">
        <f>IF(ISBLANK(data!AK389),"",data!AK389)</f>
        <v/>
      </c>
      <c r="D360" s="11" t="str">
        <f>IF(ISBLANK(data!AL389),"",data!AL389)</f>
        <v/>
      </c>
      <c r="E360" s="11" t="str">
        <f>IF(ISBLANK(data!AM389),"",data!AM389)</f>
        <v/>
      </c>
    </row>
    <row r="361" spans="1:5" x14ac:dyDescent="0.3">
      <c r="A361" s="13" t="str">
        <f>IF(ISBLANK(data!AI390),"",data!AI390)</f>
        <v/>
      </c>
      <c r="B361" s="11" t="str">
        <f>IF(ISBLANK(data!AJ390),"",data!AJ390)</f>
        <v/>
      </c>
      <c r="C361" s="11" t="str">
        <f>IF(ISBLANK(data!AK390),"",data!AK390)</f>
        <v/>
      </c>
      <c r="D361" s="11" t="str">
        <f>IF(ISBLANK(data!AL390),"",data!AL390)</f>
        <v/>
      </c>
      <c r="E361" s="11" t="str">
        <f>IF(ISBLANK(data!AM390),"",data!AM390)</f>
        <v/>
      </c>
    </row>
    <row r="362" spans="1:5" x14ac:dyDescent="0.3">
      <c r="A362" s="13" t="str">
        <f>IF(ISBLANK(data!AI391),"",data!AI391)</f>
        <v/>
      </c>
      <c r="B362" s="11" t="str">
        <f>IF(ISBLANK(data!AJ391),"",data!AJ391)</f>
        <v/>
      </c>
      <c r="C362" s="11" t="str">
        <f>IF(ISBLANK(data!AK391),"",data!AK391)</f>
        <v/>
      </c>
      <c r="D362" s="11" t="str">
        <f>IF(ISBLANK(data!AL391),"",data!AL391)</f>
        <v/>
      </c>
      <c r="E362" s="11" t="str">
        <f>IF(ISBLANK(data!AM391),"",data!AM391)</f>
        <v/>
      </c>
    </row>
    <row r="363" spans="1:5" x14ac:dyDescent="0.3">
      <c r="A363" s="13" t="str">
        <f>IF(ISBLANK(data!AI392),"",data!AI392)</f>
        <v/>
      </c>
      <c r="B363" s="11" t="str">
        <f>IF(ISBLANK(data!AJ392),"",data!AJ392)</f>
        <v/>
      </c>
      <c r="C363" s="11" t="str">
        <f>IF(ISBLANK(data!AK392),"",data!AK392)</f>
        <v/>
      </c>
      <c r="D363" s="11" t="str">
        <f>IF(ISBLANK(data!AL392),"",data!AL392)</f>
        <v/>
      </c>
      <c r="E363" s="11" t="str">
        <f>IF(ISBLANK(data!AM392),"",data!AM392)</f>
        <v/>
      </c>
    </row>
    <row r="364" spans="1:5" x14ac:dyDescent="0.3">
      <c r="A364" s="13" t="str">
        <f>IF(ISBLANK(data!AI393),"",data!AI393)</f>
        <v/>
      </c>
      <c r="B364" s="11" t="str">
        <f>IF(ISBLANK(data!AJ393),"",data!AJ393)</f>
        <v/>
      </c>
      <c r="C364" s="11" t="str">
        <f>IF(ISBLANK(data!AK393),"",data!AK393)</f>
        <v/>
      </c>
      <c r="D364" s="11" t="str">
        <f>IF(ISBLANK(data!AL393),"",data!AL393)</f>
        <v/>
      </c>
      <c r="E364" s="11" t="str">
        <f>IF(ISBLANK(data!AM393),"",data!AM393)</f>
        <v/>
      </c>
    </row>
    <row r="365" spans="1:5" x14ac:dyDescent="0.3">
      <c r="A365" s="13" t="str">
        <f>IF(ISBLANK(data!AI394),"",data!AI394)</f>
        <v/>
      </c>
      <c r="B365" s="11" t="str">
        <f>IF(ISBLANK(data!AJ394),"",data!AJ394)</f>
        <v/>
      </c>
      <c r="C365" s="11" t="str">
        <f>IF(ISBLANK(data!AK394),"",data!AK394)</f>
        <v/>
      </c>
      <c r="D365" s="11" t="str">
        <f>IF(ISBLANK(data!AL394),"",data!AL394)</f>
        <v/>
      </c>
      <c r="E365" s="11" t="str">
        <f>IF(ISBLANK(data!AM394),"",data!AM394)</f>
        <v/>
      </c>
    </row>
    <row r="366" spans="1:5" x14ac:dyDescent="0.3">
      <c r="A366" s="13" t="str">
        <f>IF(ISBLANK(data!AI395),"",data!AI395)</f>
        <v/>
      </c>
      <c r="B366" s="11" t="str">
        <f>IF(ISBLANK(data!AJ395),"",data!AJ395)</f>
        <v/>
      </c>
      <c r="C366" s="11" t="str">
        <f>IF(ISBLANK(data!AK395),"",data!AK395)</f>
        <v/>
      </c>
      <c r="D366" s="11" t="str">
        <f>IF(ISBLANK(data!AL395),"",data!AL395)</f>
        <v/>
      </c>
      <c r="E366" s="11" t="str">
        <f>IF(ISBLANK(data!AM395),"",data!AM395)</f>
        <v/>
      </c>
    </row>
    <row r="367" spans="1:5" x14ac:dyDescent="0.3">
      <c r="A367" s="13" t="str">
        <f>IF(ISBLANK(data!AI396),"",data!AI396)</f>
        <v/>
      </c>
      <c r="B367" s="11" t="str">
        <f>IF(ISBLANK(data!AJ396),"",data!AJ396)</f>
        <v/>
      </c>
      <c r="C367" s="11" t="str">
        <f>IF(ISBLANK(data!AK396),"",data!AK396)</f>
        <v/>
      </c>
      <c r="D367" s="11" t="str">
        <f>IF(ISBLANK(data!AL396),"",data!AL396)</f>
        <v/>
      </c>
      <c r="E367" s="11" t="str">
        <f>IF(ISBLANK(data!AM396),"",data!AM396)</f>
        <v/>
      </c>
    </row>
    <row r="368" spans="1:5" x14ac:dyDescent="0.3">
      <c r="A368" s="13" t="str">
        <f>IF(ISBLANK(data!AI397),"",data!AI397)</f>
        <v/>
      </c>
      <c r="B368" s="11" t="str">
        <f>IF(ISBLANK(data!AJ397),"",data!AJ397)</f>
        <v/>
      </c>
      <c r="C368" s="11" t="str">
        <f>IF(ISBLANK(data!AK397),"",data!AK397)</f>
        <v/>
      </c>
      <c r="D368" s="11" t="str">
        <f>IF(ISBLANK(data!AL397),"",data!AL397)</f>
        <v/>
      </c>
      <c r="E368" s="11" t="str">
        <f>IF(ISBLANK(data!AM397),"",data!AM397)</f>
        <v/>
      </c>
    </row>
    <row r="369" spans="1:5" x14ac:dyDescent="0.3">
      <c r="A369" s="13" t="str">
        <f>IF(ISBLANK(data!AI398),"",data!AI398)</f>
        <v/>
      </c>
      <c r="B369" s="11" t="str">
        <f>IF(ISBLANK(data!AJ398),"",data!AJ398)</f>
        <v/>
      </c>
      <c r="C369" s="11" t="str">
        <f>IF(ISBLANK(data!AK398),"",data!AK398)</f>
        <v/>
      </c>
      <c r="D369" s="11" t="str">
        <f>IF(ISBLANK(data!AL398),"",data!AL398)</f>
        <v/>
      </c>
      <c r="E369" s="11" t="str">
        <f>IF(ISBLANK(data!AM398),"",data!AM398)</f>
        <v/>
      </c>
    </row>
    <row r="370" spans="1:5" x14ac:dyDescent="0.3">
      <c r="A370" s="13" t="str">
        <f>IF(ISBLANK(data!AI399),"",data!AI399)</f>
        <v/>
      </c>
      <c r="B370" s="11" t="str">
        <f>IF(ISBLANK(data!AJ399),"",data!AJ399)</f>
        <v/>
      </c>
      <c r="C370" s="11" t="str">
        <f>IF(ISBLANK(data!AK399),"",data!AK399)</f>
        <v/>
      </c>
      <c r="D370" s="11" t="str">
        <f>IF(ISBLANK(data!AL399),"",data!AL399)</f>
        <v/>
      </c>
      <c r="E370" s="11" t="str">
        <f>IF(ISBLANK(data!AM399),"",data!AM399)</f>
        <v/>
      </c>
    </row>
    <row r="371" spans="1:5" x14ac:dyDescent="0.3">
      <c r="A371" s="13" t="str">
        <f>IF(ISBLANK(data!AI400),"",data!AI400)</f>
        <v/>
      </c>
      <c r="B371" s="11" t="str">
        <f>IF(ISBLANK(data!AJ400),"",data!AJ400)</f>
        <v/>
      </c>
      <c r="C371" s="11" t="str">
        <f>IF(ISBLANK(data!AK400),"",data!AK400)</f>
        <v/>
      </c>
      <c r="D371" s="11" t="str">
        <f>IF(ISBLANK(data!AL400),"",data!AL400)</f>
        <v/>
      </c>
      <c r="E371" s="11" t="str">
        <f>IF(ISBLANK(data!AM400),"",data!AM400)</f>
        <v/>
      </c>
    </row>
    <row r="372" spans="1:5" x14ac:dyDescent="0.3">
      <c r="A372" s="13" t="str">
        <f>IF(ISBLANK(data!AI401),"",data!AI401)</f>
        <v/>
      </c>
      <c r="B372" s="11" t="str">
        <f>IF(ISBLANK(data!AJ401),"",data!AJ401)</f>
        <v/>
      </c>
      <c r="C372" s="11" t="str">
        <f>IF(ISBLANK(data!AK401),"",data!AK401)</f>
        <v/>
      </c>
      <c r="D372" s="11" t="str">
        <f>IF(ISBLANK(data!AL401),"",data!AL401)</f>
        <v/>
      </c>
      <c r="E372" s="11" t="str">
        <f>IF(ISBLANK(data!AM401),"",data!AM401)</f>
        <v/>
      </c>
    </row>
    <row r="373" spans="1:5" x14ac:dyDescent="0.3">
      <c r="A373" s="13" t="str">
        <f>IF(ISBLANK(data!AI402),"",data!AI402)</f>
        <v/>
      </c>
      <c r="B373" s="11" t="str">
        <f>IF(ISBLANK(data!AJ402),"",data!AJ402)</f>
        <v/>
      </c>
      <c r="C373" s="11" t="str">
        <f>IF(ISBLANK(data!AK402),"",data!AK402)</f>
        <v/>
      </c>
      <c r="D373" s="11" t="str">
        <f>IF(ISBLANK(data!AL402),"",data!AL402)</f>
        <v/>
      </c>
      <c r="E373" s="11" t="str">
        <f>IF(ISBLANK(data!AM402),"",data!AM402)</f>
        <v/>
      </c>
    </row>
    <row r="374" spans="1:5" x14ac:dyDescent="0.3">
      <c r="A374" s="13" t="str">
        <f>IF(ISBLANK(data!AI403),"",data!AI403)</f>
        <v/>
      </c>
      <c r="B374" s="11" t="str">
        <f>IF(ISBLANK(data!AJ403),"",data!AJ403)</f>
        <v/>
      </c>
      <c r="C374" s="11" t="str">
        <f>IF(ISBLANK(data!AK403),"",data!AK403)</f>
        <v/>
      </c>
      <c r="D374" s="11" t="str">
        <f>IF(ISBLANK(data!AL403),"",data!AL403)</f>
        <v/>
      </c>
      <c r="E374" s="11" t="str">
        <f>IF(ISBLANK(data!AM403),"",data!AM403)</f>
        <v/>
      </c>
    </row>
    <row r="375" spans="1:5" x14ac:dyDescent="0.3">
      <c r="A375" s="13" t="str">
        <f>IF(ISBLANK(data!AI404),"",data!AI404)</f>
        <v/>
      </c>
      <c r="B375" s="11" t="str">
        <f>IF(ISBLANK(data!AJ404),"",data!AJ404)</f>
        <v/>
      </c>
      <c r="C375" s="11" t="str">
        <f>IF(ISBLANK(data!AK404),"",data!AK404)</f>
        <v/>
      </c>
      <c r="D375" s="11" t="str">
        <f>IF(ISBLANK(data!AL404),"",data!AL404)</f>
        <v/>
      </c>
      <c r="E375" s="11" t="str">
        <f>IF(ISBLANK(data!AM404),"",data!AM404)</f>
        <v/>
      </c>
    </row>
    <row r="376" spans="1:5" x14ac:dyDescent="0.3">
      <c r="A376" s="13" t="str">
        <f>IF(ISBLANK(data!AI405),"",data!AI405)</f>
        <v/>
      </c>
      <c r="B376" s="11" t="str">
        <f>IF(ISBLANK(data!AJ405),"",data!AJ405)</f>
        <v/>
      </c>
      <c r="C376" s="11" t="str">
        <f>IF(ISBLANK(data!AK405),"",data!AK405)</f>
        <v/>
      </c>
      <c r="D376" s="11" t="str">
        <f>IF(ISBLANK(data!AL405),"",data!AL405)</f>
        <v/>
      </c>
      <c r="E376" s="11" t="str">
        <f>IF(ISBLANK(data!AM405),"",data!AM405)</f>
        <v/>
      </c>
    </row>
    <row r="377" spans="1:5" x14ac:dyDescent="0.3">
      <c r="A377" s="13" t="str">
        <f>IF(ISBLANK(data!AI406),"",data!AI406)</f>
        <v/>
      </c>
      <c r="B377" s="11" t="str">
        <f>IF(ISBLANK(data!AJ406),"",data!AJ406)</f>
        <v/>
      </c>
      <c r="C377" s="11" t="str">
        <f>IF(ISBLANK(data!AK406),"",data!AK406)</f>
        <v/>
      </c>
      <c r="D377" s="11" t="str">
        <f>IF(ISBLANK(data!AL406),"",data!AL406)</f>
        <v/>
      </c>
      <c r="E377" s="11" t="str">
        <f>IF(ISBLANK(data!AM406),"",data!AM406)</f>
        <v/>
      </c>
    </row>
    <row r="378" spans="1:5" x14ac:dyDescent="0.3">
      <c r="A378" s="13" t="str">
        <f>IF(ISBLANK(data!AI407),"",data!AI407)</f>
        <v/>
      </c>
      <c r="B378" s="11" t="str">
        <f>IF(ISBLANK(data!AJ407),"",data!AJ407)</f>
        <v/>
      </c>
      <c r="C378" s="11" t="str">
        <f>IF(ISBLANK(data!AK407),"",data!AK407)</f>
        <v/>
      </c>
      <c r="D378" s="11" t="str">
        <f>IF(ISBLANK(data!AL407),"",data!AL407)</f>
        <v/>
      </c>
      <c r="E378" s="11" t="str">
        <f>IF(ISBLANK(data!AM407),"",data!AM407)</f>
        <v/>
      </c>
    </row>
    <row r="379" spans="1:5" x14ac:dyDescent="0.3">
      <c r="A379" s="13" t="str">
        <f>IF(ISBLANK(data!AI408),"",data!AI408)</f>
        <v/>
      </c>
      <c r="B379" s="11" t="str">
        <f>IF(ISBLANK(data!AJ408),"",data!AJ408)</f>
        <v/>
      </c>
      <c r="C379" s="11" t="str">
        <f>IF(ISBLANK(data!AK408),"",data!AK408)</f>
        <v/>
      </c>
      <c r="D379" s="11" t="str">
        <f>IF(ISBLANK(data!AL408),"",data!AL408)</f>
        <v/>
      </c>
      <c r="E379" s="11" t="str">
        <f>IF(ISBLANK(data!AM408),"",data!AM408)</f>
        <v/>
      </c>
    </row>
    <row r="380" spans="1:5" x14ac:dyDescent="0.3">
      <c r="A380" s="13" t="str">
        <f>IF(ISBLANK(data!AI409),"",data!AI409)</f>
        <v/>
      </c>
      <c r="B380" s="11" t="str">
        <f>IF(ISBLANK(data!AJ409),"",data!AJ409)</f>
        <v/>
      </c>
      <c r="C380" s="11" t="str">
        <f>IF(ISBLANK(data!AK409),"",data!AK409)</f>
        <v/>
      </c>
      <c r="D380" s="11" t="str">
        <f>IF(ISBLANK(data!AL409),"",data!AL409)</f>
        <v/>
      </c>
      <c r="E380" s="11" t="str">
        <f>IF(ISBLANK(data!AM409),"",data!AM409)</f>
        <v/>
      </c>
    </row>
    <row r="381" spans="1:5" x14ac:dyDescent="0.3">
      <c r="A381" s="13" t="str">
        <f>IF(ISBLANK(data!AI410),"",data!AI410)</f>
        <v/>
      </c>
      <c r="B381" s="11" t="str">
        <f>IF(ISBLANK(data!AJ410),"",data!AJ410)</f>
        <v/>
      </c>
      <c r="C381" s="11" t="str">
        <f>IF(ISBLANK(data!AK410),"",data!AK410)</f>
        <v/>
      </c>
      <c r="D381" s="11" t="str">
        <f>IF(ISBLANK(data!AL410),"",data!AL410)</f>
        <v/>
      </c>
      <c r="E381" s="11" t="str">
        <f>IF(ISBLANK(data!AM410),"",data!AM410)</f>
        <v/>
      </c>
    </row>
    <row r="382" spans="1:5" x14ac:dyDescent="0.3">
      <c r="A382" s="13" t="str">
        <f>IF(ISBLANK(data!AI411),"",data!AI411)</f>
        <v/>
      </c>
      <c r="B382" s="11" t="str">
        <f>IF(ISBLANK(data!AJ411),"",data!AJ411)</f>
        <v/>
      </c>
      <c r="C382" s="11" t="str">
        <f>IF(ISBLANK(data!AK411),"",data!AK411)</f>
        <v/>
      </c>
      <c r="D382" s="11" t="str">
        <f>IF(ISBLANK(data!AL411),"",data!AL411)</f>
        <v/>
      </c>
      <c r="E382" s="11" t="str">
        <f>IF(ISBLANK(data!AM411),"",data!AM411)</f>
        <v/>
      </c>
    </row>
    <row r="383" spans="1:5" x14ac:dyDescent="0.3">
      <c r="A383" s="13" t="str">
        <f>IF(ISBLANK(data!AI412),"",data!AI412)</f>
        <v/>
      </c>
      <c r="B383" s="11" t="str">
        <f>IF(ISBLANK(data!AJ412),"",data!AJ412)</f>
        <v/>
      </c>
      <c r="C383" s="11" t="str">
        <f>IF(ISBLANK(data!AK412),"",data!AK412)</f>
        <v/>
      </c>
      <c r="D383" s="11" t="str">
        <f>IF(ISBLANK(data!AL412),"",data!AL412)</f>
        <v/>
      </c>
      <c r="E383" s="11" t="str">
        <f>IF(ISBLANK(data!AM412),"",data!AM412)</f>
        <v/>
      </c>
    </row>
    <row r="384" spans="1:5" x14ac:dyDescent="0.3">
      <c r="A384" s="13" t="str">
        <f>IF(ISBLANK(data!AI413),"",data!AI413)</f>
        <v/>
      </c>
      <c r="B384" s="11" t="str">
        <f>IF(ISBLANK(data!AJ413),"",data!AJ413)</f>
        <v/>
      </c>
      <c r="C384" s="11" t="str">
        <f>IF(ISBLANK(data!AK413),"",data!AK413)</f>
        <v/>
      </c>
      <c r="D384" s="11" t="str">
        <f>IF(ISBLANK(data!AL413),"",data!AL413)</f>
        <v/>
      </c>
      <c r="E384" s="11" t="str">
        <f>IF(ISBLANK(data!AM413),"",data!AM413)</f>
        <v/>
      </c>
    </row>
    <row r="385" spans="1:5" x14ac:dyDescent="0.3">
      <c r="A385" s="13" t="str">
        <f>IF(ISBLANK(data!AI414),"",data!AI414)</f>
        <v/>
      </c>
      <c r="B385" s="11" t="str">
        <f>IF(ISBLANK(data!AJ414),"",data!AJ414)</f>
        <v/>
      </c>
      <c r="C385" s="11" t="str">
        <f>IF(ISBLANK(data!AK414),"",data!AK414)</f>
        <v/>
      </c>
      <c r="D385" s="11" t="str">
        <f>IF(ISBLANK(data!AL414),"",data!AL414)</f>
        <v/>
      </c>
      <c r="E385" s="11" t="str">
        <f>IF(ISBLANK(data!AM414),"",data!AM414)</f>
        <v/>
      </c>
    </row>
    <row r="386" spans="1:5" x14ac:dyDescent="0.3">
      <c r="A386" s="13" t="str">
        <f>IF(ISBLANK(data!AI415),"",data!AI415)</f>
        <v/>
      </c>
      <c r="B386" s="11" t="str">
        <f>IF(ISBLANK(data!AJ415),"",data!AJ415)</f>
        <v/>
      </c>
      <c r="C386" s="11" t="str">
        <f>IF(ISBLANK(data!AK415),"",data!AK415)</f>
        <v/>
      </c>
      <c r="D386" s="11" t="str">
        <f>IF(ISBLANK(data!AL415),"",data!AL415)</f>
        <v/>
      </c>
      <c r="E386" s="11" t="str">
        <f>IF(ISBLANK(data!AM415),"",data!AM415)</f>
        <v/>
      </c>
    </row>
    <row r="387" spans="1:5" x14ac:dyDescent="0.3">
      <c r="A387" s="13" t="str">
        <f>IF(ISBLANK(data!AI416),"",data!AI416)</f>
        <v/>
      </c>
      <c r="B387" s="11" t="str">
        <f>IF(ISBLANK(data!AJ416),"",data!AJ416)</f>
        <v/>
      </c>
      <c r="C387" s="11" t="str">
        <f>IF(ISBLANK(data!AK416),"",data!AK416)</f>
        <v/>
      </c>
      <c r="D387" s="11" t="str">
        <f>IF(ISBLANK(data!AL416),"",data!AL416)</f>
        <v/>
      </c>
      <c r="E387" s="11" t="str">
        <f>IF(ISBLANK(data!AM416),"",data!AM416)</f>
        <v/>
      </c>
    </row>
    <row r="388" spans="1:5" x14ac:dyDescent="0.3">
      <c r="A388" s="13" t="str">
        <f>IF(ISBLANK(data!AI417),"",data!AI417)</f>
        <v/>
      </c>
      <c r="B388" s="11" t="str">
        <f>IF(ISBLANK(data!AJ417),"",data!AJ417)</f>
        <v/>
      </c>
      <c r="C388" s="11" t="str">
        <f>IF(ISBLANK(data!AK417),"",data!AK417)</f>
        <v/>
      </c>
      <c r="D388" s="11" t="str">
        <f>IF(ISBLANK(data!AL417),"",data!AL417)</f>
        <v/>
      </c>
      <c r="E388" s="11" t="str">
        <f>IF(ISBLANK(data!AM417),"",data!AM417)</f>
        <v/>
      </c>
    </row>
    <row r="389" spans="1:5" x14ac:dyDescent="0.3">
      <c r="A389" s="13" t="str">
        <f>IF(ISBLANK(data!AI418),"",data!AI418)</f>
        <v/>
      </c>
      <c r="B389" s="11" t="str">
        <f>IF(ISBLANK(data!AJ418),"",data!AJ418)</f>
        <v/>
      </c>
      <c r="C389" s="11" t="str">
        <f>IF(ISBLANK(data!AK418),"",data!AK418)</f>
        <v/>
      </c>
      <c r="D389" s="11" t="str">
        <f>IF(ISBLANK(data!AL418),"",data!AL418)</f>
        <v/>
      </c>
      <c r="E389" s="11" t="str">
        <f>IF(ISBLANK(data!AM418),"",data!AM418)</f>
        <v/>
      </c>
    </row>
    <row r="390" spans="1:5" x14ac:dyDescent="0.3">
      <c r="A390" s="13" t="str">
        <f>IF(ISBLANK(data!AI419),"",data!AI419)</f>
        <v/>
      </c>
      <c r="B390" s="11" t="str">
        <f>IF(ISBLANK(data!AJ419),"",data!AJ419)</f>
        <v/>
      </c>
      <c r="C390" s="11" t="str">
        <f>IF(ISBLANK(data!AK419),"",data!AK419)</f>
        <v/>
      </c>
      <c r="D390" s="11" t="str">
        <f>IF(ISBLANK(data!AL419),"",data!AL419)</f>
        <v/>
      </c>
      <c r="E390" s="11" t="str">
        <f>IF(ISBLANK(data!AM419),"",data!AM419)</f>
        <v/>
      </c>
    </row>
    <row r="391" spans="1:5" x14ac:dyDescent="0.3">
      <c r="A391" s="13" t="str">
        <f>IF(ISBLANK(data!AI420),"",data!AI420)</f>
        <v/>
      </c>
      <c r="B391" s="11" t="str">
        <f>IF(ISBLANK(data!AJ420),"",data!AJ420)</f>
        <v/>
      </c>
      <c r="C391" s="11" t="str">
        <f>IF(ISBLANK(data!AK420),"",data!AK420)</f>
        <v/>
      </c>
      <c r="D391" s="11" t="str">
        <f>IF(ISBLANK(data!AL420),"",data!AL420)</f>
        <v/>
      </c>
      <c r="E391" s="11" t="str">
        <f>IF(ISBLANK(data!AM420),"",data!AM420)</f>
        <v/>
      </c>
    </row>
    <row r="392" spans="1:5" x14ac:dyDescent="0.3">
      <c r="A392" s="13" t="str">
        <f>IF(ISBLANK(data!AI421),"",data!AI421)</f>
        <v/>
      </c>
      <c r="B392" s="11" t="str">
        <f>IF(ISBLANK(data!AJ421),"",data!AJ421)</f>
        <v/>
      </c>
      <c r="C392" s="11" t="str">
        <f>IF(ISBLANK(data!AK421),"",data!AK421)</f>
        <v/>
      </c>
      <c r="D392" s="11" t="str">
        <f>IF(ISBLANK(data!AL421),"",data!AL421)</f>
        <v/>
      </c>
      <c r="E392" s="11" t="str">
        <f>IF(ISBLANK(data!AM421),"",data!AM421)</f>
        <v/>
      </c>
    </row>
    <row r="393" spans="1:5" x14ac:dyDescent="0.3">
      <c r="A393" s="13" t="str">
        <f>IF(ISBLANK(data!AI422),"",data!AI422)</f>
        <v/>
      </c>
      <c r="B393" s="11" t="str">
        <f>IF(ISBLANK(data!AJ422),"",data!AJ422)</f>
        <v/>
      </c>
      <c r="C393" s="11" t="str">
        <f>IF(ISBLANK(data!AK422),"",data!AK422)</f>
        <v/>
      </c>
      <c r="D393" s="11" t="str">
        <f>IF(ISBLANK(data!AL422),"",data!AL422)</f>
        <v/>
      </c>
      <c r="E393" s="11" t="str">
        <f>IF(ISBLANK(data!AM422),"",data!AM422)</f>
        <v/>
      </c>
    </row>
    <row r="394" spans="1:5" x14ac:dyDescent="0.3">
      <c r="A394" s="13" t="str">
        <f>IF(ISBLANK(data!AI423),"",data!AI423)</f>
        <v/>
      </c>
      <c r="B394" s="11" t="str">
        <f>IF(ISBLANK(data!AJ423),"",data!AJ423)</f>
        <v/>
      </c>
      <c r="C394" s="11" t="str">
        <f>IF(ISBLANK(data!AK423),"",data!AK423)</f>
        <v/>
      </c>
      <c r="D394" s="11" t="str">
        <f>IF(ISBLANK(data!AL423),"",data!AL423)</f>
        <v/>
      </c>
      <c r="E394" s="11" t="str">
        <f>IF(ISBLANK(data!AM423),"",data!AM423)</f>
        <v/>
      </c>
    </row>
    <row r="395" spans="1:5" x14ac:dyDescent="0.3">
      <c r="A395" s="13" t="str">
        <f>IF(ISBLANK(data!AI424),"",data!AI424)</f>
        <v/>
      </c>
      <c r="B395" s="11" t="str">
        <f>IF(ISBLANK(data!AJ424),"",data!AJ424)</f>
        <v/>
      </c>
      <c r="C395" s="11" t="str">
        <f>IF(ISBLANK(data!AK424),"",data!AK424)</f>
        <v/>
      </c>
      <c r="D395" s="11" t="str">
        <f>IF(ISBLANK(data!AL424),"",data!AL424)</f>
        <v/>
      </c>
      <c r="E395" s="11" t="str">
        <f>IF(ISBLANK(data!AM424),"",data!AM424)</f>
        <v/>
      </c>
    </row>
    <row r="396" spans="1:5" x14ac:dyDescent="0.3">
      <c r="A396" s="13" t="str">
        <f>IF(ISBLANK(data!AI425),"",data!AI425)</f>
        <v/>
      </c>
      <c r="B396" s="11" t="str">
        <f>IF(ISBLANK(data!AJ425),"",data!AJ425)</f>
        <v/>
      </c>
      <c r="C396" s="11" t="str">
        <f>IF(ISBLANK(data!AK425),"",data!AK425)</f>
        <v/>
      </c>
      <c r="D396" s="11" t="str">
        <f>IF(ISBLANK(data!AL425),"",data!AL425)</f>
        <v/>
      </c>
      <c r="E396" s="11" t="str">
        <f>IF(ISBLANK(data!AM425),"",data!AM425)</f>
        <v/>
      </c>
    </row>
    <row r="397" spans="1:5" x14ac:dyDescent="0.3">
      <c r="A397" s="13" t="str">
        <f>IF(ISBLANK(data!AI426),"",data!AI426)</f>
        <v/>
      </c>
      <c r="B397" s="11" t="str">
        <f>IF(ISBLANK(data!AJ426),"",data!AJ426)</f>
        <v/>
      </c>
      <c r="C397" s="11" t="str">
        <f>IF(ISBLANK(data!AK426),"",data!AK426)</f>
        <v/>
      </c>
      <c r="D397" s="11" t="str">
        <f>IF(ISBLANK(data!AL426),"",data!AL426)</f>
        <v/>
      </c>
      <c r="E397" s="11" t="str">
        <f>IF(ISBLANK(data!AM426),"",data!AM426)</f>
        <v/>
      </c>
    </row>
    <row r="398" spans="1:5" x14ac:dyDescent="0.3">
      <c r="A398" s="13" t="str">
        <f>IF(ISBLANK(data!AI427),"",data!AI427)</f>
        <v/>
      </c>
      <c r="B398" s="11" t="str">
        <f>IF(ISBLANK(data!AJ427),"",data!AJ427)</f>
        <v/>
      </c>
      <c r="C398" s="11" t="str">
        <f>IF(ISBLANK(data!AK427),"",data!AK427)</f>
        <v/>
      </c>
      <c r="D398" s="11" t="str">
        <f>IF(ISBLANK(data!AL427),"",data!AL427)</f>
        <v/>
      </c>
      <c r="E398" s="11" t="str">
        <f>IF(ISBLANK(data!AM427),"",data!AM427)</f>
        <v/>
      </c>
    </row>
    <row r="399" spans="1:5" x14ac:dyDescent="0.3">
      <c r="A399" s="13" t="str">
        <f>IF(ISBLANK(data!AI428),"",data!AI428)</f>
        <v/>
      </c>
      <c r="B399" s="11" t="str">
        <f>IF(ISBLANK(data!AJ428),"",data!AJ428)</f>
        <v/>
      </c>
      <c r="C399" s="11" t="str">
        <f>IF(ISBLANK(data!AK428),"",data!AK428)</f>
        <v/>
      </c>
      <c r="D399" s="11" t="str">
        <f>IF(ISBLANK(data!AL428),"",data!AL428)</f>
        <v/>
      </c>
      <c r="E399" s="11" t="str">
        <f>IF(ISBLANK(data!AM428),"",data!AM428)</f>
        <v/>
      </c>
    </row>
    <row r="400" spans="1:5" x14ac:dyDescent="0.3">
      <c r="A400" s="13" t="str">
        <f>IF(ISBLANK(data!AI429),"",data!AI429)</f>
        <v/>
      </c>
      <c r="B400" s="11" t="str">
        <f>IF(ISBLANK(data!AJ429),"",data!AJ429)</f>
        <v/>
      </c>
      <c r="C400" s="11" t="str">
        <f>IF(ISBLANK(data!AK429),"",data!AK429)</f>
        <v/>
      </c>
      <c r="D400" s="11" t="str">
        <f>IF(ISBLANK(data!AL429),"",data!AL429)</f>
        <v/>
      </c>
      <c r="E400" s="11" t="str">
        <f>IF(ISBLANK(data!AM429),"",data!AM429)</f>
        <v/>
      </c>
    </row>
    <row r="401" spans="1:5" x14ac:dyDescent="0.3">
      <c r="A401" s="13" t="str">
        <f>IF(ISBLANK(data!AI430),"",data!AI430)</f>
        <v/>
      </c>
      <c r="B401" s="11" t="str">
        <f>IF(ISBLANK(data!AJ430),"",data!AJ430)</f>
        <v/>
      </c>
      <c r="C401" s="11" t="str">
        <f>IF(ISBLANK(data!AK430),"",data!AK430)</f>
        <v/>
      </c>
      <c r="D401" s="11" t="str">
        <f>IF(ISBLANK(data!AL430),"",data!AL430)</f>
        <v/>
      </c>
      <c r="E401" s="11" t="str">
        <f>IF(ISBLANK(data!AM430),"",data!AM430)</f>
        <v/>
      </c>
    </row>
    <row r="402" spans="1:5" x14ac:dyDescent="0.3">
      <c r="A402" s="13" t="str">
        <f>IF(ISBLANK(data!AI431),"",data!AI431)</f>
        <v/>
      </c>
      <c r="B402" s="11" t="str">
        <f>IF(ISBLANK(data!AJ431),"",data!AJ431)</f>
        <v/>
      </c>
      <c r="C402" s="11" t="str">
        <f>IF(ISBLANK(data!AK431),"",data!AK431)</f>
        <v/>
      </c>
      <c r="D402" s="11" t="str">
        <f>IF(ISBLANK(data!AL431),"",data!AL431)</f>
        <v/>
      </c>
      <c r="E402" s="11" t="str">
        <f>IF(ISBLANK(data!AM431),"",data!AM431)</f>
        <v/>
      </c>
    </row>
    <row r="403" spans="1:5" x14ac:dyDescent="0.3">
      <c r="A403" s="13" t="str">
        <f>IF(ISBLANK(data!AI432),"",data!AI432)</f>
        <v/>
      </c>
      <c r="B403" s="11" t="str">
        <f>IF(ISBLANK(data!AJ432),"",data!AJ432)</f>
        <v/>
      </c>
      <c r="C403" s="11" t="str">
        <f>IF(ISBLANK(data!AK432),"",data!AK432)</f>
        <v/>
      </c>
      <c r="D403" s="11" t="str">
        <f>IF(ISBLANK(data!AL432),"",data!AL432)</f>
        <v/>
      </c>
      <c r="E403" s="11" t="str">
        <f>IF(ISBLANK(data!AM432),"",data!AM432)</f>
        <v/>
      </c>
    </row>
    <row r="404" spans="1:5" x14ac:dyDescent="0.3">
      <c r="A404" s="13" t="str">
        <f>IF(ISBLANK(data!AI433),"",data!AI433)</f>
        <v/>
      </c>
      <c r="B404" s="11" t="str">
        <f>IF(ISBLANK(data!AJ433),"",data!AJ433)</f>
        <v/>
      </c>
      <c r="C404" s="11" t="str">
        <f>IF(ISBLANK(data!AK433),"",data!AK433)</f>
        <v/>
      </c>
      <c r="D404" s="11" t="str">
        <f>IF(ISBLANK(data!AL433),"",data!AL433)</f>
        <v/>
      </c>
      <c r="E404" s="11" t="str">
        <f>IF(ISBLANK(data!AM433),"",data!AM433)</f>
        <v/>
      </c>
    </row>
    <row r="405" spans="1:5" x14ac:dyDescent="0.3">
      <c r="A405" s="13" t="str">
        <f>IF(ISBLANK(data!AI434),"",data!AI434)</f>
        <v/>
      </c>
      <c r="B405" s="11" t="str">
        <f>IF(ISBLANK(data!AJ434),"",data!AJ434)</f>
        <v/>
      </c>
      <c r="C405" s="11" t="str">
        <f>IF(ISBLANK(data!AK434),"",data!AK434)</f>
        <v/>
      </c>
      <c r="D405" s="11" t="str">
        <f>IF(ISBLANK(data!AL434),"",data!AL434)</f>
        <v/>
      </c>
      <c r="E405" s="11" t="str">
        <f>IF(ISBLANK(data!AM434),"",data!AM434)</f>
        <v/>
      </c>
    </row>
    <row r="406" spans="1:5" x14ac:dyDescent="0.3">
      <c r="A406" s="13" t="str">
        <f>IF(ISBLANK(data!AI435),"",data!AI435)</f>
        <v/>
      </c>
      <c r="B406" s="11" t="str">
        <f>IF(ISBLANK(data!AJ435),"",data!AJ435)</f>
        <v/>
      </c>
      <c r="C406" s="11" t="str">
        <f>IF(ISBLANK(data!AK435),"",data!AK435)</f>
        <v/>
      </c>
      <c r="D406" s="11" t="str">
        <f>IF(ISBLANK(data!AL435),"",data!AL435)</f>
        <v/>
      </c>
      <c r="E406" s="11" t="str">
        <f>IF(ISBLANK(data!AM435),"",data!AM435)</f>
        <v/>
      </c>
    </row>
    <row r="407" spans="1:5" x14ac:dyDescent="0.3">
      <c r="A407" s="13" t="str">
        <f>IF(ISBLANK(data!AI436),"",data!AI436)</f>
        <v/>
      </c>
      <c r="B407" s="11" t="str">
        <f>IF(ISBLANK(data!AJ436),"",data!AJ436)</f>
        <v/>
      </c>
      <c r="C407" s="11" t="str">
        <f>IF(ISBLANK(data!AK436),"",data!AK436)</f>
        <v/>
      </c>
      <c r="D407" s="11" t="str">
        <f>IF(ISBLANK(data!AL436),"",data!AL436)</f>
        <v/>
      </c>
      <c r="E407" s="11" t="str">
        <f>IF(ISBLANK(data!AM436),"",data!AM436)</f>
        <v/>
      </c>
    </row>
    <row r="408" spans="1:5" x14ac:dyDescent="0.3">
      <c r="A408" s="13" t="str">
        <f>IF(ISBLANK(data!AI437),"",data!AI437)</f>
        <v/>
      </c>
      <c r="B408" s="11" t="str">
        <f>IF(ISBLANK(data!AJ437),"",data!AJ437)</f>
        <v/>
      </c>
      <c r="C408" s="11" t="str">
        <f>IF(ISBLANK(data!AK437),"",data!AK437)</f>
        <v/>
      </c>
      <c r="D408" s="11" t="str">
        <f>IF(ISBLANK(data!AL437),"",data!AL437)</f>
        <v/>
      </c>
      <c r="E408" s="11" t="str">
        <f>IF(ISBLANK(data!AM437),"",data!AM437)</f>
        <v/>
      </c>
    </row>
    <row r="409" spans="1:5" x14ac:dyDescent="0.3">
      <c r="A409" s="13" t="str">
        <f>IF(ISBLANK(data!AI438),"",data!AI438)</f>
        <v/>
      </c>
      <c r="B409" s="11" t="str">
        <f>IF(ISBLANK(data!AJ438),"",data!AJ438)</f>
        <v/>
      </c>
      <c r="C409" s="11" t="str">
        <f>IF(ISBLANK(data!AK438),"",data!AK438)</f>
        <v/>
      </c>
      <c r="D409" s="11" t="str">
        <f>IF(ISBLANK(data!AL438),"",data!AL438)</f>
        <v/>
      </c>
      <c r="E409" s="11" t="str">
        <f>IF(ISBLANK(data!AM438),"",data!AM438)</f>
        <v/>
      </c>
    </row>
    <row r="410" spans="1:5" x14ac:dyDescent="0.3">
      <c r="A410" s="13" t="str">
        <f>IF(ISBLANK(data!AI439),"",data!AI439)</f>
        <v/>
      </c>
      <c r="B410" s="11" t="str">
        <f>IF(ISBLANK(data!AJ439),"",data!AJ439)</f>
        <v/>
      </c>
      <c r="C410" s="11" t="str">
        <f>IF(ISBLANK(data!AK439),"",data!AK439)</f>
        <v/>
      </c>
      <c r="D410" s="11" t="str">
        <f>IF(ISBLANK(data!AL439),"",data!AL439)</f>
        <v/>
      </c>
      <c r="E410" s="11" t="str">
        <f>IF(ISBLANK(data!AM439),"",data!AM439)</f>
        <v/>
      </c>
    </row>
    <row r="411" spans="1:5" x14ac:dyDescent="0.3">
      <c r="A411" s="13" t="str">
        <f>IF(ISBLANK(data!AI440),"",data!AI440)</f>
        <v/>
      </c>
      <c r="B411" s="11" t="str">
        <f>IF(ISBLANK(data!AJ440),"",data!AJ440)</f>
        <v/>
      </c>
      <c r="C411" s="11" t="str">
        <f>IF(ISBLANK(data!AK440),"",data!AK440)</f>
        <v/>
      </c>
      <c r="D411" s="11" t="str">
        <f>IF(ISBLANK(data!AL440),"",data!AL440)</f>
        <v/>
      </c>
      <c r="E411" s="11" t="str">
        <f>IF(ISBLANK(data!AM440),"",data!AM440)</f>
        <v/>
      </c>
    </row>
    <row r="412" spans="1:5" x14ac:dyDescent="0.3">
      <c r="A412" s="13" t="str">
        <f>IF(ISBLANK(data!AI441),"",data!AI441)</f>
        <v/>
      </c>
      <c r="B412" s="11" t="str">
        <f>IF(ISBLANK(data!AJ441),"",data!AJ441)</f>
        <v/>
      </c>
      <c r="C412" s="11" t="str">
        <f>IF(ISBLANK(data!AK441),"",data!AK441)</f>
        <v/>
      </c>
      <c r="D412" s="11" t="str">
        <f>IF(ISBLANK(data!AL441),"",data!AL441)</f>
        <v/>
      </c>
      <c r="E412" s="11" t="str">
        <f>IF(ISBLANK(data!AM441),"",data!AM441)</f>
        <v/>
      </c>
    </row>
    <row r="413" spans="1:5" x14ac:dyDescent="0.3">
      <c r="A413" s="13" t="str">
        <f>IF(ISBLANK(data!AI442),"",data!AI442)</f>
        <v/>
      </c>
      <c r="B413" s="11" t="str">
        <f>IF(ISBLANK(data!AJ442),"",data!AJ442)</f>
        <v/>
      </c>
      <c r="C413" s="11" t="str">
        <f>IF(ISBLANK(data!AK442),"",data!AK442)</f>
        <v/>
      </c>
      <c r="D413" s="11" t="str">
        <f>IF(ISBLANK(data!AL442),"",data!AL442)</f>
        <v/>
      </c>
      <c r="E413" s="11" t="str">
        <f>IF(ISBLANK(data!AM442),"",data!AM442)</f>
        <v/>
      </c>
    </row>
    <row r="414" spans="1:5" x14ac:dyDescent="0.3">
      <c r="A414" s="13" t="str">
        <f>IF(ISBLANK(data!AI443),"",data!AI443)</f>
        <v/>
      </c>
      <c r="B414" s="11" t="str">
        <f>IF(ISBLANK(data!AJ443),"",data!AJ443)</f>
        <v/>
      </c>
      <c r="C414" s="11" t="str">
        <f>IF(ISBLANK(data!AK443),"",data!AK443)</f>
        <v/>
      </c>
      <c r="D414" s="11" t="str">
        <f>IF(ISBLANK(data!AL443),"",data!AL443)</f>
        <v/>
      </c>
      <c r="E414" s="11" t="str">
        <f>IF(ISBLANK(data!AM443),"",data!AM443)</f>
        <v/>
      </c>
    </row>
    <row r="415" spans="1:5" x14ac:dyDescent="0.3">
      <c r="A415" s="13" t="str">
        <f>IF(ISBLANK(data!AI444),"",data!AI444)</f>
        <v/>
      </c>
      <c r="B415" s="11" t="str">
        <f>IF(ISBLANK(data!AJ444),"",data!AJ444)</f>
        <v/>
      </c>
      <c r="C415" s="11" t="str">
        <f>IF(ISBLANK(data!AK444),"",data!AK444)</f>
        <v/>
      </c>
      <c r="D415" s="11" t="str">
        <f>IF(ISBLANK(data!AL444),"",data!AL444)</f>
        <v/>
      </c>
      <c r="E415" s="11" t="str">
        <f>IF(ISBLANK(data!AM444),"",data!AM444)</f>
        <v/>
      </c>
    </row>
    <row r="416" spans="1:5" x14ac:dyDescent="0.3">
      <c r="A416" s="13" t="str">
        <f>IF(ISBLANK(data!AI445),"",data!AI445)</f>
        <v/>
      </c>
      <c r="B416" s="11" t="str">
        <f>IF(ISBLANK(data!AJ445),"",data!AJ445)</f>
        <v/>
      </c>
      <c r="C416" s="11" t="str">
        <f>IF(ISBLANK(data!AK445),"",data!AK445)</f>
        <v/>
      </c>
      <c r="D416" s="11" t="str">
        <f>IF(ISBLANK(data!AL445),"",data!AL445)</f>
        <v/>
      </c>
      <c r="E416" s="11" t="str">
        <f>IF(ISBLANK(data!AM445),"",data!AM445)</f>
        <v/>
      </c>
    </row>
    <row r="417" spans="1:5" x14ac:dyDescent="0.3">
      <c r="A417" s="13" t="str">
        <f>IF(ISBLANK(data!AI446),"",data!AI446)</f>
        <v/>
      </c>
      <c r="B417" s="11" t="str">
        <f>IF(ISBLANK(data!AJ446),"",data!AJ446)</f>
        <v/>
      </c>
      <c r="C417" s="11" t="str">
        <f>IF(ISBLANK(data!AK446),"",data!AK446)</f>
        <v/>
      </c>
      <c r="D417" s="11" t="str">
        <f>IF(ISBLANK(data!AL446),"",data!AL446)</f>
        <v/>
      </c>
      <c r="E417" s="11" t="str">
        <f>IF(ISBLANK(data!AM446),"",data!AM446)</f>
        <v/>
      </c>
    </row>
    <row r="418" spans="1:5" x14ac:dyDescent="0.3">
      <c r="A418" s="13" t="str">
        <f>IF(ISBLANK(data!AI447),"",data!AI447)</f>
        <v/>
      </c>
      <c r="B418" s="11" t="str">
        <f>IF(ISBLANK(data!AJ447),"",data!AJ447)</f>
        <v/>
      </c>
      <c r="C418" s="11" t="str">
        <f>IF(ISBLANK(data!AK447),"",data!AK447)</f>
        <v/>
      </c>
      <c r="D418" s="11" t="str">
        <f>IF(ISBLANK(data!AL447),"",data!AL447)</f>
        <v/>
      </c>
      <c r="E418" s="11" t="str">
        <f>IF(ISBLANK(data!AM447),"",data!AM447)</f>
        <v/>
      </c>
    </row>
    <row r="419" spans="1:5" x14ac:dyDescent="0.3">
      <c r="A419" s="13" t="str">
        <f>IF(ISBLANK(data!AI448),"",data!AI448)</f>
        <v/>
      </c>
      <c r="B419" s="11" t="str">
        <f>IF(ISBLANK(data!AJ448),"",data!AJ448)</f>
        <v/>
      </c>
      <c r="C419" s="11" t="str">
        <f>IF(ISBLANK(data!AK448),"",data!AK448)</f>
        <v/>
      </c>
      <c r="D419" s="11" t="str">
        <f>IF(ISBLANK(data!AL448),"",data!AL448)</f>
        <v/>
      </c>
      <c r="E419" s="11" t="str">
        <f>IF(ISBLANK(data!AM448),"",data!AM448)</f>
        <v/>
      </c>
    </row>
    <row r="420" spans="1:5" x14ac:dyDescent="0.3">
      <c r="A420" s="13" t="str">
        <f>IF(ISBLANK(data!AI449),"",data!AI449)</f>
        <v/>
      </c>
      <c r="B420" s="11" t="str">
        <f>IF(ISBLANK(data!AJ449),"",data!AJ449)</f>
        <v/>
      </c>
      <c r="C420" s="11" t="str">
        <f>IF(ISBLANK(data!AK449),"",data!AK449)</f>
        <v/>
      </c>
      <c r="D420" s="11" t="str">
        <f>IF(ISBLANK(data!AL449),"",data!AL449)</f>
        <v/>
      </c>
      <c r="E420" s="11" t="str">
        <f>IF(ISBLANK(data!AM449),"",data!AM449)</f>
        <v/>
      </c>
    </row>
    <row r="421" spans="1:5" x14ac:dyDescent="0.3">
      <c r="A421" s="13" t="str">
        <f>IF(ISBLANK(data!AI450),"",data!AI450)</f>
        <v/>
      </c>
      <c r="B421" s="11" t="str">
        <f>IF(ISBLANK(data!AJ450),"",data!AJ450)</f>
        <v/>
      </c>
      <c r="C421" s="11" t="str">
        <f>IF(ISBLANK(data!AK450),"",data!AK450)</f>
        <v/>
      </c>
      <c r="D421" s="11" t="str">
        <f>IF(ISBLANK(data!AL450),"",data!AL450)</f>
        <v/>
      </c>
      <c r="E421" s="11" t="str">
        <f>IF(ISBLANK(data!AM450),"",data!AM450)</f>
        <v/>
      </c>
    </row>
    <row r="422" spans="1:5" x14ac:dyDescent="0.3">
      <c r="A422" s="13" t="str">
        <f>IF(ISBLANK(data!AI451),"",data!AI451)</f>
        <v/>
      </c>
      <c r="B422" s="11" t="str">
        <f>IF(ISBLANK(data!AJ451),"",data!AJ451)</f>
        <v/>
      </c>
      <c r="C422" s="11" t="str">
        <f>IF(ISBLANK(data!AK451),"",data!AK451)</f>
        <v/>
      </c>
      <c r="D422" s="11" t="str">
        <f>IF(ISBLANK(data!AL451),"",data!AL451)</f>
        <v/>
      </c>
      <c r="E422" s="11" t="str">
        <f>IF(ISBLANK(data!AM451),"",data!AM451)</f>
        <v/>
      </c>
    </row>
    <row r="423" spans="1:5" x14ac:dyDescent="0.3">
      <c r="A423" s="13" t="str">
        <f>IF(ISBLANK(data!AI452),"",data!AI452)</f>
        <v/>
      </c>
      <c r="B423" s="11" t="str">
        <f>IF(ISBLANK(data!AJ452),"",data!AJ452)</f>
        <v/>
      </c>
      <c r="C423" s="11" t="str">
        <f>IF(ISBLANK(data!AK452),"",data!AK452)</f>
        <v/>
      </c>
      <c r="D423" s="11" t="str">
        <f>IF(ISBLANK(data!AL452),"",data!AL452)</f>
        <v/>
      </c>
      <c r="E423" s="11" t="str">
        <f>IF(ISBLANK(data!AM452),"",data!AM452)</f>
        <v/>
      </c>
    </row>
    <row r="424" spans="1:5" x14ac:dyDescent="0.3">
      <c r="A424" s="13" t="str">
        <f>IF(ISBLANK(data!AI453),"",data!AI453)</f>
        <v/>
      </c>
      <c r="B424" s="11" t="str">
        <f>IF(ISBLANK(data!AJ453),"",data!AJ453)</f>
        <v/>
      </c>
      <c r="C424" s="11" t="str">
        <f>IF(ISBLANK(data!AK453),"",data!AK453)</f>
        <v/>
      </c>
      <c r="D424" s="11" t="str">
        <f>IF(ISBLANK(data!AL453),"",data!AL453)</f>
        <v/>
      </c>
      <c r="E424" s="11" t="str">
        <f>IF(ISBLANK(data!AM453),"",data!AM453)</f>
        <v/>
      </c>
    </row>
    <row r="425" spans="1:5" x14ac:dyDescent="0.3">
      <c r="A425" s="13" t="str">
        <f>IF(ISBLANK(data!AI454),"",data!AI454)</f>
        <v/>
      </c>
      <c r="B425" s="11" t="str">
        <f>IF(ISBLANK(data!AJ454),"",data!AJ454)</f>
        <v/>
      </c>
      <c r="C425" s="11" t="str">
        <f>IF(ISBLANK(data!AK454),"",data!AK454)</f>
        <v/>
      </c>
      <c r="D425" s="11" t="str">
        <f>IF(ISBLANK(data!AL454),"",data!AL454)</f>
        <v/>
      </c>
      <c r="E425" s="11" t="str">
        <f>IF(ISBLANK(data!AM454),"",data!AM454)</f>
        <v/>
      </c>
    </row>
    <row r="426" spans="1:5" x14ac:dyDescent="0.3">
      <c r="A426" s="13" t="str">
        <f>IF(ISBLANK(data!AI455),"",data!AI455)</f>
        <v/>
      </c>
      <c r="B426" s="11" t="str">
        <f>IF(ISBLANK(data!AJ455),"",data!AJ455)</f>
        <v/>
      </c>
      <c r="C426" s="11" t="str">
        <f>IF(ISBLANK(data!AK455),"",data!AK455)</f>
        <v/>
      </c>
      <c r="D426" s="11" t="str">
        <f>IF(ISBLANK(data!AL455),"",data!AL455)</f>
        <v/>
      </c>
      <c r="E426" s="11" t="str">
        <f>IF(ISBLANK(data!AM455),"",data!AM455)</f>
        <v/>
      </c>
    </row>
    <row r="427" spans="1:5" x14ac:dyDescent="0.3">
      <c r="A427" s="13" t="str">
        <f>IF(ISBLANK(data!AI456),"",data!AI456)</f>
        <v/>
      </c>
      <c r="B427" s="11" t="str">
        <f>IF(ISBLANK(data!AJ456),"",data!AJ456)</f>
        <v/>
      </c>
      <c r="C427" s="11" t="str">
        <f>IF(ISBLANK(data!AK456),"",data!AK456)</f>
        <v/>
      </c>
      <c r="D427" s="11" t="str">
        <f>IF(ISBLANK(data!AL456),"",data!AL456)</f>
        <v/>
      </c>
      <c r="E427" s="11" t="str">
        <f>IF(ISBLANK(data!AM456),"",data!AM456)</f>
        <v/>
      </c>
    </row>
    <row r="428" spans="1:5" x14ac:dyDescent="0.3">
      <c r="A428" s="13" t="str">
        <f>IF(ISBLANK(data!AI457),"",data!AI457)</f>
        <v/>
      </c>
      <c r="B428" s="11" t="str">
        <f>IF(ISBLANK(data!AJ457),"",data!AJ457)</f>
        <v/>
      </c>
      <c r="C428" s="11" t="str">
        <f>IF(ISBLANK(data!AK457),"",data!AK457)</f>
        <v/>
      </c>
      <c r="D428" s="11" t="str">
        <f>IF(ISBLANK(data!AL457),"",data!AL457)</f>
        <v/>
      </c>
      <c r="E428" s="11" t="str">
        <f>IF(ISBLANK(data!AM457),"",data!AM457)</f>
        <v/>
      </c>
    </row>
    <row r="429" spans="1:5" x14ac:dyDescent="0.3">
      <c r="A429" s="13" t="str">
        <f>IF(ISBLANK(data!AI458),"",data!AI458)</f>
        <v/>
      </c>
      <c r="B429" s="11" t="str">
        <f>IF(ISBLANK(data!AJ458),"",data!AJ458)</f>
        <v/>
      </c>
      <c r="C429" s="11" t="str">
        <f>IF(ISBLANK(data!AK458),"",data!AK458)</f>
        <v/>
      </c>
      <c r="D429" s="11" t="str">
        <f>IF(ISBLANK(data!AL458),"",data!AL458)</f>
        <v/>
      </c>
      <c r="E429" s="11" t="str">
        <f>IF(ISBLANK(data!AM458),"",data!AM458)</f>
        <v/>
      </c>
    </row>
    <row r="430" spans="1:5" x14ac:dyDescent="0.3">
      <c r="A430" s="13" t="str">
        <f>IF(ISBLANK(data!AI459),"",data!AI459)</f>
        <v/>
      </c>
      <c r="B430" s="11" t="str">
        <f>IF(ISBLANK(data!AJ459),"",data!AJ459)</f>
        <v/>
      </c>
      <c r="C430" s="11" t="str">
        <f>IF(ISBLANK(data!AK459),"",data!AK459)</f>
        <v/>
      </c>
      <c r="D430" s="11" t="str">
        <f>IF(ISBLANK(data!AL459),"",data!AL459)</f>
        <v/>
      </c>
      <c r="E430" s="11" t="str">
        <f>IF(ISBLANK(data!AM459),"",data!AM459)</f>
        <v/>
      </c>
    </row>
    <row r="431" spans="1:5" x14ac:dyDescent="0.3">
      <c r="A431" s="13" t="str">
        <f>IF(ISBLANK(data!AI460),"",data!AI460)</f>
        <v/>
      </c>
      <c r="B431" s="11" t="str">
        <f>IF(ISBLANK(data!AJ460),"",data!AJ460)</f>
        <v/>
      </c>
      <c r="C431" s="11" t="str">
        <f>IF(ISBLANK(data!AK460),"",data!AK460)</f>
        <v/>
      </c>
      <c r="D431" s="11" t="str">
        <f>IF(ISBLANK(data!AL460),"",data!AL460)</f>
        <v/>
      </c>
      <c r="E431" s="11" t="str">
        <f>IF(ISBLANK(data!AM460),"",data!AM460)</f>
        <v/>
      </c>
    </row>
    <row r="432" spans="1:5" x14ac:dyDescent="0.3">
      <c r="A432" s="13" t="str">
        <f>IF(ISBLANK(data!AI461),"",data!AI461)</f>
        <v/>
      </c>
      <c r="B432" s="11" t="str">
        <f>IF(ISBLANK(data!AJ461),"",data!AJ461)</f>
        <v/>
      </c>
      <c r="C432" s="11" t="str">
        <f>IF(ISBLANK(data!AK461),"",data!AK461)</f>
        <v/>
      </c>
      <c r="D432" s="11" t="str">
        <f>IF(ISBLANK(data!AL461),"",data!AL461)</f>
        <v/>
      </c>
      <c r="E432" s="11" t="str">
        <f>IF(ISBLANK(data!AM461),"",data!AM461)</f>
        <v/>
      </c>
    </row>
    <row r="433" spans="1:5" x14ac:dyDescent="0.3">
      <c r="A433" s="13" t="str">
        <f>IF(ISBLANK(data!AI462),"",data!AI462)</f>
        <v/>
      </c>
      <c r="B433" s="11" t="str">
        <f>IF(ISBLANK(data!AJ462),"",data!AJ462)</f>
        <v/>
      </c>
      <c r="C433" s="11" t="str">
        <f>IF(ISBLANK(data!AK462),"",data!AK462)</f>
        <v/>
      </c>
      <c r="D433" s="11" t="str">
        <f>IF(ISBLANK(data!AL462),"",data!AL462)</f>
        <v/>
      </c>
      <c r="E433" s="11" t="str">
        <f>IF(ISBLANK(data!AM462),"",data!AM462)</f>
        <v/>
      </c>
    </row>
    <row r="434" spans="1:5" x14ac:dyDescent="0.3">
      <c r="A434" s="13" t="str">
        <f>IF(ISBLANK(data!AI463),"",data!AI463)</f>
        <v/>
      </c>
      <c r="B434" s="11" t="str">
        <f>IF(ISBLANK(data!AJ463),"",data!AJ463)</f>
        <v/>
      </c>
      <c r="C434" s="11" t="str">
        <f>IF(ISBLANK(data!AK463),"",data!AK463)</f>
        <v/>
      </c>
      <c r="D434" s="11" t="str">
        <f>IF(ISBLANK(data!AL463),"",data!AL463)</f>
        <v/>
      </c>
      <c r="E434" s="11" t="str">
        <f>IF(ISBLANK(data!AM463),"",data!AM463)</f>
        <v/>
      </c>
    </row>
    <row r="435" spans="1:5" x14ac:dyDescent="0.3">
      <c r="A435" s="13" t="str">
        <f>IF(ISBLANK(data!AI464),"",data!AI464)</f>
        <v/>
      </c>
      <c r="B435" s="11" t="str">
        <f>IF(ISBLANK(data!AJ464),"",data!AJ464)</f>
        <v/>
      </c>
      <c r="C435" s="11" t="str">
        <f>IF(ISBLANK(data!AK464),"",data!AK464)</f>
        <v/>
      </c>
      <c r="D435" s="11" t="str">
        <f>IF(ISBLANK(data!AL464),"",data!AL464)</f>
        <v/>
      </c>
      <c r="E435" s="11" t="str">
        <f>IF(ISBLANK(data!AM464),"",data!AM464)</f>
        <v/>
      </c>
    </row>
    <row r="436" spans="1:5" x14ac:dyDescent="0.3">
      <c r="A436" s="13" t="str">
        <f>IF(ISBLANK(data!AI465),"",data!AI465)</f>
        <v/>
      </c>
      <c r="B436" s="11" t="str">
        <f>IF(ISBLANK(data!AJ465),"",data!AJ465)</f>
        <v/>
      </c>
      <c r="C436" s="11" t="str">
        <f>IF(ISBLANK(data!AK465),"",data!AK465)</f>
        <v/>
      </c>
      <c r="D436" s="11" t="str">
        <f>IF(ISBLANK(data!AL465),"",data!AL465)</f>
        <v/>
      </c>
      <c r="E436" s="11" t="str">
        <f>IF(ISBLANK(data!AM465),"",data!AM465)</f>
        <v/>
      </c>
    </row>
    <row r="437" spans="1:5" x14ac:dyDescent="0.3">
      <c r="A437" s="13" t="str">
        <f>IF(ISBLANK(data!AI466),"",data!AI466)</f>
        <v/>
      </c>
      <c r="B437" s="11" t="str">
        <f>IF(ISBLANK(data!AJ466),"",data!AJ466)</f>
        <v/>
      </c>
      <c r="C437" s="11" t="str">
        <f>IF(ISBLANK(data!AK466),"",data!AK466)</f>
        <v/>
      </c>
      <c r="D437" s="11" t="str">
        <f>IF(ISBLANK(data!AL466),"",data!AL466)</f>
        <v/>
      </c>
      <c r="E437" s="11" t="str">
        <f>IF(ISBLANK(data!AM466),"",data!AM466)</f>
        <v/>
      </c>
    </row>
    <row r="438" spans="1:5" x14ac:dyDescent="0.3">
      <c r="A438" s="13" t="str">
        <f>IF(ISBLANK(data!AI467),"",data!AI467)</f>
        <v/>
      </c>
      <c r="B438" s="11" t="str">
        <f>IF(ISBLANK(data!AJ467),"",data!AJ467)</f>
        <v/>
      </c>
      <c r="C438" s="11" t="str">
        <f>IF(ISBLANK(data!AK467),"",data!AK467)</f>
        <v/>
      </c>
      <c r="D438" s="11" t="str">
        <f>IF(ISBLANK(data!AL467),"",data!AL467)</f>
        <v/>
      </c>
      <c r="E438" s="11" t="str">
        <f>IF(ISBLANK(data!AM467),"",data!AM467)</f>
        <v/>
      </c>
    </row>
    <row r="439" spans="1:5" x14ac:dyDescent="0.3">
      <c r="A439" s="13" t="str">
        <f>IF(ISBLANK(data!AI468),"",data!AI468)</f>
        <v/>
      </c>
      <c r="B439" s="11" t="str">
        <f>IF(ISBLANK(data!AJ468),"",data!AJ468)</f>
        <v/>
      </c>
      <c r="C439" s="11" t="str">
        <f>IF(ISBLANK(data!AK468),"",data!AK468)</f>
        <v/>
      </c>
      <c r="D439" s="11" t="str">
        <f>IF(ISBLANK(data!AL468),"",data!AL468)</f>
        <v/>
      </c>
      <c r="E439" s="11" t="str">
        <f>IF(ISBLANK(data!AM468),"",data!AM468)</f>
        <v/>
      </c>
    </row>
    <row r="440" spans="1:5" x14ac:dyDescent="0.3">
      <c r="A440" s="13" t="str">
        <f>IF(ISBLANK(data!AI469),"",data!AI469)</f>
        <v/>
      </c>
      <c r="B440" s="11" t="str">
        <f>IF(ISBLANK(data!AJ469),"",data!AJ469)</f>
        <v/>
      </c>
      <c r="C440" s="11" t="str">
        <f>IF(ISBLANK(data!AK469),"",data!AK469)</f>
        <v/>
      </c>
      <c r="D440" s="11" t="str">
        <f>IF(ISBLANK(data!AL469),"",data!AL469)</f>
        <v/>
      </c>
      <c r="E440" s="11" t="str">
        <f>IF(ISBLANK(data!AM469),"",data!AM469)</f>
        <v/>
      </c>
    </row>
    <row r="441" spans="1:5" x14ac:dyDescent="0.3">
      <c r="A441" s="13" t="str">
        <f>IF(ISBLANK(data!AI470),"",data!AI470)</f>
        <v/>
      </c>
      <c r="B441" s="11" t="str">
        <f>IF(ISBLANK(data!AJ470),"",data!AJ470)</f>
        <v/>
      </c>
      <c r="C441" s="11" t="str">
        <f>IF(ISBLANK(data!AK470),"",data!AK470)</f>
        <v/>
      </c>
      <c r="D441" s="11" t="str">
        <f>IF(ISBLANK(data!AL470),"",data!AL470)</f>
        <v/>
      </c>
      <c r="E441" s="11" t="str">
        <f>IF(ISBLANK(data!AM470),"",data!AM470)</f>
        <v/>
      </c>
    </row>
    <row r="442" spans="1:5" x14ac:dyDescent="0.3">
      <c r="A442" s="13" t="str">
        <f>IF(ISBLANK(data!AI471),"",data!AI471)</f>
        <v/>
      </c>
      <c r="B442" s="11" t="str">
        <f>IF(ISBLANK(data!AJ471),"",data!AJ471)</f>
        <v/>
      </c>
      <c r="C442" s="11" t="str">
        <f>IF(ISBLANK(data!AK471),"",data!AK471)</f>
        <v/>
      </c>
      <c r="D442" s="11" t="str">
        <f>IF(ISBLANK(data!AL471),"",data!AL471)</f>
        <v/>
      </c>
      <c r="E442" s="11" t="str">
        <f>IF(ISBLANK(data!AM471),"",data!AM471)</f>
        <v/>
      </c>
    </row>
    <row r="443" spans="1:5" x14ac:dyDescent="0.3">
      <c r="A443" s="13" t="str">
        <f>IF(ISBLANK(data!AI472),"",data!AI472)</f>
        <v/>
      </c>
      <c r="B443" s="11" t="str">
        <f>IF(ISBLANK(data!AJ472),"",data!AJ472)</f>
        <v/>
      </c>
      <c r="C443" s="11" t="str">
        <f>IF(ISBLANK(data!AK472),"",data!AK472)</f>
        <v/>
      </c>
      <c r="D443" s="11" t="str">
        <f>IF(ISBLANK(data!AL472),"",data!AL472)</f>
        <v/>
      </c>
      <c r="E443" s="11" t="str">
        <f>IF(ISBLANK(data!AM472),"",data!AM472)</f>
        <v/>
      </c>
    </row>
    <row r="444" spans="1:5" x14ac:dyDescent="0.3">
      <c r="A444" s="13" t="str">
        <f>IF(ISBLANK(data!AI473),"",data!AI473)</f>
        <v/>
      </c>
      <c r="B444" s="11" t="str">
        <f>IF(ISBLANK(data!AJ473),"",data!AJ473)</f>
        <v/>
      </c>
      <c r="C444" s="11" t="str">
        <f>IF(ISBLANK(data!AK473),"",data!AK473)</f>
        <v/>
      </c>
      <c r="D444" s="11" t="str">
        <f>IF(ISBLANK(data!AL473),"",data!AL473)</f>
        <v/>
      </c>
      <c r="E444" s="11" t="str">
        <f>IF(ISBLANK(data!AM473),"",data!AM473)</f>
        <v/>
      </c>
    </row>
    <row r="445" spans="1:5" x14ac:dyDescent="0.3">
      <c r="A445" s="13" t="str">
        <f>IF(ISBLANK(data!AI474),"",data!AI474)</f>
        <v/>
      </c>
      <c r="B445" s="11" t="str">
        <f>IF(ISBLANK(data!AJ474),"",data!AJ474)</f>
        <v/>
      </c>
      <c r="C445" s="11" t="str">
        <f>IF(ISBLANK(data!AK474),"",data!AK474)</f>
        <v/>
      </c>
      <c r="D445" s="11" t="str">
        <f>IF(ISBLANK(data!AL474),"",data!AL474)</f>
        <v/>
      </c>
      <c r="E445" s="11" t="str">
        <f>IF(ISBLANK(data!AM474),"",data!AM474)</f>
        <v/>
      </c>
    </row>
    <row r="446" spans="1:5" x14ac:dyDescent="0.3">
      <c r="A446" s="13" t="str">
        <f>IF(ISBLANK(data!AI475),"",data!AI475)</f>
        <v/>
      </c>
      <c r="B446" s="11" t="str">
        <f>IF(ISBLANK(data!AJ475),"",data!AJ475)</f>
        <v/>
      </c>
      <c r="C446" s="11" t="str">
        <f>IF(ISBLANK(data!AK475),"",data!AK475)</f>
        <v/>
      </c>
      <c r="D446" s="11" t="str">
        <f>IF(ISBLANK(data!AL475),"",data!AL475)</f>
        <v/>
      </c>
      <c r="E446" s="11" t="str">
        <f>IF(ISBLANK(data!AM475),"",data!AM475)</f>
        <v/>
      </c>
    </row>
    <row r="447" spans="1:5" x14ac:dyDescent="0.3">
      <c r="A447" s="13" t="str">
        <f>IF(ISBLANK(data!AI476),"",data!AI476)</f>
        <v/>
      </c>
      <c r="B447" s="11" t="str">
        <f>IF(ISBLANK(data!AJ476),"",data!AJ476)</f>
        <v/>
      </c>
      <c r="C447" s="11" t="str">
        <f>IF(ISBLANK(data!AK476),"",data!AK476)</f>
        <v/>
      </c>
      <c r="D447" s="11" t="str">
        <f>IF(ISBLANK(data!AL476),"",data!AL476)</f>
        <v/>
      </c>
      <c r="E447" s="11" t="str">
        <f>IF(ISBLANK(data!AM476),"",data!AM476)</f>
        <v/>
      </c>
    </row>
    <row r="448" spans="1:5" x14ac:dyDescent="0.3">
      <c r="A448" s="13" t="str">
        <f>IF(ISBLANK(data!AI477),"",data!AI477)</f>
        <v/>
      </c>
      <c r="B448" s="11" t="str">
        <f>IF(ISBLANK(data!AJ477),"",data!AJ477)</f>
        <v/>
      </c>
      <c r="C448" s="11" t="str">
        <f>IF(ISBLANK(data!AK477),"",data!AK477)</f>
        <v/>
      </c>
      <c r="D448" s="11" t="str">
        <f>IF(ISBLANK(data!AL477),"",data!AL477)</f>
        <v/>
      </c>
      <c r="E448" s="11" t="str">
        <f>IF(ISBLANK(data!AM477),"",data!AM477)</f>
        <v/>
      </c>
    </row>
    <row r="449" spans="1:5" x14ac:dyDescent="0.3">
      <c r="A449" s="13" t="str">
        <f>IF(ISBLANK(data!AI478),"",data!AI478)</f>
        <v/>
      </c>
      <c r="B449" s="11" t="str">
        <f>IF(ISBLANK(data!AJ478),"",data!AJ478)</f>
        <v/>
      </c>
      <c r="C449" s="11" t="str">
        <f>IF(ISBLANK(data!AK478),"",data!AK478)</f>
        <v/>
      </c>
      <c r="D449" s="11" t="str">
        <f>IF(ISBLANK(data!AL478),"",data!AL478)</f>
        <v/>
      </c>
      <c r="E449" s="11" t="str">
        <f>IF(ISBLANK(data!AM478),"",data!AM478)</f>
        <v/>
      </c>
    </row>
    <row r="450" spans="1:5" x14ac:dyDescent="0.3">
      <c r="A450" s="13" t="str">
        <f>IF(ISBLANK(data!AI479),"",data!AI479)</f>
        <v/>
      </c>
      <c r="B450" s="11" t="str">
        <f>IF(ISBLANK(data!AJ479),"",data!AJ479)</f>
        <v/>
      </c>
      <c r="C450" s="11" t="str">
        <f>IF(ISBLANK(data!AK479),"",data!AK479)</f>
        <v/>
      </c>
      <c r="D450" s="11" t="str">
        <f>IF(ISBLANK(data!AL479),"",data!AL479)</f>
        <v/>
      </c>
      <c r="E450" s="11" t="str">
        <f>IF(ISBLANK(data!AM479),"",data!AM479)</f>
        <v/>
      </c>
    </row>
    <row r="451" spans="1:5" x14ac:dyDescent="0.3">
      <c r="A451" s="13" t="str">
        <f>IF(ISBLANK(data!AI480),"",data!AI480)</f>
        <v/>
      </c>
      <c r="B451" s="11" t="str">
        <f>IF(ISBLANK(data!AJ480),"",data!AJ480)</f>
        <v/>
      </c>
      <c r="C451" s="11" t="str">
        <f>IF(ISBLANK(data!AK480),"",data!AK480)</f>
        <v/>
      </c>
      <c r="D451" s="11" t="str">
        <f>IF(ISBLANK(data!AL480),"",data!AL480)</f>
        <v/>
      </c>
      <c r="E451" s="11" t="str">
        <f>IF(ISBLANK(data!AM480),"",data!AM480)</f>
        <v/>
      </c>
    </row>
    <row r="452" spans="1:5" x14ac:dyDescent="0.3">
      <c r="A452" s="13" t="str">
        <f>IF(ISBLANK(data!AI481),"",data!AI481)</f>
        <v/>
      </c>
      <c r="B452" s="11" t="str">
        <f>IF(ISBLANK(data!AJ481),"",data!AJ481)</f>
        <v/>
      </c>
      <c r="C452" s="11" t="str">
        <f>IF(ISBLANK(data!AK481),"",data!AK481)</f>
        <v/>
      </c>
      <c r="D452" s="11" t="str">
        <f>IF(ISBLANK(data!AL481),"",data!AL481)</f>
        <v/>
      </c>
      <c r="E452" s="11" t="str">
        <f>IF(ISBLANK(data!AM481),"",data!AM481)</f>
        <v/>
      </c>
    </row>
    <row r="453" spans="1:5" x14ac:dyDescent="0.3">
      <c r="A453" s="13" t="str">
        <f>IF(ISBLANK(data!AI482),"",data!AI482)</f>
        <v/>
      </c>
      <c r="B453" s="11" t="str">
        <f>IF(ISBLANK(data!AJ482),"",data!AJ482)</f>
        <v/>
      </c>
      <c r="C453" s="11" t="str">
        <f>IF(ISBLANK(data!AK482),"",data!AK482)</f>
        <v/>
      </c>
      <c r="D453" s="11" t="str">
        <f>IF(ISBLANK(data!AL482),"",data!AL482)</f>
        <v/>
      </c>
      <c r="E453" s="11" t="str">
        <f>IF(ISBLANK(data!AM482),"",data!AM482)</f>
        <v/>
      </c>
    </row>
    <row r="454" spans="1:5" x14ac:dyDescent="0.3">
      <c r="A454" s="13" t="str">
        <f>IF(ISBLANK(data!AI483),"",data!AI483)</f>
        <v/>
      </c>
      <c r="B454" s="11" t="str">
        <f>IF(ISBLANK(data!AJ483),"",data!AJ483)</f>
        <v/>
      </c>
      <c r="C454" s="11" t="str">
        <f>IF(ISBLANK(data!AK483),"",data!AK483)</f>
        <v/>
      </c>
      <c r="D454" s="11" t="str">
        <f>IF(ISBLANK(data!AL483),"",data!AL483)</f>
        <v/>
      </c>
      <c r="E454" s="11" t="str">
        <f>IF(ISBLANK(data!AM483),"",data!AM483)</f>
        <v/>
      </c>
    </row>
    <row r="455" spans="1:5" x14ac:dyDescent="0.3">
      <c r="A455" s="13" t="str">
        <f>IF(ISBLANK(data!AI484),"",data!AI484)</f>
        <v/>
      </c>
      <c r="B455" s="11" t="str">
        <f>IF(ISBLANK(data!AJ484),"",data!AJ484)</f>
        <v/>
      </c>
      <c r="C455" s="11" t="str">
        <f>IF(ISBLANK(data!AK484),"",data!AK484)</f>
        <v/>
      </c>
      <c r="D455" s="11" t="str">
        <f>IF(ISBLANK(data!AL484),"",data!AL484)</f>
        <v/>
      </c>
      <c r="E455" s="11" t="str">
        <f>IF(ISBLANK(data!AM484),"",data!AM484)</f>
        <v/>
      </c>
    </row>
    <row r="456" spans="1:5" x14ac:dyDescent="0.3">
      <c r="A456" s="13" t="str">
        <f>IF(ISBLANK(data!AI485),"",data!AI485)</f>
        <v/>
      </c>
      <c r="B456" s="11" t="str">
        <f>IF(ISBLANK(data!AJ485),"",data!AJ485)</f>
        <v/>
      </c>
      <c r="C456" s="11" t="str">
        <f>IF(ISBLANK(data!AK485),"",data!AK485)</f>
        <v/>
      </c>
      <c r="D456" s="11" t="str">
        <f>IF(ISBLANK(data!AL485),"",data!AL485)</f>
        <v/>
      </c>
      <c r="E456" s="11" t="str">
        <f>IF(ISBLANK(data!AM485),"",data!AM485)</f>
        <v/>
      </c>
    </row>
    <row r="457" spans="1:5" x14ac:dyDescent="0.3">
      <c r="A457" s="13" t="str">
        <f>IF(ISBLANK(data!AI486),"",data!AI486)</f>
        <v/>
      </c>
      <c r="B457" s="11" t="str">
        <f>IF(ISBLANK(data!AJ486),"",data!AJ486)</f>
        <v/>
      </c>
      <c r="C457" s="11" t="str">
        <f>IF(ISBLANK(data!AK486),"",data!AK486)</f>
        <v/>
      </c>
      <c r="D457" s="11" t="str">
        <f>IF(ISBLANK(data!AL486),"",data!AL486)</f>
        <v/>
      </c>
      <c r="E457" s="11" t="str">
        <f>IF(ISBLANK(data!AM486),"",data!AM486)</f>
        <v/>
      </c>
    </row>
    <row r="458" spans="1:5" x14ac:dyDescent="0.3">
      <c r="A458" s="13" t="str">
        <f>IF(ISBLANK(data!AI487),"",data!AI487)</f>
        <v/>
      </c>
      <c r="B458" s="11" t="str">
        <f>IF(ISBLANK(data!AJ487),"",data!AJ487)</f>
        <v/>
      </c>
      <c r="C458" s="11" t="str">
        <f>IF(ISBLANK(data!AK487),"",data!AK487)</f>
        <v/>
      </c>
      <c r="D458" s="11" t="str">
        <f>IF(ISBLANK(data!AL487),"",data!AL487)</f>
        <v/>
      </c>
      <c r="E458" s="11" t="str">
        <f>IF(ISBLANK(data!AM487),"",data!AM487)</f>
        <v/>
      </c>
    </row>
    <row r="459" spans="1:5" x14ac:dyDescent="0.3">
      <c r="A459" s="13" t="str">
        <f>IF(ISBLANK(data!AI488),"",data!AI488)</f>
        <v/>
      </c>
      <c r="B459" s="11" t="str">
        <f>IF(ISBLANK(data!AJ488),"",data!AJ488)</f>
        <v/>
      </c>
      <c r="C459" s="11" t="str">
        <f>IF(ISBLANK(data!AK488),"",data!AK488)</f>
        <v/>
      </c>
      <c r="D459" s="11" t="str">
        <f>IF(ISBLANK(data!AL488),"",data!AL488)</f>
        <v/>
      </c>
      <c r="E459" s="11" t="str">
        <f>IF(ISBLANK(data!AM488),"",data!AM488)</f>
        <v/>
      </c>
    </row>
    <row r="460" spans="1:5" x14ac:dyDescent="0.3">
      <c r="A460" s="13" t="str">
        <f>IF(ISBLANK(data!AI489),"",data!AI489)</f>
        <v/>
      </c>
      <c r="B460" s="11" t="str">
        <f>IF(ISBLANK(data!AJ489),"",data!AJ489)</f>
        <v/>
      </c>
      <c r="C460" s="11" t="str">
        <f>IF(ISBLANK(data!AK489),"",data!AK489)</f>
        <v/>
      </c>
      <c r="D460" s="11" t="str">
        <f>IF(ISBLANK(data!AL489),"",data!AL489)</f>
        <v/>
      </c>
      <c r="E460" s="11" t="str">
        <f>IF(ISBLANK(data!AM489),"",data!AM489)</f>
        <v/>
      </c>
    </row>
    <row r="461" spans="1:5" x14ac:dyDescent="0.3">
      <c r="A461" s="13" t="str">
        <f>IF(ISBLANK(data!AI490),"",data!AI490)</f>
        <v/>
      </c>
      <c r="B461" s="11" t="str">
        <f>IF(ISBLANK(data!AJ490),"",data!AJ490)</f>
        <v/>
      </c>
      <c r="C461" s="11" t="str">
        <f>IF(ISBLANK(data!AK490),"",data!AK490)</f>
        <v/>
      </c>
      <c r="D461" s="11" t="str">
        <f>IF(ISBLANK(data!AL490),"",data!AL490)</f>
        <v/>
      </c>
      <c r="E461" s="11" t="str">
        <f>IF(ISBLANK(data!AM490),"",data!AM490)</f>
        <v/>
      </c>
    </row>
    <row r="462" spans="1:5" x14ac:dyDescent="0.3">
      <c r="A462" s="13" t="str">
        <f>IF(ISBLANK(data!AI491),"",data!AI491)</f>
        <v/>
      </c>
      <c r="B462" s="11" t="str">
        <f>IF(ISBLANK(data!AJ491),"",data!AJ491)</f>
        <v/>
      </c>
      <c r="C462" s="11" t="str">
        <f>IF(ISBLANK(data!AK491),"",data!AK491)</f>
        <v/>
      </c>
      <c r="D462" s="11" t="str">
        <f>IF(ISBLANK(data!AL491),"",data!AL491)</f>
        <v/>
      </c>
      <c r="E462" s="11" t="str">
        <f>IF(ISBLANK(data!AM491),"",data!AM491)</f>
        <v/>
      </c>
    </row>
    <row r="463" spans="1:5" x14ac:dyDescent="0.3">
      <c r="A463" s="13" t="str">
        <f>IF(ISBLANK(data!AI492),"",data!AI492)</f>
        <v/>
      </c>
      <c r="B463" s="11" t="str">
        <f>IF(ISBLANK(data!AJ492),"",data!AJ492)</f>
        <v/>
      </c>
      <c r="C463" s="11" t="str">
        <f>IF(ISBLANK(data!AK492),"",data!AK492)</f>
        <v/>
      </c>
      <c r="D463" s="11" t="str">
        <f>IF(ISBLANK(data!AL492),"",data!AL492)</f>
        <v/>
      </c>
      <c r="E463" s="11" t="str">
        <f>IF(ISBLANK(data!AM492),"",data!AM492)</f>
        <v/>
      </c>
    </row>
    <row r="464" spans="1:5" x14ac:dyDescent="0.3">
      <c r="A464" s="13" t="str">
        <f>IF(ISBLANK(data!AI493),"",data!AI493)</f>
        <v/>
      </c>
      <c r="B464" s="11" t="str">
        <f>IF(ISBLANK(data!AJ493),"",data!AJ493)</f>
        <v/>
      </c>
      <c r="C464" s="11" t="str">
        <f>IF(ISBLANK(data!AK493),"",data!AK493)</f>
        <v/>
      </c>
      <c r="D464" s="11" t="str">
        <f>IF(ISBLANK(data!AL493),"",data!AL493)</f>
        <v/>
      </c>
      <c r="E464" s="11" t="str">
        <f>IF(ISBLANK(data!AM493),"",data!AM493)</f>
        <v/>
      </c>
    </row>
    <row r="465" spans="1:5" x14ac:dyDescent="0.3">
      <c r="A465" s="13" t="str">
        <f>IF(ISBLANK(data!AI494),"",data!AI494)</f>
        <v/>
      </c>
      <c r="B465" s="11" t="str">
        <f>IF(ISBLANK(data!AJ494),"",data!AJ494)</f>
        <v/>
      </c>
      <c r="C465" s="11" t="str">
        <f>IF(ISBLANK(data!AK494),"",data!AK494)</f>
        <v/>
      </c>
      <c r="D465" s="11" t="str">
        <f>IF(ISBLANK(data!AL494),"",data!AL494)</f>
        <v/>
      </c>
      <c r="E465" s="11" t="str">
        <f>IF(ISBLANK(data!AM494),"",data!AM494)</f>
        <v/>
      </c>
    </row>
    <row r="466" spans="1:5" x14ac:dyDescent="0.3">
      <c r="A466" s="13" t="str">
        <f>IF(ISBLANK(data!AI495),"",data!AI495)</f>
        <v/>
      </c>
      <c r="B466" s="11" t="str">
        <f>IF(ISBLANK(data!AJ495),"",data!AJ495)</f>
        <v/>
      </c>
      <c r="C466" s="11" t="str">
        <f>IF(ISBLANK(data!AK495),"",data!AK495)</f>
        <v/>
      </c>
      <c r="D466" s="11" t="str">
        <f>IF(ISBLANK(data!AL495),"",data!AL495)</f>
        <v/>
      </c>
      <c r="E466" s="11" t="str">
        <f>IF(ISBLANK(data!AM495),"",data!AM495)</f>
        <v/>
      </c>
    </row>
    <row r="467" spans="1:5" x14ac:dyDescent="0.3">
      <c r="A467" s="13" t="str">
        <f>IF(ISBLANK(data!AI496),"",data!AI496)</f>
        <v/>
      </c>
      <c r="B467" s="11" t="str">
        <f>IF(ISBLANK(data!AJ496),"",data!AJ496)</f>
        <v/>
      </c>
      <c r="C467" s="11" t="str">
        <f>IF(ISBLANK(data!AK496),"",data!AK496)</f>
        <v/>
      </c>
      <c r="D467" s="11" t="str">
        <f>IF(ISBLANK(data!AL496),"",data!AL496)</f>
        <v/>
      </c>
      <c r="E467" s="11" t="str">
        <f>IF(ISBLANK(data!AM496),"",data!AM496)</f>
        <v/>
      </c>
    </row>
    <row r="468" spans="1:5" x14ac:dyDescent="0.3">
      <c r="A468" s="13" t="str">
        <f>IF(ISBLANK(data!AI497),"",data!AI497)</f>
        <v/>
      </c>
      <c r="B468" s="11" t="str">
        <f>IF(ISBLANK(data!AJ497),"",data!AJ497)</f>
        <v/>
      </c>
      <c r="C468" s="11" t="str">
        <f>IF(ISBLANK(data!AK497),"",data!AK497)</f>
        <v/>
      </c>
      <c r="D468" s="11" t="str">
        <f>IF(ISBLANK(data!AL497),"",data!AL497)</f>
        <v/>
      </c>
      <c r="E468" s="11" t="str">
        <f>IF(ISBLANK(data!AM497),"",data!AM497)</f>
        <v/>
      </c>
    </row>
    <row r="469" spans="1:5" x14ac:dyDescent="0.3">
      <c r="A469" s="13" t="str">
        <f>IF(ISBLANK(data!AI498),"",data!AI498)</f>
        <v/>
      </c>
      <c r="B469" s="11" t="str">
        <f>IF(ISBLANK(data!AJ498),"",data!AJ498)</f>
        <v/>
      </c>
      <c r="C469" s="11" t="str">
        <f>IF(ISBLANK(data!AK498),"",data!AK498)</f>
        <v/>
      </c>
      <c r="D469" s="11" t="str">
        <f>IF(ISBLANK(data!AL498),"",data!AL498)</f>
        <v/>
      </c>
      <c r="E469" s="11" t="str">
        <f>IF(ISBLANK(data!AM498),"",data!AM498)</f>
        <v/>
      </c>
    </row>
    <row r="470" spans="1:5" x14ac:dyDescent="0.3">
      <c r="A470" s="13" t="str">
        <f>IF(ISBLANK(data!AI499),"",data!AI499)</f>
        <v/>
      </c>
      <c r="B470" s="11" t="str">
        <f>IF(ISBLANK(data!AJ499),"",data!AJ499)</f>
        <v/>
      </c>
      <c r="C470" s="11" t="str">
        <f>IF(ISBLANK(data!AK499),"",data!AK499)</f>
        <v/>
      </c>
      <c r="D470" s="11" t="str">
        <f>IF(ISBLANK(data!AL499),"",data!AL499)</f>
        <v/>
      </c>
      <c r="E470" s="11" t="str">
        <f>IF(ISBLANK(data!AM499),"",data!AM499)</f>
        <v/>
      </c>
    </row>
    <row r="471" spans="1:5" x14ac:dyDescent="0.3">
      <c r="A471" s="13" t="str">
        <f>IF(ISBLANK(data!AI500),"",data!AI500)</f>
        <v/>
      </c>
      <c r="B471" s="11" t="str">
        <f>IF(ISBLANK(data!AJ500),"",data!AJ500)</f>
        <v/>
      </c>
      <c r="C471" s="11" t="str">
        <f>IF(ISBLANK(data!AK500),"",data!AK500)</f>
        <v/>
      </c>
      <c r="D471" s="11" t="str">
        <f>IF(ISBLANK(data!AL500),"",data!AL500)</f>
        <v/>
      </c>
      <c r="E471" s="11" t="str">
        <f>IF(ISBLANK(data!AM500),"",data!AM500)</f>
        <v/>
      </c>
    </row>
    <row r="472" spans="1:5" x14ac:dyDescent="0.3">
      <c r="A472" s="13" t="str">
        <f>IF(ISBLANK(data!AI501),"",data!AI501)</f>
        <v/>
      </c>
      <c r="B472" s="11" t="str">
        <f>IF(ISBLANK(data!AJ501),"",data!AJ501)</f>
        <v/>
      </c>
      <c r="C472" s="11" t="str">
        <f>IF(ISBLANK(data!AK501),"",data!AK501)</f>
        <v/>
      </c>
      <c r="D472" s="11" t="str">
        <f>IF(ISBLANK(data!AL501),"",data!AL501)</f>
        <v/>
      </c>
      <c r="E472" s="11" t="str">
        <f>IF(ISBLANK(data!AM501),"",data!AM501)</f>
        <v/>
      </c>
    </row>
    <row r="473" spans="1:5" x14ac:dyDescent="0.3">
      <c r="A473" s="13" t="str">
        <f>IF(ISBLANK(data!AI502),"",data!AI502)</f>
        <v/>
      </c>
      <c r="B473" s="11" t="str">
        <f>IF(ISBLANK(data!AJ502),"",data!AJ502)</f>
        <v/>
      </c>
      <c r="C473" s="11" t="str">
        <f>IF(ISBLANK(data!AK502),"",data!AK502)</f>
        <v/>
      </c>
      <c r="D473" s="11" t="str">
        <f>IF(ISBLANK(data!AL502),"",data!AL502)</f>
        <v/>
      </c>
      <c r="E473" s="11" t="str">
        <f>IF(ISBLANK(data!AM502),"",data!AM502)</f>
        <v/>
      </c>
    </row>
    <row r="474" spans="1:5" x14ac:dyDescent="0.3">
      <c r="A474" s="13" t="str">
        <f>IF(ISBLANK(data!AI503),"",data!AI503)</f>
        <v/>
      </c>
      <c r="B474" s="11" t="str">
        <f>IF(ISBLANK(data!AJ503),"",data!AJ503)</f>
        <v/>
      </c>
      <c r="C474" s="11" t="str">
        <f>IF(ISBLANK(data!AK503),"",data!AK503)</f>
        <v/>
      </c>
      <c r="D474" s="11" t="str">
        <f>IF(ISBLANK(data!AL503),"",data!AL503)</f>
        <v/>
      </c>
      <c r="E474" s="11" t="str">
        <f>IF(ISBLANK(data!AM503),"",data!AM503)</f>
        <v/>
      </c>
    </row>
    <row r="475" spans="1:5" x14ac:dyDescent="0.3">
      <c r="A475" s="13" t="str">
        <f>IF(ISBLANK(data!AI504),"",data!AI504)</f>
        <v/>
      </c>
      <c r="B475" s="11" t="str">
        <f>IF(ISBLANK(data!AJ504),"",data!AJ504)</f>
        <v/>
      </c>
      <c r="C475" s="11" t="str">
        <f>IF(ISBLANK(data!AK504),"",data!AK504)</f>
        <v/>
      </c>
      <c r="D475" s="11" t="str">
        <f>IF(ISBLANK(data!AL504),"",data!AL504)</f>
        <v/>
      </c>
      <c r="E475" s="11" t="str">
        <f>IF(ISBLANK(data!AM504),"",data!AM504)</f>
        <v/>
      </c>
    </row>
    <row r="476" spans="1:5" x14ac:dyDescent="0.3">
      <c r="A476" s="13" t="str">
        <f>IF(ISBLANK(data!AI505),"",data!AI505)</f>
        <v/>
      </c>
      <c r="B476" s="11" t="str">
        <f>IF(ISBLANK(data!AJ505),"",data!AJ505)</f>
        <v/>
      </c>
      <c r="C476" s="11" t="str">
        <f>IF(ISBLANK(data!AK505),"",data!AK505)</f>
        <v/>
      </c>
      <c r="D476" s="11" t="str">
        <f>IF(ISBLANK(data!AL505),"",data!AL505)</f>
        <v/>
      </c>
      <c r="E476" s="11" t="str">
        <f>IF(ISBLANK(data!AM505),"",data!AM505)</f>
        <v/>
      </c>
    </row>
    <row r="477" spans="1:5" x14ac:dyDescent="0.3">
      <c r="A477" s="13" t="str">
        <f>IF(ISBLANK(data!AI506),"",data!AI506)</f>
        <v/>
      </c>
      <c r="B477" s="11" t="str">
        <f>IF(ISBLANK(data!AJ506),"",data!AJ506)</f>
        <v/>
      </c>
      <c r="C477" s="11" t="str">
        <f>IF(ISBLANK(data!AK506),"",data!AK506)</f>
        <v/>
      </c>
      <c r="D477" s="11" t="str">
        <f>IF(ISBLANK(data!AL506),"",data!AL506)</f>
        <v/>
      </c>
      <c r="E477" s="11" t="str">
        <f>IF(ISBLANK(data!AM506),"",data!AM506)</f>
        <v/>
      </c>
    </row>
    <row r="478" spans="1:5" x14ac:dyDescent="0.3">
      <c r="A478" s="13" t="str">
        <f>IF(ISBLANK(data!AI507),"",data!AI507)</f>
        <v/>
      </c>
      <c r="B478" s="11" t="str">
        <f>IF(ISBLANK(data!AJ507),"",data!AJ507)</f>
        <v/>
      </c>
      <c r="C478" s="11" t="str">
        <f>IF(ISBLANK(data!AK507),"",data!AK507)</f>
        <v/>
      </c>
      <c r="D478" s="11" t="str">
        <f>IF(ISBLANK(data!AL507),"",data!AL507)</f>
        <v/>
      </c>
      <c r="E478" s="11" t="str">
        <f>IF(ISBLANK(data!AM507),"",data!AM507)</f>
        <v/>
      </c>
    </row>
    <row r="479" spans="1:5" x14ac:dyDescent="0.3">
      <c r="A479" s="13" t="str">
        <f>IF(ISBLANK(data!AI508),"",data!AI508)</f>
        <v/>
      </c>
      <c r="B479" s="11" t="str">
        <f>IF(ISBLANK(data!AJ508),"",data!AJ508)</f>
        <v/>
      </c>
      <c r="C479" s="11" t="str">
        <f>IF(ISBLANK(data!AK508),"",data!AK508)</f>
        <v/>
      </c>
      <c r="D479" s="11" t="str">
        <f>IF(ISBLANK(data!AL508),"",data!AL508)</f>
        <v/>
      </c>
      <c r="E479" s="11" t="str">
        <f>IF(ISBLANK(data!AM508),"",data!AM508)</f>
        <v/>
      </c>
    </row>
    <row r="480" spans="1:5" x14ac:dyDescent="0.3">
      <c r="A480" s="13" t="str">
        <f>IF(ISBLANK(data!AI509),"",data!AI509)</f>
        <v/>
      </c>
      <c r="B480" s="11" t="str">
        <f>IF(ISBLANK(data!AJ509),"",data!AJ509)</f>
        <v/>
      </c>
      <c r="C480" s="11" t="str">
        <f>IF(ISBLANK(data!AK509),"",data!AK509)</f>
        <v/>
      </c>
      <c r="D480" s="11" t="str">
        <f>IF(ISBLANK(data!AL509),"",data!AL509)</f>
        <v/>
      </c>
      <c r="E480" s="11" t="str">
        <f>IF(ISBLANK(data!AM509),"",data!AM509)</f>
        <v/>
      </c>
    </row>
    <row r="481" spans="1:5" x14ac:dyDescent="0.3">
      <c r="A481" s="13" t="str">
        <f>IF(ISBLANK(data!AI510),"",data!AI510)</f>
        <v/>
      </c>
      <c r="B481" s="11" t="str">
        <f>IF(ISBLANK(data!AJ510),"",data!AJ510)</f>
        <v/>
      </c>
      <c r="C481" s="11" t="str">
        <f>IF(ISBLANK(data!AK510),"",data!AK510)</f>
        <v/>
      </c>
      <c r="D481" s="11" t="str">
        <f>IF(ISBLANK(data!AL510),"",data!AL510)</f>
        <v/>
      </c>
      <c r="E481" s="11" t="str">
        <f>IF(ISBLANK(data!AM510),"",data!AM510)</f>
        <v/>
      </c>
    </row>
    <row r="482" spans="1:5" x14ac:dyDescent="0.3">
      <c r="A482" s="13" t="str">
        <f>IF(ISBLANK(data!AI511),"",data!AI511)</f>
        <v/>
      </c>
      <c r="B482" s="11" t="str">
        <f>IF(ISBLANK(data!AJ511),"",data!AJ511)</f>
        <v/>
      </c>
      <c r="C482" s="11" t="str">
        <f>IF(ISBLANK(data!AK511),"",data!AK511)</f>
        <v/>
      </c>
      <c r="D482" s="11" t="str">
        <f>IF(ISBLANK(data!AL511),"",data!AL511)</f>
        <v/>
      </c>
      <c r="E482" s="11" t="str">
        <f>IF(ISBLANK(data!AM511),"",data!AM511)</f>
        <v/>
      </c>
    </row>
    <row r="483" spans="1:5" x14ac:dyDescent="0.3">
      <c r="A483" s="13" t="str">
        <f>IF(ISBLANK(data!AI512),"",data!AI512)</f>
        <v/>
      </c>
      <c r="B483" s="11" t="str">
        <f>IF(ISBLANK(data!AJ512),"",data!AJ512)</f>
        <v/>
      </c>
      <c r="C483" s="11" t="str">
        <f>IF(ISBLANK(data!AK512),"",data!AK512)</f>
        <v/>
      </c>
      <c r="D483" s="11" t="str">
        <f>IF(ISBLANK(data!AL512),"",data!AL512)</f>
        <v/>
      </c>
      <c r="E483" s="11" t="str">
        <f>IF(ISBLANK(data!AM512),"",data!AM512)</f>
        <v/>
      </c>
    </row>
    <row r="484" spans="1:5" x14ac:dyDescent="0.3">
      <c r="A484" s="13" t="str">
        <f>IF(ISBLANK(data!AI513),"",data!AI513)</f>
        <v/>
      </c>
      <c r="B484" s="11" t="str">
        <f>IF(ISBLANK(data!AJ513),"",data!AJ513)</f>
        <v/>
      </c>
      <c r="C484" s="11" t="str">
        <f>IF(ISBLANK(data!AK513),"",data!AK513)</f>
        <v/>
      </c>
      <c r="D484" s="11" t="str">
        <f>IF(ISBLANK(data!AL513),"",data!AL513)</f>
        <v/>
      </c>
      <c r="E484" s="11" t="str">
        <f>IF(ISBLANK(data!AM513),"",data!AM513)</f>
        <v/>
      </c>
    </row>
    <row r="485" spans="1:5" x14ac:dyDescent="0.3">
      <c r="A485" s="13" t="str">
        <f>IF(ISBLANK(data!AI514),"",data!AI514)</f>
        <v/>
      </c>
      <c r="B485" s="11" t="str">
        <f>IF(ISBLANK(data!AJ514),"",data!AJ514)</f>
        <v/>
      </c>
      <c r="C485" s="11" t="str">
        <f>IF(ISBLANK(data!AK514),"",data!AK514)</f>
        <v/>
      </c>
      <c r="D485" s="11" t="str">
        <f>IF(ISBLANK(data!AL514),"",data!AL514)</f>
        <v/>
      </c>
      <c r="E485" s="11" t="str">
        <f>IF(ISBLANK(data!AM514),"",data!AM514)</f>
        <v/>
      </c>
    </row>
    <row r="486" spans="1:5" x14ac:dyDescent="0.3">
      <c r="A486" s="13" t="str">
        <f>IF(ISBLANK(data!AI515),"",data!AI515)</f>
        <v/>
      </c>
      <c r="B486" s="11" t="str">
        <f>IF(ISBLANK(data!AJ515),"",data!AJ515)</f>
        <v/>
      </c>
      <c r="C486" s="11" t="str">
        <f>IF(ISBLANK(data!AK515),"",data!AK515)</f>
        <v/>
      </c>
      <c r="D486" s="11" t="str">
        <f>IF(ISBLANK(data!AL515),"",data!AL515)</f>
        <v/>
      </c>
      <c r="E486" s="11" t="str">
        <f>IF(ISBLANK(data!AM515),"",data!AM515)</f>
        <v/>
      </c>
    </row>
    <row r="487" spans="1:5" x14ac:dyDescent="0.3">
      <c r="A487" s="13" t="str">
        <f>IF(ISBLANK(data!AI516),"",data!AI516)</f>
        <v/>
      </c>
      <c r="B487" s="11" t="str">
        <f>IF(ISBLANK(data!AJ516),"",data!AJ516)</f>
        <v/>
      </c>
      <c r="C487" s="11" t="str">
        <f>IF(ISBLANK(data!AK516),"",data!AK516)</f>
        <v/>
      </c>
      <c r="D487" s="11" t="str">
        <f>IF(ISBLANK(data!AL516),"",data!AL516)</f>
        <v/>
      </c>
      <c r="E487" s="11" t="str">
        <f>IF(ISBLANK(data!AM516),"",data!AM516)</f>
        <v/>
      </c>
    </row>
    <row r="488" spans="1:5" x14ac:dyDescent="0.3">
      <c r="A488" s="13" t="str">
        <f>IF(ISBLANK(data!AI517),"",data!AI517)</f>
        <v/>
      </c>
      <c r="B488" s="11" t="str">
        <f>IF(ISBLANK(data!AJ517),"",data!AJ517)</f>
        <v/>
      </c>
      <c r="C488" s="11" t="str">
        <f>IF(ISBLANK(data!AK517),"",data!AK517)</f>
        <v/>
      </c>
      <c r="D488" s="11" t="str">
        <f>IF(ISBLANK(data!AL517),"",data!AL517)</f>
        <v/>
      </c>
      <c r="E488" s="11" t="str">
        <f>IF(ISBLANK(data!AM517),"",data!AM517)</f>
        <v/>
      </c>
    </row>
    <row r="489" spans="1:5" x14ac:dyDescent="0.3">
      <c r="A489" s="13" t="str">
        <f>IF(ISBLANK(data!AI518),"",data!AI518)</f>
        <v/>
      </c>
      <c r="B489" s="11" t="str">
        <f>IF(ISBLANK(data!AJ518),"",data!AJ518)</f>
        <v/>
      </c>
      <c r="C489" s="11" t="str">
        <f>IF(ISBLANK(data!AK518),"",data!AK518)</f>
        <v/>
      </c>
      <c r="D489" s="11" t="str">
        <f>IF(ISBLANK(data!AL518),"",data!AL518)</f>
        <v/>
      </c>
      <c r="E489" s="11" t="str">
        <f>IF(ISBLANK(data!AM518),"",data!AM518)</f>
        <v/>
      </c>
    </row>
    <row r="490" spans="1:5" x14ac:dyDescent="0.3">
      <c r="A490" s="13" t="str">
        <f>IF(ISBLANK(data!AI519),"",data!AI519)</f>
        <v/>
      </c>
      <c r="B490" s="11" t="str">
        <f>IF(ISBLANK(data!AJ519),"",data!AJ519)</f>
        <v/>
      </c>
      <c r="C490" s="11" t="str">
        <f>IF(ISBLANK(data!AK519),"",data!AK519)</f>
        <v/>
      </c>
      <c r="D490" s="11" t="str">
        <f>IF(ISBLANK(data!AL519),"",data!AL519)</f>
        <v/>
      </c>
      <c r="E490" s="11" t="str">
        <f>IF(ISBLANK(data!AM519),"",data!AM519)</f>
        <v/>
      </c>
    </row>
    <row r="491" spans="1:5" x14ac:dyDescent="0.3">
      <c r="A491" s="13" t="str">
        <f>IF(ISBLANK(data!AI520),"",data!AI520)</f>
        <v/>
      </c>
      <c r="B491" s="11" t="str">
        <f>IF(ISBLANK(data!AJ520),"",data!AJ520)</f>
        <v/>
      </c>
      <c r="C491" s="11" t="str">
        <f>IF(ISBLANK(data!AK520),"",data!AK520)</f>
        <v/>
      </c>
      <c r="D491" s="11" t="str">
        <f>IF(ISBLANK(data!AL520),"",data!AL520)</f>
        <v/>
      </c>
      <c r="E491" s="11" t="str">
        <f>IF(ISBLANK(data!AM520),"",data!AM520)</f>
        <v/>
      </c>
    </row>
    <row r="492" spans="1:5" x14ac:dyDescent="0.3">
      <c r="A492" s="13" t="str">
        <f>IF(ISBLANK(data!AI521),"",data!AI521)</f>
        <v/>
      </c>
      <c r="B492" s="11" t="str">
        <f>IF(ISBLANK(data!AJ521),"",data!AJ521)</f>
        <v/>
      </c>
      <c r="C492" s="11" t="str">
        <f>IF(ISBLANK(data!AK521),"",data!AK521)</f>
        <v/>
      </c>
      <c r="D492" s="11" t="str">
        <f>IF(ISBLANK(data!AL521),"",data!AL521)</f>
        <v/>
      </c>
      <c r="E492" s="11" t="str">
        <f>IF(ISBLANK(data!AM521),"",data!AM521)</f>
        <v/>
      </c>
    </row>
    <row r="493" spans="1:5" x14ac:dyDescent="0.3">
      <c r="A493" s="13" t="str">
        <f>IF(ISBLANK(data!AI522),"",data!AI522)</f>
        <v/>
      </c>
      <c r="B493" s="11" t="str">
        <f>IF(ISBLANK(data!AJ522),"",data!AJ522)</f>
        <v/>
      </c>
      <c r="C493" s="11" t="str">
        <f>IF(ISBLANK(data!AK522),"",data!AK522)</f>
        <v/>
      </c>
      <c r="D493" s="11" t="str">
        <f>IF(ISBLANK(data!AL522),"",data!AL522)</f>
        <v/>
      </c>
      <c r="E493" s="11" t="str">
        <f>IF(ISBLANK(data!AM522),"",data!AM522)</f>
        <v/>
      </c>
    </row>
    <row r="494" spans="1:5" x14ac:dyDescent="0.3">
      <c r="A494" s="13" t="str">
        <f>IF(ISBLANK(data!AI523),"",data!AI523)</f>
        <v/>
      </c>
      <c r="B494" s="11" t="str">
        <f>IF(ISBLANK(data!AJ523),"",data!AJ523)</f>
        <v/>
      </c>
      <c r="C494" s="11" t="str">
        <f>IF(ISBLANK(data!AK523),"",data!AK523)</f>
        <v/>
      </c>
      <c r="D494" s="11" t="str">
        <f>IF(ISBLANK(data!AL523),"",data!AL523)</f>
        <v/>
      </c>
      <c r="E494" s="11" t="str">
        <f>IF(ISBLANK(data!AM523),"",data!AM523)</f>
        <v/>
      </c>
    </row>
    <row r="495" spans="1:5" x14ac:dyDescent="0.3">
      <c r="A495" s="13" t="str">
        <f>IF(ISBLANK(data!AI524),"",data!AI524)</f>
        <v/>
      </c>
      <c r="B495" s="11" t="str">
        <f>IF(ISBLANK(data!AJ524),"",data!AJ524)</f>
        <v/>
      </c>
      <c r="C495" s="11" t="str">
        <f>IF(ISBLANK(data!AK524),"",data!AK524)</f>
        <v/>
      </c>
      <c r="D495" s="11" t="str">
        <f>IF(ISBLANK(data!AL524),"",data!AL524)</f>
        <v/>
      </c>
      <c r="E495" s="11" t="str">
        <f>IF(ISBLANK(data!AM524),"",data!AM524)</f>
        <v/>
      </c>
    </row>
    <row r="496" spans="1:5" x14ac:dyDescent="0.3">
      <c r="A496" s="13" t="str">
        <f>IF(ISBLANK(data!AI525),"",data!AI525)</f>
        <v/>
      </c>
      <c r="B496" s="11" t="str">
        <f>IF(ISBLANK(data!AJ525),"",data!AJ525)</f>
        <v/>
      </c>
      <c r="C496" s="11" t="str">
        <f>IF(ISBLANK(data!AK525),"",data!AK525)</f>
        <v/>
      </c>
      <c r="D496" s="11" t="str">
        <f>IF(ISBLANK(data!AL525),"",data!AL525)</f>
        <v/>
      </c>
      <c r="E496" s="11" t="str">
        <f>IF(ISBLANK(data!AM525),"",data!AM525)</f>
        <v/>
      </c>
    </row>
    <row r="497" spans="1:5" x14ac:dyDescent="0.3">
      <c r="A497" s="13" t="str">
        <f>IF(ISBLANK(data!AI526),"",data!AI526)</f>
        <v/>
      </c>
      <c r="B497" s="11" t="str">
        <f>IF(ISBLANK(data!AJ526),"",data!AJ526)</f>
        <v/>
      </c>
      <c r="C497" s="11" t="str">
        <f>IF(ISBLANK(data!AK526),"",data!AK526)</f>
        <v/>
      </c>
      <c r="D497" s="11" t="str">
        <f>IF(ISBLANK(data!AL526),"",data!AL526)</f>
        <v/>
      </c>
      <c r="E497" s="11" t="str">
        <f>IF(ISBLANK(data!AM526),"",data!AM526)</f>
        <v/>
      </c>
    </row>
    <row r="498" spans="1:5" x14ac:dyDescent="0.3">
      <c r="A498" s="13" t="str">
        <f>IF(ISBLANK(data!AI527),"",data!AI527)</f>
        <v/>
      </c>
      <c r="B498" s="11" t="str">
        <f>IF(ISBLANK(data!AJ527),"",data!AJ527)</f>
        <v/>
      </c>
      <c r="C498" s="11" t="str">
        <f>IF(ISBLANK(data!AK527),"",data!AK527)</f>
        <v/>
      </c>
      <c r="D498" s="11" t="str">
        <f>IF(ISBLANK(data!AL527),"",data!AL527)</f>
        <v/>
      </c>
      <c r="E498" s="11" t="str">
        <f>IF(ISBLANK(data!AM527),"",data!AM527)</f>
        <v/>
      </c>
    </row>
    <row r="499" spans="1:5" x14ac:dyDescent="0.3">
      <c r="A499" s="13" t="str">
        <f>IF(ISBLANK(data!AI528),"",data!AI528)</f>
        <v/>
      </c>
      <c r="B499" s="11" t="str">
        <f>IF(ISBLANK(data!AJ528),"",data!AJ528)</f>
        <v/>
      </c>
      <c r="C499" s="11" t="str">
        <f>IF(ISBLANK(data!AK528),"",data!AK528)</f>
        <v/>
      </c>
      <c r="D499" s="11" t="str">
        <f>IF(ISBLANK(data!AL528),"",data!AL528)</f>
        <v/>
      </c>
      <c r="E499" s="11" t="str">
        <f>IF(ISBLANK(data!AM528),"",data!AM528)</f>
        <v/>
      </c>
    </row>
    <row r="500" spans="1:5" x14ac:dyDescent="0.3">
      <c r="A500" s="13" t="str">
        <f>IF(ISBLANK(data!AI529),"",data!AI529)</f>
        <v/>
      </c>
      <c r="B500" s="11" t="str">
        <f>IF(ISBLANK(data!AJ529),"",data!AJ529)</f>
        <v/>
      </c>
      <c r="C500" s="11" t="str">
        <f>IF(ISBLANK(data!AK529),"",data!AK529)</f>
        <v/>
      </c>
      <c r="D500" s="11" t="str">
        <f>IF(ISBLANK(data!AL529),"",data!AL529)</f>
        <v/>
      </c>
      <c r="E500" s="11" t="str">
        <f>IF(ISBLANK(data!AM529),"",data!AM529)</f>
        <v/>
      </c>
    </row>
    <row r="501" spans="1:5" x14ac:dyDescent="0.3">
      <c r="A501" s="13" t="str">
        <f>IF(ISBLANK(data!AI530),"",data!AI530)</f>
        <v/>
      </c>
      <c r="B501" s="11" t="str">
        <f>IF(ISBLANK(data!AJ530),"",data!AJ530)</f>
        <v/>
      </c>
      <c r="C501" s="11" t="str">
        <f>IF(ISBLANK(data!AK530),"",data!AK530)</f>
        <v/>
      </c>
      <c r="D501" s="11" t="str">
        <f>IF(ISBLANK(data!AL530),"",data!AL530)</f>
        <v/>
      </c>
      <c r="E501" s="11" t="str">
        <f>IF(ISBLANK(data!AM530),"",data!AM530)</f>
        <v/>
      </c>
    </row>
    <row r="502" spans="1:5" x14ac:dyDescent="0.3">
      <c r="A502" s="13" t="str">
        <f>IF(ISBLANK(data!AI531),"",data!AI531)</f>
        <v/>
      </c>
      <c r="B502" s="11" t="str">
        <f>IF(ISBLANK(data!AJ531),"",data!AJ531)</f>
        <v/>
      </c>
      <c r="C502" s="11" t="str">
        <f>IF(ISBLANK(data!AK531),"",data!AK531)</f>
        <v/>
      </c>
      <c r="D502" s="11" t="str">
        <f>IF(ISBLANK(data!AL531),"",data!AL531)</f>
        <v/>
      </c>
      <c r="E502" s="11" t="str">
        <f>IF(ISBLANK(data!AM531),"",data!AM531)</f>
        <v/>
      </c>
    </row>
    <row r="503" spans="1:5" x14ac:dyDescent="0.3">
      <c r="A503" s="13" t="str">
        <f>IF(ISBLANK(data!AI532),"",data!AI532)</f>
        <v/>
      </c>
      <c r="B503" s="11" t="str">
        <f>IF(ISBLANK(data!AJ532),"",data!AJ532)</f>
        <v/>
      </c>
      <c r="C503" s="11" t="str">
        <f>IF(ISBLANK(data!AK532),"",data!AK532)</f>
        <v/>
      </c>
      <c r="D503" s="11" t="str">
        <f>IF(ISBLANK(data!AL532),"",data!AL532)</f>
        <v/>
      </c>
      <c r="E503" s="11" t="str">
        <f>IF(ISBLANK(data!AM532),"",data!AM532)</f>
        <v/>
      </c>
    </row>
    <row r="504" spans="1:5" x14ac:dyDescent="0.3">
      <c r="A504" s="13" t="str">
        <f>IF(ISBLANK(data!AI533),"",data!AI533)</f>
        <v/>
      </c>
      <c r="B504" s="11" t="str">
        <f>IF(ISBLANK(data!AJ533),"",data!AJ533)</f>
        <v/>
      </c>
      <c r="C504" s="11" t="str">
        <f>IF(ISBLANK(data!AK533),"",data!AK533)</f>
        <v/>
      </c>
      <c r="D504" s="11" t="str">
        <f>IF(ISBLANK(data!AL533),"",data!AL533)</f>
        <v/>
      </c>
      <c r="E504" s="11" t="str">
        <f>IF(ISBLANK(data!AM533),"",data!AM533)</f>
        <v/>
      </c>
    </row>
    <row r="505" spans="1:5" x14ac:dyDescent="0.3">
      <c r="A505" s="13" t="str">
        <f>IF(ISBLANK(data!AI534),"",data!AI534)</f>
        <v/>
      </c>
      <c r="B505" s="11" t="str">
        <f>IF(ISBLANK(data!AJ534),"",data!AJ534)</f>
        <v/>
      </c>
      <c r="C505" s="11" t="str">
        <f>IF(ISBLANK(data!AK534),"",data!AK534)</f>
        <v/>
      </c>
      <c r="D505" s="11" t="str">
        <f>IF(ISBLANK(data!AL534),"",data!AL534)</f>
        <v/>
      </c>
      <c r="E505" s="11" t="str">
        <f>IF(ISBLANK(data!AM534),"",data!AM534)</f>
        <v/>
      </c>
    </row>
    <row r="506" spans="1:5" x14ac:dyDescent="0.3">
      <c r="A506" s="13" t="str">
        <f>IF(ISBLANK(data!AI535),"",data!AI535)</f>
        <v/>
      </c>
      <c r="B506" s="11" t="str">
        <f>IF(ISBLANK(data!AJ535),"",data!AJ535)</f>
        <v/>
      </c>
      <c r="C506" s="11" t="str">
        <f>IF(ISBLANK(data!AK535),"",data!AK535)</f>
        <v/>
      </c>
      <c r="D506" s="11" t="str">
        <f>IF(ISBLANK(data!AL535),"",data!AL535)</f>
        <v/>
      </c>
      <c r="E506" s="11" t="str">
        <f>IF(ISBLANK(data!AM535),"",data!AM535)</f>
        <v/>
      </c>
    </row>
    <row r="507" spans="1:5" x14ac:dyDescent="0.3">
      <c r="A507" s="13" t="str">
        <f>IF(ISBLANK(data!AI536),"",data!AI536)</f>
        <v/>
      </c>
      <c r="B507" s="11" t="str">
        <f>IF(ISBLANK(data!AJ536),"",data!AJ536)</f>
        <v/>
      </c>
      <c r="C507" s="11" t="str">
        <f>IF(ISBLANK(data!AK536),"",data!AK536)</f>
        <v/>
      </c>
      <c r="D507" s="11" t="str">
        <f>IF(ISBLANK(data!AL536),"",data!AL536)</f>
        <v/>
      </c>
      <c r="E507" s="11" t="str">
        <f>IF(ISBLANK(data!AM536),"",data!AM536)</f>
        <v/>
      </c>
    </row>
    <row r="508" spans="1:5" x14ac:dyDescent="0.3">
      <c r="A508" s="13" t="str">
        <f>IF(ISBLANK(data!AI537),"",data!AI537)</f>
        <v/>
      </c>
      <c r="B508" s="11" t="str">
        <f>IF(ISBLANK(data!AJ537),"",data!AJ537)</f>
        <v/>
      </c>
      <c r="C508" s="11" t="str">
        <f>IF(ISBLANK(data!AK537),"",data!AK537)</f>
        <v/>
      </c>
      <c r="D508" s="11" t="str">
        <f>IF(ISBLANK(data!AL537),"",data!AL537)</f>
        <v/>
      </c>
      <c r="E508" s="11" t="str">
        <f>IF(ISBLANK(data!AM537),"",data!AM537)</f>
        <v/>
      </c>
    </row>
    <row r="509" spans="1:5" x14ac:dyDescent="0.3">
      <c r="A509" s="13" t="str">
        <f>IF(ISBLANK(data!AI538),"",data!AI538)</f>
        <v/>
      </c>
      <c r="B509" s="11" t="str">
        <f>IF(ISBLANK(data!AJ538),"",data!AJ538)</f>
        <v/>
      </c>
      <c r="C509" s="11" t="str">
        <f>IF(ISBLANK(data!AK538),"",data!AK538)</f>
        <v/>
      </c>
      <c r="D509" s="11" t="str">
        <f>IF(ISBLANK(data!AL538),"",data!AL538)</f>
        <v/>
      </c>
      <c r="E509" s="11" t="str">
        <f>IF(ISBLANK(data!AM538),"",data!AM538)</f>
        <v/>
      </c>
    </row>
    <row r="510" spans="1:5" x14ac:dyDescent="0.3">
      <c r="A510" s="13" t="str">
        <f>IF(ISBLANK(data!AI539),"",data!AI539)</f>
        <v/>
      </c>
      <c r="B510" s="11" t="str">
        <f>IF(ISBLANK(data!AJ539),"",data!AJ539)</f>
        <v/>
      </c>
      <c r="C510" s="11" t="str">
        <f>IF(ISBLANK(data!AK539),"",data!AK539)</f>
        <v/>
      </c>
      <c r="D510" s="11" t="str">
        <f>IF(ISBLANK(data!AL539),"",data!AL539)</f>
        <v/>
      </c>
      <c r="E510" s="11" t="str">
        <f>IF(ISBLANK(data!AM539),"",data!AM539)</f>
        <v/>
      </c>
    </row>
    <row r="511" spans="1:5" x14ac:dyDescent="0.3">
      <c r="A511" s="13" t="str">
        <f>IF(ISBLANK(data!AI540),"",data!AI540)</f>
        <v/>
      </c>
      <c r="B511" s="11" t="str">
        <f>IF(ISBLANK(data!AJ540),"",data!AJ540)</f>
        <v/>
      </c>
      <c r="C511" s="11" t="str">
        <f>IF(ISBLANK(data!AK540),"",data!AK540)</f>
        <v/>
      </c>
      <c r="D511" s="11" t="str">
        <f>IF(ISBLANK(data!AL540),"",data!AL540)</f>
        <v/>
      </c>
      <c r="E511" s="11" t="str">
        <f>IF(ISBLANK(data!AM540),"",data!AM540)</f>
        <v/>
      </c>
    </row>
    <row r="512" spans="1:5" x14ac:dyDescent="0.3">
      <c r="A512" s="13" t="str">
        <f>IF(ISBLANK(data!AI541),"",data!AI541)</f>
        <v/>
      </c>
      <c r="B512" s="11" t="str">
        <f>IF(ISBLANK(data!AJ541),"",data!AJ541)</f>
        <v/>
      </c>
      <c r="C512" s="11" t="str">
        <f>IF(ISBLANK(data!AK541),"",data!AK541)</f>
        <v/>
      </c>
      <c r="D512" s="11" t="str">
        <f>IF(ISBLANK(data!AL541),"",data!AL541)</f>
        <v/>
      </c>
      <c r="E512" s="11" t="str">
        <f>IF(ISBLANK(data!AM541),"",data!AM541)</f>
        <v/>
      </c>
    </row>
    <row r="513" spans="1:5" x14ac:dyDescent="0.3">
      <c r="A513" s="13" t="str">
        <f>IF(ISBLANK(data!AI542),"",data!AI542)</f>
        <v/>
      </c>
      <c r="B513" s="11" t="str">
        <f>IF(ISBLANK(data!AJ542),"",data!AJ542)</f>
        <v/>
      </c>
      <c r="C513" s="11" t="str">
        <f>IF(ISBLANK(data!AK542),"",data!AK542)</f>
        <v/>
      </c>
      <c r="D513" s="11" t="str">
        <f>IF(ISBLANK(data!AL542),"",data!AL542)</f>
        <v/>
      </c>
      <c r="E513" s="11" t="str">
        <f>IF(ISBLANK(data!AM542),"",data!AM542)</f>
        <v/>
      </c>
    </row>
    <row r="514" spans="1:5" x14ac:dyDescent="0.3">
      <c r="A514" s="13" t="str">
        <f>IF(ISBLANK(data!AI543),"",data!AI543)</f>
        <v/>
      </c>
      <c r="B514" s="11" t="str">
        <f>IF(ISBLANK(data!AJ543),"",data!AJ543)</f>
        <v/>
      </c>
      <c r="C514" s="11" t="str">
        <f>IF(ISBLANK(data!AK543),"",data!AK543)</f>
        <v/>
      </c>
      <c r="D514" s="11" t="str">
        <f>IF(ISBLANK(data!AL543),"",data!AL543)</f>
        <v/>
      </c>
      <c r="E514" s="11" t="str">
        <f>IF(ISBLANK(data!AM543),"",data!AM543)</f>
        <v/>
      </c>
    </row>
    <row r="515" spans="1:5" x14ac:dyDescent="0.3">
      <c r="A515" s="13" t="str">
        <f>IF(ISBLANK(data!AI544),"",data!AI544)</f>
        <v/>
      </c>
      <c r="B515" s="11" t="str">
        <f>IF(ISBLANK(data!AJ544),"",data!AJ544)</f>
        <v/>
      </c>
      <c r="C515" s="11" t="str">
        <f>IF(ISBLANK(data!AK544),"",data!AK544)</f>
        <v/>
      </c>
      <c r="D515" s="11" t="str">
        <f>IF(ISBLANK(data!AL544),"",data!AL544)</f>
        <v/>
      </c>
      <c r="E515" s="11" t="str">
        <f>IF(ISBLANK(data!AM544),"",data!AM544)</f>
        <v/>
      </c>
    </row>
    <row r="516" spans="1:5" x14ac:dyDescent="0.3">
      <c r="A516" s="13" t="str">
        <f>IF(ISBLANK(data!AI545),"",data!AI545)</f>
        <v/>
      </c>
      <c r="B516" s="11" t="str">
        <f>IF(ISBLANK(data!AJ545),"",data!AJ545)</f>
        <v/>
      </c>
      <c r="C516" s="11" t="str">
        <f>IF(ISBLANK(data!AK545),"",data!AK545)</f>
        <v/>
      </c>
      <c r="D516" s="11" t="str">
        <f>IF(ISBLANK(data!AL545),"",data!AL545)</f>
        <v/>
      </c>
      <c r="E516" s="11" t="str">
        <f>IF(ISBLANK(data!AM545),"",data!AM545)</f>
        <v/>
      </c>
    </row>
    <row r="517" spans="1:5" x14ac:dyDescent="0.3">
      <c r="A517" s="13" t="str">
        <f>IF(ISBLANK(data!AI546),"",data!AI546)</f>
        <v/>
      </c>
      <c r="B517" s="11" t="str">
        <f>IF(ISBLANK(data!AJ546),"",data!AJ546)</f>
        <v/>
      </c>
      <c r="C517" s="11" t="str">
        <f>IF(ISBLANK(data!AK546),"",data!AK546)</f>
        <v/>
      </c>
      <c r="D517" s="11" t="str">
        <f>IF(ISBLANK(data!AL546),"",data!AL546)</f>
        <v/>
      </c>
      <c r="E517" s="11" t="str">
        <f>IF(ISBLANK(data!AM546),"",data!AM546)</f>
        <v/>
      </c>
    </row>
    <row r="518" spans="1:5" x14ac:dyDescent="0.3">
      <c r="A518" s="13" t="str">
        <f>IF(ISBLANK(data!AI547),"",data!AI547)</f>
        <v/>
      </c>
      <c r="B518" s="11" t="str">
        <f>IF(ISBLANK(data!AJ547),"",data!AJ547)</f>
        <v/>
      </c>
      <c r="C518" s="11" t="str">
        <f>IF(ISBLANK(data!AK547),"",data!AK547)</f>
        <v/>
      </c>
      <c r="D518" s="11" t="str">
        <f>IF(ISBLANK(data!AL547),"",data!AL547)</f>
        <v/>
      </c>
      <c r="E518" s="11" t="str">
        <f>IF(ISBLANK(data!AM547),"",data!AM547)</f>
        <v/>
      </c>
    </row>
    <row r="519" spans="1:5" x14ac:dyDescent="0.3">
      <c r="A519" s="13" t="str">
        <f>IF(ISBLANK(data!AI548),"",data!AI548)</f>
        <v/>
      </c>
      <c r="B519" s="11" t="str">
        <f>IF(ISBLANK(data!AJ548),"",data!AJ548)</f>
        <v/>
      </c>
      <c r="C519" s="11" t="str">
        <f>IF(ISBLANK(data!AK548),"",data!AK548)</f>
        <v/>
      </c>
      <c r="D519" s="11" t="str">
        <f>IF(ISBLANK(data!AL548),"",data!AL548)</f>
        <v/>
      </c>
      <c r="E519" s="11" t="str">
        <f>IF(ISBLANK(data!AM548),"",data!AM548)</f>
        <v/>
      </c>
    </row>
    <row r="520" spans="1:5" x14ac:dyDescent="0.3">
      <c r="A520" s="13" t="str">
        <f>IF(ISBLANK(data!AI549),"",data!AI549)</f>
        <v/>
      </c>
      <c r="B520" s="11" t="str">
        <f>IF(ISBLANK(data!AJ549),"",data!AJ549)</f>
        <v/>
      </c>
      <c r="C520" s="11" t="str">
        <f>IF(ISBLANK(data!AK549),"",data!AK549)</f>
        <v/>
      </c>
      <c r="D520" s="11" t="str">
        <f>IF(ISBLANK(data!AL549),"",data!AL549)</f>
        <v/>
      </c>
      <c r="E520" s="11" t="str">
        <f>IF(ISBLANK(data!AM549),"",data!AM549)</f>
        <v/>
      </c>
    </row>
    <row r="521" spans="1:5" x14ac:dyDescent="0.3">
      <c r="A521" s="13" t="str">
        <f>IF(ISBLANK(data!AI550),"",data!AI550)</f>
        <v/>
      </c>
      <c r="B521" s="11" t="str">
        <f>IF(ISBLANK(data!AJ550),"",data!AJ550)</f>
        <v/>
      </c>
      <c r="C521" s="11" t="str">
        <f>IF(ISBLANK(data!AK550),"",data!AK550)</f>
        <v/>
      </c>
      <c r="D521" s="11" t="str">
        <f>IF(ISBLANK(data!AL550),"",data!AL550)</f>
        <v/>
      </c>
      <c r="E521" s="11" t="str">
        <f>IF(ISBLANK(data!AM550),"",data!AM550)</f>
        <v/>
      </c>
    </row>
    <row r="522" spans="1:5" x14ac:dyDescent="0.3">
      <c r="A522" s="13" t="str">
        <f>IF(ISBLANK(data!AI551),"",data!AI551)</f>
        <v/>
      </c>
      <c r="B522" s="11" t="str">
        <f>IF(ISBLANK(data!AJ551),"",data!AJ551)</f>
        <v/>
      </c>
      <c r="C522" s="11" t="str">
        <f>IF(ISBLANK(data!AK551),"",data!AK551)</f>
        <v/>
      </c>
      <c r="D522" s="11" t="str">
        <f>IF(ISBLANK(data!AL551),"",data!AL551)</f>
        <v/>
      </c>
      <c r="E522" s="11" t="str">
        <f>IF(ISBLANK(data!AM551),"",data!AM551)</f>
        <v/>
      </c>
    </row>
    <row r="523" spans="1:5" x14ac:dyDescent="0.3">
      <c r="A523" s="13" t="str">
        <f>IF(ISBLANK(data!AI552),"",data!AI552)</f>
        <v/>
      </c>
      <c r="B523" s="11" t="str">
        <f>IF(ISBLANK(data!AJ552),"",data!AJ552)</f>
        <v/>
      </c>
      <c r="C523" s="11" t="str">
        <f>IF(ISBLANK(data!AK552),"",data!AK552)</f>
        <v/>
      </c>
      <c r="D523" s="11" t="str">
        <f>IF(ISBLANK(data!AL552),"",data!AL552)</f>
        <v/>
      </c>
      <c r="E523" s="11" t="str">
        <f>IF(ISBLANK(data!AM552),"",data!AM552)</f>
        <v/>
      </c>
    </row>
    <row r="524" spans="1:5" x14ac:dyDescent="0.3">
      <c r="A524" s="13" t="str">
        <f>IF(ISBLANK(data!AI553),"",data!AI553)</f>
        <v/>
      </c>
      <c r="B524" s="11" t="str">
        <f>IF(ISBLANK(data!AJ553),"",data!AJ553)</f>
        <v/>
      </c>
      <c r="C524" s="11" t="str">
        <f>IF(ISBLANK(data!AK553),"",data!AK553)</f>
        <v/>
      </c>
      <c r="D524" s="11" t="str">
        <f>IF(ISBLANK(data!AL553),"",data!AL553)</f>
        <v/>
      </c>
      <c r="E524" s="11" t="str">
        <f>IF(ISBLANK(data!AM553),"",data!AM553)</f>
        <v/>
      </c>
    </row>
    <row r="525" spans="1:5" x14ac:dyDescent="0.3">
      <c r="A525" s="13" t="str">
        <f>IF(ISBLANK(data!AI554),"",data!AI554)</f>
        <v/>
      </c>
      <c r="B525" s="11" t="str">
        <f>IF(ISBLANK(data!AJ554),"",data!AJ554)</f>
        <v/>
      </c>
      <c r="C525" s="11" t="str">
        <f>IF(ISBLANK(data!AK554),"",data!AK554)</f>
        <v/>
      </c>
      <c r="D525" s="11" t="str">
        <f>IF(ISBLANK(data!AL554),"",data!AL554)</f>
        <v/>
      </c>
      <c r="E525" s="11" t="str">
        <f>IF(ISBLANK(data!AM554),"",data!AM554)</f>
        <v/>
      </c>
    </row>
    <row r="526" spans="1:5" x14ac:dyDescent="0.3">
      <c r="A526" s="13" t="str">
        <f>IF(ISBLANK(data!AI555),"",data!AI555)</f>
        <v/>
      </c>
      <c r="B526" s="11" t="str">
        <f>IF(ISBLANK(data!AJ555),"",data!AJ555)</f>
        <v/>
      </c>
      <c r="C526" s="11" t="str">
        <f>IF(ISBLANK(data!AK555),"",data!AK555)</f>
        <v/>
      </c>
      <c r="D526" s="11" t="str">
        <f>IF(ISBLANK(data!AL555),"",data!AL555)</f>
        <v/>
      </c>
      <c r="E526" s="11" t="str">
        <f>IF(ISBLANK(data!AM555),"",data!AM555)</f>
        <v/>
      </c>
    </row>
    <row r="527" spans="1:5" x14ac:dyDescent="0.3">
      <c r="A527" s="13" t="str">
        <f>IF(ISBLANK(data!AI556),"",data!AI556)</f>
        <v/>
      </c>
      <c r="B527" s="11" t="str">
        <f>IF(ISBLANK(data!AJ556),"",data!AJ556)</f>
        <v/>
      </c>
      <c r="C527" s="11" t="str">
        <f>IF(ISBLANK(data!AK556),"",data!AK556)</f>
        <v/>
      </c>
      <c r="D527" s="11" t="str">
        <f>IF(ISBLANK(data!AL556),"",data!AL556)</f>
        <v/>
      </c>
      <c r="E527" s="11" t="str">
        <f>IF(ISBLANK(data!AM556),"",data!AM556)</f>
        <v/>
      </c>
    </row>
    <row r="528" spans="1:5" x14ac:dyDescent="0.3">
      <c r="A528" s="13" t="str">
        <f>IF(ISBLANK(data!AI557),"",data!AI557)</f>
        <v/>
      </c>
      <c r="B528" s="11" t="str">
        <f>IF(ISBLANK(data!AJ557),"",data!AJ557)</f>
        <v/>
      </c>
      <c r="C528" s="11" t="str">
        <f>IF(ISBLANK(data!AK557),"",data!AK557)</f>
        <v/>
      </c>
      <c r="D528" s="11" t="str">
        <f>IF(ISBLANK(data!AL557),"",data!AL557)</f>
        <v/>
      </c>
      <c r="E528" s="11" t="str">
        <f>IF(ISBLANK(data!AM557),"",data!AM557)</f>
        <v/>
      </c>
    </row>
    <row r="529" spans="1:5" x14ac:dyDescent="0.3">
      <c r="A529" s="13" t="str">
        <f>IF(ISBLANK(data!AI558),"",data!AI558)</f>
        <v/>
      </c>
      <c r="B529" s="11" t="str">
        <f>IF(ISBLANK(data!AJ558),"",data!AJ558)</f>
        <v/>
      </c>
      <c r="C529" s="11" t="str">
        <f>IF(ISBLANK(data!AK558),"",data!AK558)</f>
        <v/>
      </c>
      <c r="D529" s="11" t="str">
        <f>IF(ISBLANK(data!AL558),"",data!AL558)</f>
        <v/>
      </c>
      <c r="E529" s="11" t="str">
        <f>IF(ISBLANK(data!AM558),"",data!AM558)</f>
        <v/>
      </c>
    </row>
    <row r="530" spans="1:5" x14ac:dyDescent="0.3">
      <c r="A530" s="13" t="str">
        <f>IF(ISBLANK(data!AI559),"",data!AI559)</f>
        <v/>
      </c>
      <c r="B530" s="11" t="str">
        <f>IF(ISBLANK(data!AJ559),"",data!AJ559)</f>
        <v/>
      </c>
      <c r="C530" s="11" t="str">
        <f>IF(ISBLANK(data!AK559),"",data!AK559)</f>
        <v/>
      </c>
      <c r="D530" s="11" t="str">
        <f>IF(ISBLANK(data!AL559),"",data!AL559)</f>
        <v/>
      </c>
      <c r="E530" s="11" t="str">
        <f>IF(ISBLANK(data!AM559),"",data!AM559)</f>
        <v/>
      </c>
    </row>
    <row r="531" spans="1:5" x14ac:dyDescent="0.3">
      <c r="A531" s="13" t="str">
        <f>IF(ISBLANK(data!AI560),"",data!AI560)</f>
        <v/>
      </c>
      <c r="B531" s="11" t="str">
        <f>IF(ISBLANK(data!AJ560),"",data!AJ560)</f>
        <v/>
      </c>
      <c r="C531" s="11" t="str">
        <f>IF(ISBLANK(data!AK560),"",data!AK560)</f>
        <v/>
      </c>
      <c r="D531" s="11" t="str">
        <f>IF(ISBLANK(data!AL560),"",data!AL560)</f>
        <v/>
      </c>
      <c r="E531" s="11" t="str">
        <f>IF(ISBLANK(data!AM560),"",data!AM560)</f>
        <v/>
      </c>
    </row>
    <row r="532" spans="1:5" x14ac:dyDescent="0.3">
      <c r="A532" s="13" t="str">
        <f>IF(ISBLANK(data!AI561),"",data!AI561)</f>
        <v/>
      </c>
      <c r="B532" s="11" t="str">
        <f>IF(ISBLANK(data!AJ561),"",data!AJ561)</f>
        <v/>
      </c>
      <c r="C532" s="11" t="str">
        <f>IF(ISBLANK(data!AK561),"",data!AK561)</f>
        <v/>
      </c>
      <c r="D532" s="11" t="str">
        <f>IF(ISBLANK(data!AL561),"",data!AL561)</f>
        <v/>
      </c>
      <c r="E532" s="11" t="str">
        <f>IF(ISBLANK(data!AM561),"",data!AM561)</f>
        <v/>
      </c>
    </row>
    <row r="533" spans="1:5" x14ac:dyDescent="0.3">
      <c r="A533" s="13" t="str">
        <f>IF(ISBLANK(data!AI562),"",data!AI562)</f>
        <v/>
      </c>
      <c r="B533" s="11" t="str">
        <f>IF(ISBLANK(data!AJ562),"",data!AJ562)</f>
        <v/>
      </c>
      <c r="C533" s="11" t="str">
        <f>IF(ISBLANK(data!AK562),"",data!AK562)</f>
        <v/>
      </c>
      <c r="D533" s="11" t="str">
        <f>IF(ISBLANK(data!AL562),"",data!AL562)</f>
        <v/>
      </c>
      <c r="E533" s="11" t="str">
        <f>IF(ISBLANK(data!AM562),"",data!AM562)</f>
        <v/>
      </c>
    </row>
    <row r="534" spans="1:5" x14ac:dyDescent="0.3">
      <c r="A534" s="13" t="str">
        <f>IF(ISBLANK(data!AI563),"",data!AI563)</f>
        <v/>
      </c>
      <c r="B534" s="11" t="str">
        <f>IF(ISBLANK(data!AJ563),"",data!AJ563)</f>
        <v/>
      </c>
      <c r="C534" s="11" t="str">
        <f>IF(ISBLANK(data!AK563),"",data!AK563)</f>
        <v/>
      </c>
      <c r="D534" s="11" t="str">
        <f>IF(ISBLANK(data!AL563),"",data!AL563)</f>
        <v/>
      </c>
      <c r="E534" s="11" t="str">
        <f>IF(ISBLANK(data!AM563),"",data!AM563)</f>
        <v/>
      </c>
    </row>
    <row r="535" spans="1:5" x14ac:dyDescent="0.3">
      <c r="A535" s="13" t="str">
        <f>IF(ISBLANK(data!AI564),"",data!AI564)</f>
        <v/>
      </c>
      <c r="B535" s="11" t="str">
        <f>IF(ISBLANK(data!AJ564),"",data!AJ564)</f>
        <v/>
      </c>
      <c r="C535" s="11" t="str">
        <f>IF(ISBLANK(data!AK564),"",data!AK564)</f>
        <v/>
      </c>
      <c r="D535" s="11" t="str">
        <f>IF(ISBLANK(data!AL564),"",data!AL564)</f>
        <v/>
      </c>
      <c r="E535" s="11" t="str">
        <f>IF(ISBLANK(data!AM564),"",data!AM564)</f>
        <v/>
      </c>
    </row>
    <row r="536" spans="1:5" x14ac:dyDescent="0.3">
      <c r="A536" s="13" t="str">
        <f>IF(ISBLANK(data!AI565),"",data!AI565)</f>
        <v/>
      </c>
      <c r="B536" s="11" t="str">
        <f>IF(ISBLANK(data!AJ565),"",data!AJ565)</f>
        <v/>
      </c>
      <c r="C536" s="11" t="str">
        <f>IF(ISBLANK(data!AK565),"",data!AK565)</f>
        <v/>
      </c>
      <c r="D536" s="11" t="str">
        <f>IF(ISBLANK(data!AL565),"",data!AL565)</f>
        <v/>
      </c>
      <c r="E536" s="11" t="str">
        <f>IF(ISBLANK(data!AM565),"",data!AM565)</f>
        <v/>
      </c>
    </row>
    <row r="537" spans="1:5" x14ac:dyDescent="0.3">
      <c r="A537" s="13" t="str">
        <f>IF(ISBLANK(data!AI566),"",data!AI566)</f>
        <v/>
      </c>
      <c r="B537" s="11" t="str">
        <f>IF(ISBLANK(data!AJ566),"",data!AJ566)</f>
        <v/>
      </c>
      <c r="C537" s="11" t="str">
        <f>IF(ISBLANK(data!AK566),"",data!AK566)</f>
        <v/>
      </c>
      <c r="D537" s="11" t="str">
        <f>IF(ISBLANK(data!AL566),"",data!AL566)</f>
        <v/>
      </c>
      <c r="E537" s="11" t="str">
        <f>IF(ISBLANK(data!AM566),"",data!AM566)</f>
        <v/>
      </c>
    </row>
    <row r="538" spans="1:5" x14ac:dyDescent="0.3">
      <c r="A538" s="13" t="str">
        <f>IF(ISBLANK(data!AI567),"",data!AI567)</f>
        <v/>
      </c>
      <c r="B538" s="11" t="str">
        <f>IF(ISBLANK(data!AJ567),"",data!AJ567)</f>
        <v/>
      </c>
      <c r="C538" s="11" t="str">
        <f>IF(ISBLANK(data!AK567),"",data!AK567)</f>
        <v/>
      </c>
      <c r="D538" s="11" t="str">
        <f>IF(ISBLANK(data!AL567),"",data!AL567)</f>
        <v/>
      </c>
      <c r="E538" s="11" t="str">
        <f>IF(ISBLANK(data!AM567),"",data!AM567)</f>
        <v/>
      </c>
    </row>
    <row r="539" spans="1:5" x14ac:dyDescent="0.3">
      <c r="A539" s="13" t="str">
        <f>IF(ISBLANK(data!AI568),"",data!AI568)</f>
        <v/>
      </c>
      <c r="B539" s="11" t="str">
        <f>IF(ISBLANK(data!AJ568),"",data!AJ568)</f>
        <v/>
      </c>
      <c r="C539" s="11" t="str">
        <f>IF(ISBLANK(data!AK568),"",data!AK568)</f>
        <v/>
      </c>
      <c r="D539" s="11" t="str">
        <f>IF(ISBLANK(data!AL568),"",data!AL568)</f>
        <v/>
      </c>
      <c r="E539" s="11" t="str">
        <f>IF(ISBLANK(data!AM568),"",data!AM568)</f>
        <v/>
      </c>
    </row>
    <row r="540" spans="1:5" x14ac:dyDescent="0.3">
      <c r="A540" s="13" t="str">
        <f>IF(ISBLANK(data!AI569),"",data!AI569)</f>
        <v/>
      </c>
      <c r="B540" s="11" t="str">
        <f>IF(ISBLANK(data!AJ569),"",data!AJ569)</f>
        <v/>
      </c>
      <c r="C540" s="11" t="str">
        <f>IF(ISBLANK(data!AK569),"",data!AK569)</f>
        <v/>
      </c>
      <c r="D540" s="11" t="str">
        <f>IF(ISBLANK(data!AL569),"",data!AL569)</f>
        <v/>
      </c>
      <c r="E540" s="11" t="str">
        <f>IF(ISBLANK(data!AM569),"",data!AM569)</f>
        <v/>
      </c>
    </row>
    <row r="541" spans="1:5" x14ac:dyDescent="0.3">
      <c r="A541" s="13" t="str">
        <f>IF(ISBLANK(data!AI570),"",data!AI570)</f>
        <v/>
      </c>
      <c r="B541" s="11" t="str">
        <f>IF(ISBLANK(data!AJ570),"",data!AJ570)</f>
        <v/>
      </c>
      <c r="C541" s="11" t="str">
        <f>IF(ISBLANK(data!AK570),"",data!AK570)</f>
        <v/>
      </c>
      <c r="D541" s="11" t="str">
        <f>IF(ISBLANK(data!AL570),"",data!AL570)</f>
        <v/>
      </c>
      <c r="E541" s="11" t="str">
        <f>IF(ISBLANK(data!AM570),"",data!AM570)</f>
        <v/>
      </c>
    </row>
    <row r="542" spans="1:5" x14ac:dyDescent="0.3">
      <c r="A542" s="13" t="str">
        <f>IF(ISBLANK(data!AI571),"",data!AI571)</f>
        <v/>
      </c>
      <c r="B542" s="11" t="str">
        <f>IF(ISBLANK(data!AJ571),"",data!AJ571)</f>
        <v/>
      </c>
      <c r="C542" s="11" t="str">
        <f>IF(ISBLANK(data!AK571),"",data!AK571)</f>
        <v/>
      </c>
      <c r="D542" s="11" t="str">
        <f>IF(ISBLANK(data!AL571),"",data!AL571)</f>
        <v/>
      </c>
      <c r="E542" s="11" t="str">
        <f>IF(ISBLANK(data!AM571),"",data!AM571)</f>
        <v/>
      </c>
    </row>
    <row r="543" spans="1:5" x14ac:dyDescent="0.3">
      <c r="A543" s="13" t="str">
        <f>IF(ISBLANK(data!AI572),"",data!AI572)</f>
        <v/>
      </c>
      <c r="B543" s="11" t="str">
        <f>IF(ISBLANK(data!AJ572),"",data!AJ572)</f>
        <v/>
      </c>
      <c r="C543" s="11" t="str">
        <f>IF(ISBLANK(data!AK572),"",data!AK572)</f>
        <v/>
      </c>
      <c r="D543" s="11" t="str">
        <f>IF(ISBLANK(data!AL572),"",data!AL572)</f>
        <v/>
      </c>
      <c r="E543" s="11" t="str">
        <f>IF(ISBLANK(data!AM572),"",data!AM572)</f>
        <v/>
      </c>
    </row>
    <row r="544" spans="1:5" x14ac:dyDescent="0.3">
      <c r="A544" s="13" t="str">
        <f>IF(ISBLANK(data!AI573),"",data!AI573)</f>
        <v/>
      </c>
      <c r="B544" s="11" t="str">
        <f>IF(ISBLANK(data!AJ573),"",data!AJ573)</f>
        <v/>
      </c>
      <c r="C544" s="11" t="str">
        <f>IF(ISBLANK(data!AK573),"",data!AK573)</f>
        <v/>
      </c>
      <c r="D544" s="11" t="str">
        <f>IF(ISBLANK(data!AL573),"",data!AL573)</f>
        <v/>
      </c>
      <c r="E544" s="11" t="str">
        <f>IF(ISBLANK(data!AM573),"",data!AM573)</f>
        <v/>
      </c>
    </row>
    <row r="545" spans="1:5" x14ac:dyDescent="0.3">
      <c r="A545" s="13" t="str">
        <f>IF(ISBLANK(data!AI574),"",data!AI574)</f>
        <v/>
      </c>
      <c r="B545" s="11" t="str">
        <f>IF(ISBLANK(data!AJ574),"",data!AJ574)</f>
        <v/>
      </c>
      <c r="C545" s="11" t="str">
        <f>IF(ISBLANK(data!AK574),"",data!AK574)</f>
        <v/>
      </c>
      <c r="D545" s="11" t="str">
        <f>IF(ISBLANK(data!AL574),"",data!AL574)</f>
        <v/>
      </c>
      <c r="E545" s="11" t="str">
        <f>IF(ISBLANK(data!AM574),"",data!AM574)</f>
        <v/>
      </c>
    </row>
    <row r="546" spans="1:5" x14ac:dyDescent="0.3">
      <c r="A546" s="13" t="str">
        <f>IF(ISBLANK(data!AI575),"",data!AI575)</f>
        <v/>
      </c>
      <c r="B546" s="11" t="str">
        <f>IF(ISBLANK(data!AJ575),"",data!AJ575)</f>
        <v/>
      </c>
      <c r="C546" s="11" t="str">
        <f>IF(ISBLANK(data!AK575),"",data!AK575)</f>
        <v/>
      </c>
      <c r="D546" s="11" t="str">
        <f>IF(ISBLANK(data!AL575),"",data!AL575)</f>
        <v/>
      </c>
      <c r="E546" s="11" t="str">
        <f>IF(ISBLANK(data!AM575),"",data!AM575)</f>
        <v/>
      </c>
    </row>
    <row r="547" spans="1:5" x14ac:dyDescent="0.3">
      <c r="A547" s="13" t="str">
        <f>IF(ISBLANK(data!AI576),"",data!AI576)</f>
        <v/>
      </c>
      <c r="B547" s="11" t="str">
        <f>IF(ISBLANK(data!AJ576),"",data!AJ576)</f>
        <v/>
      </c>
      <c r="C547" s="11" t="str">
        <f>IF(ISBLANK(data!AK576),"",data!AK576)</f>
        <v/>
      </c>
      <c r="D547" s="11" t="str">
        <f>IF(ISBLANK(data!AL576),"",data!AL576)</f>
        <v/>
      </c>
      <c r="E547" s="11" t="str">
        <f>IF(ISBLANK(data!AM576),"",data!AM576)</f>
        <v/>
      </c>
    </row>
    <row r="548" spans="1:5" x14ac:dyDescent="0.3">
      <c r="A548" s="13" t="str">
        <f>IF(ISBLANK(data!AI577),"",data!AI577)</f>
        <v/>
      </c>
      <c r="B548" s="11" t="str">
        <f>IF(ISBLANK(data!AJ577),"",data!AJ577)</f>
        <v/>
      </c>
      <c r="C548" s="11" t="str">
        <f>IF(ISBLANK(data!AK577),"",data!AK577)</f>
        <v/>
      </c>
      <c r="D548" s="11" t="str">
        <f>IF(ISBLANK(data!AL577),"",data!AL577)</f>
        <v/>
      </c>
      <c r="E548" s="11" t="str">
        <f>IF(ISBLANK(data!AM577),"",data!AM577)</f>
        <v/>
      </c>
    </row>
    <row r="549" spans="1:5" x14ac:dyDescent="0.3">
      <c r="A549" s="13" t="str">
        <f>IF(ISBLANK(data!AI578),"",data!AI578)</f>
        <v/>
      </c>
      <c r="B549" s="11" t="str">
        <f>IF(ISBLANK(data!AJ578),"",data!AJ578)</f>
        <v/>
      </c>
      <c r="C549" s="11" t="str">
        <f>IF(ISBLANK(data!AK578),"",data!AK578)</f>
        <v/>
      </c>
      <c r="D549" s="11" t="str">
        <f>IF(ISBLANK(data!AL578),"",data!AL578)</f>
        <v/>
      </c>
      <c r="E549" s="11" t="str">
        <f>IF(ISBLANK(data!AM578),"",data!AM578)</f>
        <v/>
      </c>
    </row>
    <row r="550" spans="1:5" x14ac:dyDescent="0.3">
      <c r="A550" s="13" t="str">
        <f>IF(ISBLANK(data!AI579),"",data!AI579)</f>
        <v/>
      </c>
      <c r="B550" s="11" t="str">
        <f>IF(ISBLANK(data!AJ579),"",data!AJ579)</f>
        <v/>
      </c>
      <c r="C550" s="11" t="str">
        <f>IF(ISBLANK(data!AK579),"",data!AK579)</f>
        <v/>
      </c>
      <c r="D550" s="11" t="str">
        <f>IF(ISBLANK(data!AL579),"",data!AL579)</f>
        <v/>
      </c>
      <c r="E550" s="11" t="str">
        <f>IF(ISBLANK(data!AM579),"",data!AM579)</f>
        <v/>
      </c>
    </row>
    <row r="551" spans="1:5" x14ac:dyDescent="0.3">
      <c r="A551" s="13" t="str">
        <f>IF(ISBLANK(data!AI580),"",data!AI580)</f>
        <v/>
      </c>
      <c r="B551" s="11" t="str">
        <f>IF(ISBLANK(data!AJ580),"",data!AJ580)</f>
        <v/>
      </c>
      <c r="C551" s="11" t="str">
        <f>IF(ISBLANK(data!AK580),"",data!AK580)</f>
        <v/>
      </c>
      <c r="D551" s="11" t="str">
        <f>IF(ISBLANK(data!AL580),"",data!AL580)</f>
        <v/>
      </c>
      <c r="E551" s="11" t="str">
        <f>IF(ISBLANK(data!AM580),"",data!AM580)</f>
        <v/>
      </c>
    </row>
    <row r="552" spans="1:5" x14ac:dyDescent="0.3">
      <c r="A552" s="13" t="str">
        <f>IF(ISBLANK(data!AI581),"",data!AI581)</f>
        <v/>
      </c>
      <c r="B552" s="11" t="str">
        <f>IF(ISBLANK(data!AJ581),"",data!AJ581)</f>
        <v/>
      </c>
      <c r="C552" s="11" t="str">
        <f>IF(ISBLANK(data!AK581),"",data!AK581)</f>
        <v/>
      </c>
      <c r="D552" s="11" t="str">
        <f>IF(ISBLANK(data!AL581),"",data!AL581)</f>
        <v/>
      </c>
      <c r="E552" s="11" t="str">
        <f>IF(ISBLANK(data!AM581),"",data!AM581)</f>
        <v/>
      </c>
    </row>
    <row r="553" spans="1:5" x14ac:dyDescent="0.3">
      <c r="A553" s="13" t="str">
        <f>IF(ISBLANK(data!AI582),"",data!AI582)</f>
        <v/>
      </c>
      <c r="B553" s="11" t="str">
        <f>IF(ISBLANK(data!AJ582),"",data!AJ582)</f>
        <v/>
      </c>
      <c r="C553" s="11" t="str">
        <f>IF(ISBLANK(data!AK582),"",data!AK582)</f>
        <v/>
      </c>
      <c r="D553" s="11" t="str">
        <f>IF(ISBLANK(data!AL582),"",data!AL582)</f>
        <v/>
      </c>
      <c r="E553" s="11" t="str">
        <f>IF(ISBLANK(data!AM582),"",data!AM582)</f>
        <v/>
      </c>
    </row>
    <row r="554" spans="1:5" x14ac:dyDescent="0.3">
      <c r="A554" s="13" t="str">
        <f>IF(ISBLANK(data!AI583),"",data!AI583)</f>
        <v/>
      </c>
      <c r="B554" s="11" t="str">
        <f>IF(ISBLANK(data!AJ583),"",data!AJ583)</f>
        <v/>
      </c>
      <c r="C554" s="11" t="str">
        <f>IF(ISBLANK(data!AK583),"",data!AK583)</f>
        <v/>
      </c>
      <c r="D554" s="11" t="str">
        <f>IF(ISBLANK(data!AL583),"",data!AL583)</f>
        <v/>
      </c>
      <c r="E554" s="11" t="str">
        <f>IF(ISBLANK(data!AM583),"",data!AM583)</f>
        <v/>
      </c>
    </row>
    <row r="555" spans="1:5" x14ac:dyDescent="0.3">
      <c r="A555" s="13" t="str">
        <f>IF(ISBLANK(data!AI584),"",data!AI584)</f>
        <v/>
      </c>
      <c r="B555" s="11" t="str">
        <f>IF(ISBLANK(data!AJ584),"",data!AJ584)</f>
        <v/>
      </c>
      <c r="C555" s="11" t="str">
        <f>IF(ISBLANK(data!AK584),"",data!AK584)</f>
        <v/>
      </c>
      <c r="D555" s="11" t="str">
        <f>IF(ISBLANK(data!AL584),"",data!AL584)</f>
        <v/>
      </c>
      <c r="E555" s="11" t="str">
        <f>IF(ISBLANK(data!AM584),"",data!AM584)</f>
        <v/>
      </c>
    </row>
    <row r="556" spans="1:5" x14ac:dyDescent="0.3">
      <c r="A556" s="13" t="str">
        <f>IF(ISBLANK(data!AI585),"",data!AI585)</f>
        <v/>
      </c>
      <c r="B556" s="11" t="str">
        <f>IF(ISBLANK(data!AJ585),"",data!AJ585)</f>
        <v/>
      </c>
      <c r="C556" s="11" t="str">
        <f>IF(ISBLANK(data!AK585),"",data!AK585)</f>
        <v/>
      </c>
      <c r="D556" s="11" t="str">
        <f>IF(ISBLANK(data!AL585),"",data!AL585)</f>
        <v/>
      </c>
      <c r="E556" s="11" t="str">
        <f>IF(ISBLANK(data!AM585),"",data!AM585)</f>
        <v/>
      </c>
    </row>
    <row r="557" spans="1:5" x14ac:dyDescent="0.3">
      <c r="A557" s="13" t="str">
        <f>IF(ISBLANK(data!AI586),"",data!AI586)</f>
        <v/>
      </c>
      <c r="B557" s="11" t="str">
        <f>IF(ISBLANK(data!AJ586),"",data!AJ586)</f>
        <v/>
      </c>
      <c r="C557" s="11" t="str">
        <f>IF(ISBLANK(data!AK586),"",data!AK586)</f>
        <v/>
      </c>
      <c r="D557" s="11" t="str">
        <f>IF(ISBLANK(data!AL586),"",data!AL586)</f>
        <v/>
      </c>
      <c r="E557" s="11" t="str">
        <f>IF(ISBLANK(data!AM586),"",data!AM586)</f>
        <v/>
      </c>
    </row>
    <row r="558" spans="1:5" x14ac:dyDescent="0.3">
      <c r="A558" s="13" t="str">
        <f>IF(ISBLANK(data!AI587),"",data!AI587)</f>
        <v/>
      </c>
      <c r="B558" s="11" t="str">
        <f>IF(ISBLANK(data!AJ587),"",data!AJ587)</f>
        <v/>
      </c>
      <c r="C558" s="11" t="str">
        <f>IF(ISBLANK(data!AK587),"",data!AK587)</f>
        <v/>
      </c>
      <c r="D558" s="11" t="str">
        <f>IF(ISBLANK(data!AL587),"",data!AL587)</f>
        <v/>
      </c>
      <c r="E558" s="11" t="str">
        <f>IF(ISBLANK(data!AM587),"",data!AM587)</f>
        <v/>
      </c>
    </row>
    <row r="559" spans="1:5" x14ac:dyDescent="0.3">
      <c r="A559" s="13" t="str">
        <f>IF(ISBLANK(data!AI588),"",data!AI588)</f>
        <v/>
      </c>
      <c r="B559" s="11" t="str">
        <f>IF(ISBLANK(data!AJ588),"",data!AJ588)</f>
        <v/>
      </c>
      <c r="C559" s="11" t="str">
        <f>IF(ISBLANK(data!AK588),"",data!AK588)</f>
        <v/>
      </c>
      <c r="D559" s="11" t="str">
        <f>IF(ISBLANK(data!AL588),"",data!AL588)</f>
        <v/>
      </c>
      <c r="E559" s="11" t="str">
        <f>IF(ISBLANK(data!AM588),"",data!AM588)</f>
        <v/>
      </c>
    </row>
    <row r="560" spans="1:5" x14ac:dyDescent="0.3">
      <c r="A560" s="13" t="str">
        <f>IF(ISBLANK(data!AI589),"",data!AI589)</f>
        <v/>
      </c>
      <c r="B560" s="11" t="str">
        <f>IF(ISBLANK(data!AJ589),"",data!AJ589)</f>
        <v/>
      </c>
      <c r="C560" s="11" t="str">
        <f>IF(ISBLANK(data!AK589),"",data!AK589)</f>
        <v/>
      </c>
      <c r="D560" s="11" t="str">
        <f>IF(ISBLANK(data!AL589),"",data!AL589)</f>
        <v/>
      </c>
      <c r="E560" s="11" t="str">
        <f>IF(ISBLANK(data!AM589),"",data!AM589)</f>
        <v/>
      </c>
    </row>
    <row r="561" spans="1:5" x14ac:dyDescent="0.3">
      <c r="A561" s="13" t="str">
        <f>IF(ISBLANK(data!AI590),"",data!AI590)</f>
        <v/>
      </c>
      <c r="B561" s="11" t="str">
        <f>IF(ISBLANK(data!AJ590),"",data!AJ590)</f>
        <v/>
      </c>
      <c r="C561" s="11" t="str">
        <f>IF(ISBLANK(data!AK590),"",data!AK590)</f>
        <v/>
      </c>
      <c r="D561" s="11" t="str">
        <f>IF(ISBLANK(data!AL590),"",data!AL590)</f>
        <v/>
      </c>
      <c r="E561" s="11" t="str">
        <f>IF(ISBLANK(data!AM590),"",data!AM590)</f>
        <v/>
      </c>
    </row>
    <row r="562" spans="1:5" x14ac:dyDescent="0.3">
      <c r="A562" s="13" t="str">
        <f>IF(ISBLANK(data!AI591),"",data!AI591)</f>
        <v/>
      </c>
      <c r="B562" s="11" t="str">
        <f>IF(ISBLANK(data!AJ591),"",data!AJ591)</f>
        <v/>
      </c>
      <c r="C562" s="11" t="str">
        <f>IF(ISBLANK(data!AK591),"",data!AK591)</f>
        <v/>
      </c>
      <c r="D562" s="11" t="str">
        <f>IF(ISBLANK(data!AL591),"",data!AL591)</f>
        <v/>
      </c>
      <c r="E562" s="11" t="str">
        <f>IF(ISBLANK(data!AM591),"",data!AM591)</f>
        <v/>
      </c>
    </row>
    <row r="563" spans="1:5" x14ac:dyDescent="0.3">
      <c r="A563" s="13" t="str">
        <f>IF(ISBLANK(data!AI592),"",data!AI592)</f>
        <v/>
      </c>
      <c r="B563" s="11" t="str">
        <f>IF(ISBLANK(data!AJ592),"",data!AJ592)</f>
        <v/>
      </c>
      <c r="C563" s="11" t="str">
        <f>IF(ISBLANK(data!AK592),"",data!AK592)</f>
        <v/>
      </c>
      <c r="D563" s="11" t="str">
        <f>IF(ISBLANK(data!AL592),"",data!AL592)</f>
        <v/>
      </c>
      <c r="E563" s="11" t="str">
        <f>IF(ISBLANK(data!AM592),"",data!AM592)</f>
        <v/>
      </c>
    </row>
    <row r="564" spans="1:5" x14ac:dyDescent="0.3">
      <c r="A564" s="13" t="str">
        <f>IF(ISBLANK(data!AI593),"",data!AI593)</f>
        <v/>
      </c>
      <c r="B564" s="11" t="str">
        <f>IF(ISBLANK(data!AJ593),"",data!AJ593)</f>
        <v/>
      </c>
      <c r="C564" s="11" t="str">
        <f>IF(ISBLANK(data!AK593),"",data!AK593)</f>
        <v/>
      </c>
      <c r="D564" s="11" t="str">
        <f>IF(ISBLANK(data!AL593),"",data!AL593)</f>
        <v/>
      </c>
      <c r="E564" s="11" t="str">
        <f>IF(ISBLANK(data!AM593),"",data!AM593)</f>
        <v/>
      </c>
    </row>
    <row r="565" spans="1:5" x14ac:dyDescent="0.3">
      <c r="A565" s="13" t="str">
        <f>IF(ISBLANK(data!AI594),"",data!AI594)</f>
        <v/>
      </c>
      <c r="B565" s="11" t="str">
        <f>IF(ISBLANK(data!AJ594),"",data!AJ594)</f>
        <v/>
      </c>
      <c r="C565" s="11" t="str">
        <f>IF(ISBLANK(data!AK594),"",data!AK594)</f>
        <v/>
      </c>
      <c r="D565" s="11" t="str">
        <f>IF(ISBLANK(data!AL594),"",data!AL594)</f>
        <v/>
      </c>
      <c r="E565" s="11" t="str">
        <f>IF(ISBLANK(data!AM594),"",data!AM594)</f>
        <v/>
      </c>
    </row>
    <row r="566" spans="1:5" x14ac:dyDescent="0.3">
      <c r="A566" s="13" t="str">
        <f>IF(ISBLANK(data!AI595),"",data!AI595)</f>
        <v/>
      </c>
      <c r="B566" s="11" t="str">
        <f>IF(ISBLANK(data!AJ595),"",data!AJ595)</f>
        <v/>
      </c>
      <c r="C566" s="11" t="str">
        <f>IF(ISBLANK(data!AK595),"",data!AK595)</f>
        <v/>
      </c>
      <c r="D566" s="11" t="str">
        <f>IF(ISBLANK(data!AL595),"",data!AL595)</f>
        <v/>
      </c>
      <c r="E566" s="11" t="str">
        <f>IF(ISBLANK(data!AM595),"",data!AM595)</f>
        <v/>
      </c>
    </row>
    <row r="567" spans="1:5" x14ac:dyDescent="0.3">
      <c r="A567" s="13" t="str">
        <f>IF(ISBLANK(data!AI596),"",data!AI596)</f>
        <v/>
      </c>
      <c r="B567" s="11" t="str">
        <f>IF(ISBLANK(data!AJ596),"",data!AJ596)</f>
        <v/>
      </c>
      <c r="C567" s="11" t="str">
        <f>IF(ISBLANK(data!AK596),"",data!AK596)</f>
        <v/>
      </c>
      <c r="D567" s="11" t="str">
        <f>IF(ISBLANK(data!AL596),"",data!AL596)</f>
        <v/>
      </c>
      <c r="E567" s="11" t="str">
        <f>IF(ISBLANK(data!AM596),"",data!AM596)</f>
        <v/>
      </c>
    </row>
    <row r="568" spans="1:5" x14ac:dyDescent="0.3">
      <c r="A568" s="13" t="str">
        <f>IF(ISBLANK(data!AI597),"",data!AI597)</f>
        <v/>
      </c>
      <c r="B568" s="11" t="str">
        <f>IF(ISBLANK(data!AJ597),"",data!AJ597)</f>
        <v/>
      </c>
      <c r="C568" s="11" t="str">
        <f>IF(ISBLANK(data!AK597),"",data!AK597)</f>
        <v/>
      </c>
      <c r="D568" s="11" t="str">
        <f>IF(ISBLANK(data!AL597),"",data!AL597)</f>
        <v/>
      </c>
      <c r="E568" s="11" t="str">
        <f>IF(ISBLANK(data!AM597),"",data!AM597)</f>
        <v/>
      </c>
    </row>
    <row r="569" spans="1:5" x14ac:dyDescent="0.3">
      <c r="A569" s="13" t="str">
        <f>IF(ISBLANK(data!AI598),"",data!AI598)</f>
        <v/>
      </c>
      <c r="B569" s="11" t="str">
        <f>IF(ISBLANK(data!AJ598),"",data!AJ598)</f>
        <v/>
      </c>
      <c r="C569" s="11" t="str">
        <f>IF(ISBLANK(data!AK598),"",data!AK598)</f>
        <v/>
      </c>
      <c r="D569" s="11" t="str">
        <f>IF(ISBLANK(data!AL598),"",data!AL598)</f>
        <v/>
      </c>
      <c r="E569" s="11" t="str">
        <f>IF(ISBLANK(data!AM598),"",data!AM598)</f>
        <v/>
      </c>
    </row>
    <row r="570" spans="1:5" x14ac:dyDescent="0.3">
      <c r="A570" s="13" t="str">
        <f>IF(ISBLANK(data!AI599),"",data!AI599)</f>
        <v/>
      </c>
      <c r="B570" s="11" t="str">
        <f>IF(ISBLANK(data!AJ599),"",data!AJ599)</f>
        <v/>
      </c>
      <c r="C570" s="11" t="str">
        <f>IF(ISBLANK(data!AK599),"",data!AK599)</f>
        <v/>
      </c>
      <c r="D570" s="11" t="str">
        <f>IF(ISBLANK(data!AL599),"",data!AL599)</f>
        <v/>
      </c>
      <c r="E570" s="11" t="str">
        <f>IF(ISBLANK(data!AM599),"",data!AM599)</f>
        <v/>
      </c>
    </row>
    <row r="571" spans="1:5" x14ac:dyDescent="0.3">
      <c r="A571" s="13" t="str">
        <f>IF(ISBLANK(data!AI600),"",data!AI600)</f>
        <v/>
      </c>
      <c r="B571" s="11" t="str">
        <f>IF(ISBLANK(data!AJ600),"",data!AJ600)</f>
        <v/>
      </c>
      <c r="C571" s="11" t="str">
        <f>IF(ISBLANK(data!AK600),"",data!AK600)</f>
        <v/>
      </c>
      <c r="D571" s="11" t="str">
        <f>IF(ISBLANK(data!AL600),"",data!AL600)</f>
        <v/>
      </c>
      <c r="E571" s="11" t="str">
        <f>IF(ISBLANK(data!AM600),"",data!AM600)</f>
        <v/>
      </c>
    </row>
    <row r="572" spans="1:5" x14ac:dyDescent="0.3">
      <c r="A572" s="13" t="str">
        <f>IF(ISBLANK(data!AI601),"",data!AI601)</f>
        <v/>
      </c>
      <c r="B572" s="11" t="str">
        <f>IF(ISBLANK(data!AJ601),"",data!AJ601)</f>
        <v/>
      </c>
      <c r="C572" s="11" t="str">
        <f>IF(ISBLANK(data!AK601),"",data!AK601)</f>
        <v/>
      </c>
      <c r="D572" s="11" t="str">
        <f>IF(ISBLANK(data!AL601),"",data!AL601)</f>
        <v/>
      </c>
      <c r="E572" s="11" t="str">
        <f>IF(ISBLANK(data!AM601),"",data!AM601)</f>
        <v/>
      </c>
    </row>
    <row r="573" spans="1:5" x14ac:dyDescent="0.3">
      <c r="A573" s="13" t="str">
        <f>IF(ISBLANK(data!AI602),"",data!AI602)</f>
        <v/>
      </c>
      <c r="B573" s="11" t="str">
        <f>IF(ISBLANK(data!AJ602),"",data!AJ602)</f>
        <v/>
      </c>
      <c r="C573" s="11" t="str">
        <f>IF(ISBLANK(data!AK602),"",data!AK602)</f>
        <v/>
      </c>
      <c r="D573" s="11" t="str">
        <f>IF(ISBLANK(data!AL602),"",data!AL602)</f>
        <v/>
      </c>
      <c r="E573" s="11" t="str">
        <f>IF(ISBLANK(data!AM602),"",data!AM602)</f>
        <v/>
      </c>
    </row>
    <row r="574" spans="1:5" x14ac:dyDescent="0.3">
      <c r="A574" s="13" t="str">
        <f>IF(ISBLANK(data!AI603),"",data!AI603)</f>
        <v/>
      </c>
      <c r="B574" s="11" t="str">
        <f>IF(ISBLANK(data!AJ603),"",data!AJ603)</f>
        <v/>
      </c>
      <c r="C574" s="11" t="str">
        <f>IF(ISBLANK(data!AK603),"",data!AK603)</f>
        <v/>
      </c>
      <c r="D574" s="11" t="str">
        <f>IF(ISBLANK(data!AL603),"",data!AL603)</f>
        <v/>
      </c>
      <c r="E574" s="11" t="str">
        <f>IF(ISBLANK(data!AM603),"",data!AM603)</f>
        <v/>
      </c>
    </row>
    <row r="575" spans="1:5" x14ac:dyDescent="0.3">
      <c r="A575" s="13" t="str">
        <f>IF(ISBLANK(data!AI604),"",data!AI604)</f>
        <v/>
      </c>
      <c r="B575" s="11" t="str">
        <f>IF(ISBLANK(data!AJ604),"",data!AJ604)</f>
        <v/>
      </c>
      <c r="C575" s="11" t="str">
        <f>IF(ISBLANK(data!AK604),"",data!AK604)</f>
        <v/>
      </c>
      <c r="D575" s="11" t="str">
        <f>IF(ISBLANK(data!AL604),"",data!AL604)</f>
        <v/>
      </c>
      <c r="E575" s="11" t="str">
        <f>IF(ISBLANK(data!AM604),"",data!AM604)</f>
        <v/>
      </c>
    </row>
    <row r="576" spans="1:5" x14ac:dyDescent="0.3">
      <c r="A576" s="13" t="str">
        <f>IF(ISBLANK(data!AI605),"",data!AI605)</f>
        <v/>
      </c>
      <c r="B576" s="11" t="str">
        <f>IF(ISBLANK(data!AJ605),"",data!AJ605)</f>
        <v/>
      </c>
      <c r="C576" s="11" t="str">
        <f>IF(ISBLANK(data!AK605),"",data!AK605)</f>
        <v/>
      </c>
      <c r="D576" s="11" t="str">
        <f>IF(ISBLANK(data!AL605),"",data!AL605)</f>
        <v/>
      </c>
      <c r="E576" s="11" t="str">
        <f>IF(ISBLANK(data!AM605),"",data!AM605)</f>
        <v/>
      </c>
    </row>
    <row r="577" spans="1:5" x14ac:dyDescent="0.3">
      <c r="A577" s="13" t="str">
        <f>IF(ISBLANK(data!AI606),"",data!AI606)</f>
        <v/>
      </c>
      <c r="B577" s="11" t="str">
        <f>IF(ISBLANK(data!AJ606),"",data!AJ606)</f>
        <v/>
      </c>
      <c r="C577" s="11" t="str">
        <f>IF(ISBLANK(data!AK606),"",data!AK606)</f>
        <v/>
      </c>
      <c r="D577" s="11" t="str">
        <f>IF(ISBLANK(data!AL606),"",data!AL606)</f>
        <v/>
      </c>
      <c r="E577" s="11" t="str">
        <f>IF(ISBLANK(data!AM606),"",data!AM606)</f>
        <v/>
      </c>
    </row>
    <row r="578" spans="1:5" x14ac:dyDescent="0.3">
      <c r="A578" s="13" t="str">
        <f>IF(ISBLANK(data!AI607),"",data!AI607)</f>
        <v/>
      </c>
      <c r="B578" s="11" t="str">
        <f>IF(ISBLANK(data!AJ607),"",data!AJ607)</f>
        <v/>
      </c>
      <c r="C578" s="11" t="str">
        <f>IF(ISBLANK(data!AK607),"",data!AK607)</f>
        <v/>
      </c>
      <c r="D578" s="11" t="str">
        <f>IF(ISBLANK(data!AL607),"",data!AL607)</f>
        <v/>
      </c>
      <c r="E578" s="11" t="str">
        <f>IF(ISBLANK(data!AM607),"",data!AM607)</f>
        <v/>
      </c>
    </row>
    <row r="579" spans="1:5" x14ac:dyDescent="0.3">
      <c r="A579" s="13" t="str">
        <f>IF(ISBLANK(data!AI608),"",data!AI608)</f>
        <v/>
      </c>
      <c r="B579" s="11" t="str">
        <f>IF(ISBLANK(data!AJ608),"",data!AJ608)</f>
        <v/>
      </c>
      <c r="C579" s="11" t="str">
        <f>IF(ISBLANK(data!AK608),"",data!AK608)</f>
        <v/>
      </c>
      <c r="D579" s="11" t="str">
        <f>IF(ISBLANK(data!AL608),"",data!AL608)</f>
        <v/>
      </c>
      <c r="E579" s="11" t="str">
        <f>IF(ISBLANK(data!AM608),"",data!AM608)</f>
        <v/>
      </c>
    </row>
    <row r="580" spans="1:5" x14ac:dyDescent="0.3">
      <c r="A580" s="13" t="str">
        <f>IF(ISBLANK(data!AI609),"",data!AI609)</f>
        <v/>
      </c>
      <c r="B580" s="11" t="str">
        <f>IF(ISBLANK(data!AJ609),"",data!AJ609)</f>
        <v/>
      </c>
      <c r="C580" s="11" t="str">
        <f>IF(ISBLANK(data!AK609),"",data!AK609)</f>
        <v/>
      </c>
      <c r="D580" s="11" t="str">
        <f>IF(ISBLANK(data!AL609),"",data!AL609)</f>
        <v/>
      </c>
      <c r="E580" s="11" t="str">
        <f>IF(ISBLANK(data!AM609),"",data!AM609)</f>
        <v/>
      </c>
    </row>
    <row r="581" spans="1:5" x14ac:dyDescent="0.3">
      <c r="A581" s="13" t="str">
        <f>IF(ISBLANK(data!AI610),"",data!AI610)</f>
        <v/>
      </c>
      <c r="B581" s="11" t="str">
        <f>IF(ISBLANK(data!AJ610),"",data!AJ610)</f>
        <v/>
      </c>
      <c r="C581" s="11" t="str">
        <f>IF(ISBLANK(data!AK610),"",data!AK610)</f>
        <v/>
      </c>
      <c r="D581" s="11" t="str">
        <f>IF(ISBLANK(data!AL610),"",data!AL610)</f>
        <v/>
      </c>
      <c r="E581" s="11" t="str">
        <f>IF(ISBLANK(data!AM610),"",data!AM610)</f>
        <v/>
      </c>
    </row>
    <row r="582" spans="1:5" x14ac:dyDescent="0.3">
      <c r="A582" s="13" t="str">
        <f>IF(ISBLANK(data!AI611),"",data!AI611)</f>
        <v/>
      </c>
      <c r="B582" s="11" t="str">
        <f>IF(ISBLANK(data!AJ611),"",data!AJ611)</f>
        <v/>
      </c>
      <c r="C582" s="11" t="str">
        <f>IF(ISBLANK(data!AK611),"",data!AK611)</f>
        <v/>
      </c>
      <c r="D582" s="11" t="str">
        <f>IF(ISBLANK(data!AL611),"",data!AL611)</f>
        <v/>
      </c>
      <c r="E582" s="11" t="str">
        <f>IF(ISBLANK(data!AM611),"",data!AM611)</f>
        <v/>
      </c>
    </row>
    <row r="583" spans="1:5" x14ac:dyDescent="0.3">
      <c r="A583" s="13" t="str">
        <f>IF(ISBLANK(data!AI612),"",data!AI612)</f>
        <v/>
      </c>
      <c r="B583" s="11" t="str">
        <f>IF(ISBLANK(data!AJ612),"",data!AJ612)</f>
        <v/>
      </c>
      <c r="C583" s="11" t="str">
        <f>IF(ISBLANK(data!AK612),"",data!AK612)</f>
        <v/>
      </c>
      <c r="D583" s="11" t="str">
        <f>IF(ISBLANK(data!AL612),"",data!AL612)</f>
        <v/>
      </c>
      <c r="E583" s="11" t="str">
        <f>IF(ISBLANK(data!AM612),"",data!AM612)</f>
        <v/>
      </c>
    </row>
    <row r="584" spans="1:5" x14ac:dyDescent="0.3">
      <c r="A584" s="13" t="str">
        <f>IF(ISBLANK(data!AI613),"",data!AI613)</f>
        <v/>
      </c>
      <c r="B584" s="11" t="str">
        <f>IF(ISBLANK(data!AJ613),"",data!AJ613)</f>
        <v/>
      </c>
      <c r="C584" s="11" t="str">
        <f>IF(ISBLANK(data!AK613),"",data!AK613)</f>
        <v/>
      </c>
      <c r="D584" s="11" t="str">
        <f>IF(ISBLANK(data!AL613),"",data!AL613)</f>
        <v/>
      </c>
      <c r="E584" s="11" t="str">
        <f>IF(ISBLANK(data!AM613),"",data!AM613)</f>
        <v/>
      </c>
    </row>
    <row r="585" spans="1:5" x14ac:dyDescent="0.3">
      <c r="A585" s="13" t="str">
        <f>IF(ISBLANK(data!AI614),"",data!AI614)</f>
        <v/>
      </c>
      <c r="B585" s="11" t="str">
        <f>IF(ISBLANK(data!AJ614),"",data!AJ614)</f>
        <v/>
      </c>
      <c r="C585" s="11" t="str">
        <f>IF(ISBLANK(data!AK614),"",data!AK614)</f>
        <v/>
      </c>
      <c r="D585" s="11" t="str">
        <f>IF(ISBLANK(data!AL614),"",data!AL614)</f>
        <v/>
      </c>
      <c r="E585" s="11" t="str">
        <f>IF(ISBLANK(data!AM614),"",data!AM614)</f>
        <v/>
      </c>
    </row>
    <row r="586" spans="1:5" x14ac:dyDescent="0.3">
      <c r="A586" s="13" t="str">
        <f>IF(ISBLANK(data!AI615),"",data!AI615)</f>
        <v/>
      </c>
      <c r="B586" s="11" t="str">
        <f>IF(ISBLANK(data!AJ615),"",data!AJ615)</f>
        <v/>
      </c>
      <c r="C586" s="11" t="str">
        <f>IF(ISBLANK(data!AK615),"",data!AK615)</f>
        <v/>
      </c>
      <c r="D586" s="11" t="str">
        <f>IF(ISBLANK(data!AL615),"",data!AL615)</f>
        <v/>
      </c>
      <c r="E586" s="11" t="str">
        <f>IF(ISBLANK(data!AM615),"",data!AM615)</f>
        <v/>
      </c>
    </row>
    <row r="587" spans="1:5" x14ac:dyDescent="0.3">
      <c r="A587" s="13" t="str">
        <f>IF(ISBLANK(data!AI616),"",data!AI616)</f>
        <v/>
      </c>
      <c r="B587" s="11" t="str">
        <f>IF(ISBLANK(data!AJ616),"",data!AJ616)</f>
        <v/>
      </c>
      <c r="C587" s="11" t="str">
        <f>IF(ISBLANK(data!AK616),"",data!AK616)</f>
        <v/>
      </c>
      <c r="D587" s="11" t="str">
        <f>IF(ISBLANK(data!AL616),"",data!AL616)</f>
        <v/>
      </c>
      <c r="E587" s="11" t="str">
        <f>IF(ISBLANK(data!AM616),"",data!AM616)</f>
        <v/>
      </c>
    </row>
    <row r="588" spans="1:5" x14ac:dyDescent="0.3">
      <c r="A588" s="13" t="str">
        <f>IF(ISBLANK(data!AI617),"",data!AI617)</f>
        <v/>
      </c>
      <c r="B588" s="11" t="str">
        <f>IF(ISBLANK(data!AJ617),"",data!AJ617)</f>
        <v/>
      </c>
      <c r="C588" s="11" t="str">
        <f>IF(ISBLANK(data!AK617),"",data!AK617)</f>
        <v/>
      </c>
      <c r="D588" s="11" t="str">
        <f>IF(ISBLANK(data!AL617),"",data!AL617)</f>
        <v/>
      </c>
      <c r="E588" s="11" t="str">
        <f>IF(ISBLANK(data!AM617),"",data!AM617)</f>
        <v/>
      </c>
    </row>
    <row r="589" spans="1:5" x14ac:dyDescent="0.3">
      <c r="A589" s="13" t="str">
        <f>IF(ISBLANK(data!AI618),"",data!AI618)</f>
        <v/>
      </c>
      <c r="B589" s="11" t="str">
        <f>IF(ISBLANK(data!AJ618),"",data!AJ618)</f>
        <v/>
      </c>
      <c r="C589" s="11" t="str">
        <f>IF(ISBLANK(data!AK618),"",data!AK618)</f>
        <v/>
      </c>
      <c r="D589" s="11" t="str">
        <f>IF(ISBLANK(data!AL618),"",data!AL618)</f>
        <v/>
      </c>
      <c r="E589" s="11" t="str">
        <f>IF(ISBLANK(data!AM618),"",data!AM618)</f>
        <v/>
      </c>
    </row>
    <row r="590" spans="1:5" x14ac:dyDescent="0.3">
      <c r="A590" s="13" t="str">
        <f>IF(ISBLANK(data!AI619),"",data!AI619)</f>
        <v/>
      </c>
      <c r="B590" s="11" t="str">
        <f>IF(ISBLANK(data!AJ619),"",data!AJ619)</f>
        <v/>
      </c>
      <c r="C590" s="11" t="str">
        <f>IF(ISBLANK(data!AK619),"",data!AK619)</f>
        <v/>
      </c>
      <c r="D590" s="11" t="str">
        <f>IF(ISBLANK(data!AL619),"",data!AL619)</f>
        <v/>
      </c>
      <c r="E590" s="11" t="str">
        <f>IF(ISBLANK(data!AM619),"",data!AM619)</f>
        <v/>
      </c>
    </row>
    <row r="591" spans="1:5" x14ac:dyDescent="0.3">
      <c r="A591" s="13" t="str">
        <f>IF(ISBLANK(data!AI620),"",data!AI620)</f>
        <v/>
      </c>
      <c r="B591" s="11" t="str">
        <f>IF(ISBLANK(data!AJ620),"",data!AJ620)</f>
        <v/>
      </c>
      <c r="C591" s="11" t="str">
        <f>IF(ISBLANK(data!AK620),"",data!AK620)</f>
        <v/>
      </c>
      <c r="D591" s="11" t="str">
        <f>IF(ISBLANK(data!AL620),"",data!AL620)</f>
        <v/>
      </c>
      <c r="E591" s="11" t="str">
        <f>IF(ISBLANK(data!AM620),"",data!AM620)</f>
        <v/>
      </c>
    </row>
    <row r="592" spans="1:5" x14ac:dyDescent="0.3">
      <c r="A592" s="13" t="str">
        <f>IF(ISBLANK(data!AI621),"",data!AI621)</f>
        <v/>
      </c>
      <c r="B592" s="11" t="str">
        <f>IF(ISBLANK(data!AJ621),"",data!AJ621)</f>
        <v/>
      </c>
      <c r="C592" s="11" t="str">
        <f>IF(ISBLANK(data!AK621),"",data!AK621)</f>
        <v/>
      </c>
      <c r="D592" s="11" t="str">
        <f>IF(ISBLANK(data!AL621),"",data!AL621)</f>
        <v/>
      </c>
      <c r="E592" s="11" t="str">
        <f>IF(ISBLANK(data!AM621),"",data!AM621)</f>
        <v/>
      </c>
    </row>
    <row r="593" spans="1:5" x14ac:dyDescent="0.3">
      <c r="A593" s="13" t="str">
        <f>IF(ISBLANK(data!AI622),"",data!AI622)</f>
        <v/>
      </c>
      <c r="B593" s="11" t="str">
        <f>IF(ISBLANK(data!AJ622),"",data!AJ622)</f>
        <v/>
      </c>
      <c r="C593" s="11" t="str">
        <f>IF(ISBLANK(data!AK622),"",data!AK622)</f>
        <v/>
      </c>
      <c r="D593" s="11" t="str">
        <f>IF(ISBLANK(data!AL622),"",data!AL622)</f>
        <v/>
      </c>
      <c r="E593" s="11" t="str">
        <f>IF(ISBLANK(data!AM622),"",data!AM622)</f>
        <v/>
      </c>
    </row>
    <row r="594" spans="1:5" x14ac:dyDescent="0.3">
      <c r="A594" s="13" t="str">
        <f>IF(ISBLANK(data!AI623),"",data!AI623)</f>
        <v/>
      </c>
      <c r="B594" s="11" t="str">
        <f>IF(ISBLANK(data!AJ623),"",data!AJ623)</f>
        <v/>
      </c>
      <c r="C594" s="11" t="str">
        <f>IF(ISBLANK(data!AK623),"",data!AK623)</f>
        <v/>
      </c>
      <c r="D594" s="11" t="str">
        <f>IF(ISBLANK(data!AL623),"",data!AL623)</f>
        <v/>
      </c>
      <c r="E594" s="11" t="str">
        <f>IF(ISBLANK(data!AM623),"",data!AM623)</f>
        <v/>
      </c>
    </row>
    <row r="595" spans="1:5" x14ac:dyDescent="0.3">
      <c r="A595" s="13" t="str">
        <f>IF(ISBLANK(data!AI624),"",data!AI624)</f>
        <v/>
      </c>
      <c r="B595" s="11" t="str">
        <f>IF(ISBLANK(data!AJ624),"",data!AJ624)</f>
        <v/>
      </c>
      <c r="C595" s="11" t="str">
        <f>IF(ISBLANK(data!AK624),"",data!AK624)</f>
        <v/>
      </c>
      <c r="D595" s="11" t="str">
        <f>IF(ISBLANK(data!AL624),"",data!AL624)</f>
        <v/>
      </c>
      <c r="E595" s="11" t="str">
        <f>IF(ISBLANK(data!AM624),"",data!AM624)</f>
        <v/>
      </c>
    </row>
    <row r="596" spans="1:5" x14ac:dyDescent="0.3">
      <c r="A596" s="13" t="str">
        <f>IF(ISBLANK(data!AI625),"",data!AI625)</f>
        <v/>
      </c>
      <c r="B596" s="11" t="str">
        <f>IF(ISBLANK(data!AJ625),"",data!AJ625)</f>
        <v/>
      </c>
      <c r="C596" s="11" t="str">
        <f>IF(ISBLANK(data!AK625),"",data!AK625)</f>
        <v/>
      </c>
      <c r="D596" s="11" t="str">
        <f>IF(ISBLANK(data!AL625),"",data!AL625)</f>
        <v/>
      </c>
      <c r="E596" s="11" t="str">
        <f>IF(ISBLANK(data!AM625),"",data!AM625)</f>
        <v/>
      </c>
    </row>
    <row r="597" spans="1:5" x14ac:dyDescent="0.3">
      <c r="A597" s="13" t="str">
        <f>IF(ISBLANK(data!AI626),"",data!AI626)</f>
        <v/>
      </c>
      <c r="B597" s="11" t="str">
        <f>IF(ISBLANK(data!AJ626),"",data!AJ626)</f>
        <v/>
      </c>
      <c r="C597" s="11" t="str">
        <f>IF(ISBLANK(data!AK626),"",data!AK626)</f>
        <v/>
      </c>
      <c r="D597" s="11" t="str">
        <f>IF(ISBLANK(data!AL626),"",data!AL626)</f>
        <v/>
      </c>
      <c r="E597" s="11" t="str">
        <f>IF(ISBLANK(data!AM626),"",data!AM626)</f>
        <v/>
      </c>
    </row>
    <row r="598" spans="1:5" x14ac:dyDescent="0.3">
      <c r="A598" s="13" t="str">
        <f>IF(ISBLANK(data!AI627),"",data!AI627)</f>
        <v/>
      </c>
      <c r="B598" s="11" t="str">
        <f>IF(ISBLANK(data!AJ627),"",data!AJ627)</f>
        <v/>
      </c>
      <c r="C598" s="11" t="str">
        <f>IF(ISBLANK(data!AK627),"",data!AK627)</f>
        <v/>
      </c>
      <c r="D598" s="11" t="str">
        <f>IF(ISBLANK(data!AL627),"",data!AL627)</f>
        <v/>
      </c>
      <c r="E598" s="11" t="str">
        <f>IF(ISBLANK(data!AM627),"",data!AM627)</f>
        <v/>
      </c>
    </row>
    <row r="599" spans="1:5" x14ac:dyDescent="0.3">
      <c r="A599" s="13" t="str">
        <f>IF(ISBLANK(data!AI628),"",data!AI628)</f>
        <v/>
      </c>
      <c r="B599" s="11" t="str">
        <f>IF(ISBLANK(data!AJ628),"",data!AJ628)</f>
        <v/>
      </c>
      <c r="C599" s="11" t="str">
        <f>IF(ISBLANK(data!AK628),"",data!AK628)</f>
        <v/>
      </c>
      <c r="D599" s="11" t="str">
        <f>IF(ISBLANK(data!AL628),"",data!AL628)</f>
        <v/>
      </c>
      <c r="E599" s="11" t="str">
        <f>IF(ISBLANK(data!AM628),"",data!AM628)</f>
        <v/>
      </c>
    </row>
    <row r="600" spans="1:5" x14ac:dyDescent="0.3">
      <c r="A600" s="13" t="str">
        <f>IF(ISBLANK(data!AI629),"",data!AI629)</f>
        <v/>
      </c>
      <c r="B600" s="11" t="str">
        <f>IF(ISBLANK(data!AJ629),"",data!AJ629)</f>
        <v/>
      </c>
      <c r="C600" s="11" t="str">
        <f>IF(ISBLANK(data!AK629),"",data!AK629)</f>
        <v/>
      </c>
      <c r="D600" s="11" t="str">
        <f>IF(ISBLANK(data!AL629),"",data!AL629)</f>
        <v/>
      </c>
      <c r="E600" s="11" t="str">
        <f>IF(ISBLANK(data!AM629),"",data!AM629)</f>
        <v/>
      </c>
    </row>
    <row r="601" spans="1:5" x14ac:dyDescent="0.3">
      <c r="A601" s="13" t="str">
        <f>IF(ISBLANK(data!AI630),"",data!AI630)</f>
        <v/>
      </c>
      <c r="B601" s="11" t="str">
        <f>IF(ISBLANK(data!AJ630),"",data!AJ630)</f>
        <v/>
      </c>
      <c r="C601" s="11" t="str">
        <f>IF(ISBLANK(data!AK630),"",data!AK630)</f>
        <v/>
      </c>
      <c r="D601" s="11" t="str">
        <f>IF(ISBLANK(data!AL630),"",data!AL630)</f>
        <v/>
      </c>
      <c r="E601" s="11" t="str">
        <f>IF(ISBLANK(data!AM630),"",data!AM630)</f>
        <v/>
      </c>
    </row>
    <row r="602" spans="1:5" x14ac:dyDescent="0.3">
      <c r="A602" s="13" t="str">
        <f>IF(ISBLANK(data!AI631),"",data!AI631)</f>
        <v/>
      </c>
      <c r="B602" s="11" t="str">
        <f>IF(ISBLANK(data!AJ631),"",data!AJ631)</f>
        <v/>
      </c>
      <c r="C602" s="11" t="str">
        <f>IF(ISBLANK(data!AK631),"",data!AK631)</f>
        <v/>
      </c>
      <c r="D602" s="11" t="str">
        <f>IF(ISBLANK(data!AL631),"",data!AL631)</f>
        <v/>
      </c>
      <c r="E602" s="11" t="str">
        <f>IF(ISBLANK(data!AM631),"",data!AM631)</f>
        <v/>
      </c>
    </row>
    <row r="603" spans="1:5" x14ac:dyDescent="0.3">
      <c r="A603" s="13" t="str">
        <f>IF(ISBLANK(data!AI632),"",data!AI632)</f>
        <v/>
      </c>
      <c r="B603" s="11" t="str">
        <f>IF(ISBLANK(data!AJ632),"",data!AJ632)</f>
        <v/>
      </c>
      <c r="C603" s="11" t="str">
        <f>IF(ISBLANK(data!AK632),"",data!AK632)</f>
        <v/>
      </c>
      <c r="D603" s="11" t="str">
        <f>IF(ISBLANK(data!AL632),"",data!AL632)</f>
        <v/>
      </c>
      <c r="E603" s="11" t="str">
        <f>IF(ISBLANK(data!AM632),"",data!AM632)</f>
        <v/>
      </c>
    </row>
    <row r="604" spans="1:5" x14ac:dyDescent="0.3">
      <c r="A604" s="13" t="str">
        <f>IF(ISBLANK(data!AI633),"",data!AI633)</f>
        <v/>
      </c>
      <c r="B604" s="11" t="str">
        <f>IF(ISBLANK(data!AJ633),"",data!AJ633)</f>
        <v/>
      </c>
      <c r="C604" s="11" t="str">
        <f>IF(ISBLANK(data!AK633),"",data!AK633)</f>
        <v/>
      </c>
      <c r="D604" s="11" t="str">
        <f>IF(ISBLANK(data!AL633),"",data!AL633)</f>
        <v/>
      </c>
      <c r="E604" s="11" t="str">
        <f>IF(ISBLANK(data!AM633),"",data!AM633)</f>
        <v/>
      </c>
    </row>
    <row r="605" spans="1:5" x14ac:dyDescent="0.3">
      <c r="A605" s="13" t="str">
        <f>IF(ISBLANK(data!AI634),"",data!AI634)</f>
        <v/>
      </c>
      <c r="B605" s="11" t="str">
        <f>IF(ISBLANK(data!AJ634),"",data!AJ634)</f>
        <v/>
      </c>
      <c r="C605" s="11" t="str">
        <f>IF(ISBLANK(data!AK634),"",data!AK634)</f>
        <v/>
      </c>
      <c r="D605" s="11" t="str">
        <f>IF(ISBLANK(data!AL634),"",data!AL634)</f>
        <v/>
      </c>
      <c r="E605" s="11" t="str">
        <f>IF(ISBLANK(data!AM634),"",data!AM634)</f>
        <v/>
      </c>
    </row>
    <row r="606" spans="1:5" x14ac:dyDescent="0.3">
      <c r="A606" s="13" t="str">
        <f>IF(ISBLANK(data!AI635),"",data!AI635)</f>
        <v/>
      </c>
      <c r="B606" s="11" t="str">
        <f>IF(ISBLANK(data!AJ635),"",data!AJ635)</f>
        <v/>
      </c>
      <c r="C606" s="11" t="str">
        <f>IF(ISBLANK(data!AK635),"",data!AK635)</f>
        <v/>
      </c>
      <c r="D606" s="11" t="str">
        <f>IF(ISBLANK(data!AL635),"",data!AL635)</f>
        <v/>
      </c>
      <c r="E606" s="11" t="str">
        <f>IF(ISBLANK(data!AM635),"",data!AM635)</f>
        <v/>
      </c>
    </row>
    <row r="607" spans="1:5" x14ac:dyDescent="0.3">
      <c r="A607" s="13" t="str">
        <f>IF(ISBLANK(data!AI636),"",data!AI636)</f>
        <v/>
      </c>
      <c r="B607" s="11" t="str">
        <f>IF(ISBLANK(data!AJ636),"",data!AJ636)</f>
        <v/>
      </c>
      <c r="C607" s="11" t="str">
        <f>IF(ISBLANK(data!AK636),"",data!AK636)</f>
        <v/>
      </c>
      <c r="D607" s="11" t="str">
        <f>IF(ISBLANK(data!AL636),"",data!AL636)</f>
        <v/>
      </c>
      <c r="E607" s="11" t="str">
        <f>IF(ISBLANK(data!AM636),"",data!AM636)</f>
        <v/>
      </c>
    </row>
    <row r="608" spans="1:5" x14ac:dyDescent="0.3">
      <c r="A608" s="13" t="str">
        <f>IF(ISBLANK(data!AI637),"",data!AI637)</f>
        <v/>
      </c>
      <c r="B608" s="11" t="str">
        <f>IF(ISBLANK(data!AJ637),"",data!AJ637)</f>
        <v/>
      </c>
      <c r="C608" s="11" t="str">
        <f>IF(ISBLANK(data!AK637),"",data!AK637)</f>
        <v/>
      </c>
      <c r="D608" s="11" t="str">
        <f>IF(ISBLANK(data!AL637),"",data!AL637)</f>
        <v/>
      </c>
      <c r="E608" s="11" t="str">
        <f>IF(ISBLANK(data!AM637),"",data!AM637)</f>
        <v/>
      </c>
    </row>
    <row r="609" spans="1:5" x14ac:dyDescent="0.3">
      <c r="A609" s="13" t="str">
        <f>IF(ISBLANK(data!AI638),"",data!AI638)</f>
        <v/>
      </c>
      <c r="B609" s="11" t="str">
        <f>IF(ISBLANK(data!AJ638),"",data!AJ638)</f>
        <v/>
      </c>
      <c r="C609" s="11" t="str">
        <f>IF(ISBLANK(data!AK638),"",data!AK638)</f>
        <v/>
      </c>
      <c r="D609" s="11" t="str">
        <f>IF(ISBLANK(data!AL638),"",data!AL638)</f>
        <v/>
      </c>
      <c r="E609" s="11" t="str">
        <f>IF(ISBLANK(data!AM638),"",data!AM638)</f>
        <v/>
      </c>
    </row>
    <row r="610" spans="1:5" x14ac:dyDescent="0.3">
      <c r="A610" s="13" t="str">
        <f>IF(ISBLANK(data!AI639),"",data!AI639)</f>
        <v/>
      </c>
      <c r="B610" s="11" t="str">
        <f>IF(ISBLANK(data!AJ639),"",data!AJ639)</f>
        <v/>
      </c>
      <c r="C610" s="11" t="str">
        <f>IF(ISBLANK(data!AK639),"",data!AK639)</f>
        <v/>
      </c>
      <c r="D610" s="11" t="str">
        <f>IF(ISBLANK(data!AL639),"",data!AL639)</f>
        <v/>
      </c>
      <c r="E610" s="11" t="str">
        <f>IF(ISBLANK(data!AM639),"",data!AM639)</f>
        <v/>
      </c>
    </row>
    <row r="611" spans="1:5" x14ac:dyDescent="0.3">
      <c r="A611" s="13" t="str">
        <f>IF(ISBLANK(data!AI640),"",data!AI640)</f>
        <v/>
      </c>
      <c r="B611" s="11" t="str">
        <f>IF(ISBLANK(data!AJ640),"",data!AJ640)</f>
        <v/>
      </c>
      <c r="C611" s="11" t="str">
        <f>IF(ISBLANK(data!AK640),"",data!AK640)</f>
        <v/>
      </c>
      <c r="D611" s="11" t="str">
        <f>IF(ISBLANK(data!AL640),"",data!AL640)</f>
        <v/>
      </c>
      <c r="E611" s="11" t="str">
        <f>IF(ISBLANK(data!AM640),"",data!AM640)</f>
        <v/>
      </c>
    </row>
    <row r="612" spans="1:5" x14ac:dyDescent="0.3">
      <c r="A612" s="13" t="str">
        <f>IF(ISBLANK(data!AI641),"",data!AI641)</f>
        <v/>
      </c>
      <c r="B612" s="11" t="str">
        <f>IF(ISBLANK(data!AJ641),"",data!AJ641)</f>
        <v/>
      </c>
      <c r="C612" s="11" t="str">
        <f>IF(ISBLANK(data!AK641),"",data!AK641)</f>
        <v/>
      </c>
      <c r="D612" s="11" t="str">
        <f>IF(ISBLANK(data!AL641),"",data!AL641)</f>
        <v/>
      </c>
      <c r="E612" s="11" t="str">
        <f>IF(ISBLANK(data!AM641),"",data!AM641)</f>
        <v/>
      </c>
    </row>
    <row r="613" spans="1:5" x14ac:dyDescent="0.3">
      <c r="A613" s="13" t="str">
        <f>IF(ISBLANK(data!AI642),"",data!AI642)</f>
        <v/>
      </c>
      <c r="B613" s="11" t="str">
        <f>IF(ISBLANK(data!AJ642),"",data!AJ642)</f>
        <v/>
      </c>
      <c r="C613" s="11" t="str">
        <f>IF(ISBLANK(data!AK642),"",data!AK642)</f>
        <v/>
      </c>
      <c r="D613" s="11" t="str">
        <f>IF(ISBLANK(data!AL642),"",data!AL642)</f>
        <v/>
      </c>
      <c r="E613" s="11" t="str">
        <f>IF(ISBLANK(data!AM642),"",data!AM642)</f>
        <v/>
      </c>
    </row>
    <row r="614" spans="1:5" x14ac:dyDescent="0.3">
      <c r="A614" s="13" t="str">
        <f>IF(ISBLANK(data!AI643),"",data!AI643)</f>
        <v/>
      </c>
      <c r="B614" s="11" t="str">
        <f>IF(ISBLANK(data!AJ643),"",data!AJ643)</f>
        <v/>
      </c>
      <c r="C614" s="11" t="str">
        <f>IF(ISBLANK(data!AK643),"",data!AK643)</f>
        <v/>
      </c>
      <c r="D614" s="11" t="str">
        <f>IF(ISBLANK(data!AL643),"",data!AL643)</f>
        <v/>
      </c>
      <c r="E614" s="11" t="str">
        <f>IF(ISBLANK(data!AM643),"",data!AM643)</f>
        <v/>
      </c>
    </row>
    <row r="615" spans="1:5" x14ac:dyDescent="0.3">
      <c r="A615" s="13" t="str">
        <f>IF(ISBLANK(data!AI644),"",data!AI644)</f>
        <v/>
      </c>
      <c r="B615" s="11" t="str">
        <f>IF(ISBLANK(data!AJ644),"",data!AJ644)</f>
        <v/>
      </c>
      <c r="C615" s="11" t="str">
        <f>IF(ISBLANK(data!AK644),"",data!AK644)</f>
        <v/>
      </c>
      <c r="D615" s="11" t="str">
        <f>IF(ISBLANK(data!AL644),"",data!AL644)</f>
        <v/>
      </c>
      <c r="E615" s="11" t="str">
        <f>IF(ISBLANK(data!AM644),"",data!AM644)</f>
        <v/>
      </c>
    </row>
    <row r="616" spans="1:5" x14ac:dyDescent="0.3">
      <c r="A616" s="13" t="str">
        <f>IF(ISBLANK(data!AI645),"",data!AI645)</f>
        <v/>
      </c>
      <c r="B616" s="11" t="str">
        <f>IF(ISBLANK(data!AJ645),"",data!AJ645)</f>
        <v/>
      </c>
      <c r="C616" s="11" t="str">
        <f>IF(ISBLANK(data!AK645),"",data!AK645)</f>
        <v/>
      </c>
      <c r="D616" s="11" t="str">
        <f>IF(ISBLANK(data!AL645),"",data!AL645)</f>
        <v/>
      </c>
      <c r="E616" s="11" t="str">
        <f>IF(ISBLANK(data!AM645),"",data!AM645)</f>
        <v/>
      </c>
    </row>
    <row r="617" spans="1:5" x14ac:dyDescent="0.3">
      <c r="A617" s="13" t="str">
        <f>IF(ISBLANK(data!AI646),"",data!AI646)</f>
        <v/>
      </c>
      <c r="B617" s="11" t="str">
        <f>IF(ISBLANK(data!AJ646),"",data!AJ646)</f>
        <v/>
      </c>
      <c r="C617" s="11" t="str">
        <f>IF(ISBLANK(data!AK646),"",data!AK646)</f>
        <v/>
      </c>
      <c r="D617" s="11" t="str">
        <f>IF(ISBLANK(data!AL646),"",data!AL646)</f>
        <v/>
      </c>
      <c r="E617" s="11" t="str">
        <f>IF(ISBLANK(data!AM646),"",data!AM646)</f>
        <v/>
      </c>
    </row>
    <row r="618" spans="1:5" x14ac:dyDescent="0.3">
      <c r="A618" s="13" t="str">
        <f>IF(ISBLANK(data!AI647),"",data!AI647)</f>
        <v/>
      </c>
      <c r="B618" s="11" t="str">
        <f>IF(ISBLANK(data!AJ647),"",data!AJ647)</f>
        <v/>
      </c>
      <c r="C618" s="11" t="str">
        <f>IF(ISBLANK(data!AK647),"",data!AK647)</f>
        <v/>
      </c>
      <c r="D618" s="11" t="str">
        <f>IF(ISBLANK(data!AL647),"",data!AL647)</f>
        <v/>
      </c>
      <c r="E618" s="11" t="str">
        <f>IF(ISBLANK(data!AM647),"",data!AM647)</f>
        <v/>
      </c>
    </row>
    <row r="619" spans="1:5" x14ac:dyDescent="0.3">
      <c r="A619" s="13" t="str">
        <f>IF(ISBLANK(data!AI648),"",data!AI648)</f>
        <v/>
      </c>
      <c r="B619" s="11" t="str">
        <f>IF(ISBLANK(data!AJ648),"",data!AJ648)</f>
        <v/>
      </c>
      <c r="C619" s="11" t="str">
        <f>IF(ISBLANK(data!AK648),"",data!AK648)</f>
        <v/>
      </c>
      <c r="D619" s="11" t="str">
        <f>IF(ISBLANK(data!AL648),"",data!AL648)</f>
        <v/>
      </c>
      <c r="E619" s="11" t="str">
        <f>IF(ISBLANK(data!AM648),"",data!AM648)</f>
        <v/>
      </c>
    </row>
    <row r="620" spans="1:5" x14ac:dyDescent="0.3">
      <c r="A620" s="13" t="str">
        <f>IF(ISBLANK(data!AI649),"",data!AI649)</f>
        <v/>
      </c>
      <c r="B620" s="11" t="str">
        <f>IF(ISBLANK(data!AJ649),"",data!AJ649)</f>
        <v/>
      </c>
      <c r="C620" s="11" t="str">
        <f>IF(ISBLANK(data!AK649),"",data!AK649)</f>
        <v/>
      </c>
      <c r="D620" s="11" t="str">
        <f>IF(ISBLANK(data!AL649),"",data!AL649)</f>
        <v/>
      </c>
      <c r="E620" s="11" t="str">
        <f>IF(ISBLANK(data!AM649),"",data!AM649)</f>
        <v/>
      </c>
    </row>
    <row r="621" spans="1:5" x14ac:dyDescent="0.3">
      <c r="A621" s="13" t="str">
        <f>IF(ISBLANK(data!AI650),"",data!AI650)</f>
        <v/>
      </c>
      <c r="B621" s="11" t="str">
        <f>IF(ISBLANK(data!AJ650),"",data!AJ650)</f>
        <v/>
      </c>
      <c r="C621" s="11" t="str">
        <f>IF(ISBLANK(data!AK650),"",data!AK650)</f>
        <v/>
      </c>
      <c r="D621" s="11" t="str">
        <f>IF(ISBLANK(data!AL650),"",data!AL650)</f>
        <v/>
      </c>
      <c r="E621" s="11" t="str">
        <f>IF(ISBLANK(data!AM650),"",data!AM650)</f>
        <v/>
      </c>
    </row>
    <row r="622" spans="1:5" x14ac:dyDescent="0.3">
      <c r="A622" s="13" t="str">
        <f>IF(ISBLANK(data!AI651),"",data!AI651)</f>
        <v/>
      </c>
      <c r="B622" s="11" t="str">
        <f>IF(ISBLANK(data!AJ651),"",data!AJ651)</f>
        <v/>
      </c>
      <c r="C622" s="11" t="str">
        <f>IF(ISBLANK(data!AK651),"",data!AK651)</f>
        <v/>
      </c>
      <c r="D622" s="11" t="str">
        <f>IF(ISBLANK(data!AL651),"",data!AL651)</f>
        <v/>
      </c>
      <c r="E622" s="11" t="str">
        <f>IF(ISBLANK(data!AM651),"",data!AM651)</f>
        <v/>
      </c>
    </row>
    <row r="623" spans="1:5" x14ac:dyDescent="0.3">
      <c r="A623" s="13" t="str">
        <f>IF(ISBLANK(data!AI652),"",data!AI652)</f>
        <v/>
      </c>
      <c r="B623" s="11" t="str">
        <f>IF(ISBLANK(data!AJ652),"",data!AJ652)</f>
        <v/>
      </c>
      <c r="C623" s="11" t="str">
        <f>IF(ISBLANK(data!AK652),"",data!AK652)</f>
        <v/>
      </c>
      <c r="D623" s="11" t="str">
        <f>IF(ISBLANK(data!AL652),"",data!AL652)</f>
        <v/>
      </c>
      <c r="E623" s="11" t="str">
        <f>IF(ISBLANK(data!AM652),"",data!AM652)</f>
        <v/>
      </c>
    </row>
    <row r="624" spans="1:5" x14ac:dyDescent="0.3">
      <c r="A624" s="13" t="str">
        <f>IF(ISBLANK(data!AI653),"",data!AI653)</f>
        <v/>
      </c>
      <c r="B624" s="11" t="str">
        <f>IF(ISBLANK(data!AJ653),"",data!AJ653)</f>
        <v/>
      </c>
      <c r="C624" s="11" t="str">
        <f>IF(ISBLANK(data!AK653),"",data!AK653)</f>
        <v/>
      </c>
      <c r="D624" s="11" t="str">
        <f>IF(ISBLANK(data!AL653),"",data!AL653)</f>
        <v/>
      </c>
      <c r="E624" s="11" t="str">
        <f>IF(ISBLANK(data!AM653),"",data!AM653)</f>
        <v/>
      </c>
    </row>
    <row r="625" spans="1:5" x14ac:dyDescent="0.3">
      <c r="A625" s="13" t="str">
        <f>IF(ISBLANK(data!AI654),"",data!AI654)</f>
        <v/>
      </c>
      <c r="B625" s="11" t="str">
        <f>IF(ISBLANK(data!AJ654),"",data!AJ654)</f>
        <v/>
      </c>
      <c r="C625" s="11" t="str">
        <f>IF(ISBLANK(data!AK654),"",data!AK654)</f>
        <v/>
      </c>
      <c r="D625" s="11" t="str">
        <f>IF(ISBLANK(data!AL654),"",data!AL654)</f>
        <v/>
      </c>
      <c r="E625" s="11" t="str">
        <f>IF(ISBLANK(data!AM654),"",data!AM654)</f>
        <v/>
      </c>
    </row>
    <row r="626" spans="1:5" x14ac:dyDescent="0.3">
      <c r="A626" s="13" t="str">
        <f>IF(ISBLANK(data!AI655),"",data!AI655)</f>
        <v/>
      </c>
      <c r="B626" s="11" t="str">
        <f>IF(ISBLANK(data!AJ655),"",data!AJ655)</f>
        <v/>
      </c>
      <c r="C626" s="11" t="str">
        <f>IF(ISBLANK(data!AK655),"",data!AK655)</f>
        <v/>
      </c>
      <c r="D626" s="11" t="str">
        <f>IF(ISBLANK(data!AL655),"",data!AL655)</f>
        <v/>
      </c>
      <c r="E626" s="11" t="str">
        <f>IF(ISBLANK(data!AM655),"",data!AM655)</f>
        <v/>
      </c>
    </row>
    <row r="627" spans="1:5" x14ac:dyDescent="0.3">
      <c r="A627" s="13" t="str">
        <f>IF(ISBLANK(data!AI656),"",data!AI656)</f>
        <v/>
      </c>
      <c r="B627" s="11" t="str">
        <f>IF(ISBLANK(data!AJ656),"",data!AJ656)</f>
        <v/>
      </c>
      <c r="C627" s="11" t="str">
        <f>IF(ISBLANK(data!AK656),"",data!AK656)</f>
        <v/>
      </c>
      <c r="D627" s="11" t="str">
        <f>IF(ISBLANK(data!AL656),"",data!AL656)</f>
        <v/>
      </c>
      <c r="E627" s="11" t="str">
        <f>IF(ISBLANK(data!AM656),"",data!AM656)</f>
        <v/>
      </c>
    </row>
    <row r="628" spans="1:5" x14ac:dyDescent="0.3">
      <c r="A628" s="13" t="str">
        <f>IF(ISBLANK(data!AI657),"",data!AI657)</f>
        <v/>
      </c>
      <c r="B628" s="11" t="str">
        <f>IF(ISBLANK(data!AJ657),"",data!AJ657)</f>
        <v/>
      </c>
      <c r="C628" s="11" t="str">
        <f>IF(ISBLANK(data!AK657),"",data!AK657)</f>
        <v/>
      </c>
      <c r="D628" s="11" t="str">
        <f>IF(ISBLANK(data!AL657),"",data!AL657)</f>
        <v/>
      </c>
      <c r="E628" s="11" t="str">
        <f>IF(ISBLANK(data!AM657),"",data!AM657)</f>
        <v/>
      </c>
    </row>
    <row r="629" spans="1:5" x14ac:dyDescent="0.3">
      <c r="A629" s="13" t="str">
        <f>IF(ISBLANK(data!AI658),"",data!AI658)</f>
        <v/>
      </c>
      <c r="B629" s="11" t="str">
        <f>IF(ISBLANK(data!AJ658),"",data!AJ658)</f>
        <v/>
      </c>
      <c r="C629" s="11" t="str">
        <f>IF(ISBLANK(data!AK658),"",data!AK658)</f>
        <v/>
      </c>
      <c r="D629" s="11" t="str">
        <f>IF(ISBLANK(data!AL658),"",data!AL658)</f>
        <v/>
      </c>
      <c r="E629" s="11" t="str">
        <f>IF(ISBLANK(data!AM658),"",data!AM658)</f>
        <v/>
      </c>
    </row>
    <row r="630" spans="1:5" x14ac:dyDescent="0.3">
      <c r="A630" s="13" t="str">
        <f>IF(ISBLANK(data!AI659),"",data!AI659)</f>
        <v/>
      </c>
      <c r="B630" s="11" t="str">
        <f>IF(ISBLANK(data!AJ659),"",data!AJ659)</f>
        <v/>
      </c>
      <c r="C630" s="11" t="str">
        <f>IF(ISBLANK(data!AK659),"",data!AK659)</f>
        <v/>
      </c>
      <c r="D630" s="11" t="str">
        <f>IF(ISBLANK(data!AL659),"",data!AL659)</f>
        <v/>
      </c>
      <c r="E630" s="11" t="str">
        <f>IF(ISBLANK(data!AM659),"",data!AM659)</f>
        <v/>
      </c>
    </row>
    <row r="631" spans="1:5" x14ac:dyDescent="0.3">
      <c r="A631" s="13" t="str">
        <f>IF(ISBLANK(data!AI660),"",data!AI660)</f>
        <v/>
      </c>
      <c r="B631" s="11" t="str">
        <f>IF(ISBLANK(data!AJ660),"",data!AJ660)</f>
        <v/>
      </c>
      <c r="C631" s="11" t="str">
        <f>IF(ISBLANK(data!AK660),"",data!AK660)</f>
        <v/>
      </c>
      <c r="D631" s="11" t="str">
        <f>IF(ISBLANK(data!AL660),"",data!AL660)</f>
        <v/>
      </c>
      <c r="E631" s="11" t="str">
        <f>IF(ISBLANK(data!AM660),"",data!AM660)</f>
        <v/>
      </c>
    </row>
    <row r="632" spans="1:5" x14ac:dyDescent="0.3">
      <c r="A632" s="13" t="str">
        <f>IF(ISBLANK(data!AI661),"",data!AI661)</f>
        <v/>
      </c>
      <c r="B632" s="11" t="str">
        <f>IF(ISBLANK(data!AJ661),"",data!AJ661)</f>
        <v/>
      </c>
      <c r="C632" s="11" t="str">
        <f>IF(ISBLANK(data!AK661),"",data!AK661)</f>
        <v/>
      </c>
      <c r="D632" s="11" t="str">
        <f>IF(ISBLANK(data!AL661),"",data!AL661)</f>
        <v/>
      </c>
      <c r="E632" s="11" t="str">
        <f>IF(ISBLANK(data!AM661),"",data!AM661)</f>
        <v/>
      </c>
    </row>
    <row r="633" spans="1:5" x14ac:dyDescent="0.3">
      <c r="A633" s="13" t="str">
        <f>IF(ISBLANK(data!AI662),"",data!AI662)</f>
        <v/>
      </c>
      <c r="B633" s="11" t="str">
        <f>IF(ISBLANK(data!AJ662),"",data!AJ662)</f>
        <v/>
      </c>
      <c r="C633" s="11" t="str">
        <f>IF(ISBLANK(data!AK662),"",data!AK662)</f>
        <v/>
      </c>
      <c r="D633" s="11" t="str">
        <f>IF(ISBLANK(data!AL662),"",data!AL662)</f>
        <v/>
      </c>
      <c r="E633" s="11" t="str">
        <f>IF(ISBLANK(data!AM662),"",data!AM662)</f>
        <v/>
      </c>
    </row>
    <row r="634" spans="1:5" x14ac:dyDescent="0.3">
      <c r="A634" s="13" t="str">
        <f>IF(ISBLANK(data!AI663),"",data!AI663)</f>
        <v/>
      </c>
      <c r="B634" s="11" t="str">
        <f>IF(ISBLANK(data!AJ663),"",data!AJ663)</f>
        <v/>
      </c>
      <c r="C634" s="11" t="str">
        <f>IF(ISBLANK(data!AK663),"",data!AK663)</f>
        <v/>
      </c>
      <c r="D634" s="11" t="str">
        <f>IF(ISBLANK(data!AL663),"",data!AL663)</f>
        <v/>
      </c>
      <c r="E634" s="11" t="str">
        <f>IF(ISBLANK(data!AM663),"",data!AM663)</f>
        <v/>
      </c>
    </row>
    <row r="635" spans="1:5" x14ac:dyDescent="0.3">
      <c r="A635" s="13" t="str">
        <f>IF(ISBLANK(data!AI664),"",data!AI664)</f>
        <v/>
      </c>
      <c r="B635" s="11" t="str">
        <f>IF(ISBLANK(data!AJ664),"",data!AJ664)</f>
        <v/>
      </c>
      <c r="C635" s="11" t="str">
        <f>IF(ISBLANK(data!AK664),"",data!AK664)</f>
        <v/>
      </c>
      <c r="D635" s="11" t="str">
        <f>IF(ISBLANK(data!AL664),"",data!AL664)</f>
        <v/>
      </c>
      <c r="E635" s="11" t="str">
        <f>IF(ISBLANK(data!AM664),"",data!AM664)</f>
        <v/>
      </c>
    </row>
    <row r="636" spans="1:5" x14ac:dyDescent="0.3">
      <c r="A636" s="13" t="str">
        <f>IF(ISBLANK(data!AI665),"",data!AI665)</f>
        <v/>
      </c>
      <c r="B636" s="11" t="str">
        <f>IF(ISBLANK(data!AJ665),"",data!AJ665)</f>
        <v/>
      </c>
      <c r="C636" s="11" t="str">
        <f>IF(ISBLANK(data!AK665),"",data!AK665)</f>
        <v/>
      </c>
      <c r="D636" s="11" t="str">
        <f>IF(ISBLANK(data!AL665),"",data!AL665)</f>
        <v/>
      </c>
      <c r="E636" s="11" t="str">
        <f>IF(ISBLANK(data!AM665),"",data!AM665)</f>
        <v/>
      </c>
    </row>
    <row r="637" spans="1:5" x14ac:dyDescent="0.3">
      <c r="A637" s="13" t="str">
        <f>IF(ISBLANK(data!AI666),"",data!AI666)</f>
        <v/>
      </c>
      <c r="B637" s="11" t="str">
        <f>IF(ISBLANK(data!AJ666),"",data!AJ666)</f>
        <v/>
      </c>
      <c r="C637" s="11" t="str">
        <f>IF(ISBLANK(data!AK666),"",data!AK666)</f>
        <v/>
      </c>
      <c r="D637" s="11" t="str">
        <f>IF(ISBLANK(data!AL666),"",data!AL666)</f>
        <v/>
      </c>
      <c r="E637" s="11" t="str">
        <f>IF(ISBLANK(data!AM666),"",data!AM666)</f>
        <v/>
      </c>
    </row>
    <row r="638" spans="1:5" x14ac:dyDescent="0.3">
      <c r="A638" s="13" t="str">
        <f>IF(ISBLANK(data!AI667),"",data!AI667)</f>
        <v/>
      </c>
      <c r="B638" s="11" t="str">
        <f>IF(ISBLANK(data!AJ667),"",data!AJ667)</f>
        <v/>
      </c>
      <c r="C638" s="11" t="str">
        <f>IF(ISBLANK(data!AK667),"",data!AK667)</f>
        <v/>
      </c>
      <c r="D638" s="11" t="str">
        <f>IF(ISBLANK(data!AL667),"",data!AL667)</f>
        <v/>
      </c>
      <c r="E638" s="11" t="str">
        <f>IF(ISBLANK(data!AM667),"",data!AM667)</f>
        <v/>
      </c>
    </row>
    <row r="639" spans="1:5" x14ac:dyDescent="0.3">
      <c r="A639" s="13" t="str">
        <f>IF(ISBLANK(data!AI668),"",data!AI668)</f>
        <v/>
      </c>
      <c r="B639" s="11" t="str">
        <f>IF(ISBLANK(data!AJ668),"",data!AJ668)</f>
        <v/>
      </c>
      <c r="C639" s="11" t="str">
        <f>IF(ISBLANK(data!AK668),"",data!AK668)</f>
        <v/>
      </c>
      <c r="D639" s="11" t="str">
        <f>IF(ISBLANK(data!AL668),"",data!AL668)</f>
        <v/>
      </c>
      <c r="E639" s="11" t="str">
        <f>IF(ISBLANK(data!AM668),"",data!AM668)</f>
        <v/>
      </c>
    </row>
    <row r="640" spans="1:5" x14ac:dyDescent="0.3">
      <c r="A640" s="13" t="str">
        <f>IF(ISBLANK(data!AI669),"",data!AI669)</f>
        <v/>
      </c>
      <c r="B640" s="11" t="str">
        <f>IF(ISBLANK(data!AJ669),"",data!AJ669)</f>
        <v/>
      </c>
      <c r="C640" s="11" t="str">
        <f>IF(ISBLANK(data!AK669),"",data!AK669)</f>
        <v/>
      </c>
      <c r="D640" s="11" t="str">
        <f>IF(ISBLANK(data!AL669),"",data!AL669)</f>
        <v/>
      </c>
      <c r="E640" s="11" t="str">
        <f>IF(ISBLANK(data!AM669),"",data!AM669)</f>
        <v/>
      </c>
    </row>
    <row r="641" spans="1:5" x14ac:dyDescent="0.3">
      <c r="A641" s="13" t="str">
        <f>IF(ISBLANK(data!AI670),"",data!AI670)</f>
        <v/>
      </c>
      <c r="B641" s="11" t="str">
        <f>IF(ISBLANK(data!AJ670),"",data!AJ670)</f>
        <v/>
      </c>
      <c r="C641" s="11" t="str">
        <f>IF(ISBLANK(data!AK670),"",data!AK670)</f>
        <v/>
      </c>
      <c r="D641" s="11" t="str">
        <f>IF(ISBLANK(data!AL670),"",data!AL670)</f>
        <v/>
      </c>
      <c r="E641" s="11" t="str">
        <f>IF(ISBLANK(data!AM670),"",data!AM670)</f>
        <v/>
      </c>
    </row>
    <row r="642" spans="1:5" x14ac:dyDescent="0.3">
      <c r="A642" s="13" t="str">
        <f>IF(ISBLANK(data!AI671),"",data!AI671)</f>
        <v/>
      </c>
      <c r="B642" s="11" t="str">
        <f>IF(ISBLANK(data!AJ671),"",data!AJ671)</f>
        <v/>
      </c>
      <c r="C642" s="11" t="str">
        <f>IF(ISBLANK(data!AK671),"",data!AK671)</f>
        <v/>
      </c>
      <c r="D642" s="11" t="str">
        <f>IF(ISBLANK(data!AL671),"",data!AL671)</f>
        <v/>
      </c>
      <c r="E642" s="11" t="str">
        <f>IF(ISBLANK(data!AM671),"",data!AM671)</f>
        <v/>
      </c>
    </row>
    <row r="643" spans="1:5" x14ac:dyDescent="0.3">
      <c r="A643" s="13" t="str">
        <f>IF(ISBLANK(data!AI672),"",data!AI672)</f>
        <v/>
      </c>
      <c r="B643" s="11" t="str">
        <f>IF(ISBLANK(data!AJ672),"",data!AJ672)</f>
        <v/>
      </c>
      <c r="C643" s="11" t="str">
        <f>IF(ISBLANK(data!AK672),"",data!AK672)</f>
        <v/>
      </c>
      <c r="D643" s="11" t="str">
        <f>IF(ISBLANK(data!AL672),"",data!AL672)</f>
        <v/>
      </c>
      <c r="E643" s="11" t="str">
        <f>IF(ISBLANK(data!AM672),"",data!AM672)</f>
        <v/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6"/>
  <sheetViews>
    <sheetView topLeftCell="D1" workbookViewId="0">
      <selection activeCell="K23" sqref="K23"/>
    </sheetView>
  </sheetViews>
  <sheetFormatPr defaultRowHeight="13.5" x14ac:dyDescent="0.3"/>
  <cols>
    <col min="1" max="1" width="26.1328125" customWidth="1"/>
  </cols>
  <sheetData>
    <row r="1" spans="1:13" x14ac:dyDescent="0.3">
      <c r="A1" s="13" t="s">
        <v>87</v>
      </c>
      <c r="B1" s="11" t="s">
        <v>62</v>
      </c>
      <c r="C1" s="11" t="s">
        <v>54</v>
      </c>
      <c r="D1" s="11" t="s">
        <v>56</v>
      </c>
      <c r="E1" s="11" t="s">
        <v>52</v>
      </c>
      <c r="F1" s="11" t="s">
        <v>64</v>
      </c>
      <c r="G1" s="11" t="s">
        <v>58</v>
      </c>
      <c r="H1" s="11" t="s">
        <v>60</v>
      </c>
      <c r="I1" s="11" t="s">
        <v>50</v>
      </c>
      <c r="J1" s="11" t="s">
        <v>68</v>
      </c>
      <c r="K1" s="11" t="s">
        <v>66</v>
      </c>
      <c r="L1" s="11" t="s">
        <v>88</v>
      </c>
      <c r="M1" s="11" t="s">
        <v>89</v>
      </c>
    </row>
    <row r="2" spans="1:13" x14ac:dyDescent="0.3">
      <c r="A2" s="13">
        <v>41785.5</v>
      </c>
      <c r="B2" s="11">
        <v>0.16027228725889595</v>
      </c>
      <c r="C2" s="11">
        <v>2.7024597097072456E-6</v>
      </c>
      <c r="D2" s="11">
        <v>0.24208062882333198</v>
      </c>
      <c r="E2" s="11">
        <v>4.2523892712404734E-6</v>
      </c>
      <c r="F2" s="11">
        <v>0.1470248626525836</v>
      </c>
      <c r="G2" s="11">
        <v>0.25214396012286372</v>
      </c>
      <c r="H2" s="11">
        <v>8.8812094913186512E-5</v>
      </c>
      <c r="I2" s="11">
        <v>6.8494054710465445E-6</v>
      </c>
      <c r="J2" s="11">
        <v>1.797744366323646E-6</v>
      </c>
      <c r="K2" s="11">
        <v>2.0966562523611913E-6</v>
      </c>
      <c r="L2" s="11">
        <v>0.19837175039234081</v>
      </c>
      <c r="M2" s="11">
        <v>0.96951998084923652</v>
      </c>
    </row>
    <row r="3" spans="1:13" x14ac:dyDescent="0.3">
      <c r="A3" s="13">
        <v>41792.5</v>
      </c>
      <c r="B3" s="11">
        <v>0.15838436844827611</v>
      </c>
      <c r="C3" s="11">
        <v>1.2935723011608368E-5</v>
      </c>
      <c r="D3" s="11">
        <v>0.24460641836906755</v>
      </c>
      <c r="E3" s="11">
        <v>2.3785986323736376E-5</v>
      </c>
      <c r="F3" s="11">
        <v>0.1474856450619404</v>
      </c>
      <c r="G3" s="11">
        <v>0.25461945941745118</v>
      </c>
      <c r="H3" s="11">
        <v>5.3750605154236548E-5</v>
      </c>
      <c r="I3" s="11">
        <v>8.8148584147343544E-5</v>
      </c>
      <c r="J3" s="11">
        <v>9.1906337102095825E-6</v>
      </c>
      <c r="K3" s="11">
        <v>1.0390541044779383E-5</v>
      </c>
      <c r="L3" s="11">
        <v>0.19470590662987283</v>
      </c>
      <c r="M3" s="11">
        <v>0.9676753099576213</v>
      </c>
    </row>
    <row r="4" spans="1:13" x14ac:dyDescent="0.3">
      <c r="A4" s="13">
        <v>41799.5</v>
      </c>
      <c r="B4" s="11">
        <v>0.15896878240971513</v>
      </c>
      <c r="C4" s="11">
        <v>1.9626993524666737E-5</v>
      </c>
      <c r="D4" s="11">
        <v>0.24374569350428726</v>
      </c>
      <c r="E4" s="11">
        <v>3.325321217508695E-5</v>
      </c>
      <c r="F4" s="11">
        <v>0.14857238348443172</v>
      </c>
      <c r="G4" s="11">
        <v>0.25237463103595031</v>
      </c>
      <c r="H4" s="11">
        <v>6.3120365187388649E-5</v>
      </c>
      <c r="I4" s="11">
        <v>8.5230591844156876E-5</v>
      </c>
      <c r="J4" s="11">
        <v>1.3990128721038719E-5</v>
      </c>
      <c r="K4" s="11">
        <v>1.6067334296738692E-5</v>
      </c>
      <c r="L4" s="11">
        <v>0.19610722093986654</v>
      </c>
      <c r="M4" s="11">
        <v>0.96824544601608109</v>
      </c>
    </row>
    <row r="5" spans="1:13" x14ac:dyDescent="0.3">
      <c r="A5" s="13">
        <v>41806</v>
      </c>
      <c r="B5" s="11">
        <v>0.14993459340540455</v>
      </c>
      <c r="C5" s="11">
        <v>1.7563274432951896E-5</v>
      </c>
      <c r="D5" s="11">
        <v>0.25539388906186239</v>
      </c>
      <c r="E5" s="11">
        <v>2.7157325423649241E-5</v>
      </c>
      <c r="F5" s="11">
        <v>0.14742989826282221</v>
      </c>
      <c r="G5" s="11">
        <v>0.2510029914832243</v>
      </c>
      <c r="H5" s="11">
        <v>4.0514542383663067E-5</v>
      </c>
      <c r="I5" s="11">
        <v>4.8515518034426762E-5</v>
      </c>
      <c r="J5" s="11">
        <v>1.2149701646413223E-5</v>
      </c>
      <c r="K5" s="11">
        <v>1.5643212923971839E-5</v>
      </c>
      <c r="L5" s="11">
        <v>0.19607708421184147</v>
      </c>
      <c r="M5" s="11">
        <v>0.96721615437853048</v>
      </c>
    </row>
    <row r="6" spans="1:13" x14ac:dyDescent="0.3">
      <c r="A6" s="13">
        <v>41813.5</v>
      </c>
      <c r="B6" s="11">
        <v>0.1489141518901079</v>
      </c>
      <c r="C6" s="11">
        <v>1.5628209671991385E-5</v>
      </c>
      <c r="D6" s="11">
        <v>0.26491931907458932</v>
      </c>
      <c r="E6" s="11">
        <v>2.5872542888742169E-5</v>
      </c>
      <c r="F6" s="11">
        <v>0.14922793473121182</v>
      </c>
      <c r="G6" s="11">
        <v>0.23777297830596472</v>
      </c>
      <c r="H6" s="11">
        <v>6.5666895817126836E-5</v>
      </c>
      <c r="I6" s="11">
        <v>3.3901119335620676E-5</v>
      </c>
      <c r="J6" s="11">
        <v>1.1518997342178835E-5</v>
      </c>
      <c r="K6" s="11">
        <v>1.5301415179211067E-5</v>
      </c>
      <c r="L6" s="11">
        <v>0.19899772681789141</v>
      </c>
      <c r="M6" s="11">
        <v>0.9674305419937711</v>
      </c>
    </row>
    <row r="7" spans="1:13" x14ac:dyDescent="0.3">
      <c r="A7" s="13">
        <v>41820.5</v>
      </c>
      <c r="B7" s="11">
        <v>0.13652573957646602</v>
      </c>
      <c r="C7" s="11">
        <v>1.3721229172798529E-5</v>
      </c>
      <c r="D7" s="11">
        <v>0.28082825857539484</v>
      </c>
      <c r="E7" s="11">
        <v>2.380468003156776E-5</v>
      </c>
      <c r="F7" s="11">
        <v>0.15332984010178513</v>
      </c>
      <c r="G7" s="11">
        <v>0.22603569243417918</v>
      </c>
      <c r="H7" s="11">
        <v>7.0262699173803556E-5</v>
      </c>
      <c r="I7" s="11">
        <v>3.2854602186001999E-5</v>
      </c>
      <c r="J7" s="11">
        <v>9.5061340057749029E-6</v>
      </c>
      <c r="K7" s="11">
        <v>1.1009931892534074E-5</v>
      </c>
      <c r="L7" s="11">
        <v>0.20311931003571232</v>
      </c>
      <c r="M7" s="11">
        <v>0.96655744733007287</v>
      </c>
    </row>
    <row r="8" spans="1:13" x14ac:dyDescent="0.3">
      <c r="A8" s="13">
        <v>41827.5</v>
      </c>
      <c r="B8" s="11">
        <v>0.1343749139581617</v>
      </c>
      <c r="C8" s="11">
        <v>3.7873057916767616E-6</v>
      </c>
      <c r="D8" s="11">
        <v>0.27587029045502254</v>
      </c>
      <c r="E8" s="11">
        <v>6.7734802263604029E-6</v>
      </c>
      <c r="F8" s="11">
        <v>0.13944724208998255</v>
      </c>
      <c r="G8" s="11">
        <v>0.25225454728283631</v>
      </c>
      <c r="H8" s="11">
        <v>5.9252228984105956E-5</v>
      </c>
      <c r="I8" s="11">
        <v>8.7085206354676142E-5</v>
      </c>
      <c r="J8" s="11">
        <v>1.8193147372362295E-6</v>
      </c>
      <c r="K8" s="11">
        <v>2.3084202472330891E-6</v>
      </c>
      <c r="L8" s="11">
        <v>0.19789198025765561</v>
      </c>
      <c r="M8" s="11">
        <v>0.96320059800583002</v>
      </c>
    </row>
    <row r="9" spans="1:13" x14ac:dyDescent="0.3">
      <c r="A9" s="13">
        <v>41834.5</v>
      </c>
      <c r="B9" s="11">
        <v>0.13400452013249395</v>
      </c>
      <c r="C9" s="11">
        <v>9.8154324838194648E-6</v>
      </c>
      <c r="D9" s="11">
        <v>0.26195412030766269</v>
      </c>
      <c r="E9" s="11">
        <v>1.5428729063962923E-5</v>
      </c>
      <c r="F9" s="11">
        <v>0.14488404283786757</v>
      </c>
      <c r="G9" s="11">
        <v>0.24798736000564883</v>
      </c>
      <c r="H9" s="11">
        <v>8.7465432382240246E-3</v>
      </c>
      <c r="I9" s="11">
        <v>6.426278823881108E-3</v>
      </c>
      <c r="J9" s="11">
        <v>5.288305766690424E-6</v>
      </c>
      <c r="K9" s="11">
        <v>6.3819029797271225E-6</v>
      </c>
      <c r="L9" s="11">
        <v>0.19596022028392751</v>
      </c>
      <c r="M9" s="11">
        <v>0.96943946656328694</v>
      </c>
    </row>
    <row r="10" spans="1:13" x14ac:dyDescent="0.3">
      <c r="A10" s="13">
        <v>41841.5</v>
      </c>
      <c r="B10" s="11">
        <v>0.14787214000031762</v>
      </c>
      <c r="C10" s="11">
        <v>1.2224799007633362E-5</v>
      </c>
      <c r="D10" s="11">
        <v>0.20991238698679895</v>
      </c>
      <c r="E10" s="11">
        <v>1.8146660230777356E-5</v>
      </c>
      <c r="F10" s="11">
        <v>0.16184660537583531</v>
      </c>
      <c r="G10" s="11">
        <v>0.24034849077099718</v>
      </c>
      <c r="H10" s="11">
        <v>1.0384009963684455E-2</v>
      </c>
      <c r="I10" s="11">
        <v>2.5722689168265585E-2</v>
      </c>
      <c r="J10" s="11">
        <v>1.0120988679292174E-5</v>
      </c>
      <c r="K10" s="11">
        <v>1.1780001211524051E-5</v>
      </c>
      <c r="L10" s="11">
        <v>0.20386140528497163</v>
      </c>
      <c r="M10" s="11">
        <v>0.97063654015133538</v>
      </c>
    </row>
    <row r="11" spans="1:13" x14ac:dyDescent="0.3">
      <c r="A11" s="13">
        <v>41848.5</v>
      </c>
      <c r="B11" s="11">
        <v>0.14585840563330979</v>
      </c>
      <c r="C11" s="11">
        <v>1.6827124775128689E-5</v>
      </c>
      <c r="D11" s="11">
        <v>0.25279879419191875</v>
      </c>
      <c r="E11" s="11">
        <v>1.9757819145364536E-5</v>
      </c>
      <c r="F11" s="11">
        <v>0.14175256940403419</v>
      </c>
      <c r="G11" s="11">
        <v>0.25671448073878189</v>
      </c>
      <c r="H11" s="11">
        <v>7.5181726207219438E-5</v>
      </c>
      <c r="I11" s="11">
        <v>9.742785604080012E-3</v>
      </c>
      <c r="J11" s="11">
        <v>9.529361909866704E-6</v>
      </c>
      <c r="K11" s="11">
        <v>1.7405010944077696E-5</v>
      </c>
      <c r="L11" s="11">
        <v>0.19299426338489375</v>
      </c>
      <c r="M11" s="11">
        <v>0.97272263581447549</v>
      </c>
    </row>
    <row r="12" spans="1:13" x14ac:dyDescent="0.3">
      <c r="A12" s="13">
        <v>41855.5</v>
      </c>
      <c r="B12" s="11">
        <v>0.14937016610316237</v>
      </c>
      <c r="C12" s="11">
        <v>3.1496405953037751E-2</v>
      </c>
      <c r="D12" s="11">
        <v>0.19889234220735619</v>
      </c>
      <c r="E12" s="11">
        <v>2.7826535516444808E-5</v>
      </c>
      <c r="F12" s="11">
        <v>0.15023266996511642</v>
      </c>
      <c r="G12" s="11">
        <v>0.25262029627473415</v>
      </c>
      <c r="H12" s="11">
        <v>8.2886744006384556E-5</v>
      </c>
      <c r="I12" s="11">
        <v>1.7683023412903613E-2</v>
      </c>
      <c r="J12" s="11">
        <v>3.8018609132661514E-5</v>
      </c>
      <c r="K12" s="11">
        <v>3.0527439034084872E-5</v>
      </c>
      <c r="L12" s="11">
        <v>0.19952583675599997</v>
      </c>
      <c r="M12" s="11">
        <v>0.96935994527718861</v>
      </c>
    </row>
    <row r="13" spans="1:13" x14ac:dyDescent="0.3">
      <c r="A13" s="13">
        <v>41862.5</v>
      </c>
      <c r="B13" s="11">
        <v>0.15625412026928209</v>
      </c>
      <c r="C13" s="11">
        <v>2.2776331183000566E-2</v>
      </c>
      <c r="D13" s="11">
        <v>0.2204191489875334</v>
      </c>
      <c r="E13" s="11">
        <v>1.6406414304193012E-5</v>
      </c>
      <c r="F13" s="11">
        <v>0.13300015746538574</v>
      </c>
      <c r="G13" s="11">
        <v>0.2382294721225259</v>
      </c>
      <c r="H13" s="11">
        <v>1.486739734297037E-5</v>
      </c>
      <c r="I13" s="11">
        <v>2.2421396128337202E-2</v>
      </c>
      <c r="J13" s="11">
        <v>2.8629099245913118E-3</v>
      </c>
      <c r="K13" s="11">
        <v>8.7246463466177822E-3</v>
      </c>
      <c r="L13" s="11">
        <v>0.19528054376107887</v>
      </c>
      <c r="M13" s="11">
        <v>0.97891765805536746</v>
      </c>
    </row>
    <row r="14" spans="1:13" x14ac:dyDescent="0.3">
      <c r="A14" s="13">
        <v>41868.5</v>
      </c>
      <c r="B14" s="11">
        <v>0.17871972648076745</v>
      </c>
      <c r="C14" s="11">
        <v>3.5864438127991019E-2</v>
      </c>
      <c r="D14" s="11">
        <v>0.20372499385471496</v>
      </c>
      <c r="E14" s="11">
        <v>2.2196434367404809E-5</v>
      </c>
      <c r="F14" s="11">
        <v>0.11449869137008679</v>
      </c>
      <c r="G14" s="11">
        <v>0.23499904433235219</v>
      </c>
      <c r="H14" s="11">
        <v>2.1657908532655715E-2</v>
      </c>
      <c r="I14" s="11">
        <v>1.4448258898647126E-5</v>
      </c>
      <c r="J14" s="11">
        <v>1.8171057559489309E-5</v>
      </c>
      <c r="K14" s="11">
        <v>3.4869876110467748E-3</v>
      </c>
      <c r="L14" s="11">
        <v>0.20699339393955957</v>
      </c>
      <c r="M14" s="11">
        <v>0.96739562215269737</v>
      </c>
    </row>
    <row r="15" spans="1:13" x14ac:dyDescent="0.3">
      <c r="A15" s="13">
        <v>41876.5</v>
      </c>
      <c r="B15" s="11">
        <v>0.14513081771896316</v>
      </c>
      <c r="C15" s="11">
        <v>6.8167350144202803E-5</v>
      </c>
      <c r="D15" s="11">
        <v>0.3188335289307106</v>
      </c>
      <c r="E15" s="11">
        <v>4.4342487078363201E-6</v>
      </c>
      <c r="F15" s="11">
        <v>8.5646039265113466E-2</v>
      </c>
      <c r="G15" s="11">
        <v>0.19904465939938401</v>
      </c>
      <c r="H15" s="11">
        <v>2.6216899823640479E-5</v>
      </c>
      <c r="I15" s="11">
        <v>6.822718232274419E-2</v>
      </c>
      <c r="J15" s="11">
        <v>2.9457629162747203E-6</v>
      </c>
      <c r="K15" s="11">
        <v>3.4332232426524744E-6</v>
      </c>
      <c r="L15" s="11">
        <v>0.18301257487825001</v>
      </c>
      <c r="M15" s="11">
        <v>0.95543784420585409</v>
      </c>
    </row>
    <row r="16" spans="1:13" x14ac:dyDescent="0.3">
      <c r="A16" s="13">
        <v>41883.5</v>
      </c>
      <c r="B16" s="11">
        <v>0.15579923296107348</v>
      </c>
      <c r="C16" s="11">
        <v>2.6219707668742749E-5</v>
      </c>
      <c r="D16" s="11">
        <v>0.29765625708629284</v>
      </c>
      <c r="E16" s="11">
        <v>1.0742935261277202E-5</v>
      </c>
      <c r="F16" s="11">
        <v>0.1173079449130164</v>
      </c>
      <c r="G16" s="11">
        <v>0.20438552954042571</v>
      </c>
      <c r="H16" s="11">
        <v>8.4655071723630231E-5</v>
      </c>
      <c r="I16" s="11">
        <v>4.873872469779339E-2</v>
      </c>
      <c r="J16" s="11">
        <v>8.7229472665437088E-6</v>
      </c>
      <c r="K16" s="11">
        <v>8.0978634128323639E-6</v>
      </c>
      <c r="L16" s="11">
        <v>0.1759738722760652</v>
      </c>
      <c r="M16" s="11">
        <v>0.95282542556227356</v>
      </c>
    </row>
    <row r="17" spans="1:13" x14ac:dyDescent="0.3">
      <c r="A17" s="13">
        <v>41890.5</v>
      </c>
      <c r="B17" s="11">
        <v>0.15596894430720354</v>
      </c>
      <c r="C17" s="11">
        <v>2.8658357293632525E-5</v>
      </c>
      <c r="D17" s="11">
        <v>0.29521744188952959</v>
      </c>
      <c r="E17" s="11">
        <v>1.3342317562984828E-5</v>
      </c>
      <c r="F17" s="11">
        <v>0.12020713202596943</v>
      </c>
      <c r="G17" s="11">
        <v>0.20266225706692939</v>
      </c>
      <c r="H17" s="11">
        <v>1.1025573933006124E-2</v>
      </c>
      <c r="I17" s="11">
        <v>4.2118109229130417E-2</v>
      </c>
      <c r="J17" s="11">
        <v>6.0804121430340405E-6</v>
      </c>
      <c r="K17" s="11">
        <v>8.7774025333315378E-6</v>
      </c>
      <c r="L17" s="11">
        <v>0.17274368305869853</v>
      </c>
      <c r="M17" s="11">
        <v>0.94954290011321318</v>
      </c>
    </row>
    <row r="18" spans="1:13" x14ac:dyDescent="0.3">
      <c r="A18" s="13">
        <v>41896.5</v>
      </c>
      <c r="B18" s="11">
        <v>0.15699927378932246</v>
      </c>
      <c r="C18" s="11">
        <v>3.5492709166458784E-5</v>
      </c>
      <c r="D18" s="11">
        <v>0.29526920852640143</v>
      </c>
      <c r="E18" s="11">
        <v>1.3724516205670749E-5</v>
      </c>
      <c r="F18" s="11">
        <v>0.1159112794327922</v>
      </c>
      <c r="G18" s="11">
        <v>0.19332145294783992</v>
      </c>
      <c r="H18" s="11">
        <v>1.5174858193631492E-2</v>
      </c>
      <c r="I18" s="11">
        <v>4.8210433262855935E-2</v>
      </c>
      <c r="J18" s="11">
        <v>6.018387471865072E-6</v>
      </c>
      <c r="K18" s="11">
        <v>9.7154465625128296E-6</v>
      </c>
      <c r="L18" s="11">
        <v>0.17504854278775003</v>
      </c>
      <c r="M18" s="11">
        <v>0.941567627802262</v>
      </c>
    </row>
    <row r="19" spans="1:13" x14ac:dyDescent="0.3">
      <c r="A19" s="13">
        <v>41904.5</v>
      </c>
      <c r="B19" s="11">
        <v>0.14838309352076198</v>
      </c>
      <c r="C19" s="11">
        <v>1.4544221961682847E-2</v>
      </c>
      <c r="D19" s="11">
        <v>0.29002584988489549</v>
      </c>
      <c r="E19" s="11">
        <v>2.3485507017825988E-5</v>
      </c>
      <c r="F19" s="11">
        <v>8.3060818961885011E-2</v>
      </c>
      <c r="G19" s="11">
        <v>0.18725930117403139</v>
      </c>
      <c r="H19" s="11">
        <v>4.9413660978544341E-2</v>
      </c>
      <c r="I19" s="11">
        <v>7.0191444405883985E-2</v>
      </c>
      <c r="J19" s="11">
        <v>1.7586587831202257E-5</v>
      </c>
      <c r="K19" s="11">
        <v>1.5766381094312426E-5</v>
      </c>
      <c r="L19" s="11">
        <v>0.15706477063637161</v>
      </c>
      <c r="M19" s="11">
        <v>0.9413176723982245</v>
      </c>
    </row>
    <row r="20" spans="1:13" x14ac:dyDescent="0.3">
      <c r="A20" s="13">
        <v>41911.5</v>
      </c>
      <c r="B20" s="11">
        <v>0.14624685575378288</v>
      </c>
      <c r="C20" s="11">
        <v>1.7130433668759566E-2</v>
      </c>
      <c r="D20" s="11">
        <v>0.27871451024668348</v>
      </c>
      <c r="E20" s="11">
        <v>2.8820663325101595E-5</v>
      </c>
      <c r="F20" s="11">
        <v>8.4629472695160149E-2</v>
      </c>
      <c r="G20" s="11">
        <v>0.18608224363911313</v>
      </c>
      <c r="H20" s="11">
        <v>5.1760523100700333E-2</v>
      </c>
      <c r="I20" s="11">
        <v>7.4964714461732279E-2</v>
      </c>
      <c r="J20" s="11">
        <v>1.8305114293466322E-5</v>
      </c>
      <c r="K20" s="11">
        <v>1.5619696985423272E-5</v>
      </c>
      <c r="L20" s="11">
        <v>0.16040850095946424</v>
      </c>
      <c r="M20" s="11">
        <v>0.94369610882850874</v>
      </c>
    </row>
    <row r="21" spans="1:13" x14ac:dyDescent="0.3">
      <c r="A21" s="13">
        <v>41917</v>
      </c>
      <c r="B21" s="11">
        <v>0.14215259231550167</v>
      </c>
      <c r="C21" s="11">
        <v>1.909409516927027E-2</v>
      </c>
      <c r="D21" s="11">
        <v>0.28359368400603485</v>
      </c>
      <c r="E21" s="11">
        <v>3.9499597874066704E-5</v>
      </c>
      <c r="F21" s="11">
        <v>8.268393387312524E-2</v>
      </c>
      <c r="G21" s="11">
        <v>0.18024232581189026</v>
      </c>
      <c r="H21" s="11">
        <v>4.2768872335292592E-2</v>
      </c>
      <c r="I21" s="11">
        <v>8.6047006733895676E-2</v>
      </c>
      <c r="J21" s="11">
        <v>1.9963024176312887E-5</v>
      </c>
      <c r="K21" s="11">
        <v>1.7611778331524667E-5</v>
      </c>
      <c r="L21" s="11">
        <v>0.16334041535460744</v>
      </c>
      <c r="M21" s="11">
        <v>0.9449372886160089</v>
      </c>
    </row>
    <row r="22" spans="1:13" x14ac:dyDescent="0.3">
      <c r="A22" s="13">
        <v>41925.5</v>
      </c>
      <c r="B22" s="11">
        <v>0.14235786320298413</v>
      </c>
      <c r="C22" s="11">
        <v>1.6485235156599266E-2</v>
      </c>
      <c r="D22" s="11">
        <v>0.30842338272024017</v>
      </c>
      <c r="E22" s="11">
        <v>3.9135623941861133E-5</v>
      </c>
      <c r="F22" s="11">
        <v>6.3941108191955212E-2</v>
      </c>
      <c r="G22" s="11">
        <v>0.17040285418164261</v>
      </c>
      <c r="H22" s="11">
        <v>4.501470838507711E-2</v>
      </c>
      <c r="I22" s="11">
        <v>8.7460637608917008E-2</v>
      </c>
      <c r="J22" s="11">
        <v>1.3053884400054464E-5</v>
      </c>
      <c r="K22" s="11">
        <v>1.4659991705504537E-5</v>
      </c>
      <c r="L22" s="11">
        <v>0.16584736105253708</v>
      </c>
      <c r="M22" s="11">
        <v>0.94709160724425501</v>
      </c>
    </row>
    <row r="23" spans="1:13" x14ac:dyDescent="0.3">
      <c r="A23" s="13">
        <v>41932.5</v>
      </c>
      <c r="B23" s="11">
        <v>0.14337243759137067</v>
      </c>
      <c r="C23" s="11">
        <v>1.5035630696382699E-2</v>
      </c>
      <c r="D23" s="11">
        <v>0.32393369339893274</v>
      </c>
      <c r="E23" s="11">
        <v>2.4758227573732149E-5</v>
      </c>
      <c r="F23" s="11">
        <v>6.2465081492526109E-2</v>
      </c>
      <c r="G23" s="11">
        <v>0.16481833868137141</v>
      </c>
      <c r="H23" s="11">
        <v>2.628713707075175E-2</v>
      </c>
      <c r="I23" s="11">
        <v>9.1168991594831161E-2</v>
      </c>
      <c r="J23" s="11">
        <v>1.2287949658119044E-5</v>
      </c>
      <c r="K23" s="11">
        <v>1.5395151788101603E-5</v>
      </c>
      <c r="L23" s="11">
        <v>0.17286624814481349</v>
      </c>
      <c r="M23" s="11">
        <v>0.94736080452340921</v>
      </c>
    </row>
    <row r="24" spans="1:13" x14ac:dyDescent="0.3">
      <c r="A24" s="13">
        <v>41939.5</v>
      </c>
      <c r="B24" s="11">
        <v>0.14167362334365188</v>
      </c>
      <c r="C24" s="11">
        <v>1.8360280605076721E-2</v>
      </c>
      <c r="D24" s="11">
        <v>0.31858136946116938</v>
      </c>
      <c r="E24" s="11">
        <v>3.2162909239735736E-5</v>
      </c>
      <c r="F24" s="11">
        <v>5.970806528355399E-2</v>
      </c>
      <c r="G24" s="11">
        <v>0.16298759968191426</v>
      </c>
      <c r="H24" s="11">
        <v>2.8969347918681655E-2</v>
      </c>
      <c r="I24" s="11">
        <v>9.2890033952036849E-2</v>
      </c>
      <c r="J24" s="11">
        <v>1.2841596091728574E-5</v>
      </c>
      <c r="K24" s="11">
        <v>1.7910945858405721E-5</v>
      </c>
      <c r="L24" s="11">
        <v>0.17676676430272545</v>
      </c>
      <c r="M24" s="11">
        <v>0.94819457002998919</v>
      </c>
    </row>
    <row r="25" spans="1:13" x14ac:dyDescent="0.3">
      <c r="A25" s="13">
        <v>41946.5</v>
      </c>
      <c r="B25" s="11">
        <v>0.14120683512266191</v>
      </c>
      <c r="C25" s="11">
        <v>2.1221238501395557E-2</v>
      </c>
      <c r="D25" s="11">
        <v>0.30710636345630921</v>
      </c>
      <c r="E25" s="11">
        <v>3.9251912423983625E-5</v>
      </c>
      <c r="F25" s="11">
        <v>6.3951718696279303E-2</v>
      </c>
      <c r="G25" s="11">
        <v>0.16780873980660355</v>
      </c>
      <c r="H25" s="11">
        <v>3.0092833086736694E-2</v>
      </c>
      <c r="I25" s="11">
        <v>9.2876336785175803E-2</v>
      </c>
      <c r="J25" s="11">
        <v>1.5624978898218322E-5</v>
      </c>
      <c r="K25" s="11">
        <v>2.0003579830234497E-5</v>
      </c>
      <c r="L25" s="11">
        <v>0.1756610540736856</v>
      </c>
      <c r="M25" s="11">
        <v>0.95696138602235503</v>
      </c>
    </row>
    <row r="26" spans="1:13" x14ac:dyDescent="0.3">
      <c r="A26" s="13">
        <v>41953.5</v>
      </c>
      <c r="B26" s="11">
        <v>0.1269528750209668</v>
      </c>
      <c r="C26" s="11">
        <v>3.7039705159706157E-2</v>
      </c>
      <c r="D26" s="11">
        <v>0.2865510861040847</v>
      </c>
      <c r="E26" s="11">
        <v>3.1682532207071733E-5</v>
      </c>
      <c r="F26" s="11">
        <v>7.0499836999018392E-2</v>
      </c>
      <c r="G26" s="11">
        <v>0.19533493047772757</v>
      </c>
      <c r="H26" s="11">
        <v>2.7109145458336172E-2</v>
      </c>
      <c r="I26" s="11">
        <v>0.10304708438735798</v>
      </c>
      <c r="J26" s="11">
        <v>1.1117056552955126E-5</v>
      </c>
      <c r="K26" s="11">
        <v>1.800124754898937E-5</v>
      </c>
      <c r="L26" s="11">
        <v>0.15340453555649319</v>
      </c>
      <c r="M26" s="11">
        <v>0.94800049854150736</v>
      </c>
    </row>
    <row r="27" spans="1:13" x14ac:dyDescent="0.3">
      <c r="A27" s="13">
        <v>41960.5</v>
      </c>
      <c r="B27" s="11">
        <v>0.13980669670927595</v>
      </c>
      <c r="C27" s="11">
        <v>3.5247537167635096E-2</v>
      </c>
      <c r="D27" s="11">
        <v>0.31934350163241493</v>
      </c>
      <c r="E27" s="11">
        <v>3.4441947343749065E-5</v>
      </c>
      <c r="F27" s="11">
        <v>4.854687296927529E-2</v>
      </c>
      <c r="G27" s="11">
        <v>0.16958380116781097</v>
      </c>
      <c r="H27" s="11">
        <v>7.3063887528808005E-2</v>
      </c>
      <c r="I27" s="11">
        <v>8.5172981308850967E-2</v>
      </c>
      <c r="J27" s="11">
        <v>1.0992608391347965E-5</v>
      </c>
      <c r="K27" s="11">
        <v>1.525298816792243E-5</v>
      </c>
      <c r="L27" s="11">
        <v>0.12917403397202584</v>
      </c>
      <c r="M27" s="11">
        <v>0.94866580457692695</v>
      </c>
    </row>
    <row r="28" spans="1:13" x14ac:dyDescent="0.3">
      <c r="A28" s="13">
        <v>41967.5</v>
      </c>
      <c r="B28" s="11">
        <v>0.13826001297101334</v>
      </c>
      <c r="C28" s="11">
        <v>3.2864202615897939E-2</v>
      </c>
      <c r="D28" s="11">
        <v>0.34065624787581389</v>
      </c>
      <c r="E28" s="11">
        <v>3.7698412725206507E-5</v>
      </c>
      <c r="F28" s="11">
        <v>4.4068598855503384E-2</v>
      </c>
      <c r="G28" s="11">
        <v>0.15952926612103577</v>
      </c>
      <c r="H28" s="11">
        <v>6.4682315090218503E-2</v>
      </c>
      <c r="I28" s="11">
        <v>8.7863020072289119E-2</v>
      </c>
      <c r="J28" s="11">
        <v>1.1310914310458904E-5</v>
      </c>
      <c r="K28" s="11">
        <v>1.5134647478725513E-5</v>
      </c>
      <c r="L28" s="11">
        <v>0.13201219242371362</v>
      </c>
      <c r="M28" s="11">
        <v>0.94882934724877876</v>
      </c>
    </row>
    <row r="29" spans="1:13" x14ac:dyDescent="0.3">
      <c r="A29" s="13">
        <v>41974.5</v>
      </c>
      <c r="B29" s="11">
        <v>0.14133760598516812</v>
      </c>
      <c r="C29" s="11">
        <v>2.6412286546703068E-2</v>
      </c>
      <c r="D29" s="11">
        <v>0.35581785152763884</v>
      </c>
      <c r="E29" s="11">
        <v>4.3667987778872898E-5</v>
      </c>
      <c r="F29" s="11">
        <v>4.2200773022018669E-2</v>
      </c>
      <c r="G29" s="11">
        <v>0.15595832662563261</v>
      </c>
      <c r="H29" s="11">
        <v>6.2086221702822159E-2</v>
      </c>
      <c r="I29" s="11">
        <v>8.2208073217535219E-2</v>
      </c>
      <c r="J29" s="11">
        <v>1.00756687376815E-5</v>
      </c>
      <c r="K29" s="11">
        <v>1.4701198529734116E-5</v>
      </c>
      <c r="L29" s="11">
        <v>0.13391041651743496</v>
      </c>
      <c r="M29" s="11">
        <v>0.94685791126634133</v>
      </c>
    </row>
    <row r="30" spans="1:13" x14ac:dyDescent="0.3">
      <c r="A30" s="13">
        <v>41981.5</v>
      </c>
      <c r="B30" s="11">
        <v>0.15485050593309332</v>
      </c>
      <c r="C30" s="11">
        <v>3.4323876087920861E-2</v>
      </c>
      <c r="D30" s="11">
        <v>0.35318672690030928</v>
      </c>
      <c r="E30" s="11">
        <v>2.3223739998238065E-5</v>
      </c>
      <c r="F30" s="11">
        <v>2.6784156932899081E-2</v>
      </c>
      <c r="G30" s="11">
        <v>0.10999338631476727</v>
      </c>
      <c r="H30" s="11">
        <v>0.10080887603517065</v>
      </c>
      <c r="I30" s="11">
        <v>7.1072866254988709E-2</v>
      </c>
      <c r="J30" s="11">
        <v>7.8102024471972031E-6</v>
      </c>
      <c r="K30" s="11">
        <v>1.2463030223097139E-5</v>
      </c>
      <c r="L30" s="11">
        <v>0.14893610856818232</v>
      </c>
      <c r="M30" s="11">
        <v>0.94484541926200638</v>
      </c>
    </row>
    <row r="31" spans="1:13" x14ac:dyDescent="0.3">
      <c r="A31" s="13">
        <v>41988</v>
      </c>
      <c r="B31" s="11">
        <v>0.15386673737829865</v>
      </c>
      <c r="C31" s="11">
        <v>3.9788561066893338E-2</v>
      </c>
      <c r="D31" s="11">
        <v>0.32778256633959035</v>
      </c>
      <c r="E31" s="11">
        <v>2.2168702223741045E-5</v>
      </c>
      <c r="F31" s="11">
        <v>3.8313978865809992E-2</v>
      </c>
      <c r="G31" s="11">
        <v>0.11283512115870467</v>
      </c>
      <c r="H31" s="11">
        <v>0.10730458822047165</v>
      </c>
      <c r="I31" s="11">
        <v>6.7617198570459877E-2</v>
      </c>
      <c r="J31" s="11">
        <v>1.105830361039859E-5</v>
      </c>
      <c r="K31" s="11">
        <v>1.7039980803972467E-5</v>
      </c>
      <c r="L31" s="11">
        <v>0.15244098141313336</v>
      </c>
      <c r="M31" s="11">
        <v>0.94557250420952355</v>
      </c>
    </row>
    <row r="32" spans="1:13" x14ac:dyDescent="0.3">
      <c r="A32" s="13">
        <v>41995.5</v>
      </c>
      <c r="B32" s="11">
        <v>0.15351546705835506</v>
      </c>
      <c r="C32" s="11">
        <v>3.3494370550295971E-2</v>
      </c>
      <c r="D32" s="11">
        <v>0.28960634413316283</v>
      </c>
      <c r="E32" s="11">
        <v>2.5398340489592494E-5</v>
      </c>
      <c r="F32" s="11">
        <v>5.6216385572716437E-2</v>
      </c>
      <c r="G32" s="11">
        <v>0.13164824716103482</v>
      </c>
      <c r="H32" s="11">
        <v>0.12199943702218044</v>
      </c>
      <c r="I32" s="11">
        <v>6.7706310426026678E-2</v>
      </c>
      <c r="J32" s="11">
        <v>1.6071666849024546E-5</v>
      </c>
      <c r="K32" s="11">
        <v>2.1117297912774492E-5</v>
      </c>
      <c r="L32" s="11">
        <v>0.14575085077097633</v>
      </c>
      <c r="M32" s="11">
        <v>0.94860036235941891</v>
      </c>
    </row>
    <row r="33" spans="1:13" x14ac:dyDescent="0.3">
      <c r="A33" s="13">
        <v>42002.5</v>
      </c>
      <c r="B33" s="11">
        <v>0.1543197256422795</v>
      </c>
      <c r="C33" s="11">
        <v>3.0395615994242755E-2</v>
      </c>
      <c r="D33" s="11">
        <v>0.29758197334854392</v>
      </c>
      <c r="E33" s="11">
        <v>2.1244229348281606E-5</v>
      </c>
      <c r="F33" s="11">
        <v>5.2072972517188905E-2</v>
      </c>
      <c r="G33" s="11">
        <v>0.1216615434718351</v>
      </c>
      <c r="H33" s="11">
        <v>0.12051036545004166</v>
      </c>
      <c r="I33" s="11">
        <v>7.3106676434130269E-2</v>
      </c>
      <c r="J33" s="11">
        <v>1.3595445691443698E-5</v>
      </c>
      <c r="K33" s="11">
        <v>1.7736241105219239E-5</v>
      </c>
      <c r="L33" s="11">
        <v>0.1502985512255931</v>
      </c>
      <c r="M33" s="11">
        <v>0.94896074507602957</v>
      </c>
    </row>
    <row r="34" spans="1:13" x14ac:dyDescent="0.3">
      <c r="A34" s="13">
        <v>42009.5</v>
      </c>
      <c r="B34" s="11">
        <v>0.15403352803025033</v>
      </c>
      <c r="C34" s="11">
        <v>2.32404820182152E-2</v>
      </c>
      <c r="D34" s="11">
        <v>0.29646238117153689</v>
      </c>
      <c r="E34" s="11">
        <v>1.743976424227063E-5</v>
      </c>
      <c r="F34" s="11">
        <v>4.8465818790666353E-2</v>
      </c>
      <c r="G34" s="11">
        <v>0.13401779464669972</v>
      </c>
      <c r="H34" s="11">
        <v>0.14387562866032227</v>
      </c>
      <c r="I34" s="11">
        <v>7.406967925416913E-2</v>
      </c>
      <c r="J34" s="11">
        <v>1.4011474331650785E-5</v>
      </c>
      <c r="K34" s="11">
        <v>2.1898265752983214E-5</v>
      </c>
      <c r="L34" s="11">
        <v>0.12578133792381332</v>
      </c>
      <c r="M34" s="11">
        <v>0.96118891179415167</v>
      </c>
    </row>
    <row r="35" spans="1:13" x14ac:dyDescent="0.3">
      <c r="A35" s="13">
        <v>42016.5</v>
      </c>
      <c r="B35" s="11">
        <v>0.14993429899301602</v>
      </c>
      <c r="C35" s="11">
        <v>2.7789024622709577E-2</v>
      </c>
      <c r="D35" s="11">
        <v>0.29370451726123281</v>
      </c>
      <c r="E35" s="11">
        <v>1.8494153371252441E-5</v>
      </c>
      <c r="F35" s="11">
        <v>5.2021433370337655E-2</v>
      </c>
      <c r="G35" s="11">
        <v>0.12829941581750984</v>
      </c>
      <c r="H35" s="11">
        <v>0.14676803809575167</v>
      </c>
      <c r="I35" s="11">
        <v>7.5143282762020397E-2</v>
      </c>
      <c r="J35" s="11">
        <v>1.6851215423238555E-5</v>
      </c>
      <c r="K35" s="11">
        <v>3.422648116958762E-5</v>
      </c>
      <c r="L35" s="11">
        <v>0.12627041722745791</v>
      </c>
      <c r="M35" s="11">
        <v>0.96086186880272828</v>
      </c>
    </row>
    <row r="36" spans="1:13" x14ac:dyDescent="0.3">
      <c r="A36" s="13">
        <v>42023.5</v>
      </c>
      <c r="B36" s="11">
        <v>0.15521787003640569</v>
      </c>
      <c r="C36" s="11">
        <v>3.77514194084555E-2</v>
      </c>
      <c r="D36" s="11">
        <v>0.27046901368173437</v>
      </c>
      <c r="E36" s="11">
        <v>1.7745091538469608E-5</v>
      </c>
      <c r="F36" s="11">
        <v>5.6625678609438936E-2</v>
      </c>
      <c r="G36" s="11">
        <v>0.1457342264652052</v>
      </c>
      <c r="H36" s="11">
        <v>0.14400252427010024</v>
      </c>
      <c r="I36" s="11">
        <v>5.0076711205268881E-2</v>
      </c>
      <c r="J36" s="11">
        <v>1.3479537713029585E-5</v>
      </c>
      <c r="K36" s="11">
        <v>3.0345983884645581E-5</v>
      </c>
      <c r="L36" s="11">
        <v>0.14006098571025505</v>
      </c>
      <c r="M36" s="11">
        <v>0.96247384895151622</v>
      </c>
    </row>
    <row r="37" spans="1:13" x14ac:dyDescent="0.3">
      <c r="A37" s="13">
        <v>42030.5</v>
      </c>
      <c r="B37" s="11">
        <v>0.15113406254868747</v>
      </c>
      <c r="C37" s="11">
        <v>7.2250662332770041E-2</v>
      </c>
      <c r="D37" s="11">
        <v>0.18403150095513135</v>
      </c>
      <c r="E37" s="11">
        <v>4.1300070328277538E-5</v>
      </c>
      <c r="F37" s="11">
        <v>9.6693103301061858E-2</v>
      </c>
      <c r="G37" s="11">
        <v>0.12991658743818618</v>
      </c>
      <c r="H37" s="11">
        <v>0.15402711027209434</v>
      </c>
      <c r="I37" s="11">
        <v>5.556020235227966E-2</v>
      </c>
      <c r="J37" s="11">
        <v>2.0346600158295919E-5</v>
      </c>
      <c r="K37" s="11">
        <v>4.8690507106236251E-5</v>
      </c>
      <c r="L37" s="11">
        <v>0.15627643362219631</v>
      </c>
      <c r="M37" s="11">
        <v>0.95740945488964646</v>
      </c>
    </row>
    <row r="38" spans="1:13" x14ac:dyDescent="0.3">
      <c r="A38" s="13">
        <v>42037.5</v>
      </c>
      <c r="B38" s="11">
        <v>0.14935982857449873</v>
      </c>
      <c r="C38" s="11">
        <v>8.1256954699828451E-2</v>
      </c>
      <c r="D38" s="11">
        <v>0.12993111518039141</v>
      </c>
      <c r="E38" s="11">
        <v>5.7486487772881661E-5</v>
      </c>
      <c r="F38" s="11">
        <v>0.11647590204166237</v>
      </c>
      <c r="G38" s="11">
        <v>0.16920042899726798</v>
      </c>
      <c r="H38" s="11">
        <v>0.16239909680867731</v>
      </c>
      <c r="I38" s="11">
        <v>5.4445420002117793E-2</v>
      </c>
      <c r="J38" s="11">
        <v>2.7302561893356408E-5</v>
      </c>
      <c r="K38" s="11">
        <v>8.4990401736078226E-5</v>
      </c>
      <c r="L38" s="11">
        <v>0.13676147424415364</v>
      </c>
      <c r="M38" s="11">
        <v>0.97432187605981224</v>
      </c>
    </row>
    <row r="39" spans="1:13" x14ac:dyDescent="0.3">
      <c r="A39" s="13">
        <v>42044.5</v>
      </c>
      <c r="B39" s="11">
        <v>0.14886077185575494</v>
      </c>
      <c r="C39" s="11">
        <v>8.2287068832267177E-2</v>
      </c>
      <c r="D39" s="11">
        <v>0.11275742404147818</v>
      </c>
      <c r="E39" s="11">
        <v>5.5874930915072364E-5</v>
      </c>
      <c r="F39" s="11">
        <v>0.11257396561893378</v>
      </c>
      <c r="G39" s="11">
        <v>0.17635235107481823</v>
      </c>
      <c r="H39" s="11">
        <v>0.17480651035526079</v>
      </c>
      <c r="I39" s="11">
        <v>5.3808632639493079E-2</v>
      </c>
      <c r="J39" s="11">
        <v>3.3919928974624397E-5</v>
      </c>
      <c r="K39" s="11">
        <v>8.8148389250215065E-5</v>
      </c>
      <c r="L39" s="11">
        <v>0.1383753323328539</v>
      </c>
      <c r="M39" s="11">
        <v>0.97802205984918045</v>
      </c>
    </row>
    <row r="40" spans="1:13" x14ac:dyDescent="0.3">
      <c r="A40" s="13">
        <v>42050</v>
      </c>
      <c r="B40" s="11">
        <v>0.14771481464887201</v>
      </c>
      <c r="C40" s="11">
        <v>8.5122934034578032E-2</v>
      </c>
      <c r="D40" s="11">
        <v>0.10982987730567673</v>
      </c>
      <c r="E40" s="11">
        <v>4.6678018625224988E-5</v>
      </c>
      <c r="F40" s="11">
        <v>0.11494878921761605</v>
      </c>
      <c r="G40" s="11">
        <v>0.17953107109674532</v>
      </c>
      <c r="H40" s="11">
        <v>0.1711085997787086</v>
      </c>
      <c r="I40" s="11">
        <v>5.3807493602391683E-2</v>
      </c>
      <c r="J40" s="11">
        <v>2.7738268193574165E-5</v>
      </c>
      <c r="K40" s="11">
        <v>8.899528690972357E-5</v>
      </c>
      <c r="L40" s="11">
        <v>0.13777300874168305</v>
      </c>
      <c r="M40" s="11">
        <v>0.98372816520878126</v>
      </c>
    </row>
    <row r="41" spans="1:13" x14ac:dyDescent="0.3">
      <c r="A41" s="13">
        <v>42058.5</v>
      </c>
      <c r="B41" s="11">
        <v>0.13818888667933169</v>
      </c>
      <c r="C41" s="11">
        <v>8.3034502764743862E-2</v>
      </c>
      <c r="D41" s="11">
        <v>9.3472911142634632E-2</v>
      </c>
      <c r="E41" s="11">
        <v>3.3014447208866455E-5</v>
      </c>
      <c r="F41" s="11">
        <v>0.13045086679122206</v>
      </c>
      <c r="G41" s="11">
        <v>0.17224518951867615</v>
      </c>
      <c r="H41" s="11">
        <v>0.17400257778047781</v>
      </c>
      <c r="I41" s="11">
        <v>6.8445123771811001E-2</v>
      </c>
      <c r="J41" s="11">
        <v>2.0689311848246798E-5</v>
      </c>
      <c r="K41" s="11">
        <v>8.8890610650442604E-5</v>
      </c>
      <c r="L41" s="11">
        <v>0.14001734718139536</v>
      </c>
      <c r="M41" s="11">
        <v>0.98340385979855094</v>
      </c>
    </row>
    <row r="42" spans="1:13" x14ac:dyDescent="0.3">
      <c r="A42" s="13">
        <v>42065.5</v>
      </c>
      <c r="B42" s="11">
        <v>0.14364354283698641</v>
      </c>
      <c r="C42" s="11">
        <v>9.082755782267847E-2</v>
      </c>
      <c r="D42" s="11">
        <v>8.7466547364540472E-5</v>
      </c>
      <c r="E42" s="11">
        <v>4.6890944348114115E-6</v>
      </c>
      <c r="F42" s="11">
        <v>0.10926684347375018</v>
      </c>
      <c r="G42" s="11">
        <v>0.1658723591137525</v>
      </c>
      <c r="H42" s="11">
        <v>0.26776407509095335</v>
      </c>
      <c r="I42" s="11">
        <v>3.5975463080731844E-2</v>
      </c>
      <c r="J42" s="11">
        <v>8.3322776220898314E-6</v>
      </c>
      <c r="K42" s="11">
        <v>5.5270019953608709E-2</v>
      </c>
      <c r="L42" s="11">
        <v>0.13127965070811709</v>
      </c>
      <c r="M42" s="11">
        <v>0.97975813859817007</v>
      </c>
    </row>
    <row r="43" spans="1:13" x14ac:dyDescent="0.3">
      <c r="A43" s="13">
        <v>42072.5</v>
      </c>
      <c r="B43" s="11">
        <v>0.14813118637382472</v>
      </c>
      <c r="C43" s="11">
        <v>8.8760888936936136E-2</v>
      </c>
      <c r="D43" s="11">
        <v>8.4007792745203951E-5</v>
      </c>
      <c r="E43" s="11">
        <v>5.5486416103842028E-6</v>
      </c>
      <c r="F43" s="11">
        <v>9.1957307779030856E-2</v>
      </c>
      <c r="G43" s="11">
        <v>0.15800994936403817</v>
      </c>
      <c r="H43" s="11">
        <v>0.27519634806791377</v>
      </c>
      <c r="I43" s="11">
        <v>2.8186052814331421E-2</v>
      </c>
      <c r="J43" s="11">
        <v>7.9493566205733899E-6</v>
      </c>
      <c r="K43" s="11">
        <v>7.7408122584338754E-2</v>
      </c>
      <c r="L43" s="11">
        <v>0.13225263828861003</v>
      </c>
      <c r="M43" s="11">
        <v>0.97990149968280005</v>
      </c>
    </row>
    <row r="44" spans="1:13" x14ac:dyDescent="0.3">
      <c r="A44" s="13">
        <v>42079.5</v>
      </c>
      <c r="B44" s="11">
        <v>0.1455515684735928</v>
      </c>
      <c r="C44" s="11">
        <v>8.9162724338903751E-2</v>
      </c>
      <c r="D44" s="11">
        <v>8.2438103114709221E-5</v>
      </c>
      <c r="E44" s="11">
        <v>5.1927627312421837E-6</v>
      </c>
      <c r="F44" s="11">
        <v>9.0758897560005644E-2</v>
      </c>
      <c r="G44" s="11">
        <v>0.16135541701812589</v>
      </c>
      <c r="H44" s="11">
        <v>0.28205133703941582</v>
      </c>
      <c r="I44" s="11">
        <v>3.0405161745551204E-2</v>
      </c>
      <c r="J44" s="11">
        <v>7.3714084050136086E-6</v>
      </c>
      <c r="K44" s="11">
        <v>6.9842759380193756E-2</v>
      </c>
      <c r="L44" s="11">
        <v>0.13077713216996015</v>
      </c>
      <c r="M44" s="11">
        <v>0.98224674742754303</v>
      </c>
    </row>
    <row r="45" spans="1:13" x14ac:dyDescent="0.3">
      <c r="A45" s="13">
        <v>42086.5</v>
      </c>
      <c r="B45" s="11">
        <v>0.14230309831445032</v>
      </c>
      <c r="C45" s="11">
        <v>0.10318438844407396</v>
      </c>
      <c r="D45" s="11">
        <v>1.5113124660572658E-2</v>
      </c>
      <c r="E45" s="11">
        <v>1.7971846201562422E-5</v>
      </c>
      <c r="F45" s="11">
        <v>8.1556185182273769E-2</v>
      </c>
      <c r="G45" s="11">
        <v>0.1270812882583254</v>
      </c>
      <c r="H45" s="11">
        <v>0.31445065954343376</v>
      </c>
      <c r="I45" s="11">
        <v>4.0085186678903137E-2</v>
      </c>
      <c r="J45" s="11">
        <v>3.9801516251224435E-5</v>
      </c>
      <c r="K45" s="11">
        <v>5.2005240656651811E-2</v>
      </c>
      <c r="L45" s="11">
        <v>0.12416305489886242</v>
      </c>
      <c r="M45" s="11">
        <v>0.97991086822595475</v>
      </c>
    </row>
    <row r="46" spans="1:13" x14ac:dyDescent="0.3">
      <c r="A46" s="13">
        <v>42093.5</v>
      </c>
      <c r="B46" s="11">
        <v>0.14579852447709774</v>
      </c>
      <c r="C46" s="11">
        <v>0.10051318165141344</v>
      </c>
      <c r="D46" s="11">
        <v>8.318359984148324E-5</v>
      </c>
      <c r="E46" s="11">
        <v>1.0882377062819063E-5</v>
      </c>
      <c r="F46" s="11">
        <v>7.9375239304530748E-2</v>
      </c>
      <c r="G46" s="11">
        <v>0.1294755121976493</v>
      </c>
      <c r="H46" s="11">
        <v>0.32526071016917874</v>
      </c>
      <c r="I46" s="11">
        <v>3.4533821941238857E-2</v>
      </c>
      <c r="J46" s="11">
        <v>1.6538276365540173E-5</v>
      </c>
      <c r="K46" s="11">
        <v>5.9152501869192499E-2</v>
      </c>
      <c r="L46" s="11">
        <v>0.12577990413642881</v>
      </c>
      <c r="M46" s="11">
        <v>0.97983605902873294</v>
      </c>
    </row>
    <row r="47" spans="1:13" x14ac:dyDescent="0.3">
      <c r="A47" s="13">
        <v>42100.5</v>
      </c>
      <c r="B47" s="11">
        <v>0.14223259768735544</v>
      </c>
      <c r="C47" s="11">
        <v>0.10351617737200439</v>
      </c>
      <c r="D47" s="11">
        <v>1.4968164910905513E-2</v>
      </c>
      <c r="E47" s="11">
        <v>1.3249857267631661E-5</v>
      </c>
      <c r="F47" s="11">
        <v>8.6633533780319058E-2</v>
      </c>
      <c r="G47" s="11">
        <v>0.10618915167474198</v>
      </c>
      <c r="H47" s="11">
        <v>0.33878452172363915</v>
      </c>
      <c r="I47" s="11">
        <v>5.0948957894885134E-2</v>
      </c>
      <c r="J47" s="11">
        <v>2.9620755843310274E-5</v>
      </c>
      <c r="K47" s="11">
        <v>3.9931031126213552E-2</v>
      </c>
      <c r="L47" s="11">
        <v>0.11675299321682488</v>
      </c>
      <c r="M47" s="11">
        <v>0.98210280683956197</v>
      </c>
    </row>
    <row r="48" spans="1:13" x14ac:dyDescent="0.3">
      <c r="A48" s="13">
        <v>42107.5</v>
      </c>
      <c r="B48" s="11">
        <v>0.16451541674136105</v>
      </c>
      <c r="C48" s="11">
        <v>0.10522691936238951</v>
      </c>
      <c r="D48" s="11">
        <v>9.6024143862036934E-2</v>
      </c>
      <c r="E48" s="11">
        <v>3.439061631544303E-6</v>
      </c>
      <c r="F48" s="11">
        <v>2.3780782262871732E-2</v>
      </c>
      <c r="G48" s="11">
        <v>6.4353021439153932E-2</v>
      </c>
      <c r="H48" s="11">
        <v>0.3574218286058915</v>
      </c>
      <c r="I48" s="11">
        <v>2.246422643085901E-3</v>
      </c>
      <c r="J48" s="11">
        <v>6.9261832832994019E-6</v>
      </c>
      <c r="K48" s="11">
        <v>6.6826902169929814E-2</v>
      </c>
      <c r="L48" s="11">
        <v>0.11959419766836478</v>
      </c>
      <c r="M48" s="11">
        <v>0.98214483719318435</v>
      </c>
    </row>
    <row r="49" spans="1:13" x14ac:dyDescent="0.3">
      <c r="A49" s="13">
        <v>42113.5</v>
      </c>
      <c r="B49" s="11">
        <v>0.16562538814246375</v>
      </c>
      <c r="C49" s="11">
        <v>0.10605887906368419</v>
      </c>
      <c r="D49" s="11">
        <v>9.475456513696838E-2</v>
      </c>
      <c r="E49" s="11">
        <v>9.1581985560576525E-7</v>
      </c>
      <c r="F49" s="11">
        <v>2.9445172121118104E-2</v>
      </c>
      <c r="G49" s="11">
        <v>6.7671874468721832E-2</v>
      </c>
      <c r="H49" s="11">
        <v>0.35207882138557978</v>
      </c>
      <c r="I49" s="11">
        <v>1.1252444584193933E-4</v>
      </c>
      <c r="J49" s="11">
        <v>1.5094754127051264E-6</v>
      </c>
      <c r="K49" s="11">
        <v>6.5817397952311577E-2</v>
      </c>
      <c r="L49" s="11">
        <v>0.11843295198804218</v>
      </c>
      <c r="M49" s="11">
        <v>0.98262525001945589</v>
      </c>
    </row>
    <row r="50" spans="1:13" x14ac:dyDescent="0.3">
      <c r="A50" s="13">
        <v>42121.5</v>
      </c>
      <c r="B50" s="11">
        <v>0.14650092910329729</v>
      </c>
      <c r="C50" s="11">
        <v>0.12677398544467788</v>
      </c>
      <c r="D50" s="11">
        <v>9.073711421576143E-2</v>
      </c>
      <c r="E50" s="11">
        <v>4.3538632339879749E-6</v>
      </c>
      <c r="F50" s="11">
        <v>4.1898507423745943E-2</v>
      </c>
      <c r="G50" s="11">
        <v>5.8519453706915692E-2</v>
      </c>
      <c r="H50" s="11">
        <v>0.36834440462742341</v>
      </c>
      <c r="I50" s="11">
        <v>8.8548394559002014E-5</v>
      </c>
      <c r="J50" s="11">
        <v>8.8550291184540477E-6</v>
      </c>
      <c r="K50" s="11">
        <v>4.0865797672007785E-2</v>
      </c>
      <c r="L50" s="11">
        <v>0.12625805051925917</v>
      </c>
      <c r="M50" s="11">
        <v>0.98293147975168382</v>
      </c>
    </row>
    <row r="51" spans="1:13" x14ac:dyDescent="0.3">
      <c r="A51" s="13">
        <v>42128.5</v>
      </c>
      <c r="B51" s="11">
        <v>0.14522278870134656</v>
      </c>
      <c r="C51" s="11">
        <v>0.11013487314387105</v>
      </c>
      <c r="D51" s="11">
        <v>5.3844422386868526E-2</v>
      </c>
      <c r="E51" s="11">
        <v>2.3462851647365026E-5</v>
      </c>
      <c r="F51" s="11">
        <v>5.7440804695171162E-2</v>
      </c>
      <c r="G51" s="11">
        <v>6.9504679012220433E-2</v>
      </c>
      <c r="H51" s="11">
        <v>0.37672328650658055</v>
      </c>
      <c r="I51" s="11">
        <v>1.8015120018722068E-2</v>
      </c>
      <c r="J51" s="11">
        <v>4.3141782475880842E-5</v>
      </c>
      <c r="K51" s="11">
        <v>4.2330229962440256E-2</v>
      </c>
      <c r="L51" s="11">
        <v>0.12671719093865624</v>
      </c>
      <c r="M51" s="11">
        <v>0.98304145451418423</v>
      </c>
    </row>
    <row r="52" spans="1:13" x14ac:dyDescent="0.3">
      <c r="A52" s="13">
        <v>42135.5</v>
      </c>
      <c r="B52" s="11">
        <v>0.14264886341728406</v>
      </c>
      <c r="C52" s="11">
        <v>8.6849277965013696E-2</v>
      </c>
      <c r="D52" s="11">
        <v>6.1829606786965176E-2</v>
      </c>
      <c r="E52" s="11">
        <v>2.2684512277250501E-5</v>
      </c>
      <c r="F52" s="11">
        <v>4.0233341428499984E-2</v>
      </c>
      <c r="G52" s="11">
        <v>7.0083559374041468E-2</v>
      </c>
      <c r="H52" s="11">
        <v>0.40149795558957146</v>
      </c>
      <c r="I52" s="11">
        <v>1.8848404015582014E-2</v>
      </c>
      <c r="J52" s="11">
        <v>2.9594702466267479E-5</v>
      </c>
      <c r="K52" s="11">
        <v>5.4262109466564762E-2</v>
      </c>
      <c r="L52" s="11">
        <v>0.12369460274173383</v>
      </c>
      <c r="M52" s="11">
        <v>0.98292834435471321</v>
      </c>
    </row>
    <row r="53" spans="1:13" x14ac:dyDescent="0.3">
      <c r="A53" s="13">
        <v>42140.5</v>
      </c>
      <c r="B53" s="11">
        <v>0.13109104010600231</v>
      </c>
      <c r="C53" s="11">
        <v>0.11622270889034794</v>
      </c>
      <c r="D53" s="11">
        <v>6.6906649398288762E-2</v>
      </c>
      <c r="E53" s="11">
        <v>1.12242860108857E-5</v>
      </c>
      <c r="F53" s="11">
        <v>5.088520554488353E-2</v>
      </c>
      <c r="G53" s="11">
        <v>2.9043995748640191E-2</v>
      </c>
      <c r="H53" s="11">
        <v>0.42195557719645987</v>
      </c>
      <c r="I53" s="11">
        <v>1.5970743058707968E-2</v>
      </c>
      <c r="J53" s="11">
        <v>1.0331138066747488E-5</v>
      </c>
      <c r="K53" s="11">
        <v>3.4816279808148214E-2</v>
      </c>
      <c r="L53" s="11">
        <v>0.13308624482444362</v>
      </c>
      <c r="M53" s="11">
        <v>0.98383706397494819</v>
      </c>
    </row>
    <row r="54" spans="1:13" x14ac:dyDescent="0.3">
      <c r="A54" s="13">
        <v>42149.5</v>
      </c>
      <c r="B54" s="11">
        <v>0.11115834171228114</v>
      </c>
      <c r="C54" s="11">
        <v>0.11998997159921024</v>
      </c>
      <c r="D54" s="11">
        <v>8.0491077937788993E-2</v>
      </c>
      <c r="E54" s="11">
        <v>7.8588218376454175E-6</v>
      </c>
      <c r="F54" s="11">
        <v>6.1502614829974572E-2</v>
      </c>
      <c r="G54" s="11">
        <v>2.447614923964395E-2</v>
      </c>
      <c r="H54" s="11">
        <v>0.40898603431591068</v>
      </c>
      <c r="I54" s="11">
        <v>2.6300380565250442E-2</v>
      </c>
      <c r="J54" s="11">
        <v>8.1068804323983685E-6</v>
      </c>
      <c r="K54" s="11">
        <v>2.6279516997667139E-2</v>
      </c>
      <c r="L54" s="11">
        <v>0.14079994710000285</v>
      </c>
      <c r="M54" s="11">
        <v>0.98591698559542662</v>
      </c>
    </row>
    <row r="55" spans="1:13" x14ac:dyDescent="0.3">
      <c r="A55" s="13">
        <v>42156.5</v>
      </c>
      <c r="B55" s="11">
        <v>0.13955013200892141</v>
      </c>
      <c r="C55" s="11">
        <v>0.14915583586630832</v>
      </c>
      <c r="D55" s="11">
        <v>3.4549729986956518E-2</v>
      </c>
      <c r="E55" s="11">
        <v>2.1204529848515515E-5</v>
      </c>
      <c r="F55" s="11">
        <v>7.3607682382126047E-2</v>
      </c>
      <c r="G55" s="11">
        <v>3.7866851051617308E-2</v>
      </c>
      <c r="H55" s="11">
        <v>0.36322895316126691</v>
      </c>
      <c r="I55" s="11">
        <v>5.3934834270431332E-5</v>
      </c>
      <c r="J55" s="11">
        <v>2.3027483503722057E-5</v>
      </c>
      <c r="K55" s="11">
        <v>5.8585901351179394E-2</v>
      </c>
      <c r="L55" s="11">
        <v>0.14335674734400131</v>
      </c>
      <c r="M55" s="11">
        <v>0.98759510810759543</v>
      </c>
    </row>
    <row r="56" spans="1:13" x14ac:dyDescent="0.3">
      <c r="A56" s="13">
        <v>42163.5</v>
      </c>
      <c r="B56" s="11">
        <v>0.11734298134995494</v>
      </c>
      <c r="C56" s="11">
        <v>0.19216534801926438</v>
      </c>
      <c r="D56" s="11">
        <v>1.9778992145160202E-2</v>
      </c>
      <c r="E56" s="11">
        <v>1.3637296632286698E-5</v>
      </c>
      <c r="F56" s="11">
        <v>0.12179022101204258</v>
      </c>
      <c r="G56" s="11">
        <v>0.11829272824338487</v>
      </c>
      <c r="H56" s="11">
        <v>0.25267135340398145</v>
      </c>
      <c r="I56" s="11">
        <v>4.7204577978855474E-5</v>
      </c>
      <c r="J56" s="11">
        <v>8.5861120403065966E-6</v>
      </c>
      <c r="K56" s="11">
        <v>2.2828615340188887E-2</v>
      </c>
      <c r="L56" s="11">
        <v>0.15506033249937123</v>
      </c>
      <c r="M56" s="11">
        <v>0.98532102841573888</v>
      </c>
    </row>
    <row r="57" spans="1:13" x14ac:dyDescent="0.3">
      <c r="A57" s="13">
        <v>42170.5</v>
      </c>
      <c r="B57" s="11">
        <v>0.11237123606915461</v>
      </c>
      <c r="C57" s="11">
        <v>0.19858772879036962</v>
      </c>
      <c r="D57" s="11">
        <v>1.1434968922190984E-2</v>
      </c>
      <c r="E57" s="11">
        <v>5.7842610468350595E-6</v>
      </c>
      <c r="F57" s="11">
        <v>0.14114241443259989</v>
      </c>
      <c r="G57" s="11">
        <v>0.13647091855350998</v>
      </c>
      <c r="H57" s="11">
        <v>0.22701987984653998</v>
      </c>
      <c r="I57" s="11">
        <v>9.3798783288584441E-6</v>
      </c>
      <c r="J57" s="11">
        <v>3.1689119701936227E-6</v>
      </c>
      <c r="K57" s="11">
        <v>1.4507879310604186E-2</v>
      </c>
      <c r="L57" s="11">
        <v>0.15844664102368494</v>
      </c>
      <c r="M57" s="11">
        <v>0.98430425312783432</v>
      </c>
    </row>
    <row r="58" spans="1:13" x14ac:dyDescent="0.3">
      <c r="A58" s="13">
        <v>42177.5</v>
      </c>
      <c r="B58" s="11">
        <v>0.10656910635861849</v>
      </c>
      <c r="C58" s="11">
        <v>0.19840355420604977</v>
      </c>
      <c r="D58" s="11">
        <v>1.4636718716488466E-2</v>
      </c>
      <c r="E58" s="11">
        <v>8.8575208898099517E-6</v>
      </c>
      <c r="F58" s="11">
        <v>0.14205649510102489</v>
      </c>
      <c r="G58" s="11">
        <v>0.14218581117885912</v>
      </c>
      <c r="H58" s="11">
        <v>0.22623496460564518</v>
      </c>
      <c r="I58" s="11">
        <v>1.293784105602224E-5</v>
      </c>
      <c r="J58" s="11">
        <v>5.1988042807861189E-6</v>
      </c>
      <c r="K58" s="11">
        <v>1.0441613194311958E-2</v>
      </c>
      <c r="L58" s="11">
        <v>0.15944474247277551</v>
      </c>
      <c r="M58" s="11">
        <v>0.98458033074207107</v>
      </c>
    </row>
    <row r="59" spans="1:13" x14ac:dyDescent="0.3">
      <c r="A59" s="13">
        <v>42184.5</v>
      </c>
      <c r="B59" s="11">
        <v>0.10759778146631371</v>
      </c>
      <c r="C59" s="11">
        <v>0.19071799171303372</v>
      </c>
      <c r="D59" s="11">
        <v>3.6966316441771189E-3</v>
      </c>
      <c r="E59" s="11">
        <v>1.2933609274374576E-6</v>
      </c>
      <c r="F59" s="11">
        <v>0.15689074405586481</v>
      </c>
      <c r="G59" s="11">
        <v>0.15393329618490195</v>
      </c>
      <c r="H59" s="11">
        <v>0.21288529498917344</v>
      </c>
      <c r="I59" s="11">
        <v>2.2751572097121713E-6</v>
      </c>
      <c r="J59" s="11">
        <v>7.499819900368504E-7</v>
      </c>
      <c r="K59" s="11">
        <v>1.2635764935854292E-2</v>
      </c>
      <c r="L59" s="11">
        <v>0.16163817651055379</v>
      </c>
      <c r="M59" s="11">
        <v>0.98458040624799781</v>
      </c>
    </row>
    <row r="60" spans="1:13" x14ac:dyDescent="0.3">
      <c r="A60" s="13">
        <v>42190</v>
      </c>
      <c r="B60" s="11">
        <v>0.10853331122080688</v>
      </c>
      <c r="C60" s="11">
        <v>0.18846942780685808</v>
      </c>
      <c r="D60" s="11">
        <v>7.7408703270263684E-4</v>
      </c>
      <c r="E60" s="11">
        <v>2.612109995462126E-7</v>
      </c>
      <c r="F60" s="11">
        <v>0.15876190300490478</v>
      </c>
      <c r="G60" s="11">
        <v>0.15862674608716021</v>
      </c>
      <c r="H60" s="11">
        <v>0.20918537829601447</v>
      </c>
      <c r="I60" s="11">
        <v>4.3289277969899258E-7</v>
      </c>
      <c r="J60" s="11">
        <v>1.5356191045523214E-7</v>
      </c>
      <c r="K60" s="11">
        <v>1.4795657266500188E-2</v>
      </c>
      <c r="L60" s="11">
        <v>0.16085264161936308</v>
      </c>
      <c r="M60" s="11">
        <v>0.98449753587014499</v>
      </c>
    </row>
    <row r="61" spans="1:13" x14ac:dyDescent="0.3">
      <c r="A61" s="13">
        <v>42198.5</v>
      </c>
      <c r="B61" s="11">
        <v>0.10731980282411374</v>
      </c>
      <c r="C61" s="11">
        <v>0.182093990131872</v>
      </c>
      <c r="D61" s="11">
        <v>9.6406103156426476E-4</v>
      </c>
      <c r="E61" s="11">
        <v>3.2860174621149528E-7</v>
      </c>
      <c r="F61" s="11">
        <v>0.1571060366125214</v>
      </c>
      <c r="G61" s="11">
        <v>0.16653526326333715</v>
      </c>
      <c r="H61" s="11">
        <v>0.20530888011766671</v>
      </c>
      <c r="I61" s="11">
        <v>4.8614605040318235E-7</v>
      </c>
      <c r="J61" s="11">
        <v>1.8667645441766718E-7</v>
      </c>
      <c r="K61" s="11">
        <v>1.9315418589051801E-2</v>
      </c>
      <c r="L61" s="11">
        <v>0.16135554600562188</v>
      </c>
      <c r="M61" s="11">
        <v>0.98470736969425565</v>
      </c>
    </row>
    <row r="62" spans="1:13" x14ac:dyDescent="0.3">
      <c r="A62" s="13">
        <v>42205.5</v>
      </c>
      <c r="B62" s="11">
        <v>0.10763333125276744</v>
      </c>
      <c r="C62" s="11">
        <v>0.1831996869045413</v>
      </c>
      <c r="D62" s="11">
        <v>8.0848527312840244E-4</v>
      </c>
      <c r="E62" s="11">
        <v>2.8857082979546938E-7</v>
      </c>
      <c r="F62" s="11">
        <v>0.15637936043199324</v>
      </c>
      <c r="G62" s="11">
        <v>0.17126328987833217</v>
      </c>
      <c r="H62" s="11">
        <v>0.20558291479848914</v>
      </c>
      <c r="I62" s="11">
        <v>3.9779415554884511E-7</v>
      </c>
      <c r="J62" s="11">
        <v>1.594154539533867E-7</v>
      </c>
      <c r="K62" s="11">
        <v>1.6085124536330153E-2</v>
      </c>
      <c r="L62" s="11">
        <v>0.15904696114397879</v>
      </c>
      <c r="M62" s="11">
        <v>0.98479056318119851</v>
      </c>
    </row>
    <row r="63" spans="1:13" x14ac:dyDescent="0.3">
      <c r="A63" s="13">
        <v>42212.5</v>
      </c>
      <c r="B63" s="11">
        <v>9.3294608753590899E-2</v>
      </c>
      <c r="C63" s="11">
        <v>0.18173688804022162</v>
      </c>
      <c r="D63" s="11">
        <v>1.5640612672172087E-2</v>
      </c>
      <c r="E63" s="11">
        <v>1.0313639029489971E-5</v>
      </c>
      <c r="F63" s="11">
        <v>0.15336441043927398</v>
      </c>
      <c r="G63" s="11">
        <v>0.16850947572657388</v>
      </c>
      <c r="H63" s="11">
        <v>0.22766577603066271</v>
      </c>
      <c r="I63" s="11">
        <v>1.1168479784601788E-5</v>
      </c>
      <c r="J63" s="11">
        <v>4.023031007638173E-6</v>
      </c>
      <c r="K63" s="11">
        <v>6.9312145986835376E-5</v>
      </c>
      <c r="L63" s="11">
        <v>0.15969341104169629</v>
      </c>
      <c r="M63" s="11">
        <v>0.98534415697508804</v>
      </c>
    </row>
    <row r="64" spans="1:13" x14ac:dyDescent="0.3">
      <c r="A64" s="13">
        <v>42219.5</v>
      </c>
      <c r="B64" s="11">
        <v>9.331122911519607E-2</v>
      </c>
      <c r="C64" s="11">
        <v>0.18173785751676466</v>
      </c>
      <c r="D64" s="11">
        <v>1.567161500009397E-2</v>
      </c>
      <c r="E64" s="11">
        <v>1.0300564773715458E-5</v>
      </c>
      <c r="F64" s="11">
        <v>0.15341113903007653</v>
      </c>
      <c r="G64" s="11">
        <v>0.16845309873383374</v>
      </c>
      <c r="H64" s="11">
        <v>0.22760365641084498</v>
      </c>
      <c r="I64" s="11">
        <v>1.1168684401473917E-5</v>
      </c>
      <c r="J64" s="11">
        <v>4.0264896053790284E-6</v>
      </c>
      <c r="K64" s="11">
        <v>6.8985985532290465E-5</v>
      </c>
      <c r="L64" s="11">
        <v>0.15971692246887717</v>
      </c>
      <c r="M64" s="11">
        <v>0.98546920826235052</v>
      </c>
    </row>
    <row r="65" spans="1:13" x14ac:dyDescent="0.3">
      <c r="A65" s="13">
        <v>42226.5</v>
      </c>
      <c r="B65" s="11">
        <v>0.10027035463293681</v>
      </c>
      <c r="C65" s="11">
        <v>0.19216831386033845</v>
      </c>
      <c r="D65" s="11">
        <v>4.4416345716462155E-3</v>
      </c>
      <c r="E65" s="11">
        <v>2.0568178439193475E-6</v>
      </c>
      <c r="F65" s="11">
        <v>0.16761524084319362</v>
      </c>
      <c r="G65" s="11">
        <v>0.15881107118044518</v>
      </c>
      <c r="H65" s="11">
        <v>0.21664084226549746</v>
      </c>
      <c r="I65" s="11">
        <v>1.7098914035204403E-6</v>
      </c>
      <c r="J65" s="11">
        <v>8.9470386638240269E-7</v>
      </c>
      <c r="K65" s="11">
        <v>1.0336892439661414E-5</v>
      </c>
      <c r="L65" s="11">
        <v>0.16003754434038883</v>
      </c>
      <c r="M65" s="11">
        <v>0.98529942999001296</v>
      </c>
    </row>
    <row r="66" spans="1:13" x14ac:dyDescent="0.3">
      <c r="A66" s="13">
        <v>42233</v>
      </c>
      <c r="B66" s="11">
        <v>0.1076835671413605</v>
      </c>
      <c r="C66" s="11">
        <v>0.18556425791743786</v>
      </c>
      <c r="D66" s="11">
        <v>3.0004268590601824E-3</v>
      </c>
      <c r="E66" s="11">
        <v>1.4818962399719444E-6</v>
      </c>
      <c r="F66" s="11">
        <v>0.16674406327089022</v>
      </c>
      <c r="G66" s="11">
        <v>0.15188166026615857</v>
      </c>
      <c r="H66" s="11">
        <v>0.21550524313039623</v>
      </c>
      <c r="I66" s="11">
        <v>1.1568418868845588E-6</v>
      </c>
      <c r="J66" s="11">
        <v>7.0936537112102067E-7</v>
      </c>
      <c r="K66" s="11">
        <v>8.2533250472213299E-3</v>
      </c>
      <c r="L66" s="11">
        <v>0.1613641082639771</v>
      </c>
      <c r="M66" s="11">
        <v>0.98554218406502836</v>
      </c>
    </row>
    <row r="67" spans="1:13" x14ac:dyDescent="0.3">
      <c r="A67" s="13">
        <v>42240.5</v>
      </c>
      <c r="B67" s="11">
        <v>0.11134959920668933</v>
      </c>
      <c r="C67" s="11">
        <v>0.14357237728979125</v>
      </c>
      <c r="D67" s="11">
        <v>8.2903185785793517E-5</v>
      </c>
      <c r="E67" s="11">
        <v>2.5881837047920396E-5</v>
      </c>
      <c r="F67" s="11">
        <v>0.13308186681529455</v>
      </c>
      <c r="G67" s="11">
        <v>0.17494881188010847</v>
      </c>
      <c r="H67" s="11">
        <v>0.16805296999321429</v>
      </c>
      <c r="I67" s="11">
        <v>1.5529967120119767E-2</v>
      </c>
      <c r="J67" s="11">
        <v>1.0670177497194188E-5</v>
      </c>
      <c r="K67" s="11">
        <v>7.6654914942511948E-2</v>
      </c>
      <c r="L67" s="11">
        <v>0.17669003755193954</v>
      </c>
      <c r="M67" s="11">
        <v>0.98508165283616567</v>
      </c>
    </row>
    <row r="68" spans="1:13" x14ac:dyDescent="0.3">
      <c r="A68" s="13">
        <v>42247.5</v>
      </c>
      <c r="B68" s="11">
        <v>0.11173722979697438</v>
      </c>
      <c r="C68" s="11">
        <v>0.14818788536827518</v>
      </c>
      <c r="D68" s="11">
        <v>4.4493758524745655E-5</v>
      </c>
      <c r="E68" s="11">
        <v>2.8135133650991361E-5</v>
      </c>
      <c r="F68" s="11">
        <v>0.13991621188757841</v>
      </c>
      <c r="G68" s="11">
        <v>0.17900805220568664</v>
      </c>
      <c r="H68" s="11">
        <v>0.17973019019126066</v>
      </c>
      <c r="I68" s="11">
        <v>9.9997756539268699E-3</v>
      </c>
      <c r="J68" s="11">
        <v>1.2547740804528515E-5</v>
      </c>
      <c r="K68" s="11">
        <v>5.6388244359202533E-2</v>
      </c>
      <c r="L68" s="11">
        <v>0.17494723390411504</v>
      </c>
      <c r="M68" s="11">
        <v>0.98568077361289574</v>
      </c>
    </row>
    <row r="69" spans="1:13" x14ac:dyDescent="0.3">
      <c r="A69" s="13">
        <v>42254.5</v>
      </c>
      <c r="B69" s="11">
        <v>0.10569029808933492</v>
      </c>
      <c r="C69" s="11">
        <v>0.18891506568204958</v>
      </c>
      <c r="D69" s="11">
        <v>3.0050125040197189E-5</v>
      </c>
      <c r="E69" s="11">
        <v>1.7306221196207242E-5</v>
      </c>
      <c r="F69" s="11">
        <v>0.11984008607618565</v>
      </c>
      <c r="G69" s="11">
        <v>0.16307382874969045</v>
      </c>
      <c r="H69" s="11">
        <v>0.19338784790641542</v>
      </c>
      <c r="I69" s="11">
        <v>9.002889389817189E-3</v>
      </c>
      <c r="J69" s="11">
        <v>9.0502119388485594E-6</v>
      </c>
      <c r="K69" s="11">
        <v>4.4561521866752329E-2</v>
      </c>
      <c r="L69" s="11">
        <v>0.17547205568157917</v>
      </c>
      <c r="M69" s="11">
        <v>0.98564242974173921</v>
      </c>
    </row>
    <row r="70" spans="1:13" x14ac:dyDescent="0.3">
      <c r="A70" s="13">
        <v>42260.5</v>
      </c>
      <c r="B70" s="11">
        <v>5.581688121384875E-2</v>
      </c>
      <c r="C70" s="11">
        <v>3.1503959501596915E-2</v>
      </c>
      <c r="D70" s="11">
        <v>3.4115573198887878E-5</v>
      </c>
      <c r="E70" s="11">
        <v>2.0511860863905715E-5</v>
      </c>
      <c r="F70" s="11">
        <v>0.1730226636020607</v>
      </c>
      <c r="G70" s="11">
        <v>0.25762613262540407</v>
      </c>
      <c r="H70" s="11">
        <v>0.17686862277404508</v>
      </c>
      <c r="I70" s="11">
        <v>9.7401242563350032E-2</v>
      </c>
      <c r="J70" s="11">
        <v>1.3202448703052283E-5</v>
      </c>
      <c r="K70" s="11">
        <v>3.08892753366301E-2</v>
      </c>
      <c r="L70" s="11">
        <v>0.17680339250029853</v>
      </c>
      <c r="M70" s="11">
        <v>0.97925431422153342</v>
      </c>
    </row>
    <row r="71" spans="1:13" x14ac:dyDescent="0.3">
      <c r="A71" s="13">
        <v>42268.5</v>
      </c>
      <c r="B71" s="11">
        <v>4.1809265379879584E-2</v>
      </c>
      <c r="C71" s="11">
        <v>4.8353312045054574E-2</v>
      </c>
      <c r="D71" s="11">
        <v>3.7975398529241449E-6</v>
      </c>
      <c r="E71" s="11">
        <v>2.3362320064460912E-6</v>
      </c>
      <c r="F71" s="11">
        <v>0.18177441694278806</v>
      </c>
      <c r="G71" s="11">
        <v>0.26556606586760589</v>
      </c>
      <c r="H71" s="11">
        <v>0.19542556285618179</v>
      </c>
      <c r="I71" s="11">
        <v>9.1451036434816196E-2</v>
      </c>
      <c r="J71" s="11">
        <v>1.231574867479601E-6</v>
      </c>
      <c r="K71" s="11">
        <v>8.7652752794044461E-5</v>
      </c>
      <c r="L71" s="11">
        <v>0.17552532237415297</v>
      </c>
      <c r="M71" s="11">
        <v>0.97803534940337189</v>
      </c>
    </row>
    <row r="72" spans="1:13" x14ac:dyDescent="0.3">
      <c r="A72" s="13">
        <v>42279</v>
      </c>
      <c r="B72" s="11">
        <v>4.4273622173364509E-2</v>
      </c>
      <c r="C72" s="11">
        <v>8.8030323900222876E-3</v>
      </c>
      <c r="D72" s="11">
        <v>1.1272748897261553E-6</v>
      </c>
      <c r="E72" s="11">
        <v>6.8531869563682645E-7</v>
      </c>
      <c r="F72" s="11">
        <v>0.21068186288756383</v>
      </c>
      <c r="G72" s="11">
        <v>0.2893904372941617</v>
      </c>
      <c r="H72" s="11">
        <v>0.18078925974383472</v>
      </c>
      <c r="I72" s="11">
        <v>9.0217873372681973E-2</v>
      </c>
      <c r="J72" s="11">
        <v>4.2679148296269239E-7</v>
      </c>
      <c r="K72" s="11">
        <v>1.0752922722427163E-3</v>
      </c>
      <c r="L72" s="11">
        <v>0.17476638048105991</v>
      </c>
      <c r="M72" s="11">
        <v>0.97861836263794932</v>
      </c>
    </row>
    <row r="73" spans="1:13" x14ac:dyDescent="0.3">
      <c r="A73" s="13">
        <v>42286</v>
      </c>
      <c r="B73" s="11">
        <v>3.6878771608461897E-2</v>
      </c>
      <c r="C73" s="11">
        <v>1.3087790575450297E-2</v>
      </c>
      <c r="D73" s="11">
        <v>5.4091513373357048E-7</v>
      </c>
      <c r="E73" s="11">
        <v>3.701299356945159E-7</v>
      </c>
      <c r="F73" s="11">
        <v>0.21964632172211501</v>
      </c>
      <c r="G73" s="11">
        <v>0.31364974173788057</v>
      </c>
      <c r="H73" s="11">
        <v>0.16666568620580546</v>
      </c>
      <c r="I73" s="11">
        <v>7.4408003386775723E-2</v>
      </c>
      <c r="J73" s="11">
        <v>2.2520195729884401E-7</v>
      </c>
      <c r="K73" s="11">
        <v>1.0845353726221443E-4</v>
      </c>
      <c r="L73" s="11">
        <v>0.17555409497922217</v>
      </c>
      <c r="M73" s="11">
        <v>0.97958329842455449</v>
      </c>
    </row>
    <row r="74" spans="1:13" x14ac:dyDescent="0.3">
      <c r="A74" s="13">
        <v>42293</v>
      </c>
      <c r="B74" s="11">
        <v>4.2628066398003095E-2</v>
      </c>
      <c r="C74" s="11">
        <v>1.4616611284638965E-2</v>
      </c>
      <c r="D74" s="11">
        <v>6.703045873359307E-6</v>
      </c>
      <c r="E74" s="11">
        <v>5.0514498459356223E-6</v>
      </c>
      <c r="F74" s="11">
        <v>0.22250365651294018</v>
      </c>
      <c r="G74" s="11">
        <v>0.31197208671278914</v>
      </c>
      <c r="H74" s="11">
        <v>0.15004465953618887</v>
      </c>
      <c r="I74" s="11">
        <v>7.2857430662999767E-2</v>
      </c>
      <c r="J74" s="11">
        <v>2.9603597346600402E-6</v>
      </c>
      <c r="K74" s="11">
        <v>5.883953707103394E-3</v>
      </c>
      <c r="L74" s="11">
        <v>0.1794788203298826</v>
      </c>
      <c r="M74" s="11">
        <v>0.97798548783969541</v>
      </c>
    </row>
    <row r="75" spans="1:13" x14ac:dyDescent="0.3">
      <c r="A75" s="13">
        <v>42300</v>
      </c>
      <c r="B75" s="11">
        <v>3.8637023663763329E-2</v>
      </c>
      <c r="C75" s="11">
        <v>1.2633872727030145E-2</v>
      </c>
      <c r="D75" s="11">
        <v>2.5597082846482383E-6</v>
      </c>
      <c r="E75" s="11">
        <v>2.0689742284621803E-6</v>
      </c>
      <c r="F75" s="11">
        <v>0.22328134543618686</v>
      </c>
      <c r="G75" s="11">
        <v>0.3147081732961472</v>
      </c>
      <c r="H75" s="11">
        <v>0.1522053016736564</v>
      </c>
      <c r="I75" s="11">
        <v>7.7626819257224353E-2</v>
      </c>
      <c r="J75" s="11">
        <v>1.1440916590246824E-6</v>
      </c>
      <c r="K75" s="11">
        <v>2.4307573192342133E-3</v>
      </c>
      <c r="L75" s="11">
        <v>0.17847093385258547</v>
      </c>
      <c r="M75" s="11">
        <v>0.9778807943906872</v>
      </c>
    </row>
    <row r="76" spans="1:13" x14ac:dyDescent="0.3">
      <c r="A76" s="13">
        <v>42307</v>
      </c>
      <c r="B76" s="11">
        <v>4.6309463537730182E-2</v>
      </c>
      <c r="C76" s="11">
        <v>9.9826016108990299E-3</v>
      </c>
      <c r="D76" s="11">
        <v>8.5685976939874816E-6</v>
      </c>
      <c r="E76" s="11">
        <v>6.0407092087911923E-6</v>
      </c>
      <c r="F76" s="11">
        <v>0.23921603664677044</v>
      </c>
      <c r="G76" s="11">
        <v>0.29486082748596038</v>
      </c>
      <c r="H76" s="11">
        <v>0.15787297931241021</v>
      </c>
      <c r="I76" s="11">
        <v>7.5708922125604178E-2</v>
      </c>
      <c r="J76" s="11">
        <v>3.5622534505023796E-6</v>
      </c>
      <c r="K76" s="11">
        <v>1.7475310532537643E-5</v>
      </c>
      <c r="L76" s="11">
        <v>0.17601352240973983</v>
      </c>
      <c r="M76" s="11">
        <v>0.97643354686910511</v>
      </c>
    </row>
    <row r="77" spans="1:13" x14ac:dyDescent="0.3">
      <c r="A77" s="13">
        <v>42314</v>
      </c>
      <c r="B77" s="11">
        <v>3.4799398882454979E-2</v>
      </c>
      <c r="C77" s="11">
        <v>4.3673195913199563E-5</v>
      </c>
      <c r="D77" s="11">
        <v>2.6874761359373124E-5</v>
      </c>
      <c r="E77" s="11">
        <v>1.4770826924809857E-5</v>
      </c>
      <c r="F77" s="11">
        <v>0.21732245610948558</v>
      </c>
      <c r="G77" s="11">
        <v>0.31430330933685169</v>
      </c>
      <c r="H77" s="11">
        <v>0.18044653775823527</v>
      </c>
      <c r="I77" s="11">
        <v>8.5779389834584427E-2</v>
      </c>
      <c r="J77" s="11">
        <v>8.8625214458105157E-6</v>
      </c>
      <c r="K77" s="11">
        <v>4.2701373051872511E-5</v>
      </c>
      <c r="L77" s="11">
        <v>0.16721202539969304</v>
      </c>
      <c r="M77" s="11">
        <v>0.97674720608623311</v>
      </c>
    </row>
    <row r="78" spans="1:13" x14ac:dyDescent="0.3">
      <c r="A78" s="13">
        <v>42321</v>
      </c>
      <c r="B78" s="11">
        <v>3.1055814016391438E-2</v>
      </c>
      <c r="C78" s="11">
        <v>4.7747160047104681E-5</v>
      </c>
      <c r="D78" s="11">
        <v>3.1758481266034427E-5</v>
      </c>
      <c r="E78" s="11">
        <v>1.4292054430117589E-5</v>
      </c>
      <c r="F78" s="11">
        <v>0.2238738111369058</v>
      </c>
      <c r="G78" s="11">
        <v>0.29464516235981303</v>
      </c>
      <c r="H78" s="11">
        <v>0.17870617178029294</v>
      </c>
      <c r="I78" s="11">
        <v>9.334187462277746E-2</v>
      </c>
      <c r="J78" s="11">
        <v>8.1320663385062649E-6</v>
      </c>
      <c r="K78" s="11">
        <v>3.8100566976727833E-5</v>
      </c>
      <c r="L78" s="11">
        <v>0.17823713575476088</v>
      </c>
      <c r="M78" s="11">
        <v>0.97397869376217472</v>
      </c>
    </row>
    <row r="79" spans="1:13" x14ac:dyDescent="0.3">
      <c r="A79" s="13">
        <v>42328</v>
      </c>
      <c r="B79" s="11">
        <v>3.1802328475360318E-2</v>
      </c>
      <c r="C79" s="11">
        <v>4.6798848017238917E-5</v>
      </c>
      <c r="D79" s="11">
        <v>3.2628496978316424E-5</v>
      </c>
      <c r="E79" s="11">
        <v>1.4510744099373352E-5</v>
      </c>
      <c r="F79" s="11">
        <v>0.22444702941793501</v>
      </c>
      <c r="G79" s="11">
        <v>0.29306550425677236</v>
      </c>
      <c r="H79" s="11">
        <v>0.17949920322987425</v>
      </c>
      <c r="I79" s="11">
        <v>9.3037525004086657E-2</v>
      </c>
      <c r="J79" s="11">
        <v>8.047487135528292E-6</v>
      </c>
      <c r="K79" s="11">
        <v>3.84853381912914E-5</v>
      </c>
      <c r="L79" s="11">
        <v>0.17800793870154966</v>
      </c>
      <c r="M79" s="11">
        <v>0.97292300963954381</v>
      </c>
    </row>
    <row r="80" spans="1:13" x14ac:dyDescent="0.3">
      <c r="A80" s="13">
        <v>42335</v>
      </c>
      <c r="B80" s="11">
        <v>3.7344134507988354E-2</v>
      </c>
      <c r="C80" s="11">
        <v>4.2463891926050029E-5</v>
      </c>
      <c r="D80" s="11">
        <v>4.3424703375307268E-5</v>
      </c>
      <c r="E80" s="11">
        <v>1.6688639241721405E-5</v>
      </c>
      <c r="F80" s="11">
        <v>0.22358620225607406</v>
      </c>
      <c r="G80" s="11">
        <v>0.2636588699626175</v>
      </c>
      <c r="H80" s="11">
        <v>0.19417291891794938</v>
      </c>
      <c r="I80" s="11">
        <v>0.10254782434850555</v>
      </c>
      <c r="J80" s="11">
        <v>7.6811840365031761E-6</v>
      </c>
      <c r="K80" s="11">
        <v>4.0275891456616346E-5</v>
      </c>
      <c r="L80" s="11">
        <v>0.17853951569682894</v>
      </c>
      <c r="M80" s="11">
        <v>0.96774714738085599</v>
      </c>
    </row>
    <row r="81" spans="1:13" x14ac:dyDescent="0.3">
      <c r="A81" s="13">
        <v>42342</v>
      </c>
      <c r="B81" s="11">
        <v>2.0120889916899157E-2</v>
      </c>
      <c r="C81" s="11">
        <v>2.6257401298484991E-5</v>
      </c>
      <c r="D81" s="11">
        <v>5.0670675051643037E-5</v>
      </c>
      <c r="E81" s="11">
        <v>1.6737041500366002E-5</v>
      </c>
      <c r="F81" s="11">
        <v>0.23216469254906291</v>
      </c>
      <c r="G81" s="11">
        <v>0.25260990021270696</v>
      </c>
      <c r="H81" s="11">
        <v>0.19439177851542777</v>
      </c>
      <c r="I81" s="11">
        <v>0.11308474525083327</v>
      </c>
      <c r="J81" s="11">
        <v>7.0374551687338075E-6</v>
      </c>
      <c r="K81" s="11">
        <v>4.170341641985528E-5</v>
      </c>
      <c r="L81" s="11">
        <v>0.18748558756563086</v>
      </c>
      <c r="M81" s="11">
        <v>0.96886548888034385</v>
      </c>
    </row>
    <row r="82" spans="1:13" x14ac:dyDescent="0.3">
      <c r="A82" s="13">
        <v>42349</v>
      </c>
      <c r="B82" s="11">
        <v>7.0253762465810374E-2</v>
      </c>
      <c r="C82" s="11">
        <v>2.8335517866495924E-5</v>
      </c>
      <c r="D82" s="11">
        <v>4.4301157695033726E-2</v>
      </c>
      <c r="E82" s="11">
        <v>2.5167565203041472E-5</v>
      </c>
      <c r="F82" s="11">
        <v>0.24899233746296848</v>
      </c>
      <c r="G82" s="11">
        <v>0.20019609583997353</v>
      </c>
      <c r="H82" s="11">
        <v>0.12256633009139874</v>
      </c>
      <c r="I82" s="11">
        <v>0.1151052657065551</v>
      </c>
      <c r="J82" s="11">
        <v>7.3495859259440855E-6</v>
      </c>
      <c r="K82" s="11">
        <v>3.0210017830366626E-5</v>
      </c>
      <c r="L82" s="11">
        <v>0.19849398805143431</v>
      </c>
      <c r="M82" s="11">
        <v>0.96995387668515254</v>
      </c>
    </row>
    <row r="83" spans="1:13" x14ac:dyDescent="0.3">
      <c r="A83" s="13">
        <v>42356</v>
      </c>
      <c r="B83" s="11">
        <v>8.7917405002225155E-2</v>
      </c>
      <c r="C83" s="11">
        <v>2.9684306040134711E-5</v>
      </c>
      <c r="D83" s="11">
        <v>4.4805705299977933E-2</v>
      </c>
      <c r="E83" s="11">
        <v>3.3495969486316968E-5</v>
      </c>
      <c r="F83" s="11">
        <v>0.24816800334959468</v>
      </c>
      <c r="G83" s="11">
        <v>0.18766824395938497</v>
      </c>
      <c r="H83" s="11">
        <v>0.12717943919858601</v>
      </c>
      <c r="I83" s="11">
        <v>0.10524869023779634</v>
      </c>
      <c r="J83" s="11">
        <v>8.9521456914474266E-6</v>
      </c>
      <c r="K83" s="11">
        <v>1.870422248239886E-5</v>
      </c>
      <c r="L83" s="11">
        <v>0.19892167630873464</v>
      </c>
      <c r="M83" s="11">
        <v>0.96965714762347499</v>
      </c>
    </row>
    <row r="84" spans="1:13" x14ac:dyDescent="0.3">
      <c r="A84" s="13">
        <v>42363</v>
      </c>
      <c r="B84" s="11">
        <v>8.6580686451871586E-2</v>
      </c>
      <c r="C84" s="11">
        <v>5.2294839466571761E-5</v>
      </c>
      <c r="D84" s="11">
        <v>6.0768538447384939E-2</v>
      </c>
      <c r="E84" s="11">
        <v>5.9152132761072229E-5</v>
      </c>
      <c r="F84" s="11">
        <v>0.24334226183814869</v>
      </c>
      <c r="G84" s="11">
        <v>0.18259190589398808</v>
      </c>
      <c r="H84" s="11">
        <v>0.12201269341461141</v>
      </c>
      <c r="I84" s="11">
        <v>0.10298068778493503</v>
      </c>
      <c r="J84" s="11">
        <v>1.5228187967052907E-5</v>
      </c>
      <c r="K84" s="11">
        <v>3.1608822091330218E-5</v>
      </c>
      <c r="L84" s="11">
        <v>0.2015649421867742</v>
      </c>
      <c r="M84" s="11">
        <v>0.96713326566967195</v>
      </c>
    </row>
    <row r="85" spans="1:13" x14ac:dyDescent="0.3">
      <c r="A85" s="13">
        <v>42370</v>
      </c>
      <c r="B85" s="11">
        <v>0.10386210024256654</v>
      </c>
      <c r="C85" s="11">
        <v>4.3409995659780552E-5</v>
      </c>
      <c r="D85" s="11">
        <v>7.7887868267838598E-2</v>
      </c>
      <c r="E85" s="11">
        <v>3.995135293669167E-5</v>
      </c>
      <c r="F85" s="11">
        <v>0.25789184460441306</v>
      </c>
      <c r="G85" s="11">
        <v>0.18861547361873846</v>
      </c>
      <c r="H85" s="11">
        <v>7.6126758249903601E-2</v>
      </c>
      <c r="I85" s="11">
        <v>8.5500783192983848E-2</v>
      </c>
      <c r="J85" s="11">
        <v>1.6634812611857009E-5</v>
      </c>
      <c r="K85" s="11">
        <v>4.561853752073417E-5</v>
      </c>
      <c r="L85" s="11">
        <v>0.20996955712482682</v>
      </c>
      <c r="M85" s="11">
        <v>0.97159312056400948</v>
      </c>
    </row>
    <row r="86" spans="1:13" x14ac:dyDescent="0.3">
      <c r="A86" s="13">
        <v>42377</v>
      </c>
      <c r="B86" s="11">
        <v>8.7667652914436275E-2</v>
      </c>
      <c r="C86" s="11">
        <v>3.121436279734966E-5</v>
      </c>
      <c r="D86" s="11">
        <v>0.16054503318727478</v>
      </c>
      <c r="E86" s="11">
        <v>2.7203654655260222E-5</v>
      </c>
      <c r="F86" s="11">
        <v>0.22722912470491968</v>
      </c>
      <c r="G86" s="11">
        <v>0.17649611936265988</v>
      </c>
      <c r="H86" s="11">
        <v>4.9631973674250512E-2</v>
      </c>
      <c r="I86" s="11">
        <v>8.9230554230982653E-2</v>
      </c>
      <c r="J86" s="11">
        <v>1.2943808094411407E-5</v>
      </c>
      <c r="K86" s="11">
        <v>3.3228814878333269E-5</v>
      </c>
      <c r="L86" s="11">
        <v>0.20909495128505093</v>
      </c>
      <c r="M86" s="11">
        <v>0.97131145502283456</v>
      </c>
    </row>
    <row r="87" spans="1:13" x14ac:dyDescent="0.3">
      <c r="A87" s="13">
        <v>42384</v>
      </c>
      <c r="B87" s="11">
        <v>8.1269450958811065E-2</v>
      </c>
      <c r="C87" s="11">
        <v>2.7061735989137948E-5</v>
      </c>
      <c r="D87" s="11">
        <v>7.9280556865962304E-2</v>
      </c>
      <c r="E87" s="11">
        <v>8.6395465817043807E-5</v>
      </c>
      <c r="F87" s="11">
        <v>0.26865349595689414</v>
      </c>
      <c r="G87" s="11">
        <v>0.20062528375706842</v>
      </c>
      <c r="H87" s="11">
        <v>6.0048079507869639E-2</v>
      </c>
      <c r="I87" s="11">
        <v>6.961490202882642E-2</v>
      </c>
      <c r="J87" s="11">
        <v>1.2126306213780722E-5</v>
      </c>
      <c r="K87" s="11">
        <v>3.6719677725202068E-5</v>
      </c>
      <c r="L87" s="11">
        <v>0.24034592773882288</v>
      </c>
      <c r="M87" s="11">
        <v>0.971901274783179</v>
      </c>
    </row>
    <row r="88" spans="1:13" x14ac:dyDescent="0.3">
      <c r="A88" s="13">
        <v>42389</v>
      </c>
      <c r="B88" s="11">
        <v>7.4181197650563163E-2</v>
      </c>
      <c r="C88" s="11">
        <v>5.2836526406292185E-6</v>
      </c>
      <c r="D88" s="11">
        <v>8.6489881503101326E-5</v>
      </c>
      <c r="E88" s="11">
        <v>2.891781004064655E-5</v>
      </c>
      <c r="F88" s="11">
        <v>0.31282207478011359</v>
      </c>
      <c r="G88" s="11">
        <v>0.19833209581103178</v>
      </c>
      <c r="H88" s="11">
        <v>7.2342018450739856E-2</v>
      </c>
      <c r="I88" s="11">
        <v>0.11271280301620927</v>
      </c>
      <c r="J88" s="11">
        <v>2.7740282954852053E-6</v>
      </c>
      <c r="K88" s="11">
        <v>6.8736628696904799E-6</v>
      </c>
      <c r="L88" s="11">
        <v>0.22947947125599283</v>
      </c>
      <c r="M88" s="11">
        <v>0.97247207112898004</v>
      </c>
    </row>
    <row r="89" spans="1:13" x14ac:dyDescent="0.3">
      <c r="A89" s="13">
        <v>42398</v>
      </c>
      <c r="B89" s="11">
        <v>4.9569281805044899E-2</v>
      </c>
      <c r="C89" s="11">
        <v>1.6627982428625859E-5</v>
      </c>
      <c r="D89" s="11">
        <v>8.2531707915932905E-5</v>
      </c>
      <c r="E89" s="11">
        <v>3.3228510380541226E-2</v>
      </c>
      <c r="F89" s="11">
        <v>0.29858622390033107</v>
      </c>
      <c r="G89" s="11">
        <v>0.22973839977344135</v>
      </c>
      <c r="H89" s="11">
        <v>6.105352820957647E-2</v>
      </c>
      <c r="I89" s="11">
        <v>9.6506360958302145E-2</v>
      </c>
      <c r="J89" s="11">
        <v>8.6733312684894664E-6</v>
      </c>
      <c r="K89" s="11">
        <v>3.0003158768183243E-5</v>
      </c>
      <c r="L89" s="11">
        <v>0.23117985879238159</v>
      </c>
      <c r="M89" s="11">
        <v>0.9689377625498895</v>
      </c>
    </row>
    <row r="90" spans="1:13" x14ac:dyDescent="0.3">
      <c r="A90" s="13">
        <v>42405</v>
      </c>
      <c r="B90" s="11">
        <v>4.94460505536371E-2</v>
      </c>
      <c r="C90" s="11">
        <v>1.5979306885002752E-5</v>
      </c>
      <c r="D90" s="11">
        <v>7.0101288221981463E-5</v>
      </c>
      <c r="E90" s="11">
        <v>2.9640318172973659E-2</v>
      </c>
      <c r="F90" s="11">
        <v>0.30402728778907229</v>
      </c>
      <c r="G90" s="11">
        <v>0.22248005231646467</v>
      </c>
      <c r="H90" s="11">
        <v>6.177229390295319E-2</v>
      </c>
      <c r="I90" s="11">
        <v>9.990564222773686E-2</v>
      </c>
      <c r="J90" s="11">
        <v>8.5315197659967189E-6</v>
      </c>
      <c r="K90" s="11">
        <v>3.2930425068258896E-5</v>
      </c>
      <c r="L90" s="11">
        <v>0.23260081249722103</v>
      </c>
      <c r="M90" s="11">
        <v>0.96789188655020619</v>
      </c>
    </row>
    <row r="91" spans="1:13" x14ac:dyDescent="0.3">
      <c r="A91" s="13">
        <v>42412</v>
      </c>
      <c r="B91" s="11">
        <v>4.8934416125601517E-2</v>
      </c>
      <c r="C91" s="11">
        <v>1.2911094628520994E-5</v>
      </c>
      <c r="D91" s="11">
        <v>5.6822604622963545E-5</v>
      </c>
      <c r="E91" s="11">
        <v>2.9639375713613868E-2</v>
      </c>
      <c r="F91" s="11">
        <v>0.30368954291004935</v>
      </c>
      <c r="G91" s="11">
        <v>0.22283635637415847</v>
      </c>
      <c r="H91" s="11">
        <v>6.2338471612698662E-2</v>
      </c>
      <c r="I91" s="11">
        <v>0.10018386173667562</v>
      </c>
      <c r="J91" s="11">
        <v>6.9226679083083199E-6</v>
      </c>
      <c r="K91" s="11">
        <v>2.640337662441983E-5</v>
      </c>
      <c r="L91" s="11">
        <v>0.2322749157834183</v>
      </c>
      <c r="M91" s="11">
        <v>0.96731213536044902</v>
      </c>
    </row>
    <row r="92" spans="1:13" x14ac:dyDescent="0.3">
      <c r="A92" s="13">
        <v>42418</v>
      </c>
      <c r="B92" s="11">
        <v>1.2347152130437085E-2</v>
      </c>
      <c r="C92" s="11">
        <v>1.3095719741883088E-5</v>
      </c>
      <c r="D92" s="11">
        <v>3.6815898800298157E-5</v>
      </c>
      <c r="E92" s="11">
        <v>8.0553036946262299E-2</v>
      </c>
      <c r="F92" s="11">
        <v>0.27285284596399778</v>
      </c>
      <c r="G92" s="11">
        <v>0.25210561855909563</v>
      </c>
      <c r="H92" s="11">
        <v>6.1349697819379649E-2</v>
      </c>
      <c r="I92" s="11">
        <v>9.2955178040396533E-2</v>
      </c>
      <c r="J92" s="11">
        <v>8.4487103722673279E-6</v>
      </c>
      <c r="K92" s="11">
        <v>1.7734390211891516E-5</v>
      </c>
      <c r="L92" s="11">
        <v>0.22776037582130462</v>
      </c>
      <c r="M92" s="11">
        <v>0.96763100148787762</v>
      </c>
    </row>
    <row r="93" spans="1:13" x14ac:dyDescent="0.3">
      <c r="A93" s="13">
        <v>42426</v>
      </c>
      <c r="B93" s="11">
        <v>6.148611321779271E-4</v>
      </c>
      <c r="C93" s="11">
        <v>6.8601550274178951E-7</v>
      </c>
      <c r="D93" s="11">
        <v>2.076682027996035E-6</v>
      </c>
      <c r="E93" s="11">
        <v>5.1478851763732882E-2</v>
      </c>
      <c r="F93" s="11">
        <v>0.26628747756038784</v>
      </c>
      <c r="G93" s="11">
        <v>0.26567483125296198</v>
      </c>
      <c r="H93" s="11">
        <v>7.528753093576751E-2</v>
      </c>
      <c r="I93" s="11">
        <v>0.12495933948465698</v>
      </c>
      <c r="J93" s="11">
        <v>4.5520062902687573E-7</v>
      </c>
      <c r="K93" s="11">
        <v>9.8610386076069847E-7</v>
      </c>
      <c r="L93" s="11">
        <v>0.21569290386829437</v>
      </c>
      <c r="M93" s="11">
        <v>0.96868688179628704</v>
      </c>
    </row>
    <row r="94" spans="1:13" x14ac:dyDescent="0.3">
      <c r="A94" s="13">
        <v>42433</v>
      </c>
      <c r="B94" s="11">
        <v>9.1211781554240303E-5</v>
      </c>
      <c r="C94" s="11">
        <v>4.2368446349141338E-6</v>
      </c>
      <c r="D94" s="11">
        <v>1.3653224836997659E-5</v>
      </c>
      <c r="E94" s="11">
        <v>4.9694590120605522E-2</v>
      </c>
      <c r="F94" s="11">
        <v>0.26084833508238708</v>
      </c>
      <c r="G94" s="11">
        <v>0.2849681168220235</v>
      </c>
      <c r="H94" s="11">
        <v>6.6863329549988318E-2</v>
      </c>
      <c r="I94" s="11">
        <v>0.12367512309216654</v>
      </c>
      <c r="J94" s="11">
        <v>2.6702327267649485E-6</v>
      </c>
      <c r="K94" s="11">
        <v>4.1000783715526893E-6</v>
      </c>
      <c r="L94" s="11">
        <v>0.21383463317070461</v>
      </c>
      <c r="M94" s="11">
        <v>0.96704806885943562</v>
      </c>
    </row>
    <row r="95" spans="1:13" x14ac:dyDescent="0.3">
      <c r="A95" s="13">
        <v>42440</v>
      </c>
      <c r="B95" s="11">
        <v>8.5721395190203073E-5</v>
      </c>
      <c r="C95" s="11">
        <v>5.7535848682884664E-6</v>
      </c>
      <c r="D95" s="11">
        <v>1.7944421034187444E-5</v>
      </c>
      <c r="E95" s="11">
        <v>2.8846518358171442E-2</v>
      </c>
      <c r="F95" s="11">
        <v>0.22785934521021112</v>
      </c>
      <c r="G95" s="11">
        <v>0.29751513529642981</v>
      </c>
      <c r="H95" s="11">
        <v>0.11498627738225092</v>
      </c>
      <c r="I95" s="11">
        <v>0.12251805834915772</v>
      </c>
      <c r="J95" s="11">
        <v>3.6904372768007853E-6</v>
      </c>
      <c r="K95" s="11">
        <v>4.6818970626803298E-6</v>
      </c>
      <c r="L95" s="11">
        <v>0.20815687366834693</v>
      </c>
      <c r="M95" s="11">
        <v>0.962435039289116</v>
      </c>
    </row>
    <row r="96" spans="1:13" x14ac:dyDescent="0.3">
      <c r="A96" s="13">
        <v>42447</v>
      </c>
      <c r="B96" s="11">
        <v>3.2919370812159268E-3</v>
      </c>
      <c r="C96" s="11">
        <v>3.4457638756912954E-6</v>
      </c>
      <c r="D96" s="11">
        <v>1.0206857675489446E-5</v>
      </c>
      <c r="E96" s="11">
        <v>2.6217730891223111E-2</v>
      </c>
      <c r="F96" s="11">
        <v>0.21276607709347098</v>
      </c>
      <c r="G96" s="11">
        <v>0.27651357784325931</v>
      </c>
      <c r="H96" s="11">
        <v>0.15579117285942884</v>
      </c>
      <c r="I96" s="11">
        <v>0.11894939631298639</v>
      </c>
      <c r="J96" s="11">
        <v>2.21251416081248E-6</v>
      </c>
      <c r="K96" s="11">
        <v>3.6107374944263971E-6</v>
      </c>
      <c r="L96" s="11">
        <v>0.206450632045209</v>
      </c>
      <c r="M96" s="11">
        <v>0.96280044198952541</v>
      </c>
    </row>
    <row r="97" spans="1:13" x14ac:dyDescent="0.3">
      <c r="A97" s="13">
        <v>42454</v>
      </c>
      <c r="B97" s="11">
        <v>8.8411152391500211E-3</v>
      </c>
      <c r="C97" s="11">
        <v>6.6358789297653768E-6</v>
      </c>
      <c r="D97" s="11">
        <v>1.6804208250515618E-5</v>
      </c>
      <c r="E97" s="11">
        <v>2.071935637907444E-2</v>
      </c>
      <c r="F97" s="11">
        <v>0.1768107866765308</v>
      </c>
      <c r="G97" s="11">
        <v>0.22588877805518612</v>
      </c>
      <c r="H97" s="11">
        <v>0.23931850808064739</v>
      </c>
      <c r="I97" s="11">
        <v>0.12964876853361171</v>
      </c>
      <c r="J97" s="11">
        <v>4.2181413934786854E-6</v>
      </c>
      <c r="K97" s="11">
        <v>9.3232473280989924E-6</v>
      </c>
      <c r="L97" s="11">
        <v>0.19873570555989767</v>
      </c>
      <c r="M97" s="11">
        <v>0.96560914791836727</v>
      </c>
    </row>
    <row r="98" spans="1:13" x14ac:dyDescent="0.3">
      <c r="A98" s="13">
        <v>42461</v>
      </c>
      <c r="B98" s="11">
        <v>4.7381116840942614E-5</v>
      </c>
      <c r="C98" s="11">
        <v>1.815080894525927E-5</v>
      </c>
      <c r="D98" s="11">
        <v>4.1811970559523223E-5</v>
      </c>
      <c r="E98" s="11">
        <v>3.6904450586048611E-2</v>
      </c>
      <c r="F98" s="11">
        <v>0.1477471858668975</v>
      </c>
      <c r="G98" s="11">
        <v>0.20496269033685452</v>
      </c>
      <c r="H98" s="11">
        <v>0.28375366599046442</v>
      </c>
      <c r="I98" s="11">
        <v>0.12013184094703887</v>
      </c>
      <c r="J98" s="11">
        <v>1.0393813918092509E-5</v>
      </c>
      <c r="K98" s="11">
        <v>2.7957258147928696E-5</v>
      </c>
      <c r="L98" s="11">
        <v>0.20635447130428441</v>
      </c>
      <c r="M98" s="11">
        <v>0.96579323856418064</v>
      </c>
    </row>
    <row r="99" spans="1:13" x14ac:dyDescent="0.3">
      <c r="A99" s="13">
        <v>42468</v>
      </c>
      <c r="B99" s="11">
        <v>6.3443930954858621E-5</v>
      </c>
      <c r="C99" s="11">
        <v>2.2899043753092595E-5</v>
      </c>
      <c r="D99" s="11">
        <v>6.3938682540384193E-5</v>
      </c>
      <c r="E99" s="11">
        <v>5.2924015278018446E-2</v>
      </c>
      <c r="F99" s="11">
        <v>0.15185107313585555</v>
      </c>
      <c r="G99" s="11">
        <v>0.20300248181408165</v>
      </c>
      <c r="H99" s="11">
        <v>0.26742720262863789</v>
      </c>
      <c r="I99" s="11">
        <v>0.11653332653521439</v>
      </c>
      <c r="J99" s="11">
        <v>1.3555457980955465E-5</v>
      </c>
      <c r="K99" s="11">
        <v>3.151661910304345E-5</v>
      </c>
      <c r="L99" s="11">
        <v>0.20806654687385978</v>
      </c>
      <c r="M99" s="11">
        <v>0.96575354888499676</v>
      </c>
    </row>
    <row r="100" spans="1:13" x14ac:dyDescent="0.3">
      <c r="A100" s="13">
        <v>42475</v>
      </c>
      <c r="B100" s="11">
        <v>7.2057360916407835E-5</v>
      </c>
      <c r="C100" s="11">
        <v>2.5645505303493966E-5</v>
      </c>
      <c r="D100" s="11">
        <v>7.1887118210720317E-5</v>
      </c>
      <c r="E100" s="11">
        <v>5.0523395431947317E-2</v>
      </c>
      <c r="F100" s="11">
        <v>0.14244838012739661</v>
      </c>
      <c r="G100" s="11">
        <v>0.19552881456953161</v>
      </c>
      <c r="H100" s="11">
        <v>0.28640442399143451</v>
      </c>
      <c r="I100" s="11">
        <v>0.11701275502003074</v>
      </c>
      <c r="J100" s="11">
        <v>1.5773676060343524E-5</v>
      </c>
      <c r="K100" s="11">
        <v>3.1001088981467834E-5</v>
      </c>
      <c r="L100" s="11">
        <v>0.20786586611018676</v>
      </c>
      <c r="M100" s="11">
        <v>0.96560637444115316</v>
      </c>
    </row>
    <row r="101" spans="1:13" x14ac:dyDescent="0.3">
      <c r="A101" s="13">
        <v>42482</v>
      </c>
      <c r="B101" s="11">
        <v>5.6689137731026886E-5</v>
      </c>
      <c r="C101" s="11">
        <v>2.6245712541978329E-5</v>
      </c>
      <c r="D101" s="11">
        <v>8.529971994855643E-5</v>
      </c>
      <c r="E101" s="11">
        <v>7.5677670667225694E-2</v>
      </c>
      <c r="F101" s="11">
        <v>0.13280283305579155</v>
      </c>
      <c r="G101" s="11">
        <v>0.18297890237426698</v>
      </c>
      <c r="H101" s="11">
        <v>0.28914980392293838</v>
      </c>
      <c r="I101" s="11">
        <v>0.10699206431508099</v>
      </c>
      <c r="J101" s="11">
        <v>1.5317247847440111E-5</v>
      </c>
      <c r="K101" s="11">
        <v>3.7016353529962743E-5</v>
      </c>
      <c r="L101" s="11">
        <v>0.21217815749309746</v>
      </c>
      <c r="M101" s="11">
        <v>0.96356571647567912</v>
      </c>
    </row>
    <row r="102" spans="1:13" x14ac:dyDescent="0.3">
      <c r="A102" s="13">
        <v>42488</v>
      </c>
      <c r="B102" s="11">
        <v>4.5071134346533941E-5</v>
      </c>
      <c r="C102" s="11">
        <v>2.8070321448472455E-5</v>
      </c>
      <c r="D102" s="11">
        <v>8.229628414762489E-5</v>
      </c>
      <c r="E102" s="11">
        <v>6.9687676515822736E-2</v>
      </c>
      <c r="F102" s="11">
        <v>0.13769304725150094</v>
      </c>
      <c r="G102" s="11">
        <v>0.18409267721554551</v>
      </c>
      <c r="H102" s="11">
        <v>0.28543431740111963</v>
      </c>
      <c r="I102" s="11">
        <v>0.11322189616922784</v>
      </c>
      <c r="J102" s="11">
        <v>1.452753566422703E-5</v>
      </c>
      <c r="K102" s="11">
        <v>4.489553415959785E-5</v>
      </c>
      <c r="L102" s="11">
        <v>0.20965552463701681</v>
      </c>
      <c r="M102" s="11">
        <v>0.96318239618843582</v>
      </c>
    </row>
    <row r="103" spans="1:13" x14ac:dyDescent="0.3">
      <c r="A103" s="13">
        <v>42496</v>
      </c>
      <c r="B103" s="11">
        <v>3.615907621829506E-5</v>
      </c>
      <c r="C103" s="11">
        <v>3.0248941743128581E-5</v>
      </c>
      <c r="D103" s="11">
        <v>6.090525875533484E-5</v>
      </c>
      <c r="E103" s="11">
        <v>4.827817100731497E-2</v>
      </c>
      <c r="F103" s="11">
        <v>0.13438744444738873</v>
      </c>
      <c r="G103" s="11">
        <v>0.19115750005590462</v>
      </c>
      <c r="H103" s="11">
        <v>0.29584481272101104</v>
      </c>
      <c r="I103" s="11">
        <v>0.1316254306693776</v>
      </c>
      <c r="J103" s="11">
        <v>1.3860319155722835E-5</v>
      </c>
      <c r="K103" s="11">
        <v>3.1196708846530908E-5</v>
      </c>
      <c r="L103" s="11">
        <v>0.19853427079428401</v>
      </c>
      <c r="M103" s="11">
        <v>0.96381779439964299</v>
      </c>
    </row>
    <row r="104" spans="1:13" x14ac:dyDescent="0.3">
      <c r="A104" s="13">
        <v>42503</v>
      </c>
      <c r="B104" s="11">
        <v>3.4507440575008652E-5</v>
      </c>
      <c r="C104" s="11">
        <v>2.9710722147549616E-5</v>
      </c>
      <c r="D104" s="11">
        <v>6.2532264872617956E-5</v>
      </c>
      <c r="E104" s="11">
        <v>4.8697000247725962E-2</v>
      </c>
      <c r="F104" s="11">
        <v>0.13466391412838927</v>
      </c>
      <c r="G104" s="11">
        <v>0.18656541268320062</v>
      </c>
      <c r="H104" s="11">
        <v>0.29685659755960669</v>
      </c>
      <c r="I104" s="11">
        <v>0.13079709261252528</v>
      </c>
      <c r="J104" s="11">
        <v>1.4001655538458081E-5</v>
      </c>
      <c r="K104" s="11">
        <v>2.9979632904684972E-5</v>
      </c>
      <c r="L104" s="11">
        <v>0.20224925105251398</v>
      </c>
      <c r="M104" s="11">
        <v>0.9619622772720221</v>
      </c>
    </row>
    <row r="105" spans="1:13" x14ac:dyDescent="0.3">
      <c r="A105" s="13">
        <v>42513</v>
      </c>
      <c r="B105" s="11">
        <v>4.5698719332701574E-5</v>
      </c>
      <c r="C105" s="11">
        <v>2.5505512240100082E-5</v>
      </c>
      <c r="D105" s="11">
        <v>8.137588270894172E-5</v>
      </c>
      <c r="E105" s="11">
        <v>4.4929225963380795E-2</v>
      </c>
      <c r="F105" s="11">
        <v>0.12657613562677936</v>
      </c>
      <c r="G105" s="11">
        <v>0.18883853697161412</v>
      </c>
      <c r="H105" s="11">
        <v>0.30860134336100203</v>
      </c>
      <c r="I105" s="11">
        <v>0.1299606474047903</v>
      </c>
      <c r="J105" s="11">
        <v>1.3099083504263467E-5</v>
      </c>
      <c r="K105" s="11">
        <v>2.2496109958820884E-5</v>
      </c>
      <c r="L105" s="11">
        <v>0.20090593536468851</v>
      </c>
      <c r="M105" s="11">
        <v>0.961740738392316</v>
      </c>
    </row>
    <row r="106" spans="1:13" x14ac:dyDescent="0.3">
      <c r="A106" s="13">
        <v>42520.5</v>
      </c>
      <c r="B106" s="11">
        <v>4.7286576197295403E-5</v>
      </c>
      <c r="C106" s="11">
        <v>2.5795923211244285E-5</v>
      </c>
      <c r="D106" s="11">
        <v>8.3747435128628221E-5</v>
      </c>
      <c r="E106" s="11">
        <v>4.6643863086109023E-2</v>
      </c>
      <c r="F106" s="11">
        <v>0.1261558946483162</v>
      </c>
      <c r="G106" s="11">
        <v>0.1888962472232153</v>
      </c>
      <c r="H106" s="11">
        <v>0.30761344596074142</v>
      </c>
      <c r="I106" s="11">
        <v>0.13012097344726947</v>
      </c>
      <c r="J106" s="11">
        <v>1.3105848733504727E-5</v>
      </c>
      <c r="K106" s="11">
        <v>2.184735657659116E-5</v>
      </c>
      <c r="L106" s="11">
        <v>0.20037779249450138</v>
      </c>
      <c r="M106" s="11">
        <v>0.96151298959858977</v>
      </c>
    </row>
    <row r="107" spans="1:13" x14ac:dyDescent="0.3">
      <c r="A107" s="13">
        <v>42527.5</v>
      </c>
      <c r="B107" s="11">
        <v>4.5190550356206801E-5</v>
      </c>
      <c r="C107" s="11">
        <v>2.2995717703361286E-5</v>
      </c>
      <c r="D107" s="11">
        <v>7.5227732256404319E-5</v>
      </c>
      <c r="E107" s="11">
        <v>4.0231363592306661E-2</v>
      </c>
      <c r="F107" s="11">
        <v>0.1289373890116626</v>
      </c>
      <c r="G107" s="11">
        <v>0.19683257580568708</v>
      </c>
      <c r="H107" s="11">
        <v>0.30727056983144158</v>
      </c>
      <c r="I107" s="11">
        <v>0.12995644731559652</v>
      </c>
      <c r="J107" s="11">
        <v>1.1793795985281787E-5</v>
      </c>
      <c r="K107" s="11">
        <v>1.9462248050021784E-5</v>
      </c>
      <c r="L107" s="11">
        <v>0.19659698439895437</v>
      </c>
      <c r="M107" s="11">
        <v>0.94754243402259641</v>
      </c>
    </row>
    <row r="108" spans="1:13" x14ac:dyDescent="0.3">
      <c r="A108" s="13">
        <v>42534.5</v>
      </c>
      <c r="B108" s="11">
        <v>3.8487437733852616E-5</v>
      </c>
      <c r="C108" s="11">
        <v>2.3810897622989407E-5</v>
      </c>
      <c r="D108" s="11">
        <v>8.1607177539888125E-5</v>
      </c>
      <c r="E108" s="11">
        <v>3.6859544821231688E-2</v>
      </c>
      <c r="F108" s="11">
        <v>0.12868335838505418</v>
      </c>
      <c r="G108" s="11">
        <v>0.20114853779139433</v>
      </c>
      <c r="H108" s="11">
        <v>0.3062693429897908</v>
      </c>
      <c r="I108" s="11">
        <v>0.14377125225384138</v>
      </c>
      <c r="J108" s="11">
        <v>1.2142783699642033E-5</v>
      </c>
      <c r="K108" s="11">
        <v>2.3715850485695615E-5</v>
      </c>
      <c r="L108" s="11">
        <v>0.18308819961160552</v>
      </c>
      <c r="M108" s="11">
        <v>0.93599113810690782</v>
      </c>
    </row>
    <row r="109" spans="1:13" x14ac:dyDescent="0.3">
      <c r="A109" s="13">
        <v>42541</v>
      </c>
      <c r="B109" s="11">
        <v>4.1624805032353117E-5</v>
      </c>
      <c r="C109" s="11">
        <v>3.1991089701339143E-5</v>
      </c>
      <c r="D109" s="11">
        <v>8.6863797569079558E-5</v>
      </c>
      <c r="E109" s="11">
        <v>7.3539046388354651E-2</v>
      </c>
      <c r="F109" s="11">
        <v>0.11981235395743113</v>
      </c>
      <c r="G109" s="11">
        <v>0.18795009467911475</v>
      </c>
      <c r="H109" s="11">
        <v>0.29603784478662076</v>
      </c>
      <c r="I109" s="11">
        <v>0.13877852749042718</v>
      </c>
      <c r="J109" s="11">
        <v>1.4483031311705617E-5</v>
      </c>
      <c r="K109" s="11">
        <v>3.1729599211973118E-5</v>
      </c>
      <c r="L109" s="11">
        <v>0.18367544037522518</v>
      </c>
      <c r="M109" s="11">
        <v>0.93533786169690603</v>
      </c>
    </row>
    <row r="110" spans="1:13" x14ac:dyDescent="0.3">
      <c r="A110" s="13">
        <v>42548.5</v>
      </c>
      <c r="B110" s="11">
        <v>1.8374939826042078E-2</v>
      </c>
      <c r="C110" s="11">
        <v>1.853978722268924E-5</v>
      </c>
      <c r="D110" s="11">
        <v>8.698070450159362E-2</v>
      </c>
      <c r="E110" s="11">
        <v>0.23053616849496478</v>
      </c>
      <c r="F110" s="11">
        <v>2.7184064939959295E-2</v>
      </c>
      <c r="G110" s="11">
        <v>0.15646728351510092</v>
      </c>
      <c r="H110" s="11">
        <v>0.3376660909822965</v>
      </c>
      <c r="I110" s="11">
        <v>4.3738989365420845E-2</v>
      </c>
      <c r="J110" s="11">
        <v>3.138930671077993E-5</v>
      </c>
      <c r="K110" s="11">
        <v>3.482060305002695E-5</v>
      </c>
      <c r="L110" s="11">
        <v>9.8967008677638524E-2</v>
      </c>
      <c r="M110" s="11">
        <v>0.97135809314652455</v>
      </c>
    </row>
    <row r="111" spans="1:13" x14ac:dyDescent="0.3">
      <c r="A111" s="13">
        <v>42559</v>
      </c>
      <c r="B111" s="11">
        <v>1.6797175140407943E-2</v>
      </c>
      <c r="C111" s="11">
        <v>3.2454367152929985E-5</v>
      </c>
      <c r="D111" s="11">
        <v>4.0023577853483067E-2</v>
      </c>
      <c r="E111" s="11">
        <v>0.19035083486868187</v>
      </c>
      <c r="F111" s="11">
        <v>6.6697329935947083E-2</v>
      </c>
      <c r="G111" s="11">
        <v>0.17181784828953844</v>
      </c>
      <c r="H111" s="11">
        <v>0.32202664653572655</v>
      </c>
      <c r="I111" s="11">
        <v>8.8004260492796207E-2</v>
      </c>
      <c r="J111" s="11">
        <v>4.5920839613863882E-5</v>
      </c>
      <c r="K111" s="11">
        <v>8.5825176913684425E-5</v>
      </c>
      <c r="L111" s="11">
        <v>0.10411812649973839</v>
      </c>
      <c r="M111" s="11">
        <v>0.97332009857453983</v>
      </c>
    </row>
    <row r="112" spans="1:13" x14ac:dyDescent="0.3">
      <c r="A112" s="13">
        <v>42566</v>
      </c>
      <c r="B112" s="11">
        <v>7.346303028946336E-3</v>
      </c>
      <c r="C112" s="11">
        <v>1.3347949499117278E-5</v>
      </c>
      <c r="D112" s="11">
        <v>4.6958635243861999E-2</v>
      </c>
      <c r="E112" s="11">
        <v>0.18928530859729359</v>
      </c>
      <c r="F112" s="11">
        <v>7.3790421182917287E-2</v>
      </c>
      <c r="G112" s="11">
        <v>0.1788272678492174</v>
      </c>
      <c r="H112" s="11">
        <v>0.30862239010537246</v>
      </c>
      <c r="I112" s="11">
        <v>9.3864260266989186E-2</v>
      </c>
      <c r="J112" s="11">
        <v>2.0187619022245204E-5</v>
      </c>
      <c r="K112" s="11">
        <v>8.7744203142600891E-5</v>
      </c>
      <c r="L112" s="11">
        <v>0.10118413395373785</v>
      </c>
      <c r="M112" s="11">
        <v>0.97258461677645214</v>
      </c>
    </row>
    <row r="113" spans="1:13" x14ac:dyDescent="0.3">
      <c r="A113" s="13">
        <v>42573</v>
      </c>
      <c r="B113" s="11">
        <v>8.6093481787611736E-5</v>
      </c>
      <c r="C113" s="11">
        <v>1.5718440406939803E-5</v>
      </c>
      <c r="D113" s="11">
        <v>5.0744500555306174E-2</v>
      </c>
      <c r="E113" s="11">
        <v>0.19372251469869201</v>
      </c>
      <c r="F113" s="11">
        <v>6.9254390713306829E-2</v>
      </c>
      <c r="G113" s="11">
        <v>0.18067440953461286</v>
      </c>
      <c r="H113" s="11">
        <v>0.29585989081289782</v>
      </c>
      <c r="I113" s="11">
        <v>0.10213561159017731</v>
      </c>
      <c r="J113" s="11">
        <v>3.1818198693704772E-5</v>
      </c>
      <c r="K113" s="11">
        <v>4.3706753600862761E-5</v>
      </c>
      <c r="L113" s="11">
        <v>0.10743134522051789</v>
      </c>
      <c r="M113" s="11">
        <v>0.96948486446868043</v>
      </c>
    </row>
    <row r="114" spans="1:13" x14ac:dyDescent="0.3">
      <c r="A114" s="13">
        <v>42580</v>
      </c>
      <c r="B114" s="11">
        <v>2.9803479578720714E-2</v>
      </c>
      <c r="C114" s="11">
        <v>1.9439713654024745E-5</v>
      </c>
      <c r="D114" s="11">
        <v>3.8767849116113744E-2</v>
      </c>
      <c r="E114" s="11">
        <v>0.20395068632794416</v>
      </c>
      <c r="F114" s="11">
        <v>6.235922703322954E-2</v>
      </c>
      <c r="G114" s="11">
        <v>0.18085777945686374</v>
      </c>
      <c r="H114" s="11">
        <v>0.29864886629445209</v>
      </c>
      <c r="I114" s="11">
        <v>9.2312741764990852E-2</v>
      </c>
      <c r="J114" s="11">
        <v>3.4977088143584642E-5</v>
      </c>
      <c r="K114" s="11">
        <v>8.4745121341907431E-5</v>
      </c>
      <c r="L114" s="11">
        <v>9.3160208504545691E-2</v>
      </c>
      <c r="M114" s="11">
        <v>0.97156046738788937</v>
      </c>
    </row>
    <row r="115" spans="1:13" x14ac:dyDescent="0.3">
      <c r="A115" s="13">
        <v>42587</v>
      </c>
      <c r="B115" s="11">
        <v>3.6431602781633092E-2</v>
      </c>
      <c r="C115" s="11">
        <v>2.2373916394827999E-5</v>
      </c>
      <c r="D115" s="11">
        <v>3.4893253098563927E-2</v>
      </c>
      <c r="E115" s="11">
        <v>0.204809366818446</v>
      </c>
      <c r="F115" s="11">
        <v>6.3789107003626486E-2</v>
      </c>
      <c r="G115" s="11">
        <v>0.18430513769696111</v>
      </c>
      <c r="H115" s="11">
        <v>0.29461160962746974</v>
      </c>
      <c r="I115" s="11">
        <v>9.1163815807256479E-2</v>
      </c>
      <c r="J115" s="11">
        <v>4.0007448458198743E-5</v>
      </c>
      <c r="K115" s="11">
        <v>8.3392834846365924E-5</v>
      </c>
      <c r="L115" s="11">
        <v>8.9850332966343746E-2</v>
      </c>
      <c r="M115" s="11">
        <v>0.9709693341417629</v>
      </c>
    </row>
    <row r="116" spans="1:13" x14ac:dyDescent="0.3">
      <c r="A116" s="13">
        <v>42594</v>
      </c>
      <c r="B116" s="11">
        <v>5.2970898984499443E-2</v>
      </c>
      <c r="C116" s="11">
        <v>4.5191618293988816E-6</v>
      </c>
      <c r="D116" s="11">
        <v>8.3215836186849426E-5</v>
      </c>
      <c r="E116" s="11">
        <v>0.21050313176440744</v>
      </c>
      <c r="F116" s="11">
        <v>3.2046521631788283E-2</v>
      </c>
      <c r="G116" s="11">
        <v>0.21101928532330438</v>
      </c>
      <c r="H116" s="11">
        <v>0.24319006373287327</v>
      </c>
      <c r="I116" s="11">
        <v>0.10939719491308822</v>
      </c>
      <c r="J116" s="11">
        <v>2.9593163759208048E-6</v>
      </c>
      <c r="K116" s="11">
        <v>1.7835799720705755E-2</v>
      </c>
      <c r="L116" s="11">
        <v>0.12294640961494099</v>
      </c>
      <c r="M116" s="11">
        <v>0.97085825597621433</v>
      </c>
    </row>
    <row r="117" spans="1:13" x14ac:dyDescent="0.3">
      <c r="A117" s="13">
        <v>42601</v>
      </c>
      <c r="B117" s="11">
        <v>6.1315244393866333E-2</v>
      </c>
      <c r="C117" s="11">
        <v>7.5035314292917885E-7</v>
      </c>
      <c r="D117" s="11">
        <v>9.2176617758999425E-5</v>
      </c>
      <c r="E117" s="11">
        <v>0.2143392367905379</v>
      </c>
      <c r="F117" s="11">
        <v>2.7979122335137718E-2</v>
      </c>
      <c r="G117" s="11">
        <v>0.20416760994560884</v>
      </c>
      <c r="H117" s="11">
        <v>0.25533329690047646</v>
      </c>
      <c r="I117" s="11">
        <v>9.5563771003923173E-2</v>
      </c>
      <c r="J117" s="11">
        <v>5.2003776918049531E-7</v>
      </c>
      <c r="K117" s="11">
        <v>1.8816685457569031E-2</v>
      </c>
      <c r="L117" s="11">
        <v>0.12239158616420936</v>
      </c>
      <c r="M117" s="11">
        <v>0.9705226162096604</v>
      </c>
    </row>
    <row r="118" spans="1:13" x14ac:dyDescent="0.3">
      <c r="A118" s="13">
        <v>42608</v>
      </c>
      <c r="B118" s="11">
        <v>6.2411842030752548E-2</v>
      </c>
      <c r="C118" s="11">
        <v>6.7741335570292164E-7</v>
      </c>
      <c r="D118" s="11">
        <v>9.1661619476682328E-5</v>
      </c>
      <c r="E118" s="11">
        <v>0.21490061354621745</v>
      </c>
      <c r="F118" s="11">
        <v>2.7942259322107605E-2</v>
      </c>
      <c r="G118" s="11">
        <v>0.20276388967996406</v>
      </c>
      <c r="H118" s="11">
        <v>0.25618018840433721</v>
      </c>
      <c r="I118" s="11">
        <v>9.5258830092866204E-2</v>
      </c>
      <c r="J118" s="11">
        <v>4.7182812825449655E-7</v>
      </c>
      <c r="K118" s="11">
        <v>1.7574854322541775E-2</v>
      </c>
      <c r="L118" s="11">
        <v>0.12287471174025252</v>
      </c>
      <c r="M118" s="11">
        <v>0.97182372228847713</v>
      </c>
    </row>
    <row r="119" spans="1:13" x14ac:dyDescent="0.3">
      <c r="A119" s="13">
        <v>42615</v>
      </c>
      <c r="B119" s="11">
        <v>7.6098470477743999E-2</v>
      </c>
      <c r="C119" s="11">
        <v>1.7676800343044372E-6</v>
      </c>
      <c r="D119" s="11">
        <v>9.3279421446399317E-5</v>
      </c>
      <c r="E119" s="11">
        <v>0.20043653642314027</v>
      </c>
      <c r="F119" s="11">
        <v>4.0601298495456128E-2</v>
      </c>
      <c r="G119" s="11">
        <v>0.22341637695936406</v>
      </c>
      <c r="H119" s="11">
        <v>0.23868428065684363</v>
      </c>
      <c r="I119" s="11">
        <v>9.9397601734244334E-2</v>
      </c>
      <c r="J119" s="11">
        <v>1.0621745278327401E-6</v>
      </c>
      <c r="K119" s="11">
        <v>2.6055385322629201E-3</v>
      </c>
      <c r="L119" s="11">
        <v>0.11866378744493614</v>
      </c>
      <c r="M119" s="11">
        <v>0.96563267026226174</v>
      </c>
    </row>
    <row r="120" spans="1:13" x14ac:dyDescent="0.3">
      <c r="A120" s="13">
        <v>42621.5</v>
      </c>
      <c r="B120" s="11">
        <v>7.0319005753122457E-2</v>
      </c>
      <c r="C120" s="11">
        <v>1.150697830490423E-6</v>
      </c>
      <c r="D120" s="11">
        <v>1.0380441894805364E-2</v>
      </c>
      <c r="E120" s="11">
        <v>0.19178349089471683</v>
      </c>
      <c r="F120" s="11">
        <v>4.9662416278836677E-2</v>
      </c>
      <c r="G120" s="11">
        <v>0.23826129241665561</v>
      </c>
      <c r="H120" s="11">
        <v>0.22159874420334461</v>
      </c>
      <c r="I120" s="11">
        <v>8.6596214499627372E-2</v>
      </c>
      <c r="J120" s="11">
        <v>6.2210819673453874E-7</v>
      </c>
      <c r="K120" s="11">
        <v>1.3338715542037777E-4</v>
      </c>
      <c r="L120" s="11">
        <v>0.13126323409744345</v>
      </c>
      <c r="M120" s="11">
        <v>0.96448459267932907</v>
      </c>
    </row>
    <row r="121" spans="1:13" x14ac:dyDescent="0.3">
      <c r="A121" s="13">
        <v>42629</v>
      </c>
      <c r="B121" s="11">
        <v>7.0430943867606677E-2</v>
      </c>
      <c r="C121" s="11">
        <v>2.4332571204520411E-6</v>
      </c>
      <c r="D121" s="11">
        <v>9.8357957013626308E-3</v>
      </c>
      <c r="E121" s="11">
        <v>0.19048367089923848</v>
      </c>
      <c r="F121" s="11">
        <v>5.1136746143418073E-2</v>
      </c>
      <c r="G121" s="11">
        <v>0.23860060775456252</v>
      </c>
      <c r="H121" s="11">
        <v>0.22245402765612199</v>
      </c>
      <c r="I121" s="11">
        <v>8.7324996926719328E-2</v>
      </c>
      <c r="J121" s="11">
        <v>1.3167285612655601E-6</v>
      </c>
      <c r="K121" s="11">
        <v>9.6460881475759051E-5</v>
      </c>
      <c r="L121" s="11">
        <v>0.1296330001838128</v>
      </c>
      <c r="M121" s="11">
        <v>0.95868819581801268</v>
      </c>
    </row>
    <row r="122" spans="1:13" x14ac:dyDescent="0.3">
      <c r="A122" s="13">
        <v>42636</v>
      </c>
      <c r="B122" s="11">
        <v>8.3291587445968138E-2</v>
      </c>
      <c r="C122" s="11">
        <v>1.4438304904150537E-6</v>
      </c>
      <c r="D122" s="11">
        <v>8.7969237770991614E-5</v>
      </c>
      <c r="E122" s="11">
        <v>0.20670900482439805</v>
      </c>
      <c r="F122" s="11">
        <v>4.2772356992262506E-2</v>
      </c>
      <c r="G122" s="11">
        <v>0.22402490153258037</v>
      </c>
      <c r="H122" s="11">
        <v>0.23017208180885973</v>
      </c>
      <c r="I122" s="11">
        <v>8.235347935174385E-2</v>
      </c>
      <c r="J122" s="11">
        <v>7.341556910811755E-7</v>
      </c>
      <c r="K122" s="11">
        <v>3.6819350269843656E-3</v>
      </c>
      <c r="L122" s="11">
        <v>0.1269045057932506</v>
      </c>
      <c r="M122" s="11">
        <v>0.96065031218346242</v>
      </c>
    </row>
    <row r="123" spans="1:13" x14ac:dyDescent="0.3">
      <c r="A123" s="13">
        <v>42643</v>
      </c>
      <c r="B123" s="11">
        <v>8.5644221264602999E-2</v>
      </c>
      <c r="C123" s="11">
        <v>7.5737240438932336E-6</v>
      </c>
      <c r="D123" s="11">
        <v>8.4608172305374572E-5</v>
      </c>
      <c r="E123" s="11">
        <v>0.20630094506840008</v>
      </c>
      <c r="F123" s="11">
        <v>3.7437855894415742E-2</v>
      </c>
      <c r="G123" s="11">
        <v>0.21985560464383105</v>
      </c>
      <c r="H123" s="11">
        <v>0.22772945142408657</v>
      </c>
      <c r="I123" s="11">
        <v>9.4161614821401923E-2</v>
      </c>
      <c r="J123" s="11">
        <v>5.6405597369951039E-6</v>
      </c>
      <c r="K123" s="11">
        <v>3.5529977379714106E-3</v>
      </c>
      <c r="L123" s="11">
        <v>0.12521948668920402</v>
      </c>
      <c r="M123" s="11">
        <v>0.96111978341822291</v>
      </c>
    </row>
    <row r="124" spans="1:13" x14ac:dyDescent="0.3">
      <c r="A124" s="13">
        <v>42650</v>
      </c>
      <c r="B124" s="11">
        <v>9.3110952790329243E-2</v>
      </c>
      <c r="C124" s="11">
        <v>2.1467134107371353E-5</v>
      </c>
      <c r="D124" s="11">
        <v>8.7842127875888145E-5</v>
      </c>
      <c r="E124" s="11">
        <v>0.19948713277306446</v>
      </c>
      <c r="F124" s="11">
        <v>3.1044107015247908E-2</v>
      </c>
      <c r="G124" s="11">
        <v>0.23736549400067067</v>
      </c>
      <c r="H124" s="11">
        <v>0.21878561034781893</v>
      </c>
      <c r="I124" s="11">
        <v>8.2209948921313961E-2</v>
      </c>
      <c r="J124" s="11">
        <v>1.5420006806539095E-5</v>
      </c>
      <c r="K124" s="11">
        <v>1.050290406326268E-2</v>
      </c>
      <c r="L124" s="11">
        <v>0.12736912081950247</v>
      </c>
      <c r="M124" s="11">
        <v>0.95945560189524959</v>
      </c>
    </row>
    <row r="125" spans="1:13" x14ac:dyDescent="0.3">
      <c r="A125" s="13">
        <v>42657</v>
      </c>
      <c r="B125" s="11">
        <v>8.7570008822156598E-2</v>
      </c>
      <c r="C125" s="11">
        <v>7.8132248089319203E-6</v>
      </c>
      <c r="D125" s="11">
        <v>8.4488715107385818E-3</v>
      </c>
      <c r="E125" s="11">
        <v>0.20649958832935081</v>
      </c>
      <c r="F125" s="11">
        <v>2.8630105481652728E-2</v>
      </c>
      <c r="G125" s="11">
        <v>0.23689295043860711</v>
      </c>
      <c r="H125" s="11">
        <v>0.21235331532720186</v>
      </c>
      <c r="I125" s="11">
        <v>7.528871602829075E-2</v>
      </c>
      <c r="J125" s="11">
        <v>6.2218800432402349E-6</v>
      </c>
      <c r="K125" s="11">
        <v>1.1321935364787412E-2</v>
      </c>
      <c r="L125" s="11">
        <v>0.13298047359236206</v>
      </c>
      <c r="M125" s="11">
        <v>0.95866387177580448</v>
      </c>
    </row>
    <row r="126" spans="1:13" x14ac:dyDescent="0.3">
      <c r="A126" s="13">
        <v>42664</v>
      </c>
      <c r="B126" s="11">
        <v>0.10319404142993478</v>
      </c>
      <c r="C126" s="11">
        <v>5.4042191675464375E-6</v>
      </c>
      <c r="D126" s="11">
        <v>5.8975976883024117E-3</v>
      </c>
      <c r="E126" s="11">
        <v>0.19965346212795915</v>
      </c>
      <c r="F126" s="11">
        <v>9.1202302007867171E-3</v>
      </c>
      <c r="G126" s="11">
        <v>0.25997736816745759</v>
      </c>
      <c r="H126" s="11">
        <v>0.20931424774436064</v>
      </c>
      <c r="I126" s="11">
        <v>5.3261311402256019E-2</v>
      </c>
      <c r="J126" s="11">
        <v>3.8666484859771609E-6</v>
      </c>
      <c r="K126" s="11">
        <v>3.284724733007939E-2</v>
      </c>
      <c r="L126" s="11">
        <v>0.12672522304120976</v>
      </c>
      <c r="M126" s="11">
        <v>0.95925747254899096</v>
      </c>
    </row>
    <row r="127" spans="1:13" x14ac:dyDescent="0.3">
      <c r="A127" s="13">
        <v>42670</v>
      </c>
      <c r="B127" s="11">
        <v>0.10286160091263447</v>
      </c>
      <c r="C127" s="11">
        <v>9.5218559292372539E-6</v>
      </c>
      <c r="D127" s="11">
        <v>5.9603133420939088E-3</v>
      </c>
      <c r="E127" s="11">
        <v>0.20138390180035515</v>
      </c>
      <c r="F127" s="11">
        <v>3.7760233789575805E-3</v>
      </c>
      <c r="G127" s="11">
        <v>0.2533096905571493</v>
      </c>
      <c r="H127" s="11">
        <v>0.21403874031978062</v>
      </c>
      <c r="I127" s="11">
        <v>5.5354481775188175E-2</v>
      </c>
      <c r="J127" s="11">
        <v>6.3661224516048333E-6</v>
      </c>
      <c r="K127" s="11">
        <v>3.3647622447814565E-2</v>
      </c>
      <c r="L127" s="11">
        <v>0.12965173748764547</v>
      </c>
      <c r="M127" s="11">
        <v>0.94903443644986052</v>
      </c>
    </row>
    <row r="128" spans="1:13" x14ac:dyDescent="0.3">
      <c r="A128" s="13">
        <v>42678</v>
      </c>
      <c r="B128" s="11">
        <v>8.3422217011248592E-2</v>
      </c>
      <c r="C128" s="11">
        <v>2.3638506416089455E-5</v>
      </c>
      <c r="D128" s="11">
        <v>1.0855218356081104E-2</v>
      </c>
      <c r="E128" s="11">
        <v>0.16327010949355092</v>
      </c>
      <c r="F128" s="11">
        <v>1.9975112916073522E-2</v>
      </c>
      <c r="G128" s="11">
        <v>0.28246164546945568</v>
      </c>
      <c r="H128" s="11">
        <v>0.23581136524156349</v>
      </c>
      <c r="I128" s="11">
        <v>6.5107560829626154E-2</v>
      </c>
      <c r="J128" s="11">
        <v>6.8556735708349177E-6</v>
      </c>
      <c r="K128" s="11">
        <v>2.1603714034408722E-2</v>
      </c>
      <c r="L128" s="11">
        <v>0.11746256246800492</v>
      </c>
      <c r="M128" s="11">
        <v>0.95033575745356214</v>
      </c>
    </row>
    <row r="129" spans="1:13" x14ac:dyDescent="0.3">
      <c r="A129" s="13">
        <v>42685</v>
      </c>
      <c r="B129" s="11">
        <v>7.5208980404142214E-2</v>
      </c>
      <c r="C129" s="11">
        <v>7.0124124055456549E-5</v>
      </c>
      <c r="D129" s="11">
        <v>3.3830551488392611E-2</v>
      </c>
      <c r="E129" s="11">
        <v>0.1464356376700853</v>
      </c>
      <c r="F129" s="11">
        <v>2.3327018066321564E-2</v>
      </c>
      <c r="G129" s="11">
        <v>0.25382432181349052</v>
      </c>
      <c r="H129" s="11">
        <v>0.24467496277581466</v>
      </c>
      <c r="I129" s="11">
        <v>9.3742817795989891E-2</v>
      </c>
      <c r="J129" s="11">
        <v>1.2611062291383645E-5</v>
      </c>
      <c r="K129" s="11">
        <v>3.9572038557205277E-3</v>
      </c>
      <c r="L129" s="11">
        <v>0.12491577094369595</v>
      </c>
      <c r="M129" s="11">
        <v>0.9505907763364706</v>
      </c>
    </row>
    <row r="130" spans="1:13" x14ac:dyDescent="0.3">
      <c r="A130" s="13">
        <v>42692</v>
      </c>
      <c r="B130" s="11">
        <v>6.5952140507721302E-2</v>
      </c>
      <c r="C130" s="11">
        <v>9.9839013295678625E-4</v>
      </c>
      <c r="D130" s="11">
        <v>9.7926608211282198E-2</v>
      </c>
      <c r="E130" s="11">
        <v>0.19185911517631982</v>
      </c>
      <c r="F130" s="11">
        <v>6.2661927675352221E-7</v>
      </c>
      <c r="G130" s="11">
        <v>0.29702297864142385</v>
      </c>
      <c r="H130" s="11">
        <v>0.17233923302924062</v>
      </c>
      <c r="I130" s="11">
        <v>3.8540600675607675E-2</v>
      </c>
      <c r="J130" s="11">
        <v>3.8319926738233152E-2</v>
      </c>
      <c r="K130" s="11">
        <v>2.7914889008504915E-7</v>
      </c>
      <c r="L130" s="11">
        <v>9.7040101119047831E-2</v>
      </c>
      <c r="M130" s="11">
        <v>0.95806159547128233</v>
      </c>
    </row>
    <row r="131" spans="1:13" x14ac:dyDescent="0.3">
      <c r="A131" s="13">
        <v>42699</v>
      </c>
      <c r="B131" s="11">
        <v>6.0737734354846848E-2</v>
      </c>
      <c r="C131" s="11">
        <v>8.372078570222376E-5</v>
      </c>
      <c r="D131" s="11">
        <v>8.211988250757972E-2</v>
      </c>
      <c r="E131" s="11">
        <v>0.19012192068572087</v>
      </c>
      <c r="F131" s="11">
        <v>1.9021747191039309E-5</v>
      </c>
      <c r="G131" s="11">
        <v>0.30055408504847175</v>
      </c>
      <c r="H131" s="11">
        <v>0.17611109587219251</v>
      </c>
      <c r="I131" s="11">
        <v>3.0392901925365763E-2</v>
      </c>
      <c r="J131" s="11">
        <v>8.119579094611952E-2</v>
      </c>
      <c r="K131" s="11">
        <v>6.6149780244769423E-6</v>
      </c>
      <c r="L131" s="11">
        <v>7.8657231148785325E-2</v>
      </c>
      <c r="M131" s="11">
        <v>0.95498222592669801</v>
      </c>
    </row>
    <row r="132" spans="1:13" x14ac:dyDescent="0.3">
      <c r="A132" s="13">
        <v>42706</v>
      </c>
      <c r="B132" s="11">
        <v>9.6177166992446245E-2</v>
      </c>
      <c r="C132" s="11">
        <v>5.8700645809277772E-2</v>
      </c>
      <c r="D132" s="11">
        <v>4.613311028829916E-2</v>
      </c>
      <c r="E132" s="11">
        <v>0.11278002123867067</v>
      </c>
      <c r="F132" s="11">
        <v>9.891835178077347E-6</v>
      </c>
      <c r="G132" s="11">
        <v>0.35577874239058876</v>
      </c>
      <c r="H132" s="11">
        <v>0.21537226729650996</v>
      </c>
      <c r="I132" s="11">
        <v>1.1366661250419387E-2</v>
      </c>
      <c r="J132" s="11">
        <v>8.7693715396065143E-5</v>
      </c>
      <c r="K132" s="11">
        <v>5.8311787611305766E-6</v>
      </c>
      <c r="L132" s="11">
        <v>0.10358796800445276</v>
      </c>
      <c r="M132" s="11">
        <v>0.92961530440950346</v>
      </c>
    </row>
    <row r="133" spans="1:13" x14ac:dyDescent="0.3">
      <c r="A133" s="13">
        <v>42713</v>
      </c>
      <c r="B133" s="11">
        <v>0.11553929898858027</v>
      </c>
      <c r="C133" s="11">
        <v>3.7160150291093853E-2</v>
      </c>
      <c r="D133" s="11">
        <v>4.4019108695042566E-2</v>
      </c>
      <c r="E133" s="11">
        <v>0.1343612053637494</v>
      </c>
      <c r="F133" s="11">
        <v>2.3372697631198099E-5</v>
      </c>
      <c r="G133" s="11">
        <v>0.33938254528056561</v>
      </c>
      <c r="H133" s="11">
        <v>0.21180809576661302</v>
      </c>
      <c r="I133" s="11">
        <v>8.8804894424810338E-5</v>
      </c>
      <c r="J133" s="11">
        <v>2.3533469749853639E-5</v>
      </c>
      <c r="K133" s="11">
        <v>2.5875965488375078E-6</v>
      </c>
      <c r="L133" s="11">
        <v>0.11759129695600062</v>
      </c>
      <c r="M133" s="11">
        <v>0.91800535783378312</v>
      </c>
    </row>
    <row r="134" spans="1:13" x14ac:dyDescent="0.3">
      <c r="A134" s="13">
        <v>42720</v>
      </c>
      <c r="B134" s="11">
        <v>0.11445700128092479</v>
      </c>
      <c r="C134" s="11">
        <v>3.7536413530237844E-2</v>
      </c>
      <c r="D134" s="11">
        <v>5.3404590204377489E-2</v>
      </c>
      <c r="E134" s="11">
        <v>0.1255170831354829</v>
      </c>
      <c r="F134" s="11">
        <v>8.9735194528296243E-5</v>
      </c>
      <c r="G134" s="11">
        <v>0.31581838262395595</v>
      </c>
      <c r="H134" s="11">
        <v>0.22404554013939618</v>
      </c>
      <c r="I134" s="11">
        <v>7.9269238730578125E-3</v>
      </c>
      <c r="J134" s="11">
        <v>5.5973126654544047E-6</v>
      </c>
      <c r="K134" s="11">
        <v>1.0011412547661586E-6</v>
      </c>
      <c r="L134" s="11">
        <v>0.1211977315641185</v>
      </c>
      <c r="M134" s="11">
        <v>0.91768877275799721</v>
      </c>
    </row>
    <row r="135" spans="1:13" x14ac:dyDescent="0.3">
      <c r="A135" s="13">
        <v>42727</v>
      </c>
      <c r="B135" s="11">
        <v>0.15534696493311159</v>
      </c>
      <c r="C135" s="11">
        <v>2.613591655148623E-2</v>
      </c>
      <c r="D135" s="11">
        <v>5.115963371973428E-3</v>
      </c>
      <c r="E135" s="11">
        <v>0.10865820804924185</v>
      </c>
      <c r="F135" s="11">
        <v>1.1751630777148272E-5</v>
      </c>
      <c r="G135" s="11">
        <v>0.30292343451313458</v>
      </c>
      <c r="H135" s="11">
        <v>0.25969105007338145</v>
      </c>
      <c r="I135" s="11">
        <v>2.0676932956416646E-2</v>
      </c>
      <c r="J135" s="11">
        <v>1.1686616230315627E-5</v>
      </c>
      <c r="K135" s="11">
        <v>2.6517564846934547E-6</v>
      </c>
      <c r="L135" s="11">
        <v>0.12142543954776203</v>
      </c>
      <c r="M135" s="11">
        <v>0.91346808136568536</v>
      </c>
    </row>
    <row r="136" spans="1:13" x14ac:dyDescent="0.3">
      <c r="A136" s="13">
        <v>42734</v>
      </c>
      <c r="B136" s="11">
        <v>0.16526140243858906</v>
      </c>
      <c r="C136" s="11">
        <v>3.7685997641539598E-2</v>
      </c>
      <c r="D136" s="11">
        <v>9.5514687048106064E-5</v>
      </c>
      <c r="E136" s="11">
        <v>0.11086061004986492</v>
      </c>
      <c r="F136" s="11">
        <v>2.7752816598706093E-6</v>
      </c>
      <c r="G136" s="11">
        <v>0.30194213134633724</v>
      </c>
      <c r="H136" s="11">
        <v>0.24919099689900467</v>
      </c>
      <c r="I136" s="11">
        <v>9.4660754084217539E-3</v>
      </c>
      <c r="J136" s="11">
        <v>1.6851423117150678E-6</v>
      </c>
      <c r="K136" s="11">
        <v>9.6197836267377969E-7</v>
      </c>
      <c r="L136" s="11">
        <v>0.12549184912686037</v>
      </c>
      <c r="M136" s="11">
        <v>0.91523038797954515</v>
      </c>
    </row>
    <row r="137" spans="1:13" x14ac:dyDescent="0.3">
      <c r="A137" s="13">
        <v>42741</v>
      </c>
      <c r="B137" s="11">
        <v>0.15854653324037463</v>
      </c>
      <c r="C137" s="11">
        <v>4.966263145209357E-2</v>
      </c>
      <c r="D137" s="11">
        <v>8.3886613688051754E-5</v>
      </c>
      <c r="E137" s="11">
        <v>9.7002069853672906E-2</v>
      </c>
      <c r="F137" s="11">
        <v>3.6072245433024018E-5</v>
      </c>
      <c r="G137" s="11">
        <v>0.29196485585391047</v>
      </c>
      <c r="H137" s="11">
        <v>0.25878734686844007</v>
      </c>
      <c r="I137" s="11">
        <v>2.4986313940798491E-2</v>
      </c>
      <c r="J137" s="11">
        <v>1.9549478486182403E-5</v>
      </c>
      <c r="K137" s="11">
        <v>3.9942657594744977E-6</v>
      </c>
      <c r="L137" s="11">
        <v>0.11890674618734309</v>
      </c>
      <c r="M137" s="11">
        <v>0.91473214690289584</v>
      </c>
    </row>
    <row r="138" spans="1:13" x14ac:dyDescent="0.3">
      <c r="A138" s="13">
        <v>42748</v>
      </c>
      <c r="B138" s="11">
        <v>0.16097846407940303</v>
      </c>
      <c r="C138" s="11">
        <v>5.6162599745795135E-2</v>
      </c>
      <c r="D138" s="11">
        <v>9.5787006303905446E-5</v>
      </c>
      <c r="E138" s="11">
        <v>9.4219160223648526E-2</v>
      </c>
      <c r="F138" s="11">
        <v>1.3015257599233109E-5</v>
      </c>
      <c r="G138" s="11">
        <v>0.2877865188223348</v>
      </c>
      <c r="H138" s="11">
        <v>0.26119793565766919</v>
      </c>
      <c r="I138" s="11">
        <v>2.4089783176867781E-2</v>
      </c>
      <c r="J138" s="11">
        <v>4.1747620255959936E-6</v>
      </c>
      <c r="K138" s="11">
        <v>8.6553430556962325E-7</v>
      </c>
      <c r="L138" s="11">
        <v>0.1154516957340473</v>
      </c>
      <c r="M138" s="11">
        <v>0.91228867180512152</v>
      </c>
    </row>
    <row r="139" spans="1:13" x14ac:dyDescent="0.3">
      <c r="A139" s="13">
        <v>42755</v>
      </c>
      <c r="B139" s="11">
        <v>0.15675384398990228</v>
      </c>
      <c r="C139" s="11">
        <v>1.8573247699423218E-2</v>
      </c>
      <c r="D139" s="11">
        <v>3.8170969238696471E-2</v>
      </c>
      <c r="E139" s="11">
        <v>0.11524275705287845</v>
      </c>
      <c r="F139" s="11">
        <v>1.6436908315561475E-3</v>
      </c>
      <c r="G139" s="11">
        <v>0.32148700808554237</v>
      </c>
      <c r="H139" s="11">
        <v>0.25301588404730713</v>
      </c>
      <c r="I139" s="11">
        <v>3.6378720149635888E-6</v>
      </c>
      <c r="J139" s="11">
        <v>4.9160308585342195E-3</v>
      </c>
      <c r="K139" s="11">
        <v>2.2135874454499049E-6</v>
      </c>
      <c r="L139" s="11">
        <v>9.0190716736699331E-2</v>
      </c>
      <c r="M139" s="11">
        <v>0.92144998431448588</v>
      </c>
    </row>
    <row r="140" spans="1:13" x14ac:dyDescent="0.3">
      <c r="A140" s="13">
        <v>42762</v>
      </c>
      <c r="B140" s="11">
        <v>0.15611997470964142</v>
      </c>
      <c r="C140" s="11">
        <v>1.5662320530386176E-2</v>
      </c>
      <c r="D140" s="11">
        <v>5.8875197316449662E-2</v>
      </c>
      <c r="E140" s="11">
        <v>0.11508149134074173</v>
      </c>
      <c r="F140" s="11">
        <v>3.2396910197293999E-5</v>
      </c>
      <c r="G140" s="11">
        <v>0.31248830079847545</v>
      </c>
      <c r="H140" s="11">
        <v>0.24565746126174626</v>
      </c>
      <c r="I140" s="11">
        <v>1.3015780314261006E-5</v>
      </c>
      <c r="J140" s="11">
        <v>3.4023940398791334E-3</v>
      </c>
      <c r="K140" s="11">
        <v>6.4680648472153302E-6</v>
      </c>
      <c r="L140" s="11">
        <v>9.2660979247321404E-2</v>
      </c>
      <c r="M140" s="11">
        <v>0.92159381093087223</v>
      </c>
    </row>
    <row r="141" spans="1:13" x14ac:dyDescent="0.3">
      <c r="A141" s="13">
        <v>42768</v>
      </c>
      <c r="B141" s="11">
        <v>0.17816349073552132</v>
      </c>
      <c r="C141" s="11">
        <v>6.8136341147704959E-3</v>
      </c>
      <c r="D141" s="11">
        <v>4.1402016160474342E-2</v>
      </c>
      <c r="E141" s="11">
        <v>0.10156182198578205</v>
      </c>
      <c r="F141" s="11">
        <v>1.1932269004112525E-2</v>
      </c>
      <c r="G141" s="11">
        <v>0.35289218992771132</v>
      </c>
      <c r="H141" s="11">
        <v>0.21650132397949379</v>
      </c>
      <c r="I141" s="11">
        <v>5.8747030196694719E-6</v>
      </c>
      <c r="J141" s="11">
        <v>6.0395737798299562E-3</v>
      </c>
      <c r="K141" s="11">
        <v>8.6642733929723644E-6</v>
      </c>
      <c r="L141" s="11">
        <v>8.4679141335891633E-2</v>
      </c>
      <c r="M141" s="11">
        <v>0.92825504261660019</v>
      </c>
    </row>
    <row r="142" spans="1:13" x14ac:dyDescent="0.3">
      <c r="A142" s="13">
        <v>42776</v>
      </c>
      <c r="B142" s="11">
        <v>0.18073622176301926</v>
      </c>
      <c r="C142" s="11">
        <v>1.7562625070209986E-2</v>
      </c>
      <c r="D142" s="11">
        <v>1.3797296867070498E-3</v>
      </c>
      <c r="E142" s="11">
        <v>9.6514909709209673E-2</v>
      </c>
      <c r="F142" s="11">
        <v>3.2544163943496775E-2</v>
      </c>
      <c r="G142" s="11">
        <v>0.3674228671784257</v>
      </c>
      <c r="H142" s="11">
        <v>0.20365040743764851</v>
      </c>
      <c r="I142" s="11">
        <v>2.3761757673363914E-7</v>
      </c>
      <c r="J142" s="11">
        <v>9.5710802414874373E-6</v>
      </c>
      <c r="K142" s="11">
        <v>3.4878752639056929E-7</v>
      </c>
      <c r="L142" s="11">
        <v>0.10017891772593847</v>
      </c>
      <c r="M142" s="11">
        <v>0.92327035883142394</v>
      </c>
    </row>
    <row r="143" spans="1:13" x14ac:dyDescent="0.3">
      <c r="A143" s="13">
        <v>42783</v>
      </c>
      <c r="B143" s="11">
        <v>0.17606006132374549</v>
      </c>
      <c r="C143" s="11">
        <v>8.8586344067057582E-5</v>
      </c>
      <c r="D143" s="11">
        <v>7.3663511986493772E-5</v>
      </c>
      <c r="E143" s="11">
        <v>0.14337508495039289</v>
      </c>
      <c r="F143" s="11">
        <v>4.4813116092568099E-2</v>
      </c>
      <c r="G143" s="11">
        <v>0.35050788105602287</v>
      </c>
      <c r="H143" s="11">
        <v>0.16785954799442687</v>
      </c>
      <c r="I143" s="11">
        <v>1.1370073938040818E-5</v>
      </c>
      <c r="J143" s="11">
        <v>4.4778120858561803E-5</v>
      </c>
      <c r="K143" s="11">
        <v>2.5765243570770383E-5</v>
      </c>
      <c r="L143" s="11">
        <v>0.11714014528842284</v>
      </c>
      <c r="M143" s="11">
        <v>0.91694862906269958</v>
      </c>
    </row>
    <row r="144" spans="1:13" x14ac:dyDescent="0.3">
      <c r="A144" s="13">
        <v>42793.5</v>
      </c>
      <c r="B144" s="11">
        <v>0.16197241882044108</v>
      </c>
      <c r="C144" s="11">
        <v>8.0450961044005367E-5</v>
      </c>
      <c r="D144" s="11">
        <v>8.0087951858393965E-5</v>
      </c>
      <c r="E144" s="11">
        <v>0.12888746626087666</v>
      </c>
      <c r="F144" s="11">
        <v>7.8240028225496749E-2</v>
      </c>
      <c r="G144" s="11">
        <v>0.33830941228564504</v>
      </c>
      <c r="H144" s="11">
        <v>0.1640651327432408</v>
      </c>
      <c r="I144" s="11">
        <v>2.0727465029336378E-5</v>
      </c>
      <c r="J144" s="11">
        <v>9.7162883927242559E-3</v>
      </c>
      <c r="K144" s="11">
        <v>2.3553688083089926E-5</v>
      </c>
      <c r="L144" s="11">
        <v>0.11860443320556056</v>
      </c>
      <c r="M144" s="11">
        <v>0.91582059427389551</v>
      </c>
    </row>
    <row r="145" spans="1:13" x14ac:dyDescent="0.3">
      <c r="A145" s="13">
        <v>42800.5</v>
      </c>
      <c r="B145" s="11">
        <v>0.1553713150616878</v>
      </c>
      <c r="C145" s="11">
        <v>3.8537044548130566E-5</v>
      </c>
      <c r="D145" s="11">
        <v>2.8409701648631281E-5</v>
      </c>
      <c r="E145" s="11">
        <v>0.16751638153828641</v>
      </c>
      <c r="F145" s="11">
        <v>3.5560485981541115E-2</v>
      </c>
      <c r="G145" s="11">
        <v>0.36255373294468629</v>
      </c>
      <c r="H145" s="11">
        <v>0.14624712247371932</v>
      </c>
      <c r="I145" s="11">
        <v>3.1034806463251683E-5</v>
      </c>
      <c r="J145" s="11">
        <v>2.1630319313009634E-2</v>
      </c>
      <c r="K145" s="11">
        <v>9.0884695839923312E-5</v>
      </c>
      <c r="L145" s="11">
        <v>0.11093177643856958</v>
      </c>
      <c r="M145" s="11">
        <v>0.90849978489266825</v>
      </c>
    </row>
    <row r="146" spans="1:13" x14ac:dyDescent="0.3">
      <c r="A146" s="13">
        <v>42807.5</v>
      </c>
      <c r="B146" s="11">
        <v>0.1555658246954176</v>
      </c>
      <c r="C146" s="11">
        <v>8.7992532982849702E-6</v>
      </c>
      <c r="D146" s="11">
        <v>1.2722506196281227E-5</v>
      </c>
      <c r="E146" s="11">
        <v>0.17159931721708641</v>
      </c>
      <c r="F146" s="11">
        <v>3.9260992163785841E-3</v>
      </c>
      <c r="G146" s="11">
        <v>0.33383710176426062</v>
      </c>
      <c r="H146" s="11">
        <v>0.19795477066156072</v>
      </c>
      <c r="I146" s="11">
        <v>7.6211652608477922E-3</v>
      </c>
      <c r="J146" s="11">
        <v>2.2280203532126706E-2</v>
      </c>
      <c r="K146" s="11">
        <v>2.0373893920053805E-3</v>
      </c>
      <c r="L146" s="11">
        <v>0.10515660650082162</v>
      </c>
      <c r="M146" s="11">
        <v>0.90399146116223184</v>
      </c>
    </row>
    <row r="147" spans="1:13" x14ac:dyDescent="0.3">
      <c r="A147" s="13">
        <v>42814.5</v>
      </c>
      <c r="B147" s="11">
        <v>0.15680124595301995</v>
      </c>
      <c r="C147" s="11">
        <v>3.4775722324841038E-5</v>
      </c>
      <c r="D147" s="11">
        <v>5.6249248804033741E-5</v>
      </c>
      <c r="E147" s="11">
        <v>0.1351507161811028</v>
      </c>
      <c r="F147" s="11">
        <v>2.9509444711529293E-2</v>
      </c>
      <c r="G147" s="11">
        <v>0.36712446020911332</v>
      </c>
      <c r="H147" s="11">
        <v>0.15415685712513447</v>
      </c>
      <c r="I147" s="11">
        <v>2.3007469535938845E-2</v>
      </c>
      <c r="J147" s="11">
        <v>2.8221781932735248E-2</v>
      </c>
      <c r="K147" s="11">
        <v>3.4280572666053706E-3</v>
      </c>
      <c r="L147" s="11">
        <v>0.10250894211369188</v>
      </c>
      <c r="M147" s="11">
        <v>0.90376080983399054</v>
      </c>
    </row>
    <row r="148" spans="1:13" x14ac:dyDescent="0.3">
      <c r="A148" s="13">
        <v>42821.5</v>
      </c>
      <c r="B148" s="11">
        <v>0.16353513022843472</v>
      </c>
      <c r="C148" s="11">
        <v>6.1195667574357284E-5</v>
      </c>
      <c r="D148" s="11">
        <v>3.323960195810418E-2</v>
      </c>
      <c r="E148" s="11">
        <v>0.14951965353337893</v>
      </c>
      <c r="F148" s="11">
        <v>1.8819434653089946E-2</v>
      </c>
      <c r="G148" s="11">
        <v>0.34262860721754218</v>
      </c>
      <c r="H148" s="11">
        <v>0.15356327239647127</v>
      </c>
      <c r="I148" s="11">
        <v>1.6270729101465344E-2</v>
      </c>
      <c r="J148" s="11">
        <v>2.2578406614520704E-2</v>
      </c>
      <c r="K148" s="11">
        <v>6.5434862404691765E-5</v>
      </c>
      <c r="L148" s="11">
        <v>9.9718533767013617E-2</v>
      </c>
      <c r="M148" s="11">
        <v>0.9042360095294304</v>
      </c>
    </row>
    <row r="149" spans="1:13" x14ac:dyDescent="0.3">
      <c r="A149" s="13">
        <v>42828.5</v>
      </c>
      <c r="B149" s="11">
        <v>0.16280099358482186</v>
      </c>
      <c r="C149" s="11">
        <v>8.3431036550735035E-5</v>
      </c>
      <c r="D149" s="11">
        <v>3.0291950615771134E-2</v>
      </c>
      <c r="E149" s="11">
        <v>0.13802298274410968</v>
      </c>
      <c r="F149" s="11">
        <v>3.129987301186208E-2</v>
      </c>
      <c r="G149" s="11">
        <v>0.3427366338928941</v>
      </c>
      <c r="H149" s="11">
        <v>0.14797050465899184</v>
      </c>
      <c r="I149" s="11">
        <v>1.9542550058660072E-2</v>
      </c>
      <c r="J149" s="11">
        <v>2.0878366689801465E-2</v>
      </c>
      <c r="K149" s="11">
        <v>5.8865534844649885E-5</v>
      </c>
      <c r="L149" s="11">
        <v>0.1063138481716924</v>
      </c>
      <c r="M149" s="11">
        <v>0.90457277719639129</v>
      </c>
    </row>
    <row r="150" spans="1:13" x14ac:dyDescent="0.3">
      <c r="A150" s="13">
        <v>42835.5</v>
      </c>
      <c r="B150" s="11">
        <v>0.16286201957460117</v>
      </c>
      <c r="C150" s="11">
        <v>8.6536268014973048E-5</v>
      </c>
      <c r="D150" s="11">
        <v>2.9651837313499498E-2</v>
      </c>
      <c r="E150" s="11">
        <v>0.13805476066279923</v>
      </c>
      <c r="F150" s="11">
        <v>3.1717652240876963E-2</v>
      </c>
      <c r="G150" s="11">
        <v>0.34346277874886727</v>
      </c>
      <c r="H150" s="11">
        <v>0.14743495658061423</v>
      </c>
      <c r="I150" s="11">
        <v>1.981596296423567E-2</v>
      </c>
      <c r="J150" s="11">
        <v>2.0251755748915641E-2</v>
      </c>
      <c r="K150" s="11">
        <v>5.8899728248814652E-5</v>
      </c>
      <c r="L150" s="11">
        <v>0.10660284016932661</v>
      </c>
      <c r="M150" s="11">
        <v>0.90432810441891165</v>
      </c>
    </row>
    <row r="151" spans="1:13" x14ac:dyDescent="0.3">
      <c r="A151" s="13">
        <v>42842.5</v>
      </c>
      <c r="B151" s="11">
        <v>0.17096569365727682</v>
      </c>
      <c r="C151" s="11">
        <v>8.5724725525224041E-5</v>
      </c>
      <c r="D151" s="11">
        <v>3.6865945505770478E-2</v>
      </c>
      <c r="E151" s="11">
        <v>0.12611740512675848</v>
      </c>
      <c r="F151" s="11">
        <v>2.9965103343775699E-2</v>
      </c>
      <c r="G151" s="11">
        <v>0.35311746477261757</v>
      </c>
      <c r="H151" s="11">
        <v>0.13686456302007569</v>
      </c>
      <c r="I151" s="11">
        <v>3.6289960505292956E-2</v>
      </c>
      <c r="J151" s="11">
        <v>2.3464452477070661E-2</v>
      </c>
      <c r="K151" s="11">
        <v>3.6114759543752133E-5</v>
      </c>
      <c r="L151" s="11">
        <v>8.6227572106292602E-2</v>
      </c>
      <c r="M151" s="11">
        <v>0.91034647037986138</v>
      </c>
    </row>
    <row r="152" spans="1:13" x14ac:dyDescent="0.3">
      <c r="A152" s="13">
        <v>42849.5</v>
      </c>
      <c r="B152" s="11">
        <v>0.17110103472446589</v>
      </c>
      <c r="C152" s="11">
        <v>8.8141809008780074E-5</v>
      </c>
      <c r="D152" s="11">
        <v>3.6970275330141494E-2</v>
      </c>
      <c r="E152" s="11">
        <v>0.12693040499535965</v>
      </c>
      <c r="F152" s="11">
        <v>3.0118235250299375E-2</v>
      </c>
      <c r="G152" s="11">
        <v>0.35033195917678805</v>
      </c>
      <c r="H152" s="11">
        <v>0.1399052007693844</v>
      </c>
      <c r="I152" s="11">
        <v>3.61563845099638E-2</v>
      </c>
      <c r="J152" s="11">
        <v>2.1790604142650088E-2</v>
      </c>
      <c r="K152" s="11">
        <v>3.5167190190971781E-5</v>
      </c>
      <c r="L152" s="11">
        <v>8.6572592101747545E-2</v>
      </c>
      <c r="M152" s="11">
        <v>0.90779284344035771</v>
      </c>
    </row>
    <row r="153" spans="1:13" x14ac:dyDescent="0.3">
      <c r="A153" s="13">
        <v>42856.5</v>
      </c>
      <c r="B153" s="11">
        <v>0.17226739687582565</v>
      </c>
      <c r="C153" s="11">
        <v>8.5196699259907887E-5</v>
      </c>
      <c r="D153" s="11">
        <v>2.2203688405384687E-2</v>
      </c>
      <c r="E153" s="11">
        <v>0.12396272699295242</v>
      </c>
      <c r="F153" s="11">
        <v>3.5544125145950581E-2</v>
      </c>
      <c r="G153" s="11">
        <v>0.3426794034406575</v>
      </c>
      <c r="H153" s="11">
        <v>0.15228966727923643</v>
      </c>
      <c r="I153" s="11">
        <v>4.3806718557722467E-2</v>
      </c>
      <c r="J153" s="11">
        <v>1.8631879702977774E-2</v>
      </c>
      <c r="K153" s="11">
        <v>6.2351331179408197E-5</v>
      </c>
      <c r="L153" s="11">
        <v>8.8466845568853175E-2</v>
      </c>
      <c r="M153" s="11">
        <v>0.90707206002424945</v>
      </c>
    </row>
    <row r="154" spans="1:13" x14ac:dyDescent="0.3">
      <c r="A154" s="13">
        <v>42863.5</v>
      </c>
      <c r="B154" s="11">
        <v>0.16055864615327822</v>
      </c>
      <c r="C154" s="11">
        <v>8.2896504789486578E-5</v>
      </c>
      <c r="D154" s="11">
        <v>1.2950464038098124E-2</v>
      </c>
      <c r="E154" s="11">
        <v>0.12261904591058716</v>
      </c>
      <c r="F154" s="11">
        <v>3.6482392266694259E-2</v>
      </c>
      <c r="G154" s="11">
        <v>0.354110101500135</v>
      </c>
      <c r="H154" s="11">
        <v>0.13740577091837464</v>
      </c>
      <c r="I154" s="11">
        <v>5.1069260206861859E-2</v>
      </c>
      <c r="J154" s="11">
        <v>1.150781777673216E-2</v>
      </c>
      <c r="K154" s="11">
        <v>2.9969813710396895E-5</v>
      </c>
      <c r="L154" s="11">
        <v>0.11318363491073868</v>
      </c>
      <c r="M154" s="11">
        <v>0.89070562223292404</v>
      </c>
    </row>
    <row r="155" spans="1:13" x14ac:dyDescent="0.3">
      <c r="A155" s="13">
        <v>42870.5</v>
      </c>
      <c r="B155" s="11">
        <v>0.163776086915428</v>
      </c>
      <c r="C155" s="11">
        <v>2.2974311747923788E-5</v>
      </c>
      <c r="D155" s="11">
        <v>6.6329707414389885E-3</v>
      </c>
      <c r="E155" s="11">
        <v>0.1238436363803921</v>
      </c>
      <c r="F155" s="11">
        <v>4.0714025640266632E-2</v>
      </c>
      <c r="G155" s="11">
        <v>0.35970166188958363</v>
      </c>
      <c r="H155" s="11">
        <v>0.13496040221860781</v>
      </c>
      <c r="I155" s="11">
        <v>4.9773820234331113E-2</v>
      </c>
      <c r="J155" s="11">
        <v>7.3947001683548185E-3</v>
      </c>
      <c r="K155" s="11">
        <v>9.9984693473001977E-6</v>
      </c>
      <c r="L155" s="11">
        <v>0.11316972303050171</v>
      </c>
      <c r="M155" s="11">
        <v>0.88797952429832372</v>
      </c>
    </row>
    <row r="156" spans="1:13" x14ac:dyDescent="0.3">
      <c r="A156" s="13">
        <v>42881</v>
      </c>
      <c r="B156" s="11">
        <v>0.15839007473972849</v>
      </c>
      <c r="C156" s="11">
        <v>1.970635052041576E-5</v>
      </c>
      <c r="D156" s="11">
        <v>1.531139662900631E-2</v>
      </c>
      <c r="E156" s="11">
        <v>0.12038110272250567</v>
      </c>
      <c r="F156" s="11">
        <v>4.4217376260361665E-2</v>
      </c>
      <c r="G156" s="11">
        <v>0.35802760747100898</v>
      </c>
      <c r="H156" s="11">
        <v>0.11932969743824509</v>
      </c>
      <c r="I156" s="11">
        <v>5.7735892480278536E-2</v>
      </c>
      <c r="J156" s="11">
        <v>8.6698794260869574E-5</v>
      </c>
      <c r="K156" s="11">
        <v>9.6039615730290881E-6</v>
      </c>
      <c r="L156" s="11">
        <v>0.12649084315251097</v>
      </c>
      <c r="M156" s="11">
        <v>0.892870695227857</v>
      </c>
    </row>
    <row r="157" spans="1:13" x14ac:dyDescent="0.3">
      <c r="A157" s="13">
        <v>42888</v>
      </c>
      <c r="B157" s="11">
        <v>0.15407214780196662</v>
      </c>
      <c r="C157" s="11">
        <v>5.8271836384797485E-5</v>
      </c>
      <c r="D157" s="11">
        <v>2.546002326453501E-2</v>
      </c>
      <c r="E157" s="11">
        <v>0.11204613713689526</v>
      </c>
      <c r="F157" s="11">
        <v>3.8976547724415729E-2</v>
      </c>
      <c r="G157" s="11">
        <v>0.36639945761512294</v>
      </c>
      <c r="H157" s="11">
        <v>0.11037292671932399</v>
      </c>
      <c r="I157" s="11">
        <v>7.0056403245792681E-2</v>
      </c>
      <c r="J157" s="11">
        <v>8.6453891039269082E-5</v>
      </c>
      <c r="K157" s="11">
        <v>1.2636887513546567E-5</v>
      </c>
      <c r="L157" s="11">
        <v>0.12245899387701019</v>
      </c>
      <c r="M157" s="11">
        <v>0.89337194648171458</v>
      </c>
    </row>
    <row r="158" spans="1:13" x14ac:dyDescent="0.3">
      <c r="A158" s="13">
        <v>42895</v>
      </c>
      <c r="B158" s="11">
        <v>0.15639956269289068</v>
      </c>
      <c r="C158" s="11">
        <v>2.5878946871396799E-5</v>
      </c>
      <c r="D158" s="11">
        <v>2.0707215524217289E-2</v>
      </c>
      <c r="E158" s="11">
        <v>0.11220299239276435</v>
      </c>
      <c r="F158" s="11">
        <v>4.0038875641196708E-2</v>
      </c>
      <c r="G158" s="11">
        <v>0.36696905644332756</v>
      </c>
      <c r="H158" s="11">
        <v>0.11022459771798243</v>
      </c>
      <c r="I158" s="11">
        <v>6.8294943711242867E-2</v>
      </c>
      <c r="J158" s="11">
        <v>9.0686027520188255E-5</v>
      </c>
      <c r="K158" s="11">
        <v>4.9390315329817452E-6</v>
      </c>
      <c r="L158" s="11">
        <v>0.12504125187045351</v>
      </c>
      <c r="M158" s="11">
        <v>0.88455290471597581</v>
      </c>
    </row>
    <row r="159" spans="1:13" x14ac:dyDescent="0.3">
      <c r="A159" s="13">
        <v>42901.5</v>
      </c>
      <c r="B159" s="11">
        <v>0.15352209614093251</v>
      </c>
      <c r="C159" s="11">
        <v>4.8928157000766049E-5</v>
      </c>
      <c r="D159" s="11">
        <v>2.0396202257340658E-2</v>
      </c>
      <c r="E159" s="11">
        <v>0.11853030586471519</v>
      </c>
      <c r="F159" s="11">
        <v>4.076285625453685E-2</v>
      </c>
      <c r="G159" s="11">
        <v>0.3550615083363815</v>
      </c>
      <c r="H159" s="11">
        <v>0.1226127122997899</v>
      </c>
      <c r="I159" s="11">
        <v>6.3154792025696682E-2</v>
      </c>
      <c r="J159" s="11">
        <v>8.6491231399870506E-5</v>
      </c>
      <c r="K159" s="11">
        <v>5.8322681887620819E-5</v>
      </c>
      <c r="L159" s="11">
        <v>0.12576578475031849</v>
      </c>
      <c r="M159" s="11">
        <v>0.89631379735167349</v>
      </c>
    </row>
    <row r="160" spans="1:13" x14ac:dyDescent="0.3">
      <c r="A160" s="13">
        <v>42909</v>
      </c>
      <c r="B160" s="11">
        <v>0.15483645171261251</v>
      </c>
      <c r="C160" s="11">
        <v>1.2709070455750367E-6</v>
      </c>
      <c r="D160" s="11">
        <v>3.2242063222710421E-2</v>
      </c>
      <c r="E160" s="11">
        <v>9.666927491538066E-2</v>
      </c>
      <c r="F160" s="11">
        <v>4.6614767033212323E-2</v>
      </c>
      <c r="G160" s="11">
        <v>0.36635612078363533</v>
      </c>
      <c r="H160" s="11">
        <v>9.2017135500051361E-2</v>
      </c>
      <c r="I160" s="11">
        <v>7.2970336450483397E-2</v>
      </c>
      <c r="J160" s="11">
        <v>1.4452892390877983E-4</v>
      </c>
      <c r="K160" s="11">
        <v>2.6016989841297789E-2</v>
      </c>
      <c r="L160" s="11">
        <v>0.11213106070966189</v>
      </c>
      <c r="M160" s="11">
        <v>0.90419838296251975</v>
      </c>
    </row>
    <row r="161" spans="1:13" x14ac:dyDescent="0.3">
      <c r="A161" s="13">
        <v>42916</v>
      </c>
      <c r="B161" s="11">
        <v>0.14210065979965161</v>
      </c>
      <c r="C161" s="11">
        <v>1.6857516535713068E-5</v>
      </c>
      <c r="D161" s="11">
        <v>6.115625248955063E-2</v>
      </c>
      <c r="E161" s="11">
        <v>8.9344643366152263E-2</v>
      </c>
      <c r="F161" s="11">
        <v>5.1676816916813459E-2</v>
      </c>
      <c r="G161" s="11">
        <v>0.36206353474493569</v>
      </c>
      <c r="H161" s="11">
        <v>8.1677651987387939E-2</v>
      </c>
      <c r="I161" s="11">
        <v>8.3233195127557974E-2</v>
      </c>
      <c r="J161" s="11">
        <v>8.864204624927677E-5</v>
      </c>
      <c r="K161" s="11">
        <v>1.6427710061589756E-2</v>
      </c>
      <c r="L161" s="11">
        <v>0.1122140359435756</v>
      </c>
      <c r="M161" s="11">
        <v>0.90780980464172711</v>
      </c>
    </row>
    <row r="162" spans="1:13" x14ac:dyDescent="0.3">
      <c r="A162" s="13">
        <v>42923</v>
      </c>
      <c r="B162" s="11">
        <v>0.142713087625187</v>
      </c>
      <c r="C162" s="11">
        <v>2.2481083433867976E-5</v>
      </c>
      <c r="D162" s="11">
        <v>6.300606622865941E-2</v>
      </c>
      <c r="E162" s="11">
        <v>8.7827050731536668E-2</v>
      </c>
      <c r="F162" s="11">
        <v>4.7702652658688477E-2</v>
      </c>
      <c r="G162" s="11">
        <v>0.3519430122114619</v>
      </c>
      <c r="H162" s="11">
        <v>8.5913171797069476E-2</v>
      </c>
      <c r="I162" s="11">
        <v>8.4281871238371067E-2</v>
      </c>
      <c r="J162" s="11">
        <v>8.7131026378786176E-5</v>
      </c>
      <c r="K162" s="11">
        <v>2.1734059682990799E-2</v>
      </c>
      <c r="L162" s="11">
        <v>0.11476941571622247</v>
      </c>
      <c r="M162" s="11">
        <v>0.91208935486956177</v>
      </c>
    </row>
    <row r="163" spans="1:13" x14ac:dyDescent="0.3">
      <c r="A163" s="13">
        <v>42930</v>
      </c>
      <c r="B163" s="11">
        <v>0.13794230770195062</v>
      </c>
      <c r="C163" s="11">
        <v>5.5010437044295553E-5</v>
      </c>
      <c r="D163" s="11">
        <v>4.3313615374202509E-2</v>
      </c>
      <c r="E163" s="11">
        <v>0.1046534234912242</v>
      </c>
      <c r="F163" s="11">
        <v>5.5061855358036399E-2</v>
      </c>
      <c r="G163" s="11">
        <v>0.34246148977995611</v>
      </c>
      <c r="H163" s="11">
        <v>0.10202082817636626</v>
      </c>
      <c r="I163" s="11">
        <v>7.4156523812436301E-2</v>
      </c>
      <c r="J163" s="11">
        <v>8.566279307913697E-5</v>
      </c>
      <c r="K163" s="11">
        <v>1.6533707826750822E-2</v>
      </c>
      <c r="L163" s="11">
        <v>0.12371557524895334</v>
      </c>
      <c r="M163" s="11">
        <v>0.91119301561905519</v>
      </c>
    </row>
    <row r="164" spans="1:13" x14ac:dyDescent="0.3">
      <c r="A164" s="13">
        <v>42937</v>
      </c>
      <c r="B164" s="11">
        <v>0.13587690769536317</v>
      </c>
      <c r="C164" s="11">
        <v>4.9474625340588415E-5</v>
      </c>
      <c r="D164" s="11">
        <v>5.3281199132906548E-2</v>
      </c>
      <c r="E164" s="11">
        <v>0.10986067290648729</v>
      </c>
      <c r="F164" s="11">
        <v>4.184060929238706E-2</v>
      </c>
      <c r="G164" s="11">
        <v>0.32904429400752355</v>
      </c>
      <c r="H164" s="11">
        <v>0.11838614768653059</v>
      </c>
      <c r="I164" s="11">
        <v>7.6168694455850686E-2</v>
      </c>
      <c r="J164" s="11">
        <v>8.8013773107484524E-5</v>
      </c>
      <c r="K164" s="11">
        <v>2.0656684249127512E-2</v>
      </c>
      <c r="L164" s="11">
        <v>0.11474730217537554</v>
      </c>
      <c r="M164" s="11">
        <v>0.90707820624074453</v>
      </c>
    </row>
    <row r="165" spans="1:13" x14ac:dyDescent="0.3">
      <c r="A165" s="13">
        <v>42944</v>
      </c>
      <c r="B165" s="11">
        <v>0.1320337995886865</v>
      </c>
      <c r="C165" s="11">
        <v>4.9848867583751844E-5</v>
      </c>
      <c r="D165" s="11">
        <v>5.7009664219556971E-2</v>
      </c>
      <c r="E165" s="11">
        <v>0.10419058635909402</v>
      </c>
      <c r="F165" s="11">
        <v>3.481489679347638E-2</v>
      </c>
      <c r="G165" s="11">
        <v>0.34161195550209433</v>
      </c>
      <c r="H165" s="11">
        <v>0.12292370193624588</v>
      </c>
      <c r="I165" s="11">
        <v>8.7431783454593334E-2</v>
      </c>
      <c r="J165" s="11">
        <v>7.3471876943100332E-5</v>
      </c>
      <c r="K165" s="11">
        <v>1.4666923844210209E-2</v>
      </c>
      <c r="L165" s="11">
        <v>0.1051933675575156</v>
      </c>
      <c r="M165" s="11">
        <v>0.90763626981776679</v>
      </c>
    </row>
    <row r="166" spans="1:13" x14ac:dyDescent="0.3">
      <c r="A166" s="13">
        <v>42951</v>
      </c>
      <c r="B166" s="11">
        <v>0.12965083017873741</v>
      </c>
      <c r="C166" s="11">
        <v>1.6582031461633644E-5</v>
      </c>
      <c r="D166" s="11">
        <v>6.1716837464293711E-2</v>
      </c>
      <c r="E166" s="11">
        <v>8.907966210967605E-2</v>
      </c>
      <c r="F166" s="11">
        <v>3.1213615858660809E-2</v>
      </c>
      <c r="G166" s="11">
        <v>0.34975809165063526</v>
      </c>
      <c r="H166" s="11">
        <v>0.12651001990892205</v>
      </c>
      <c r="I166" s="11">
        <v>0.11260537618963988</v>
      </c>
      <c r="J166" s="11">
        <v>1.8524528437566275E-5</v>
      </c>
      <c r="K166" s="11">
        <v>3.8623431297330675E-3</v>
      </c>
      <c r="L166" s="11">
        <v>9.5568116949802509E-2</v>
      </c>
      <c r="M166" s="11">
        <v>0.91101589095827284</v>
      </c>
    </row>
    <row r="167" spans="1:13" x14ac:dyDescent="0.3">
      <c r="A167" s="13">
        <v>42958</v>
      </c>
      <c r="B167" s="11">
        <v>0.12544947326189218</v>
      </c>
      <c r="C167" s="11">
        <v>2.3405883456858115E-5</v>
      </c>
      <c r="D167" s="11">
        <v>7.8784273318131315E-2</v>
      </c>
      <c r="E167" s="11">
        <v>9.3005708670494527E-2</v>
      </c>
      <c r="F167" s="11">
        <v>2.1140811584792127E-2</v>
      </c>
      <c r="G167" s="11">
        <v>0.34722573345523766</v>
      </c>
      <c r="H167" s="11">
        <v>0.12504776715503227</v>
      </c>
      <c r="I167" s="11">
        <v>0.11301323683403093</v>
      </c>
      <c r="J167" s="11">
        <v>2.1418040554226122E-5</v>
      </c>
      <c r="K167" s="11">
        <v>8.4070866164460956E-5</v>
      </c>
      <c r="L167" s="11">
        <v>9.620410093021349E-2</v>
      </c>
      <c r="M167" s="11">
        <v>0.91030774958527461</v>
      </c>
    </row>
    <row r="168" spans="1:13" x14ac:dyDescent="0.3">
      <c r="A168" s="13">
        <v>42965</v>
      </c>
      <c r="B168" s="11">
        <v>0.12909776565605646</v>
      </c>
      <c r="C168" s="11">
        <v>3.1059392735494676E-6</v>
      </c>
      <c r="D168" s="11">
        <v>6.7141857866555452E-2</v>
      </c>
      <c r="E168" s="11">
        <v>0.10965718109399503</v>
      </c>
      <c r="F168" s="11">
        <v>5.0746166769251214E-2</v>
      </c>
      <c r="G168" s="11">
        <v>0.34212626166201154</v>
      </c>
      <c r="H168" s="11">
        <v>8.8658896198736833E-2</v>
      </c>
      <c r="I168" s="11">
        <v>7.1771921404561928E-2</v>
      </c>
      <c r="J168" s="11">
        <v>5.0137145835812349E-6</v>
      </c>
      <c r="K168" s="11">
        <v>9.5441882936741322E-5</v>
      </c>
      <c r="L168" s="11">
        <v>0.14069638781203775</v>
      </c>
      <c r="M168" s="11">
        <v>0.9110798236724188</v>
      </c>
    </row>
    <row r="169" spans="1:13" x14ac:dyDescent="0.3">
      <c r="A169" s="13">
        <v>42972</v>
      </c>
      <c r="B169" s="11">
        <v>0.1324414685440421</v>
      </c>
      <c r="C169" s="11">
        <v>2.5125119821990882E-5</v>
      </c>
      <c r="D169" s="11">
        <v>2.2997694369557391E-2</v>
      </c>
      <c r="E169" s="11">
        <v>0.14869064937533247</v>
      </c>
      <c r="F169" s="11">
        <v>1.9863842689900831E-2</v>
      </c>
      <c r="G169" s="11">
        <v>0.31809484290241835</v>
      </c>
      <c r="H169" s="11">
        <v>0.13830113200052319</v>
      </c>
      <c r="I169" s="11">
        <v>4.018087205198393E-2</v>
      </c>
      <c r="J169" s="11">
        <v>9.0549075471953519E-5</v>
      </c>
      <c r="K169" s="11">
        <v>5.0102181623247602E-2</v>
      </c>
      <c r="L169" s="11">
        <v>0.12921164224770032</v>
      </c>
      <c r="M169" s="11">
        <v>0.90431232615713109</v>
      </c>
    </row>
    <row r="170" spans="1:13" x14ac:dyDescent="0.3">
      <c r="A170" s="13">
        <v>42979</v>
      </c>
      <c r="B170" s="11">
        <v>0.10627381071569901</v>
      </c>
      <c r="C170" s="11">
        <v>5.6944351627895416E-5</v>
      </c>
      <c r="D170" s="11">
        <v>4.8234633745737415E-2</v>
      </c>
      <c r="E170" s="11">
        <v>0.11460909701130334</v>
      </c>
      <c r="F170" s="11">
        <v>2.437202931972E-2</v>
      </c>
      <c r="G170" s="11">
        <v>0.3262730627384845</v>
      </c>
      <c r="H170" s="11">
        <v>0.10924976600300335</v>
      </c>
      <c r="I170" s="11">
        <v>6.354071659934582E-2</v>
      </c>
      <c r="J170" s="11">
        <v>7.6084923155505203E-5</v>
      </c>
      <c r="K170" s="11">
        <v>4.5770639716934292E-2</v>
      </c>
      <c r="L170" s="11">
        <v>0.16154321487498891</v>
      </c>
      <c r="M170" s="11">
        <v>0.91202412379149267</v>
      </c>
    </row>
    <row r="171" spans="1:13" x14ac:dyDescent="0.3">
      <c r="A171" s="13">
        <v>42986</v>
      </c>
      <c r="B171" s="11">
        <v>0.10263564349326827</v>
      </c>
      <c r="C171" s="11">
        <v>7.2995458596586529E-5</v>
      </c>
      <c r="D171" s="11">
        <v>0.106088185496252</v>
      </c>
      <c r="E171" s="11">
        <v>8.227781815854357E-2</v>
      </c>
      <c r="F171" s="11">
        <v>4.0072975950167934E-2</v>
      </c>
      <c r="G171" s="11">
        <v>0.3183253085043552</v>
      </c>
      <c r="H171" s="11">
        <v>8.6011756916783588E-2</v>
      </c>
      <c r="I171" s="11">
        <v>9.0028210337565237E-2</v>
      </c>
      <c r="J171" s="11">
        <v>4.8164458562586525E-5</v>
      </c>
      <c r="K171" s="11">
        <v>2.4893419658972439E-2</v>
      </c>
      <c r="L171" s="11">
        <v>0.14954552156693263</v>
      </c>
      <c r="M171" s="11">
        <v>0.91503080147429905</v>
      </c>
    </row>
    <row r="172" spans="1:13" x14ac:dyDescent="0.3">
      <c r="A172" s="13">
        <v>42993</v>
      </c>
      <c r="B172" s="11">
        <v>7.4847510767355865E-2</v>
      </c>
      <c r="C172" s="11">
        <v>9.9656343921761407E-6</v>
      </c>
      <c r="D172" s="11">
        <v>0.17123628827355392</v>
      </c>
      <c r="E172" s="11">
        <v>4.7237607798574444E-2</v>
      </c>
      <c r="F172" s="11">
        <v>3.6522299897968756E-2</v>
      </c>
      <c r="G172" s="11">
        <v>0.31295600854876965</v>
      </c>
      <c r="H172" s="11">
        <v>8.90041237610626E-5</v>
      </c>
      <c r="I172" s="11">
        <v>0.16348857460654059</v>
      </c>
      <c r="J172" s="11">
        <v>9.6601500726656819E-6</v>
      </c>
      <c r="K172" s="11">
        <v>7.2167010605887047E-5</v>
      </c>
      <c r="L172" s="11">
        <v>0.19353091318840504</v>
      </c>
      <c r="M172" s="11">
        <v>0.92783196394482914</v>
      </c>
    </row>
    <row r="173" spans="1:13" x14ac:dyDescent="0.3">
      <c r="A173" s="13">
        <v>43000</v>
      </c>
      <c r="B173" s="11">
        <v>9.1839001658494165E-2</v>
      </c>
      <c r="C173" s="11">
        <v>8.6886811574554967E-6</v>
      </c>
      <c r="D173" s="11">
        <v>0.18050372167000206</v>
      </c>
      <c r="E173" s="11">
        <v>5.1135288225404155E-2</v>
      </c>
      <c r="F173" s="11">
        <v>4.8825845683323622E-5</v>
      </c>
      <c r="G173" s="11">
        <v>0.30541348962502918</v>
      </c>
      <c r="H173" s="11">
        <v>6.2718076675192622E-2</v>
      </c>
      <c r="I173" s="11">
        <v>0.1924846839867253</v>
      </c>
      <c r="J173" s="11">
        <v>5.0341759320113947E-6</v>
      </c>
      <c r="K173" s="11">
        <v>1.4049913470242121E-3</v>
      </c>
      <c r="L173" s="11">
        <v>0.11443819810935545</v>
      </c>
      <c r="M173" s="11">
        <v>0.96355905320877011</v>
      </c>
    </row>
    <row r="174" spans="1:13" x14ac:dyDescent="0.3">
      <c r="A174" s="13">
        <v>43006</v>
      </c>
      <c r="B174" s="11">
        <v>9.89376112377513E-2</v>
      </c>
      <c r="C174" s="11">
        <v>9.3122195284929555E-6</v>
      </c>
      <c r="D174" s="11">
        <v>0.17613989392665083</v>
      </c>
      <c r="E174" s="11">
        <v>7.7106446361845174E-2</v>
      </c>
      <c r="F174" s="11">
        <v>1.8927726667716102E-5</v>
      </c>
      <c r="G174" s="11">
        <v>0.30050482647361237</v>
      </c>
      <c r="H174" s="11">
        <v>8.3930095062144397E-2</v>
      </c>
      <c r="I174" s="11">
        <v>0.17140229598572743</v>
      </c>
      <c r="J174" s="11">
        <v>7.7289722081898091E-6</v>
      </c>
      <c r="K174" s="11">
        <v>9.1099906286845188E-5</v>
      </c>
      <c r="L174" s="11">
        <v>9.1851762127577299E-2</v>
      </c>
      <c r="M174" s="11">
        <v>0.96201500371442661</v>
      </c>
    </row>
    <row r="175" spans="1:13" x14ac:dyDescent="0.3">
      <c r="A175" s="13">
        <v>43014</v>
      </c>
      <c r="B175" s="11">
        <v>8.8300655751999649E-2</v>
      </c>
      <c r="C175" s="11">
        <v>2.1338883850481198E-5</v>
      </c>
      <c r="D175" s="11">
        <v>0.18155273773190145</v>
      </c>
      <c r="E175" s="11">
        <v>9.6571893166099695E-2</v>
      </c>
      <c r="F175" s="11">
        <v>2.2468189768317497E-5</v>
      </c>
      <c r="G175" s="11">
        <v>0.310388502051194</v>
      </c>
      <c r="H175" s="11">
        <v>7.1324905725638821E-2</v>
      </c>
      <c r="I175" s="11">
        <v>0.16325822869196491</v>
      </c>
      <c r="J175" s="11">
        <v>1.3515518280863591E-5</v>
      </c>
      <c r="K175" s="11">
        <v>8.9259068293673892E-5</v>
      </c>
      <c r="L175" s="11">
        <v>8.845649522100818E-2</v>
      </c>
      <c r="M175" s="11">
        <v>0.96524275902044043</v>
      </c>
    </row>
    <row r="176" spans="1:13" x14ac:dyDescent="0.3">
      <c r="A176" s="13">
        <v>43021</v>
      </c>
      <c r="B176" s="11">
        <v>7.8029180578026408E-2</v>
      </c>
      <c r="C176" s="11">
        <v>2.7183150686416114E-5</v>
      </c>
      <c r="D176" s="11">
        <v>0.16741646372997904</v>
      </c>
      <c r="E176" s="11">
        <v>8.6940934428661562E-2</v>
      </c>
      <c r="F176" s="11">
        <v>6.4648063220382307E-5</v>
      </c>
      <c r="G176" s="11">
        <v>0.28876282863142172</v>
      </c>
      <c r="H176" s="11">
        <v>0.11798378347591486</v>
      </c>
      <c r="I176" s="11">
        <v>0.17393338434631145</v>
      </c>
      <c r="J176" s="11">
        <v>2.4298362771559205E-5</v>
      </c>
      <c r="K176" s="11">
        <v>1.238654581395123E-2</v>
      </c>
      <c r="L176" s="11">
        <v>7.4430749419055378E-2</v>
      </c>
      <c r="M176" s="11">
        <v>0.96518855060029352</v>
      </c>
    </row>
    <row r="177" spans="1:13" x14ac:dyDescent="0.3">
      <c r="A177" s="13">
        <v>43028</v>
      </c>
      <c r="B177" s="11">
        <v>8.3920488067797644E-2</v>
      </c>
      <c r="C177" s="11">
        <v>2.6960675624094386E-5</v>
      </c>
      <c r="D177" s="11">
        <v>0.1548635171340314</v>
      </c>
      <c r="E177" s="11">
        <v>8.0133992613257515E-2</v>
      </c>
      <c r="F177" s="11">
        <v>6.1733404472722717E-5</v>
      </c>
      <c r="G177" s="11">
        <v>0.27277839254086422</v>
      </c>
      <c r="H177" s="11">
        <v>0.15916188711670123</v>
      </c>
      <c r="I177" s="11">
        <v>0.17688580268323092</v>
      </c>
      <c r="J177" s="11">
        <v>2.7122850067613023E-5</v>
      </c>
      <c r="K177" s="11">
        <v>9.971061710742626E-3</v>
      </c>
      <c r="L177" s="11">
        <v>6.2169041203209929E-2</v>
      </c>
      <c r="M177" s="11">
        <v>0.965109418024923</v>
      </c>
    </row>
    <row r="178" spans="1:13" x14ac:dyDescent="0.3">
      <c r="A178" s="13">
        <v>43035</v>
      </c>
      <c r="B178" s="11">
        <v>8.8922978512141121E-2</v>
      </c>
      <c r="C178" s="11">
        <v>2.9070824385557412E-5</v>
      </c>
      <c r="D178" s="11">
        <v>0.14188302777773451</v>
      </c>
      <c r="E178" s="11">
        <v>7.3082009486590674E-2</v>
      </c>
      <c r="F178" s="11">
        <v>7.8292935579049388E-5</v>
      </c>
      <c r="G178" s="11">
        <v>0.26995180902884708</v>
      </c>
      <c r="H178" s="11">
        <v>0.16841926210399411</v>
      </c>
      <c r="I178" s="11">
        <v>0.18212081596478891</v>
      </c>
      <c r="J178" s="11">
        <v>2.7642970869127013E-5</v>
      </c>
      <c r="K178" s="11">
        <v>1.8707100817098476E-2</v>
      </c>
      <c r="L178" s="11">
        <v>5.6777989577971394E-2</v>
      </c>
      <c r="M178" s="11">
        <v>0.96404358813025082</v>
      </c>
    </row>
    <row r="179" spans="1:13" x14ac:dyDescent="0.3">
      <c r="A179" s="13">
        <v>43042</v>
      </c>
      <c r="B179" s="11">
        <v>8.954513186725041E-2</v>
      </c>
      <c r="C179" s="11">
        <v>3.5878472286608738E-5</v>
      </c>
      <c r="D179" s="11">
        <v>0.14129323781464775</v>
      </c>
      <c r="E179" s="11">
        <v>5.9385321644461232E-2</v>
      </c>
      <c r="F179" s="11">
        <v>8.5368662999211169E-5</v>
      </c>
      <c r="G179" s="11">
        <v>0.25915545411514007</v>
      </c>
      <c r="H179" s="11">
        <v>0.16473140649082207</v>
      </c>
      <c r="I179" s="11">
        <v>0.19660944085727025</v>
      </c>
      <c r="J179" s="11">
        <v>3.8896009013173998E-5</v>
      </c>
      <c r="K179" s="11">
        <v>2.5467607138687835E-2</v>
      </c>
      <c r="L179" s="11">
        <v>6.3652256927421463E-2</v>
      </c>
      <c r="M179" s="11">
        <v>0.96841364823145992</v>
      </c>
    </row>
    <row r="180" spans="1:13" x14ac:dyDescent="0.3">
      <c r="A180" s="13">
        <v>43049</v>
      </c>
      <c r="B180" s="11">
        <v>9.5202540958675169E-2</v>
      </c>
      <c r="C180" s="11">
        <v>2.7049975575297671E-5</v>
      </c>
      <c r="D180" s="11">
        <v>8.6320327894967935E-2</v>
      </c>
      <c r="E180" s="11">
        <v>8.8431754395117551E-2</v>
      </c>
      <c r="F180" s="11">
        <v>8.056069105247066E-5</v>
      </c>
      <c r="G180" s="11">
        <v>0.24011905721850624</v>
      </c>
      <c r="H180" s="11">
        <v>0.22273165856369209</v>
      </c>
      <c r="I180" s="11">
        <v>0.18160133514124899</v>
      </c>
      <c r="J180" s="11">
        <v>2.4152215961633473E-5</v>
      </c>
      <c r="K180" s="11">
        <v>4.0195788664865971E-2</v>
      </c>
      <c r="L180" s="11">
        <v>4.5265774280336658E-2</v>
      </c>
      <c r="M180" s="11">
        <v>0.96545694376535729</v>
      </c>
    </row>
    <row r="181" spans="1:13" x14ac:dyDescent="0.3">
      <c r="A181" s="13">
        <v>43055</v>
      </c>
      <c r="B181" s="11">
        <v>7.8775398663903179E-2</v>
      </c>
      <c r="C181" s="11">
        <v>3.1425654704704382E-5</v>
      </c>
      <c r="D181" s="11">
        <v>9.0782580717850711E-2</v>
      </c>
      <c r="E181" s="11">
        <v>7.6349155799819074E-2</v>
      </c>
      <c r="F181" s="11">
        <v>9.0460918295994771E-5</v>
      </c>
      <c r="G181" s="11">
        <v>0.2223092272085968</v>
      </c>
      <c r="H181" s="11">
        <v>0.23920228854114595</v>
      </c>
      <c r="I181" s="11">
        <v>0.20458042120711917</v>
      </c>
      <c r="J181" s="11">
        <v>2.5790637803633264E-5</v>
      </c>
      <c r="K181" s="11">
        <v>3.9228004694936251E-2</v>
      </c>
      <c r="L181" s="11">
        <v>4.8625245955824584E-2</v>
      </c>
      <c r="M181" s="11">
        <v>0.96821434682427376</v>
      </c>
    </row>
    <row r="182" spans="1:13" x14ac:dyDescent="0.3">
      <c r="A182" s="13">
        <v>43063</v>
      </c>
      <c r="B182" s="11">
        <v>8.1402786293689938E-2</v>
      </c>
      <c r="C182" s="11">
        <v>2.5713111986313864E-5</v>
      </c>
      <c r="D182" s="11">
        <v>8.7537432987983943E-2</v>
      </c>
      <c r="E182" s="11">
        <v>7.9480118533168123E-2</v>
      </c>
      <c r="F182" s="11">
        <v>8.3178612570928656E-5</v>
      </c>
      <c r="G182" s="11">
        <v>0.21842765778644818</v>
      </c>
      <c r="H182" s="11">
        <v>0.24194252116234211</v>
      </c>
      <c r="I182" s="11">
        <v>0.20456339130684106</v>
      </c>
      <c r="J182" s="11">
        <v>2.1014095986068343E-5</v>
      </c>
      <c r="K182" s="11">
        <v>3.9966048266924695E-2</v>
      </c>
      <c r="L182" s="11">
        <v>4.6550137842058525E-2</v>
      </c>
      <c r="M182" s="11">
        <v>0.96740642234146712</v>
      </c>
    </row>
    <row r="183" spans="1:13" x14ac:dyDescent="0.3">
      <c r="A183" s="13">
        <v>43070</v>
      </c>
      <c r="B183" s="11">
        <v>8.0712821577817687E-2</v>
      </c>
      <c r="C183" s="11">
        <v>2.5937689894783509E-5</v>
      </c>
      <c r="D183" s="11">
        <v>8.7380736071509479E-2</v>
      </c>
      <c r="E183" s="11">
        <v>7.7633873910739504E-2</v>
      </c>
      <c r="F183" s="11">
        <v>9.0132236434357183E-5</v>
      </c>
      <c r="G183" s="11">
        <v>0.21903370449044868</v>
      </c>
      <c r="H183" s="11">
        <v>0.2425858244880281</v>
      </c>
      <c r="I183" s="11">
        <v>0.20555810488438195</v>
      </c>
      <c r="J183" s="11">
        <v>2.0883893461674111E-5</v>
      </c>
      <c r="K183" s="11">
        <v>3.9706591009890622E-2</v>
      </c>
      <c r="L183" s="11">
        <v>4.7251389747393076E-2</v>
      </c>
      <c r="M183" s="11">
        <v>0.96825422671749961</v>
      </c>
    </row>
    <row r="184" spans="1:13" x14ac:dyDescent="0.3">
      <c r="A184" s="13">
        <v>43077</v>
      </c>
      <c r="B184" s="11">
        <v>7.5270945806686571E-2</v>
      </c>
      <c r="C184" s="11">
        <v>6.126610625752819E-6</v>
      </c>
      <c r="D184" s="11">
        <v>9.757585788295324E-2</v>
      </c>
      <c r="E184" s="11">
        <v>7.69982919656549E-2</v>
      </c>
      <c r="F184" s="11">
        <v>3.8499407818586122E-3</v>
      </c>
      <c r="G184" s="11">
        <v>0.22296379857826909</v>
      </c>
      <c r="H184" s="11">
        <v>0.22754399354849947</v>
      </c>
      <c r="I184" s="11">
        <v>0.20681345617156133</v>
      </c>
      <c r="J184" s="11">
        <v>5.0950593476816021E-6</v>
      </c>
      <c r="K184" s="11">
        <v>3.8436339059285209E-2</v>
      </c>
      <c r="L184" s="11">
        <v>5.0536154535258185E-2</v>
      </c>
      <c r="M184" s="11">
        <v>0.96782170943376966</v>
      </c>
    </row>
    <row r="185" spans="1:13" x14ac:dyDescent="0.3">
      <c r="A185" s="13">
        <v>43084</v>
      </c>
      <c r="B185" s="11">
        <v>7.5929907480898631E-2</v>
      </c>
      <c r="C185" s="11">
        <v>8.4271638100749533E-6</v>
      </c>
      <c r="D185" s="11">
        <v>0.11852993511196307</v>
      </c>
      <c r="E185" s="11">
        <v>6.1752810494022051E-2</v>
      </c>
      <c r="F185" s="11">
        <v>5.0910806786682956E-3</v>
      </c>
      <c r="G185" s="11">
        <v>0.21359887105467001</v>
      </c>
      <c r="H185" s="11">
        <v>0.23708626439219299</v>
      </c>
      <c r="I185" s="11">
        <v>0.20441353306696725</v>
      </c>
      <c r="J185" s="11">
        <v>6.4304361723754167E-6</v>
      </c>
      <c r="K185" s="11">
        <v>3.5075696371294748E-2</v>
      </c>
      <c r="L185" s="11">
        <v>4.8507043749340568E-2</v>
      </c>
      <c r="M185" s="11">
        <v>0.96966600225695465</v>
      </c>
    </row>
    <row r="186" spans="1:13" x14ac:dyDescent="0.3">
      <c r="A186" s="13">
        <v>43091</v>
      </c>
      <c r="B186" s="11">
        <v>7.9500233510350959E-2</v>
      </c>
      <c r="C186" s="11">
        <v>1.5762735887798698E-5</v>
      </c>
      <c r="D186" s="11">
        <v>0.11900116749861533</v>
      </c>
      <c r="E186" s="11">
        <v>5.9045396440992735E-2</v>
      </c>
      <c r="F186" s="11">
        <v>8.7527753266035593E-3</v>
      </c>
      <c r="G186" s="11">
        <v>0.20395188536957193</v>
      </c>
      <c r="H186" s="11">
        <v>0.2373776173901056</v>
      </c>
      <c r="I186" s="11">
        <v>0.20111129045889331</v>
      </c>
      <c r="J186" s="11">
        <v>1.2620943947505074E-5</v>
      </c>
      <c r="K186" s="11">
        <v>3.6235347054232668E-2</v>
      </c>
      <c r="L186" s="11">
        <v>5.4995903270798702E-2</v>
      </c>
      <c r="M186" s="11">
        <v>0.96914989754449121</v>
      </c>
    </row>
    <row r="187" spans="1:13" x14ac:dyDescent="0.3">
      <c r="A187" s="13">
        <v>43098</v>
      </c>
      <c r="B187" s="11">
        <v>0.10267374387661651</v>
      </c>
      <c r="C187" s="11">
        <v>1.9110303449953856E-5</v>
      </c>
      <c r="D187" s="11">
        <v>9.343068945366477E-2</v>
      </c>
      <c r="E187" s="11">
        <v>0.1197120350825281</v>
      </c>
      <c r="F187" s="11">
        <v>1.0128037031367956E-2</v>
      </c>
      <c r="G187" s="11">
        <v>0.20993795613378119</v>
      </c>
      <c r="H187" s="11">
        <v>0.22057727022944953</v>
      </c>
      <c r="I187" s="11">
        <v>0.1502008253147411</v>
      </c>
      <c r="J187" s="11">
        <v>1.3215936522727447E-5</v>
      </c>
      <c r="K187" s="11">
        <v>3.3933148195076014E-2</v>
      </c>
      <c r="L187" s="11">
        <v>5.9373968442802155E-2</v>
      </c>
      <c r="M187" s="11">
        <v>0.96608706965421254</v>
      </c>
    </row>
    <row r="188" spans="1:13" x14ac:dyDescent="0.3">
      <c r="A188" s="13">
        <v>43105</v>
      </c>
      <c r="B188" s="11">
        <v>0.10664505941133656</v>
      </c>
      <c r="C188" s="11">
        <v>8.01069040934923E-5</v>
      </c>
      <c r="D188" s="11">
        <v>9.3859716074922675E-2</v>
      </c>
      <c r="E188" s="11">
        <v>0.11237912471089084</v>
      </c>
      <c r="F188" s="11">
        <v>2.3163306117287796E-2</v>
      </c>
      <c r="G188" s="11">
        <v>0.21102061908486042</v>
      </c>
      <c r="H188" s="11">
        <v>0.20582028638109159</v>
      </c>
      <c r="I188" s="11">
        <v>0.15709935649832971</v>
      </c>
      <c r="J188" s="11">
        <v>4.6316369729381864E-5</v>
      </c>
      <c r="K188" s="11">
        <v>2.9495453164832566E-2</v>
      </c>
      <c r="L188" s="11">
        <v>6.039065528262498E-2</v>
      </c>
      <c r="M188" s="11">
        <v>0.96626390489974257</v>
      </c>
    </row>
    <row r="189" spans="1:13" x14ac:dyDescent="0.3">
      <c r="A189" s="13">
        <v>43112</v>
      </c>
      <c r="B189" s="11">
        <v>0.10358884253720912</v>
      </c>
      <c r="C189" s="11">
        <v>8.1295757490219841E-5</v>
      </c>
      <c r="D189" s="11">
        <v>0.10820403237193492</v>
      </c>
      <c r="E189" s="11">
        <v>9.7988318488132581E-2</v>
      </c>
      <c r="F189" s="11">
        <v>3.1694745520736915E-2</v>
      </c>
      <c r="G189" s="11">
        <v>0.22311544838132863</v>
      </c>
      <c r="H189" s="11">
        <v>0.18433048977244185</v>
      </c>
      <c r="I189" s="11">
        <v>0.15830038738701843</v>
      </c>
      <c r="J189" s="11">
        <v>5.2973872494778482E-5</v>
      </c>
      <c r="K189" s="11">
        <v>2.5341425437757668E-2</v>
      </c>
      <c r="L189" s="11">
        <v>6.7302040473454866E-2</v>
      </c>
      <c r="M189" s="11">
        <v>0.96513310267583752</v>
      </c>
    </row>
    <row r="190" spans="1:13" x14ac:dyDescent="0.3">
      <c r="A190" s="13">
        <v>43119</v>
      </c>
      <c r="B190" s="11">
        <v>0.10670620865960831</v>
      </c>
      <c r="C190" s="11">
        <v>6.10696140907517E-5</v>
      </c>
      <c r="D190" s="11">
        <v>8.4125914069931876E-2</v>
      </c>
      <c r="E190" s="11">
        <v>0.12566761609899565</v>
      </c>
      <c r="F190" s="11">
        <v>3.2343986661934075E-2</v>
      </c>
      <c r="G190" s="11">
        <v>0.23446859841017004</v>
      </c>
      <c r="H190" s="11">
        <v>0.19128966884117146</v>
      </c>
      <c r="I190" s="11">
        <v>0.13913330709970029</v>
      </c>
      <c r="J190" s="11">
        <v>4.368267896037606E-5</v>
      </c>
      <c r="K190" s="11">
        <v>2.0666834921734118E-2</v>
      </c>
      <c r="L190" s="11">
        <v>6.5493112943703052E-2</v>
      </c>
      <c r="M190" s="11">
        <v>0.96174519863420416</v>
      </c>
    </row>
    <row r="191" spans="1:13" x14ac:dyDescent="0.3">
      <c r="A191" s="13">
        <v>43126</v>
      </c>
      <c r="B191" s="11">
        <v>0.12314290002257981</v>
      </c>
      <c r="C191" s="11">
        <v>3.5891119396353677E-5</v>
      </c>
      <c r="D191" s="11">
        <v>8.9169411129516526E-2</v>
      </c>
      <c r="E191" s="11">
        <v>0.12291610744087414</v>
      </c>
      <c r="F191" s="11">
        <v>5.5854615625426186E-2</v>
      </c>
      <c r="G191" s="11">
        <v>0.23123667657719651</v>
      </c>
      <c r="H191" s="11">
        <v>0.16290018492460479</v>
      </c>
      <c r="I191" s="11">
        <v>0.13832881654024476</v>
      </c>
      <c r="J191" s="11">
        <v>3.8555365772980697E-5</v>
      </c>
      <c r="K191" s="11">
        <v>8.7214347214324345E-5</v>
      </c>
      <c r="L191" s="11">
        <v>7.628962690717371E-2</v>
      </c>
      <c r="M191" s="11">
        <v>0.95639938365190147</v>
      </c>
    </row>
    <row r="192" spans="1:13" x14ac:dyDescent="0.3">
      <c r="A192" s="13">
        <v>43133</v>
      </c>
      <c r="B192" s="11">
        <v>0.10792281265665457</v>
      </c>
      <c r="C192" s="11">
        <v>3.974909979631407E-5</v>
      </c>
      <c r="D192" s="11">
        <v>0.10047371155750051</v>
      </c>
      <c r="E192" s="11">
        <v>0.11795174629291641</v>
      </c>
      <c r="F192" s="11">
        <v>1.8645136315194138E-2</v>
      </c>
      <c r="G192" s="11">
        <v>0.21961637842074025</v>
      </c>
      <c r="H192" s="11">
        <v>0.20366267199025118</v>
      </c>
      <c r="I192" s="11">
        <v>0.14368752505024934</v>
      </c>
      <c r="J192" s="11">
        <v>2.7527008944403187E-5</v>
      </c>
      <c r="K192" s="11">
        <v>4.5314497544204276E-5</v>
      </c>
      <c r="L192" s="11">
        <v>8.7927427110208609E-2</v>
      </c>
      <c r="M192" s="11">
        <v>0.95302496642352619</v>
      </c>
    </row>
    <row r="193" spans="1:13" x14ac:dyDescent="0.3">
      <c r="A193" s="13">
        <v>43140</v>
      </c>
      <c r="B193" s="11">
        <v>0.10612924038331796</v>
      </c>
      <c r="C193" s="11">
        <v>5.149240109557284E-5</v>
      </c>
      <c r="D193" s="11">
        <v>9.6982743676730987E-2</v>
      </c>
      <c r="E193" s="11">
        <v>0.10968065384937763</v>
      </c>
      <c r="F193" s="11">
        <v>2.3800849665624835E-2</v>
      </c>
      <c r="G193" s="11">
        <v>0.21666892968725168</v>
      </c>
      <c r="H193" s="11">
        <v>0.20478914378066199</v>
      </c>
      <c r="I193" s="11">
        <v>0.1527618106721764</v>
      </c>
      <c r="J193" s="11">
        <v>3.7972472978280566E-5</v>
      </c>
      <c r="K193" s="11">
        <v>6.0689959395951824E-5</v>
      </c>
      <c r="L193" s="11">
        <v>8.9036473451388751E-2</v>
      </c>
      <c r="M193" s="11">
        <v>0.95361305612320302</v>
      </c>
    </row>
    <row r="194" spans="1:13" x14ac:dyDescent="0.3">
      <c r="A194" s="13">
        <v>43147</v>
      </c>
      <c r="B194" s="11">
        <v>0.10786446840070084</v>
      </c>
      <c r="C194" s="11">
        <v>5.1049410257855376E-5</v>
      </c>
      <c r="D194" s="11">
        <v>8.9789666839450499E-2</v>
      </c>
      <c r="E194" s="11">
        <v>0.1119051692626636</v>
      </c>
      <c r="F194" s="11">
        <v>2.6850931373464049E-2</v>
      </c>
      <c r="G194" s="11">
        <v>0.21998716160537055</v>
      </c>
      <c r="H194" s="11">
        <v>0.20111997367394693</v>
      </c>
      <c r="I194" s="11">
        <v>0.15019177713757195</v>
      </c>
      <c r="J194" s="11">
        <v>3.9611372819729472E-5</v>
      </c>
      <c r="K194" s="11">
        <v>6.3226030207196967E-5</v>
      </c>
      <c r="L194" s="11">
        <v>9.2136964893546794E-2</v>
      </c>
      <c r="M194" s="11">
        <v>0.95691339201848036</v>
      </c>
    </row>
    <row r="195" spans="1:13" x14ac:dyDescent="0.3">
      <c r="A195" s="13">
        <v>43157.5</v>
      </c>
      <c r="B195" s="11">
        <v>0.11084039403662053</v>
      </c>
      <c r="C195" s="11">
        <v>5.2543551744381196E-5</v>
      </c>
      <c r="D195" s="11">
        <v>7.2853213685580467E-2</v>
      </c>
      <c r="E195" s="11">
        <v>0.13441593540113944</v>
      </c>
      <c r="F195" s="11">
        <v>2.1622794489967359E-2</v>
      </c>
      <c r="G195" s="11">
        <v>0.22628637964908055</v>
      </c>
      <c r="H195" s="11">
        <v>0.21016467903186564</v>
      </c>
      <c r="I195" s="11">
        <v>0.13777096494989882</v>
      </c>
      <c r="J195" s="11">
        <v>4.2619989868527918E-5</v>
      </c>
      <c r="K195" s="11">
        <v>6.0219240394942018E-5</v>
      </c>
      <c r="L195" s="11">
        <v>8.5890255973839327E-2</v>
      </c>
      <c r="M195" s="11">
        <v>0.96043150926674892</v>
      </c>
    </row>
    <row r="196" spans="1:13" x14ac:dyDescent="0.3">
      <c r="A196" s="13">
        <v>43164.5</v>
      </c>
      <c r="B196" s="11">
        <v>0.12200160907905265</v>
      </c>
      <c r="C196" s="11">
        <v>4.7078847469945401E-5</v>
      </c>
      <c r="D196" s="11">
        <v>5.0993375003687502E-2</v>
      </c>
      <c r="E196" s="11">
        <v>0.13763558237028531</v>
      </c>
      <c r="F196" s="11">
        <v>3.6694193410120722E-2</v>
      </c>
      <c r="G196" s="11">
        <v>0.23148143662329959</v>
      </c>
      <c r="H196" s="11">
        <v>0.19563569597453462</v>
      </c>
      <c r="I196" s="11">
        <v>0.13651506794796164</v>
      </c>
      <c r="J196" s="11">
        <v>5.4055206478034814E-5</v>
      </c>
      <c r="K196" s="11">
        <v>6.7665577051316842E-5</v>
      </c>
      <c r="L196" s="11">
        <v>8.8874239960058637E-2</v>
      </c>
      <c r="M196" s="11">
        <v>0.95812596274166073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6"/>
  <sheetViews>
    <sheetView topLeftCell="D1" workbookViewId="0">
      <selection activeCell="O19" sqref="O19"/>
    </sheetView>
  </sheetViews>
  <sheetFormatPr defaultRowHeight="13.5" x14ac:dyDescent="0.3"/>
  <cols>
    <col min="1" max="1" width="15.796875" customWidth="1"/>
  </cols>
  <sheetData>
    <row r="1" spans="1:13" x14ac:dyDescent="0.3">
      <c r="A1" s="13" t="s">
        <v>87</v>
      </c>
      <c r="B1" s="11" t="s">
        <v>62</v>
      </c>
      <c r="C1" s="11" t="s">
        <v>54</v>
      </c>
      <c r="D1" s="11" t="s">
        <v>56</v>
      </c>
      <c r="E1" s="11" t="s">
        <v>52</v>
      </c>
      <c r="F1" s="11" t="s">
        <v>64</v>
      </c>
      <c r="G1" s="11" t="s">
        <v>58</v>
      </c>
      <c r="H1" s="11" t="s">
        <v>60</v>
      </c>
      <c r="I1" s="11" t="s">
        <v>50</v>
      </c>
      <c r="J1" s="11" t="s">
        <v>68</v>
      </c>
      <c r="K1" s="11" t="s">
        <v>66</v>
      </c>
      <c r="L1" s="11" t="s">
        <v>88</v>
      </c>
      <c r="M1" s="11" t="s">
        <v>89</v>
      </c>
    </row>
    <row r="2" spans="1:13" x14ac:dyDescent="0.3">
      <c r="A2" s="13">
        <v>41785.5</v>
      </c>
      <c r="B2" s="11">
        <v>8.867331758736009E-6</v>
      </c>
      <c r="C2" s="11">
        <v>2.6644912540565526E-5</v>
      </c>
      <c r="D2" s="11">
        <v>0.25052316046038609</v>
      </c>
      <c r="E2" s="11">
        <v>2.415152935245891E-5</v>
      </c>
      <c r="F2" s="11">
        <v>0.33311419897135947</v>
      </c>
      <c r="G2" s="11">
        <v>4.587502077991621E-2</v>
      </c>
      <c r="H2" s="11">
        <v>5.0553157747692243E-2</v>
      </c>
      <c r="I2" s="11">
        <v>9.47397403248638E-6</v>
      </c>
      <c r="J2" s="11">
        <v>1.512004695221202E-5</v>
      </c>
      <c r="K2" s="11">
        <v>3.3584764018912999E-2</v>
      </c>
      <c r="L2" s="11">
        <v>0.28626544022709649</v>
      </c>
      <c r="M2" s="11">
        <v>0.9772118483078841</v>
      </c>
    </row>
    <row r="3" spans="1:13" x14ac:dyDescent="0.3">
      <c r="A3" s="13">
        <v>41792.5</v>
      </c>
      <c r="B3" s="11">
        <v>6.3174933561751919E-6</v>
      </c>
      <c r="C3" s="11">
        <v>2.8452974249363012E-5</v>
      </c>
      <c r="D3" s="11">
        <v>0.25933698403192229</v>
      </c>
      <c r="E3" s="11">
        <v>3.8938001797950425E-5</v>
      </c>
      <c r="F3" s="11">
        <v>0.32790114442917379</v>
      </c>
      <c r="G3" s="11">
        <v>5.851678025382636E-2</v>
      </c>
      <c r="H3" s="11">
        <v>3.048878890229809E-2</v>
      </c>
      <c r="I3" s="11">
        <v>8.9230104865495771E-6</v>
      </c>
      <c r="J3" s="11">
        <v>1.6998753520691839E-5</v>
      </c>
      <c r="K3" s="11">
        <v>4.4807508824978796E-2</v>
      </c>
      <c r="L3" s="11">
        <v>0.27884916332438997</v>
      </c>
      <c r="M3" s="11">
        <v>0.97757834883688255</v>
      </c>
    </row>
    <row r="4" spans="1:13" x14ac:dyDescent="0.3">
      <c r="A4" s="13">
        <v>41799.5</v>
      </c>
      <c r="B4" s="11">
        <v>8.0214508314815757E-6</v>
      </c>
      <c r="C4" s="11">
        <v>3.5598640241131284E-5</v>
      </c>
      <c r="D4" s="11">
        <v>0.25801787141109828</v>
      </c>
      <c r="E4" s="11">
        <v>3.1526682872395426E-5</v>
      </c>
      <c r="F4" s="11">
        <v>0.31124796517309222</v>
      </c>
      <c r="G4" s="11">
        <v>6.462831276536618E-2</v>
      </c>
      <c r="H4" s="11">
        <v>3.5046885026520362E-2</v>
      </c>
      <c r="I4" s="11">
        <v>1.334869084218702E-5</v>
      </c>
      <c r="J4" s="11">
        <v>2.0979666745898598E-5</v>
      </c>
      <c r="K4" s="11">
        <v>5.2828855888005899E-2</v>
      </c>
      <c r="L4" s="11">
        <v>0.27812063460438391</v>
      </c>
      <c r="M4" s="11">
        <v>0.98067930642065959</v>
      </c>
    </row>
    <row r="5" spans="1:13" x14ac:dyDescent="0.3">
      <c r="A5" s="13">
        <v>41806</v>
      </c>
      <c r="B5" s="11">
        <v>6.4831963741103216E-6</v>
      </c>
      <c r="C5" s="11">
        <v>2.754211800808448E-5</v>
      </c>
      <c r="D5" s="11">
        <v>0.24044837570756092</v>
      </c>
      <c r="E5" s="11">
        <v>2.6194038604664262E-5</v>
      </c>
      <c r="F5" s="11">
        <v>0.30554892058129773</v>
      </c>
      <c r="G5" s="11">
        <v>6.9112183441268751E-2</v>
      </c>
      <c r="H5" s="11">
        <v>4.2854063118554372E-2</v>
      </c>
      <c r="I5" s="11">
        <v>1.1436226956851235E-5</v>
      </c>
      <c r="J5" s="11">
        <v>1.5009699153906409E-5</v>
      </c>
      <c r="K5" s="11">
        <v>5.9880719437179097E-2</v>
      </c>
      <c r="L5" s="11">
        <v>0.28206907243504148</v>
      </c>
      <c r="M5" s="11">
        <v>0.97856891558364789</v>
      </c>
    </row>
    <row r="6" spans="1:13" x14ac:dyDescent="0.3">
      <c r="A6" s="13">
        <v>41813.5</v>
      </c>
      <c r="B6" s="11">
        <v>4.3774158337128917E-6</v>
      </c>
      <c r="C6" s="11">
        <v>4.0612942249517868E-5</v>
      </c>
      <c r="D6" s="11">
        <v>0.25562170506440535</v>
      </c>
      <c r="E6" s="11">
        <v>1.8167756635236464E-5</v>
      </c>
      <c r="F6" s="11">
        <v>0.31461384439939416</v>
      </c>
      <c r="G6" s="11">
        <v>5.6011529792254024E-2</v>
      </c>
      <c r="H6" s="11">
        <v>3.6223080165938219E-2</v>
      </c>
      <c r="I6" s="11">
        <v>6.456994284206124E-6</v>
      </c>
      <c r="J6" s="11">
        <v>1.2528793089936305E-5</v>
      </c>
      <c r="K6" s="11">
        <v>5.1966533102122042E-2</v>
      </c>
      <c r="L6" s="11">
        <v>0.28548116357379361</v>
      </c>
      <c r="M6" s="11">
        <v>0.97795214019801191</v>
      </c>
    </row>
    <row r="7" spans="1:13" x14ac:dyDescent="0.3">
      <c r="A7" s="13">
        <v>41820.5</v>
      </c>
      <c r="B7" s="11">
        <v>2.7032647159329234E-6</v>
      </c>
      <c r="C7" s="11">
        <v>4.7047355250668304E-5</v>
      </c>
      <c r="D7" s="11">
        <v>0.26003430326840188</v>
      </c>
      <c r="E7" s="11">
        <v>1.5487180917792414E-5</v>
      </c>
      <c r="F7" s="11">
        <v>0.32613194469561696</v>
      </c>
      <c r="G7" s="11">
        <v>3.1264399787785092E-2</v>
      </c>
      <c r="H7" s="11">
        <v>5.0363969850380261E-2</v>
      </c>
      <c r="I7" s="11">
        <v>4.7361061461932907E-6</v>
      </c>
      <c r="J7" s="11">
        <v>8.8348245711461386E-6</v>
      </c>
      <c r="K7" s="11">
        <v>4.6753562493877833E-2</v>
      </c>
      <c r="L7" s="11">
        <v>0.28537301117233616</v>
      </c>
      <c r="M7" s="11">
        <v>0.97721107130362839</v>
      </c>
    </row>
    <row r="8" spans="1:13" x14ac:dyDescent="0.3">
      <c r="A8" s="13">
        <v>41827.5</v>
      </c>
      <c r="B8" s="11">
        <v>1.9561012247077413E-6</v>
      </c>
      <c r="C8" s="11">
        <v>6.5809305268608656E-5</v>
      </c>
      <c r="D8" s="11">
        <v>0.26149906725331201</v>
      </c>
      <c r="E8" s="11">
        <v>1.308868466830238E-5</v>
      </c>
      <c r="F8" s="11">
        <v>0.32238500954815347</v>
      </c>
      <c r="G8" s="11">
        <v>3.3334781004007739E-2</v>
      </c>
      <c r="H8" s="11">
        <v>5.3757455082529278E-2</v>
      </c>
      <c r="I8" s="11">
        <v>3.4617080459976232E-6</v>
      </c>
      <c r="J8" s="11">
        <v>6.5595220799667939E-6</v>
      </c>
      <c r="K8" s="11">
        <v>4.6788990933777683E-2</v>
      </c>
      <c r="L8" s="11">
        <v>0.28214382085693229</v>
      </c>
      <c r="M8" s="11">
        <v>0.97757279171214961</v>
      </c>
    </row>
    <row r="9" spans="1:13" x14ac:dyDescent="0.3">
      <c r="A9" s="13">
        <v>41834.5</v>
      </c>
      <c r="B9" s="11">
        <v>2.4527938213632196E-6</v>
      </c>
      <c r="C9" s="11">
        <v>5.4870904502350914E-3</v>
      </c>
      <c r="D9" s="11">
        <v>0.26420359975735386</v>
      </c>
      <c r="E9" s="11">
        <v>1.5242674464956176E-5</v>
      </c>
      <c r="F9" s="11">
        <v>0.32897631662764437</v>
      </c>
      <c r="G9" s="11">
        <v>3.4779221802269861E-2</v>
      </c>
      <c r="H9" s="11">
        <v>4.5964241988239979E-2</v>
      </c>
      <c r="I9" s="11">
        <v>3.2921014264990253E-6</v>
      </c>
      <c r="J9" s="11">
        <v>5.9045143774218748E-6</v>
      </c>
      <c r="K9" s="11">
        <v>4.0138579872511078E-2</v>
      </c>
      <c r="L9" s="11">
        <v>0.28042405741765541</v>
      </c>
      <c r="M9" s="11">
        <v>0.97869583272389638</v>
      </c>
    </row>
    <row r="10" spans="1:13" x14ac:dyDescent="0.3">
      <c r="A10" s="13">
        <v>41841.5</v>
      </c>
      <c r="B10" s="11">
        <v>1.9187413939433086E-5</v>
      </c>
      <c r="C10" s="11">
        <v>2.5454377954480405E-2</v>
      </c>
      <c r="D10" s="11">
        <v>0.22366291793737397</v>
      </c>
      <c r="E10" s="11">
        <v>5.7237064646343984E-5</v>
      </c>
      <c r="F10" s="11">
        <v>0.33601305997353131</v>
      </c>
      <c r="G10" s="11">
        <v>4.1478004860397009E-2</v>
      </c>
      <c r="H10" s="11">
        <v>4.0490286021102356E-2</v>
      </c>
      <c r="I10" s="11">
        <v>1.5161296035855129E-5</v>
      </c>
      <c r="J10" s="11">
        <v>4.0471298069439871E-5</v>
      </c>
      <c r="K10" s="11">
        <v>4.335311905637905E-2</v>
      </c>
      <c r="L10" s="11">
        <v>0.28941617712404483</v>
      </c>
      <c r="M10" s="11">
        <v>0.97753194823480916</v>
      </c>
    </row>
    <row r="11" spans="1:13" x14ac:dyDescent="0.3">
      <c r="A11" s="13">
        <v>41848.5</v>
      </c>
      <c r="B11" s="11">
        <v>7.38059837543306E-3</v>
      </c>
      <c r="C11" s="11">
        <v>6.2841606386224847E-5</v>
      </c>
      <c r="D11" s="11">
        <v>0.2070187492330286</v>
      </c>
      <c r="E11" s="11">
        <v>4.0913542229358303E-5</v>
      </c>
      <c r="F11" s="11">
        <v>0.36684011007080503</v>
      </c>
      <c r="G11" s="11">
        <v>2.0132762177357672E-2</v>
      </c>
      <c r="H11" s="11">
        <v>6.4221004199164336E-2</v>
      </c>
      <c r="I11" s="11">
        <v>1.7098691310404167E-3</v>
      </c>
      <c r="J11" s="11">
        <v>4.5648460040679838E-3</v>
      </c>
      <c r="K11" s="11">
        <v>2.8968532191554035E-2</v>
      </c>
      <c r="L11" s="11">
        <v>0.29905977346893337</v>
      </c>
      <c r="M11" s="11">
        <v>0.98004191474582303</v>
      </c>
    </row>
    <row r="12" spans="1:13" x14ac:dyDescent="0.3">
      <c r="A12" s="13">
        <v>41855.5</v>
      </c>
      <c r="B12" s="11">
        <v>3.4913082530562709E-5</v>
      </c>
      <c r="C12" s="11">
        <v>0.10312261432279343</v>
      </c>
      <c r="D12" s="11">
        <v>9.6445154235815761E-2</v>
      </c>
      <c r="E12" s="11">
        <v>1.1758577117277646E-5</v>
      </c>
      <c r="F12" s="11">
        <v>0.37358704012849625</v>
      </c>
      <c r="G12" s="11">
        <v>6.3241758689230594E-5</v>
      </c>
      <c r="H12" s="11">
        <v>4.768835663570388E-2</v>
      </c>
      <c r="I12" s="11">
        <v>3.7600918196382775E-2</v>
      </c>
      <c r="J12" s="11">
        <v>3.8877943522992714E-5</v>
      </c>
      <c r="K12" s="11">
        <v>3.3359967317324879E-2</v>
      </c>
      <c r="L12" s="11">
        <v>0.30804715780162301</v>
      </c>
      <c r="M12" s="11">
        <v>0.9754867838563932</v>
      </c>
    </row>
    <row r="13" spans="1:13" x14ac:dyDescent="0.3">
      <c r="A13" s="13">
        <v>41862.5</v>
      </c>
      <c r="B13" s="11">
        <v>9.12090103794614E-3</v>
      </c>
      <c r="C13" s="11">
        <v>6.3305471948916694E-3</v>
      </c>
      <c r="D13" s="11">
        <v>0.10604936529730263</v>
      </c>
      <c r="E13" s="11">
        <v>1.0644613699852437E-5</v>
      </c>
      <c r="F13" s="11">
        <v>0.35249977223238216</v>
      </c>
      <c r="G13" s="11">
        <v>2.3410605577245787E-5</v>
      </c>
      <c r="H13" s="11">
        <v>6.2026466355479919E-2</v>
      </c>
      <c r="I13" s="11">
        <v>2.277455439675068E-2</v>
      </c>
      <c r="J13" s="11">
        <v>8.0801658831246098E-2</v>
      </c>
      <c r="K13" s="11">
        <v>6.299815470328271E-2</v>
      </c>
      <c r="L13" s="11">
        <v>0.29736452473144093</v>
      </c>
      <c r="M13" s="11">
        <v>0.97322120248689614</v>
      </c>
    </row>
    <row r="14" spans="1:13" x14ac:dyDescent="0.3">
      <c r="A14" s="13">
        <v>41868.5</v>
      </c>
      <c r="B14" s="11">
        <v>4.090313965132495E-2</v>
      </c>
      <c r="C14" s="11">
        <v>3.9547458315893902E-2</v>
      </c>
      <c r="D14" s="11">
        <v>3.172362638204454E-2</v>
      </c>
      <c r="E14" s="11">
        <v>9.2119950130372742E-6</v>
      </c>
      <c r="F14" s="11">
        <v>0.32530720715532563</v>
      </c>
      <c r="G14" s="11">
        <v>8.853523420962689E-5</v>
      </c>
      <c r="H14" s="11">
        <v>0.12904818422430864</v>
      </c>
      <c r="I14" s="11">
        <v>5.1770434434431531E-6</v>
      </c>
      <c r="J14" s="11">
        <v>6.9609875671420518E-2</v>
      </c>
      <c r="K14" s="11">
        <v>5.7286921256345172E-2</v>
      </c>
      <c r="L14" s="11">
        <v>0.30647066307067067</v>
      </c>
      <c r="M14" s="11">
        <v>0.93926403625567678</v>
      </c>
    </row>
    <row r="15" spans="1:13" x14ac:dyDescent="0.3">
      <c r="A15" s="13">
        <v>41876.5</v>
      </c>
      <c r="B15" s="11">
        <v>4.1723966397467602E-2</v>
      </c>
      <c r="C15" s="11">
        <v>3.7800296303219329E-2</v>
      </c>
      <c r="D15" s="11">
        <v>1.0760847038269421E-4</v>
      </c>
      <c r="E15" s="11">
        <v>9.1179661970548772E-7</v>
      </c>
      <c r="F15" s="11">
        <v>0.31724031425209154</v>
      </c>
      <c r="G15" s="11">
        <v>3.056139455031839E-6</v>
      </c>
      <c r="H15" s="11">
        <v>0.14481779989499532</v>
      </c>
      <c r="I15" s="11">
        <v>3.3107015403047131E-7</v>
      </c>
      <c r="J15" s="11">
        <v>8.0567115147534743E-2</v>
      </c>
      <c r="K15" s="11">
        <v>6.9497635264982913E-2</v>
      </c>
      <c r="L15" s="11">
        <v>0.30824096526309719</v>
      </c>
      <c r="M15" s="11">
        <v>0.93851093814847752</v>
      </c>
    </row>
    <row r="16" spans="1:13" x14ac:dyDescent="0.3">
      <c r="A16" s="13">
        <v>41883.5</v>
      </c>
      <c r="B16" s="11">
        <v>4.1782418403873221E-2</v>
      </c>
      <c r="C16" s="11">
        <v>4.3489206304580343E-2</v>
      </c>
      <c r="D16" s="11">
        <v>6.3968557035411766E-3</v>
      </c>
      <c r="E16" s="11">
        <v>7.6595924244729518E-6</v>
      </c>
      <c r="F16" s="11">
        <v>0.26983082986676216</v>
      </c>
      <c r="G16" s="11">
        <v>9.4845661038340674E-5</v>
      </c>
      <c r="H16" s="11">
        <v>0.15254563233764029</v>
      </c>
      <c r="I16" s="11">
        <v>2.9706717072043647E-6</v>
      </c>
      <c r="J16" s="11">
        <v>7.5665293629559066E-2</v>
      </c>
      <c r="K16" s="11">
        <v>0.10209326699033361</v>
      </c>
      <c r="L16" s="11">
        <v>0.30809102083854023</v>
      </c>
      <c r="M16" s="11">
        <v>0.93777318294799794</v>
      </c>
    </row>
    <row r="17" spans="1:13" x14ac:dyDescent="0.3">
      <c r="A17" s="13">
        <v>41890.5</v>
      </c>
      <c r="B17" s="11">
        <v>4.3294968026155664E-2</v>
      </c>
      <c r="C17" s="11">
        <v>6.4374863635444465E-2</v>
      </c>
      <c r="D17" s="11">
        <v>9.7667569790119599E-5</v>
      </c>
      <c r="E17" s="11">
        <v>3.9879198494380167E-6</v>
      </c>
      <c r="F17" s="11">
        <v>0.25939639182111895</v>
      </c>
      <c r="G17" s="11">
        <v>1.1403004141643635E-5</v>
      </c>
      <c r="H17" s="11">
        <v>0.16217434353799456</v>
      </c>
      <c r="I17" s="11">
        <v>5.9497318037575666E-7</v>
      </c>
      <c r="J17" s="11">
        <v>5.1896994917983677E-2</v>
      </c>
      <c r="K17" s="11">
        <v>0.11289762351822144</v>
      </c>
      <c r="L17" s="11">
        <v>0.30585116107611982</v>
      </c>
      <c r="M17" s="11">
        <v>0.93605590316973342</v>
      </c>
    </row>
    <row r="18" spans="1:13" x14ac:dyDescent="0.3">
      <c r="A18" s="13">
        <v>41896.5</v>
      </c>
      <c r="B18" s="11">
        <v>5.5544225369720132E-2</v>
      </c>
      <c r="C18" s="11">
        <v>0.10521288014481746</v>
      </c>
      <c r="D18" s="11">
        <v>8.9598394876959017E-5</v>
      </c>
      <c r="E18" s="11">
        <v>1.0104088495924588E-5</v>
      </c>
      <c r="F18" s="11">
        <v>0.24768572831594146</v>
      </c>
      <c r="G18" s="11">
        <v>1.3327930132183315E-5</v>
      </c>
      <c r="H18" s="11">
        <v>0.14164454422497291</v>
      </c>
      <c r="I18" s="11">
        <v>4.794928705103531E-6</v>
      </c>
      <c r="J18" s="11">
        <v>8.8022621241002161E-3</v>
      </c>
      <c r="K18" s="11">
        <v>0.11302986929307887</v>
      </c>
      <c r="L18" s="11">
        <v>0.32796266518515882</v>
      </c>
      <c r="M18" s="11">
        <v>0.91967667220196092</v>
      </c>
    </row>
    <row r="19" spans="1:13" x14ac:dyDescent="0.3">
      <c r="A19" s="13">
        <v>41904.5</v>
      </c>
      <c r="B19" s="11">
        <v>5.2041560101619783E-2</v>
      </c>
      <c r="C19" s="11">
        <v>9.8616314366276311E-2</v>
      </c>
      <c r="D19" s="11">
        <v>8.7428111093453708E-5</v>
      </c>
      <c r="E19" s="11">
        <v>1.8087180140783561E-5</v>
      </c>
      <c r="F19" s="11">
        <v>0.22931610440282854</v>
      </c>
      <c r="G19" s="11">
        <v>1.9049666933605198E-5</v>
      </c>
      <c r="H19" s="11">
        <v>0.16838634407966052</v>
      </c>
      <c r="I19" s="11">
        <v>1.5722856864771126E-5</v>
      </c>
      <c r="J19" s="11">
        <v>2.8171498950945312E-2</v>
      </c>
      <c r="K19" s="11">
        <v>0.11170868824096762</v>
      </c>
      <c r="L19" s="11">
        <v>0.31161920204266941</v>
      </c>
      <c r="M19" s="11">
        <v>0.91786162689213902</v>
      </c>
    </row>
    <row r="20" spans="1:13" x14ac:dyDescent="0.3">
      <c r="A20" s="13">
        <v>41911.5</v>
      </c>
      <c r="B20" s="11">
        <v>5.2080840526828737E-2</v>
      </c>
      <c r="C20" s="11">
        <v>8.695619647596671E-2</v>
      </c>
      <c r="D20" s="11">
        <v>7.4971188248508766E-5</v>
      </c>
      <c r="E20" s="11">
        <v>4.476440012197427E-5</v>
      </c>
      <c r="F20" s="11">
        <v>0.23408017806118356</v>
      </c>
      <c r="G20" s="11">
        <v>4.7590046328259829E-5</v>
      </c>
      <c r="H20" s="11">
        <v>0.17083203636122468</v>
      </c>
      <c r="I20" s="11">
        <v>3.1117770792621882E-5</v>
      </c>
      <c r="J20" s="11">
        <v>3.6987526475043289E-2</v>
      </c>
      <c r="K20" s="11">
        <v>0.11595076771599164</v>
      </c>
      <c r="L20" s="11">
        <v>0.30291401097826992</v>
      </c>
      <c r="M20" s="11">
        <v>0.92423829632190402</v>
      </c>
    </row>
    <row r="21" spans="1:13" x14ac:dyDescent="0.3">
      <c r="A21" s="13">
        <v>41917</v>
      </c>
      <c r="B21" s="11">
        <v>5.2877483283814593E-2</v>
      </c>
      <c r="C21" s="11">
        <v>8.7720400616003155E-2</v>
      </c>
      <c r="D21" s="11">
        <v>8.8170233927343931E-5</v>
      </c>
      <c r="E21" s="11">
        <v>2.2857965265732143E-5</v>
      </c>
      <c r="F21" s="11">
        <v>0.23065951241627752</v>
      </c>
      <c r="G21" s="11">
        <v>1.8416325885807788E-5</v>
      </c>
      <c r="H21" s="11">
        <v>0.16304668918488996</v>
      </c>
      <c r="I21" s="11">
        <v>2.0127927034269321E-5</v>
      </c>
      <c r="J21" s="11">
        <v>3.5174639111988988E-2</v>
      </c>
      <c r="K21" s="11">
        <v>0.12883727044791254</v>
      </c>
      <c r="L21" s="11">
        <v>0.30153443248700018</v>
      </c>
      <c r="M21" s="11">
        <v>0.92517463134007027</v>
      </c>
    </row>
    <row r="22" spans="1:13" x14ac:dyDescent="0.3">
      <c r="A22" s="13">
        <v>41925.5</v>
      </c>
      <c r="B22" s="11">
        <v>5.5001759686584849E-2</v>
      </c>
      <c r="C22" s="11">
        <v>0.10247039136378149</v>
      </c>
      <c r="D22" s="11">
        <v>1.8263956278422821E-2</v>
      </c>
      <c r="E22" s="11">
        <v>6.7570620989626859E-5</v>
      </c>
      <c r="F22" s="11">
        <v>0.21798779371285398</v>
      </c>
      <c r="G22" s="11">
        <v>5.0587278725052413E-5</v>
      </c>
      <c r="H22" s="11">
        <v>0.16146756627095279</v>
      </c>
      <c r="I22" s="11">
        <v>4.6281920538714841E-5</v>
      </c>
      <c r="J22" s="11">
        <v>1.7211639177563548E-2</v>
      </c>
      <c r="K22" s="11">
        <v>0.12039802024929815</v>
      </c>
      <c r="L22" s="11">
        <v>0.30703443344028902</v>
      </c>
      <c r="M22" s="11">
        <v>0.92437657093868952</v>
      </c>
    </row>
    <row r="23" spans="1:13" x14ac:dyDescent="0.3">
      <c r="A23" s="13">
        <v>41932.5</v>
      </c>
      <c r="B23" s="11">
        <v>5.3074195816958519E-2</v>
      </c>
      <c r="C23" s="11">
        <v>0.10785946136980294</v>
      </c>
      <c r="D23" s="11">
        <v>1.4962055266367154E-2</v>
      </c>
      <c r="E23" s="11">
        <v>7.944094430782246E-5</v>
      </c>
      <c r="F23" s="11">
        <v>0.22025980485319099</v>
      </c>
      <c r="G23" s="11">
        <v>4.0222780232868286E-5</v>
      </c>
      <c r="H23" s="11">
        <v>0.17380105887162503</v>
      </c>
      <c r="I23" s="11">
        <v>3.1929232803455806E-5</v>
      </c>
      <c r="J23" s="11">
        <v>1.5470638180394462E-2</v>
      </c>
      <c r="K23" s="11">
        <v>0.1108692992410282</v>
      </c>
      <c r="L23" s="11">
        <v>0.30355189344328865</v>
      </c>
      <c r="M23" s="11">
        <v>0.92375090964789031</v>
      </c>
    </row>
    <row r="24" spans="1:13" x14ac:dyDescent="0.3">
      <c r="A24" s="13">
        <v>41939.5</v>
      </c>
      <c r="B24" s="11">
        <v>5.4468412649265108E-2</v>
      </c>
      <c r="C24" s="11">
        <v>0.10902166315146779</v>
      </c>
      <c r="D24" s="11">
        <v>1.6034587649031724E-2</v>
      </c>
      <c r="E24" s="11">
        <v>8.8420798317962541E-5</v>
      </c>
      <c r="F24" s="11">
        <v>0.21441208705614437</v>
      </c>
      <c r="G24" s="11">
        <v>6.8291798309531138E-5</v>
      </c>
      <c r="H24" s="11">
        <v>0.17059495395220575</v>
      </c>
      <c r="I24" s="11">
        <v>1.7299015129371959E-5</v>
      </c>
      <c r="J24" s="11">
        <v>1.2263788536024643E-2</v>
      </c>
      <c r="K24" s="11">
        <v>0.11935768728807913</v>
      </c>
      <c r="L24" s="11">
        <v>0.30367280810602465</v>
      </c>
      <c r="M24" s="11">
        <v>0.93177968324548555</v>
      </c>
    </row>
    <row r="25" spans="1:13" x14ac:dyDescent="0.3">
      <c r="A25" s="13">
        <v>41946.5</v>
      </c>
      <c r="B25" s="11">
        <v>5.2023154180773953E-2</v>
      </c>
      <c r="C25" s="11">
        <v>9.7072007098888108E-2</v>
      </c>
      <c r="D25" s="11">
        <v>4.686219456560931E-5</v>
      </c>
      <c r="E25" s="11">
        <v>9.827368841583306E-3</v>
      </c>
      <c r="F25" s="11">
        <v>0.24519885058037388</v>
      </c>
      <c r="G25" s="11">
        <v>8.4810211251247109E-5</v>
      </c>
      <c r="H25" s="11">
        <v>0.18253061270267892</v>
      </c>
      <c r="I25" s="11">
        <v>9.6742433424307895E-6</v>
      </c>
      <c r="J25" s="11">
        <v>3.7281397822292679E-2</v>
      </c>
      <c r="K25" s="11">
        <v>0.1022267127523903</v>
      </c>
      <c r="L25" s="11">
        <v>0.27369854937185956</v>
      </c>
      <c r="M25" s="11">
        <v>0.9430818940867578</v>
      </c>
    </row>
    <row r="26" spans="1:13" x14ac:dyDescent="0.3">
      <c r="A26" s="13">
        <v>41953.5</v>
      </c>
      <c r="B26" s="11">
        <v>4.8140078992246184E-2</v>
      </c>
      <c r="C26" s="11">
        <v>0.15698620189311221</v>
      </c>
      <c r="D26" s="11">
        <v>2.5912520846037082E-5</v>
      </c>
      <c r="E26" s="11">
        <v>4.2398390437329572E-5</v>
      </c>
      <c r="F26" s="11">
        <v>0.24598506716189816</v>
      </c>
      <c r="G26" s="11">
        <v>2.5834413978624196E-2</v>
      </c>
      <c r="H26" s="11">
        <v>0.16992578825874058</v>
      </c>
      <c r="I26" s="11">
        <v>4.7938959840961829E-6</v>
      </c>
      <c r="J26" s="11">
        <v>6.393307222088174E-5</v>
      </c>
      <c r="K26" s="11">
        <v>8.5239054208778142E-2</v>
      </c>
      <c r="L26" s="11">
        <v>0.26775235762711219</v>
      </c>
      <c r="M26" s="11">
        <v>0.93761776510805239</v>
      </c>
    </row>
    <row r="27" spans="1:13" x14ac:dyDescent="0.3">
      <c r="A27" s="13">
        <v>41960.5</v>
      </c>
      <c r="B27" s="11">
        <v>5.2433877476334517E-2</v>
      </c>
      <c r="C27" s="11">
        <v>0.16202383489028721</v>
      </c>
      <c r="D27" s="11">
        <v>5.0789847207276077E-3</v>
      </c>
      <c r="E27" s="11">
        <v>8.376455692046201E-4</v>
      </c>
      <c r="F27" s="11">
        <v>0.24444704806474524</v>
      </c>
      <c r="G27" s="11">
        <v>4.5775799450382821E-5</v>
      </c>
      <c r="H27" s="11">
        <v>0.21672811879685017</v>
      </c>
      <c r="I27" s="11">
        <v>5.6777152579792127E-7</v>
      </c>
      <c r="J27" s="11">
        <v>5.3876533892747679E-3</v>
      </c>
      <c r="K27" s="11">
        <v>6.4098037899261245E-2</v>
      </c>
      <c r="L27" s="11">
        <v>0.24891845562233847</v>
      </c>
      <c r="M27" s="11">
        <v>0.94226374587279138</v>
      </c>
    </row>
    <row r="28" spans="1:13" x14ac:dyDescent="0.3">
      <c r="A28" s="13">
        <v>41967.5</v>
      </c>
      <c r="B28" s="11">
        <v>5.6317953419355499E-2</v>
      </c>
      <c r="C28" s="11">
        <v>0.16460372159492292</v>
      </c>
      <c r="D28" s="11">
        <v>2.0563914493975982E-6</v>
      </c>
      <c r="E28" s="11">
        <v>3.4510542250171733E-6</v>
      </c>
      <c r="F28" s="11">
        <v>0.23772256313867696</v>
      </c>
      <c r="G28" s="11">
        <v>2.9350355663260245E-4</v>
      </c>
      <c r="H28" s="11">
        <v>0.24312676309512229</v>
      </c>
      <c r="I28" s="11">
        <v>4.2702778221274914E-7</v>
      </c>
      <c r="J28" s="11">
        <v>9.8380258484801419E-4</v>
      </c>
      <c r="K28" s="11">
        <v>6.1429246168895814E-2</v>
      </c>
      <c r="L28" s="11">
        <v>0.23551651196808929</v>
      </c>
      <c r="M28" s="11">
        <v>0.94390189650352863</v>
      </c>
    </row>
    <row r="29" spans="1:13" x14ac:dyDescent="0.3">
      <c r="A29" s="13">
        <v>41974.5</v>
      </c>
      <c r="B29" s="11">
        <v>5.8410753988433831E-2</v>
      </c>
      <c r="C29" s="11">
        <v>7.1446675245041294E-2</v>
      </c>
      <c r="D29" s="11">
        <v>7.0722961693924587E-5</v>
      </c>
      <c r="E29" s="11">
        <v>6.5155875510344824E-2</v>
      </c>
      <c r="F29" s="11">
        <v>0.27736462381489518</v>
      </c>
      <c r="G29" s="11">
        <v>8.9376681707455574E-5</v>
      </c>
      <c r="H29" s="11">
        <v>0.21734484417074912</v>
      </c>
      <c r="I29" s="11">
        <v>8.8550435059372772E-6</v>
      </c>
      <c r="J29" s="11">
        <v>1.6685981446332102E-2</v>
      </c>
      <c r="K29" s="11">
        <v>5.9023748977205977E-2</v>
      </c>
      <c r="L29" s="11">
        <v>0.23439854216009035</v>
      </c>
      <c r="M29" s="11">
        <v>0.93548755868071176</v>
      </c>
    </row>
    <row r="30" spans="1:13" x14ac:dyDescent="0.3">
      <c r="A30" s="13">
        <v>41981.5</v>
      </c>
      <c r="B30" s="11">
        <v>6.7694315022122392E-2</v>
      </c>
      <c r="C30" s="11">
        <v>0.10745931603564088</v>
      </c>
      <c r="D30" s="11">
        <v>1.8280154697990764E-5</v>
      </c>
      <c r="E30" s="11">
        <v>1.4969523231901241E-2</v>
      </c>
      <c r="F30" s="11">
        <v>0.2746011455718797</v>
      </c>
      <c r="G30" s="11">
        <v>7.6774409334177716E-6</v>
      </c>
      <c r="H30" s="11">
        <v>0.24202499886856418</v>
      </c>
      <c r="I30" s="11">
        <v>1.4666103698259034E-6</v>
      </c>
      <c r="J30" s="11">
        <v>9.2201260689967111E-5</v>
      </c>
      <c r="K30" s="11">
        <v>4.0103448350381793E-2</v>
      </c>
      <c r="L30" s="11">
        <v>0.25302762745281865</v>
      </c>
      <c r="M30" s="11">
        <v>0.92862436562737116</v>
      </c>
    </row>
    <row r="31" spans="1:13" x14ac:dyDescent="0.3">
      <c r="A31" s="13">
        <v>41988</v>
      </c>
      <c r="B31" s="11">
        <v>6.6229851441193116E-2</v>
      </c>
      <c r="C31" s="11">
        <v>0.10778633556242123</v>
      </c>
      <c r="D31" s="11">
        <v>8.890109436443031E-6</v>
      </c>
      <c r="E31" s="11">
        <v>3.1254595478100488E-3</v>
      </c>
      <c r="F31" s="11">
        <v>0.28925664797983786</v>
      </c>
      <c r="G31" s="11">
        <v>3.9010333858881639E-6</v>
      </c>
      <c r="H31" s="11">
        <v>0.24225203935261078</v>
      </c>
      <c r="I31" s="11">
        <v>8.7184501730602389E-7</v>
      </c>
      <c r="J31" s="11">
        <v>1.1136846939797107E-2</v>
      </c>
      <c r="K31" s="11">
        <v>2.6449988045914957E-2</v>
      </c>
      <c r="L31" s="11">
        <v>0.25374916814257531</v>
      </c>
      <c r="M31" s="11">
        <v>0.92678354527217222</v>
      </c>
    </row>
    <row r="32" spans="1:13" x14ac:dyDescent="0.3">
      <c r="A32" s="13">
        <v>41995.5</v>
      </c>
      <c r="B32" s="11">
        <v>6.6453586494345074E-2</v>
      </c>
      <c r="C32" s="11">
        <v>8.6583409478604753E-2</v>
      </c>
      <c r="D32" s="11">
        <v>5.9858216146140061E-7</v>
      </c>
      <c r="E32" s="11">
        <v>8.1178593823504468E-7</v>
      </c>
      <c r="F32" s="11">
        <v>0.31600395584653096</v>
      </c>
      <c r="G32" s="11">
        <v>6.2669812166186523E-7</v>
      </c>
      <c r="H32" s="11">
        <v>0.26483728099581144</v>
      </c>
      <c r="I32" s="11">
        <v>1.0803970422100746E-7</v>
      </c>
      <c r="J32" s="11">
        <v>1.8940291220709518E-2</v>
      </c>
      <c r="K32" s="11">
        <v>3.5420300761679173E-4</v>
      </c>
      <c r="L32" s="11">
        <v>0.24682512785045593</v>
      </c>
      <c r="M32" s="11">
        <v>0.92488644581689317</v>
      </c>
    </row>
    <row r="33" spans="1:13" x14ac:dyDescent="0.3">
      <c r="A33" s="13">
        <v>42002.5</v>
      </c>
      <c r="B33" s="11">
        <v>6.0886961041530303E-2</v>
      </c>
      <c r="C33" s="11">
        <v>6.9213365293773366E-2</v>
      </c>
      <c r="D33" s="11">
        <v>1.4160647361199955E-5</v>
      </c>
      <c r="E33" s="11">
        <v>2.5562274964282144E-5</v>
      </c>
      <c r="F33" s="11">
        <v>0.31494962993182279</v>
      </c>
      <c r="G33" s="11">
        <v>2.0742255956404548E-5</v>
      </c>
      <c r="H33" s="11">
        <v>0.28066666384629624</v>
      </c>
      <c r="I33" s="11">
        <v>2.7154189678212321E-6</v>
      </c>
      <c r="J33" s="11">
        <v>3.417772608337049E-2</v>
      </c>
      <c r="K33" s="11">
        <v>1.0344398051135888E-2</v>
      </c>
      <c r="L33" s="11">
        <v>0.22969807515482121</v>
      </c>
      <c r="M33" s="11">
        <v>0.92874483444060618</v>
      </c>
    </row>
    <row r="34" spans="1:13" x14ac:dyDescent="0.3">
      <c r="A34" s="13">
        <v>42009.5</v>
      </c>
      <c r="B34" s="11">
        <v>6.4759013648043165E-2</v>
      </c>
      <c r="C34" s="11">
        <v>4.203366207449985E-2</v>
      </c>
      <c r="D34" s="11">
        <v>3.1689023368030344E-5</v>
      </c>
      <c r="E34" s="11">
        <v>3.2348807215750076E-5</v>
      </c>
      <c r="F34" s="11">
        <v>0.2855154773000394</v>
      </c>
      <c r="G34" s="11">
        <v>5.9489490709419217E-5</v>
      </c>
      <c r="H34" s="11">
        <v>0.33605143868156223</v>
      </c>
      <c r="I34" s="11">
        <v>6.2818351833396068E-6</v>
      </c>
      <c r="J34" s="11">
        <v>3.8584564459828004E-2</v>
      </c>
      <c r="K34" s="11">
        <v>4.6716297999456209E-2</v>
      </c>
      <c r="L34" s="11">
        <v>0.18620973668009452</v>
      </c>
      <c r="M34" s="11">
        <v>0.9452092937697264</v>
      </c>
    </row>
    <row r="35" spans="1:13" x14ac:dyDescent="0.3">
      <c r="A35" s="13">
        <v>42016.5</v>
      </c>
      <c r="B35" s="11">
        <v>6.695355007269875E-2</v>
      </c>
      <c r="C35" s="11">
        <v>5.1396910920533966E-2</v>
      </c>
      <c r="D35" s="11">
        <v>2.8546091824033078E-5</v>
      </c>
      <c r="E35" s="11">
        <v>2.4751039317572809E-5</v>
      </c>
      <c r="F35" s="11">
        <v>0.29666908845036782</v>
      </c>
      <c r="G35" s="11">
        <v>6.9180011859934555E-5</v>
      </c>
      <c r="H35" s="11">
        <v>0.3395039746522896</v>
      </c>
      <c r="I35" s="11">
        <v>4.7849511024811797E-6</v>
      </c>
      <c r="J35" s="11">
        <v>3.5567684305034555E-2</v>
      </c>
      <c r="K35" s="11">
        <v>2.1666108104180834E-2</v>
      </c>
      <c r="L35" s="11">
        <v>0.18811542140079043</v>
      </c>
      <c r="M35" s="11">
        <v>0.94461887077704199</v>
      </c>
    </row>
    <row r="36" spans="1:13" x14ac:dyDescent="0.3">
      <c r="A36" s="13">
        <v>42023.5</v>
      </c>
      <c r="B36" s="11">
        <v>6.6793018670317547E-2</v>
      </c>
      <c r="C36" s="11">
        <v>5.485232098446631E-2</v>
      </c>
      <c r="D36" s="11">
        <v>2.5443422882635813E-5</v>
      </c>
      <c r="E36" s="11">
        <v>2.134449338214096E-5</v>
      </c>
      <c r="F36" s="11">
        <v>0.29847856460155225</v>
      </c>
      <c r="G36" s="11">
        <v>6.9819488349454615E-5</v>
      </c>
      <c r="H36" s="11">
        <v>0.33813230732226135</v>
      </c>
      <c r="I36" s="11">
        <v>4.1281681886484977E-6</v>
      </c>
      <c r="J36" s="11">
        <v>3.3061511450436544E-2</v>
      </c>
      <c r="K36" s="11">
        <v>1.8288569731423794E-2</v>
      </c>
      <c r="L36" s="11">
        <v>0.19027297166673937</v>
      </c>
      <c r="M36" s="11">
        <v>0.94886503833407421</v>
      </c>
    </row>
    <row r="37" spans="1:13" x14ac:dyDescent="0.3">
      <c r="A37" s="13">
        <v>42030.5</v>
      </c>
      <c r="B37" s="11">
        <v>6.7108627872775869E-2</v>
      </c>
      <c r="C37" s="11">
        <v>6.6066740677420299E-2</v>
      </c>
      <c r="D37" s="11">
        <v>2.4389530485590724E-5</v>
      </c>
      <c r="E37" s="11">
        <v>2.3450351327370652E-5</v>
      </c>
      <c r="F37" s="11">
        <v>0.30045015514579876</v>
      </c>
      <c r="G37" s="11">
        <v>5.832635637590128E-5</v>
      </c>
      <c r="H37" s="11">
        <v>0.33009656395475545</v>
      </c>
      <c r="I37" s="11">
        <v>4.4349299747261014E-6</v>
      </c>
      <c r="J37" s="11">
        <v>2.5945251386722629E-2</v>
      </c>
      <c r="K37" s="11">
        <v>1.8635658522316526E-2</v>
      </c>
      <c r="L37" s="11">
        <v>0.19158640127204696</v>
      </c>
      <c r="M37" s="11">
        <v>0.94815100229112237</v>
      </c>
    </row>
    <row r="38" spans="1:13" x14ac:dyDescent="0.3">
      <c r="A38" s="13">
        <v>42037.5</v>
      </c>
      <c r="B38" s="11">
        <v>7.3761844418708589E-2</v>
      </c>
      <c r="C38" s="11">
        <v>7.6988874715955447E-2</v>
      </c>
      <c r="D38" s="11">
        <v>2.2244099215788457E-5</v>
      </c>
      <c r="E38" s="11">
        <v>2.4458483699569061E-5</v>
      </c>
      <c r="F38" s="11">
        <v>0.29887932272464912</v>
      </c>
      <c r="G38" s="11">
        <v>1.2885064072334569E-2</v>
      </c>
      <c r="H38" s="11">
        <v>0.33631476803141502</v>
      </c>
      <c r="I38" s="11">
        <v>5.4901557909217136E-6</v>
      </c>
      <c r="J38" s="11">
        <v>6.9866259215530333E-3</v>
      </c>
      <c r="K38" s="11">
        <v>2.0101851522378245E-2</v>
      </c>
      <c r="L38" s="11">
        <v>0.1740294558542998</v>
      </c>
      <c r="M38" s="11">
        <v>0.96888761776851218</v>
      </c>
    </row>
    <row r="39" spans="1:13" x14ac:dyDescent="0.3">
      <c r="A39" s="13">
        <v>42044.5</v>
      </c>
      <c r="B39" s="11">
        <v>7.5225428950915885E-2</v>
      </c>
      <c r="C39" s="11">
        <v>6.7331826311753953E-2</v>
      </c>
      <c r="D39" s="11">
        <v>1.1270682542891335E-5</v>
      </c>
      <c r="E39" s="11">
        <v>1.2419705940538049E-5</v>
      </c>
      <c r="F39" s="11">
        <v>0.29760261258463744</v>
      </c>
      <c r="G39" s="11">
        <v>8.1852686699250023E-5</v>
      </c>
      <c r="H39" s="11">
        <v>0.36170060510405999</v>
      </c>
      <c r="I39" s="11">
        <v>2.3802989605725404E-6</v>
      </c>
      <c r="J39" s="11">
        <v>1.2329868336129051E-2</v>
      </c>
      <c r="K39" s="11">
        <v>1.9271151805241273E-2</v>
      </c>
      <c r="L39" s="11">
        <v>0.16643058353311921</v>
      </c>
      <c r="M39" s="11">
        <v>0.97420836411557021</v>
      </c>
    </row>
    <row r="40" spans="1:13" x14ac:dyDescent="0.3">
      <c r="A40" s="13">
        <v>42050</v>
      </c>
      <c r="B40" s="11">
        <v>5.3449553737685999E-2</v>
      </c>
      <c r="C40" s="11">
        <v>6.8800460289724655E-2</v>
      </c>
      <c r="D40" s="11">
        <v>1.6878301838729419E-5</v>
      </c>
      <c r="E40" s="11">
        <v>8.155393316622601E-5</v>
      </c>
      <c r="F40" s="11">
        <v>0.29329617968977212</v>
      </c>
      <c r="G40" s="11">
        <v>3.1161466738817051E-2</v>
      </c>
      <c r="H40" s="11">
        <v>0.29693291187216625</v>
      </c>
      <c r="I40" s="11">
        <v>4.4767618603325919E-6</v>
      </c>
      <c r="J40" s="11">
        <v>4.6170323254136406E-2</v>
      </c>
      <c r="K40" s="11">
        <v>7.162651237544336E-2</v>
      </c>
      <c r="L40" s="11">
        <v>0.13845968304538897</v>
      </c>
      <c r="M40" s="11">
        <v>0.9762776721109464</v>
      </c>
    </row>
    <row r="41" spans="1:13" x14ac:dyDescent="0.3">
      <c r="A41" s="13">
        <v>42058.5</v>
      </c>
      <c r="B41" s="11">
        <v>4.034311888286473E-2</v>
      </c>
      <c r="C41" s="11">
        <v>2.9321082001610575E-2</v>
      </c>
      <c r="D41" s="11">
        <v>1.0392593078511264E-5</v>
      </c>
      <c r="E41" s="11">
        <v>8.0947284735058661E-5</v>
      </c>
      <c r="F41" s="11">
        <v>0.27698865455198723</v>
      </c>
      <c r="G41" s="11">
        <v>3.2457633318668244E-5</v>
      </c>
      <c r="H41" s="11">
        <v>0.28439516654170177</v>
      </c>
      <c r="I41" s="11">
        <v>5.6127278069722658E-6</v>
      </c>
      <c r="J41" s="11">
        <v>5.8581427744285659E-2</v>
      </c>
      <c r="K41" s="11">
        <v>0.16125158700806816</v>
      </c>
      <c r="L41" s="11">
        <v>0.14898955303054265</v>
      </c>
      <c r="M41" s="11">
        <v>0.97143432387076178</v>
      </c>
    </row>
    <row r="42" spans="1:13" x14ac:dyDescent="0.3">
      <c r="A42" s="13">
        <v>42065.5</v>
      </c>
      <c r="B42" s="11">
        <v>3.6164687686172703E-2</v>
      </c>
      <c r="C42" s="11">
        <v>2.3886442560140345E-2</v>
      </c>
      <c r="D42" s="11">
        <v>1.6428352685134538E-5</v>
      </c>
      <c r="E42" s="11">
        <v>3.7769836730460963E-5</v>
      </c>
      <c r="F42" s="11">
        <v>0.24426798449398399</v>
      </c>
      <c r="G42" s="11">
        <v>2.7905258310584258E-5</v>
      </c>
      <c r="H42" s="11">
        <v>0.32818712554448226</v>
      </c>
      <c r="I42" s="11">
        <v>8.4232203861695482E-6</v>
      </c>
      <c r="J42" s="11">
        <v>4.4871025240663137E-2</v>
      </c>
      <c r="K42" s="11">
        <v>0.18698692987126464</v>
      </c>
      <c r="L42" s="11">
        <v>0.13554527793518059</v>
      </c>
      <c r="M42" s="11">
        <v>0.97339909246357037</v>
      </c>
    </row>
    <row r="43" spans="1:13" x14ac:dyDescent="0.3">
      <c r="A43" s="13">
        <v>42072.5</v>
      </c>
      <c r="B43" s="11">
        <v>4.3497779940234245E-2</v>
      </c>
      <c r="C43" s="11">
        <v>3.7872778571812302E-2</v>
      </c>
      <c r="D43" s="11">
        <v>2.244427599540661E-5</v>
      </c>
      <c r="E43" s="11">
        <v>4.6870652754584106E-5</v>
      </c>
      <c r="F43" s="11">
        <v>0.20583587064123809</v>
      </c>
      <c r="G43" s="11">
        <v>3.9849218199770458E-5</v>
      </c>
      <c r="H43" s="11">
        <v>0.29522704478193357</v>
      </c>
      <c r="I43" s="11">
        <v>1.0557873418461797E-5</v>
      </c>
      <c r="J43" s="11">
        <v>1.2218194788605535E-2</v>
      </c>
      <c r="K43" s="11">
        <v>0.26249524197948737</v>
      </c>
      <c r="L43" s="11">
        <v>0.14273336727632074</v>
      </c>
      <c r="M43" s="11">
        <v>0.97333800282360217</v>
      </c>
    </row>
    <row r="44" spans="1:13" x14ac:dyDescent="0.3">
      <c r="A44" s="13">
        <v>42079.5</v>
      </c>
      <c r="B44" s="11">
        <v>4.8059267153994202E-2</v>
      </c>
      <c r="C44" s="11">
        <v>3.7118409124730439E-2</v>
      </c>
      <c r="D44" s="11">
        <v>6.0614837031191235E-6</v>
      </c>
      <c r="E44" s="11">
        <v>1.4383774673540886E-5</v>
      </c>
      <c r="F44" s="11">
        <v>0.2022415782520702</v>
      </c>
      <c r="G44" s="11">
        <v>1.0523190614842172E-5</v>
      </c>
      <c r="H44" s="11">
        <v>0.30532530531451652</v>
      </c>
      <c r="I44" s="11">
        <v>3.5023164889811716E-6</v>
      </c>
      <c r="J44" s="11">
        <v>5.6727998384076186E-3</v>
      </c>
      <c r="K44" s="11">
        <v>0.26654198060479162</v>
      </c>
      <c r="L44" s="11">
        <v>0.13500618894600885</v>
      </c>
      <c r="M44" s="11">
        <v>0.97604636106827736</v>
      </c>
    </row>
    <row r="45" spans="1:13" x14ac:dyDescent="0.3">
      <c r="A45" s="13">
        <v>42086.5</v>
      </c>
      <c r="B45" s="11">
        <v>4.470732824716199E-2</v>
      </c>
      <c r="C45" s="11">
        <v>3.2466681016301235E-2</v>
      </c>
      <c r="D45" s="11">
        <v>2.3224146225389138E-5</v>
      </c>
      <c r="E45" s="11">
        <v>6.4185956864348277E-5</v>
      </c>
      <c r="F45" s="11">
        <v>0.20896433502971329</v>
      </c>
      <c r="G45" s="11">
        <v>3.2613361254396868E-5</v>
      </c>
      <c r="H45" s="11">
        <v>0.31295699132080412</v>
      </c>
      <c r="I45" s="11">
        <v>1.4219135780764074E-5</v>
      </c>
      <c r="J45" s="11">
        <v>2.1916942138206063E-2</v>
      </c>
      <c r="K45" s="11">
        <v>0.25029318661275057</v>
      </c>
      <c r="L45" s="11">
        <v>0.12856029303493788</v>
      </c>
      <c r="M45" s="11">
        <v>0.97617879149260522</v>
      </c>
    </row>
    <row r="46" spans="1:13" x14ac:dyDescent="0.3">
      <c r="A46" s="13">
        <v>42093.5</v>
      </c>
      <c r="B46" s="11">
        <v>4.8627782889275543E-2</v>
      </c>
      <c r="C46" s="11">
        <v>2.1984099913109911E-2</v>
      </c>
      <c r="D46" s="11">
        <v>1.9454892226989787E-5</v>
      </c>
      <c r="E46" s="11">
        <v>5.7588141053582997E-5</v>
      </c>
      <c r="F46" s="11">
        <v>0.19311258281992755</v>
      </c>
      <c r="G46" s="11">
        <v>3.056606655634225E-5</v>
      </c>
      <c r="H46" s="11">
        <v>0.3326819827379674</v>
      </c>
      <c r="I46" s="11">
        <v>1.240654457789706E-5</v>
      </c>
      <c r="J46" s="11">
        <v>1.4085343715106976E-2</v>
      </c>
      <c r="K46" s="11">
        <v>0.26243661327613182</v>
      </c>
      <c r="L46" s="11">
        <v>0.12695157900406592</v>
      </c>
      <c r="M46" s="11">
        <v>0.97670379935149332</v>
      </c>
    </row>
    <row r="47" spans="1:13" x14ac:dyDescent="0.3">
      <c r="A47" s="13">
        <v>42100.5</v>
      </c>
      <c r="B47" s="11">
        <v>5.1553904864917365E-2</v>
      </c>
      <c r="C47" s="11">
        <v>2.5199269720480814E-2</v>
      </c>
      <c r="D47" s="11">
        <v>2.3534858526496268E-5</v>
      </c>
      <c r="E47" s="11">
        <v>5.8804377562454081E-5</v>
      </c>
      <c r="F47" s="11">
        <v>0.19535123282851291</v>
      </c>
      <c r="G47" s="11">
        <v>3.6733197483849222E-5</v>
      </c>
      <c r="H47" s="11">
        <v>0.33773592130671631</v>
      </c>
      <c r="I47" s="11">
        <v>1.5464279468724383E-5</v>
      </c>
      <c r="J47" s="11">
        <v>1.3734790869381055E-2</v>
      </c>
      <c r="K47" s="11">
        <v>0.2566750821475583</v>
      </c>
      <c r="L47" s="11">
        <v>0.11961526154939169</v>
      </c>
      <c r="M47" s="11">
        <v>0.97878289434550281</v>
      </c>
    </row>
    <row r="48" spans="1:13" x14ac:dyDescent="0.3">
      <c r="A48" s="13">
        <v>42107.5</v>
      </c>
      <c r="B48" s="11">
        <v>5.34174721374501E-2</v>
      </c>
      <c r="C48" s="11">
        <v>2.2704910286158834E-2</v>
      </c>
      <c r="D48" s="11">
        <v>1.1337313779959511E-5</v>
      </c>
      <c r="E48" s="11">
        <v>1.3970865215077094E-5</v>
      </c>
      <c r="F48" s="11">
        <v>0.16800751304219863</v>
      </c>
      <c r="G48" s="11">
        <v>1.6301224399607185E-5</v>
      </c>
      <c r="H48" s="11">
        <v>0.35981233764278814</v>
      </c>
      <c r="I48" s="11">
        <v>3.8974330593917594E-6</v>
      </c>
      <c r="J48" s="11">
        <v>6.4218634414518055E-3</v>
      </c>
      <c r="K48" s="11">
        <v>0.26495327543777908</v>
      </c>
      <c r="L48" s="11">
        <v>0.12463712117571944</v>
      </c>
      <c r="M48" s="11">
        <v>0.97783895576173363</v>
      </c>
    </row>
    <row r="49" spans="1:13" x14ac:dyDescent="0.3">
      <c r="A49" s="13">
        <v>42113.5</v>
      </c>
      <c r="B49" s="11">
        <v>5.0587196410670492E-2</v>
      </c>
      <c r="C49" s="11">
        <v>2.9683278473687888E-2</v>
      </c>
      <c r="D49" s="11">
        <v>1.1811383481884706E-5</v>
      </c>
      <c r="E49" s="11">
        <v>1.669593433688231E-5</v>
      </c>
      <c r="F49" s="11">
        <v>0.18565833592542128</v>
      </c>
      <c r="G49" s="11">
        <v>2.062567295489965E-5</v>
      </c>
      <c r="H49" s="11">
        <v>0.35099125893947791</v>
      </c>
      <c r="I49" s="11">
        <v>3.7422860141430673E-6</v>
      </c>
      <c r="J49" s="11">
        <v>8.9443871194432313E-5</v>
      </c>
      <c r="K49" s="11">
        <v>0.26038982589713605</v>
      </c>
      <c r="L49" s="11">
        <v>0.12254778520562425</v>
      </c>
      <c r="M49" s="11">
        <v>0.97828112341679574</v>
      </c>
    </row>
    <row r="50" spans="1:13" x14ac:dyDescent="0.3">
      <c r="A50" s="13">
        <v>42121.5</v>
      </c>
      <c r="B50" s="11">
        <v>6.9414390671625109E-2</v>
      </c>
      <c r="C50" s="11">
        <v>9.7574685330257677E-3</v>
      </c>
      <c r="D50" s="11">
        <v>1.1076324489582919E-5</v>
      </c>
      <c r="E50" s="11">
        <v>1.7642363211396884E-5</v>
      </c>
      <c r="F50" s="11">
        <v>0.19031998367322397</v>
      </c>
      <c r="G50" s="11">
        <v>1.6372447909034547E-5</v>
      </c>
      <c r="H50" s="11">
        <v>0.33168099888246361</v>
      </c>
      <c r="I50" s="11">
        <v>4.011002775958781E-6</v>
      </c>
      <c r="J50" s="11">
        <v>4.1484050963323593E-5</v>
      </c>
      <c r="K50" s="11">
        <v>0.28373007646698473</v>
      </c>
      <c r="L50" s="11">
        <v>0.11500649558332748</v>
      </c>
      <c r="M50" s="11">
        <v>0.97895878241277301</v>
      </c>
    </row>
    <row r="51" spans="1:13" x14ac:dyDescent="0.3">
      <c r="A51" s="13">
        <v>42128.5</v>
      </c>
      <c r="B51" s="11">
        <v>6.8424675704477078E-2</v>
      </c>
      <c r="C51" s="11">
        <v>1.5439232274966864E-2</v>
      </c>
      <c r="D51" s="11">
        <v>1.3737246260073905E-5</v>
      </c>
      <c r="E51" s="11">
        <v>1.8698424904579759E-5</v>
      </c>
      <c r="F51" s="11">
        <v>0.19799648448518786</v>
      </c>
      <c r="G51" s="11">
        <v>2.3703445462315547E-5</v>
      </c>
      <c r="H51" s="11">
        <v>0.32325254417630261</v>
      </c>
      <c r="I51" s="11">
        <v>5.4519707209938129E-6</v>
      </c>
      <c r="J51" s="11">
        <v>2.9352599372351128E-5</v>
      </c>
      <c r="K51" s="11">
        <v>0.2759411809644241</v>
      </c>
      <c r="L51" s="11">
        <v>0.11885493870792126</v>
      </c>
      <c r="M51" s="11">
        <v>0.97862478258951024</v>
      </c>
    </row>
    <row r="52" spans="1:13" x14ac:dyDescent="0.3">
      <c r="A52" s="13">
        <v>42135.5</v>
      </c>
      <c r="B52" s="11">
        <v>5.2024066710773732E-2</v>
      </c>
      <c r="C52" s="11">
        <v>5.1199754352596036E-5</v>
      </c>
      <c r="D52" s="11">
        <v>1.7808083849506622E-5</v>
      </c>
      <c r="E52" s="11">
        <v>1.9996265847478329E-5</v>
      </c>
      <c r="F52" s="11">
        <v>0.17963741572708797</v>
      </c>
      <c r="G52" s="11">
        <v>3.4367235707498405E-5</v>
      </c>
      <c r="H52" s="11">
        <v>0.37772160157647389</v>
      </c>
      <c r="I52" s="11">
        <v>6.0414036874279522E-6</v>
      </c>
      <c r="J52" s="11">
        <v>1.8213613160453207E-5</v>
      </c>
      <c r="K52" s="11">
        <v>0.27242412872545996</v>
      </c>
      <c r="L52" s="11">
        <v>0.11804516090359954</v>
      </c>
      <c r="M52" s="11">
        <v>0.97956686348403998</v>
      </c>
    </row>
    <row r="53" spans="1:13" x14ac:dyDescent="0.3">
      <c r="A53" s="13">
        <v>42140.5</v>
      </c>
      <c r="B53" s="11">
        <v>3.7500662027013285E-2</v>
      </c>
      <c r="C53" s="11">
        <v>8.6780395169987911E-5</v>
      </c>
      <c r="D53" s="11">
        <v>1.2289252199471803E-5</v>
      </c>
      <c r="E53" s="11">
        <v>1.1588448455520487E-5</v>
      </c>
      <c r="F53" s="11">
        <v>0.19640848848735498</v>
      </c>
      <c r="G53" s="11">
        <v>1.7774245570421707E-5</v>
      </c>
      <c r="H53" s="11">
        <v>0.38698255588425357</v>
      </c>
      <c r="I53" s="11">
        <v>4.0900842079710818E-6</v>
      </c>
      <c r="J53" s="11">
        <v>8.8951062245394917E-6</v>
      </c>
      <c r="K53" s="11">
        <v>0.2568468943075225</v>
      </c>
      <c r="L53" s="11">
        <v>0.12211998176202786</v>
      </c>
      <c r="M53" s="11">
        <v>0.97938504826447614</v>
      </c>
    </row>
    <row r="54" spans="1:13" x14ac:dyDescent="0.3">
      <c r="A54" s="13">
        <v>42149.5</v>
      </c>
      <c r="B54" s="11">
        <v>1.1869924537795024E-2</v>
      </c>
      <c r="C54" s="11">
        <v>1.8119836861150457E-2</v>
      </c>
      <c r="D54" s="11">
        <v>2.3136219169337518E-5</v>
      </c>
      <c r="E54" s="11">
        <v>1.4805362124749252E-5</v>
      </c>
      <c r="F54" s="11">
        <v>0.21754022188873232</v>
      </c>
      <c r="G54" s="11">
        <v>3.17749636518752E-5</v>
      </c>
      <c r="H54" s="11">
        <v>0.36330940618653734</v>
      </c>
      <c r="I54" s="11">
        <v>6.8651432385932331E-6</v>
      </c>
      <c r="J54" s="11">
        <v>1.4087537515848833E-5</v>
      </c>
      <c r="K54" s="11">
        <v>0.24944963828197758</v>
      </c>
      <c r="L54" s="11">
        <v>0.13962030301810693</v>
      </c>
      <c r="M54" s="11">
        <v>0.98256860988216865</v>
      </c>
    </row>
    <row r="55" spans="1:13" x14ac:dyDescent="0.3">
      <c r="A55" s="13">
        <v>42156.5</v>
      </c>
      <c r="B55" s="11">
        <v>8.9350151872815935E-5</v>
      </c>
      <c r="C55" s="11">
        <v>2.6457648321023396E-2</v>
      </c>
      <c r="D55" s="11">
        <v>8.2555603257826747E-6</v>
      </c>
      <c r="E55" s="11">
        <v>3.7227171988992854E-6</v>
      </c>
      <c r="F55" s="11">
        <v>0.22994621608030036</v>
      </c>
      <c r="G55" s="11">
        <v>1.0673778060100925E-5</v>
      </c>
      <c r="H55" s="11">
        <v>0.37451327859305406</v>
      </c>
      <c r="I55" s="11">
        <v>2.7004081188413989E-6</v>
      </c>
      <c r="J55" s="11">
        <v>3.1466096548079578E-6</v>
      </c>
      <c r="K55" s="11">
        <v>0.22797322346247514</v>
      </c>
      <c r="L55" s="11">
        <v>0.14099178431791584</v>
      </c>
      <c r="M55" s="11">
        <v>0.983837085551027</v>
      </c>
    </row>
    <row r="56" spans="1:13" x14ac:dyDescent="0.3">
      <c r="A56" s="13">
        <v>42163.5</v>
      </c>
      <c r="B56" s="11">
        <v>3.3168244469413204E-5</v>
      </c>
      <c r="C56" s="11">
        <v>7.9814924643146989E-2</v>
      </c>
      <c r="D56" s="11">
        <v>2.9435478821032772E-5</v>
      </c>
      <c r="E56" s="11">
        <v>1.2795470624342166E-5</v>
      </c>
      <c r="F56" s="11">
        <v>0.30219783631443736</v>
      </c>
      <c r="G56" s="11">
        <v>5.4191226316621175E-5</v>
      </c>
      <c r="H56" s="11">
        <v>0.28879975984629691</v>
      </c>
      <c r="I56" s="11">
        <v>8.9883091361354957E-6</v>
      </c>
      <c r="J56" s="11">
        <v>8.9738058300025374E-6</v>
      </c>
      <c r="K56" s="11">
        <v>0.17557580456561664</v>
      </c>
      <c r="L56" s="11">
        <v>0.15346412209530452</v>
      </c>
      <c r="M56" s="11">
        <v>0.98291888253600568</v>
      </c>
    </row>
    <row r="57" spans="1:13" x14ac:dyDescent="0.3">
      <c r="A57" s="13">
        <v>42170.5</v>
      </c>
      <c r="B57" s="11">
        <v>2.3485201615903839E-5</v>
      </c>
      <c r="C57" s="11">
        <v>8.8711303608316222E-2</v>
      </c>
      <c r="D57" s="11">
        <v>3.254149294732742E-5</v>
      </c>
      <c r="E57" s="11">
        <v>1.4407351484617181E-5</v>
      </c>
      <c r="F57" s="11">
        <v>0.32249245723987902</v>
      </c>
      <c r="G57" s="11">
        <v>8.209516229518904E-5</v>
      </c>
      <c r="H57" s="11">
        <v>0.26195796015638578</v>
      </c>
      <c r="I57" s="11">
        <v>7.3209546390550361E-6</v>
      </c>
      <c r="J57" s="11">
        <v>8.091815003973664E-6</v>
      </c>
      <c r="K57" s="11">
        <v>0.16866096047556781</v>
      </c>
      <c r="L57" s="11">
        <v>0.1580093765418652</v>
      </c>
      <c r="M57" s="11">
        <v>0.98171175957410861</v>
      </c>
    </row>
    <row r="58" spans="1:13" x14ac:dyDescent="0.3">
      <c r="A58" s="13">
        <v>42177.5</v>
      </c>
      <c r="B58" s="11">
        <v>2.2461291454753673E-5</v>
      </c>
      <c r="C58" s="11">
        <v>8.9984946841940028E-2</v>
      </c>
      <c r="D58" s="11">
        <v>2.2267414157879306E-5</v>
      </c>
      <c r="E58" s="11">
        <v>8.4731885316281703E-6</v>
      </c>
      <c r="F58" s="11">
        <v>0.33503612408254363</v>
      </c>
      <c r="G58" s="11">
        <v>8.9520382747740142E-5</v>
      </c>
      <c r="H58" s="11">
        <v>0.24963653982419609</v>
      </c>
      <c r="I58" s="11">
        <v>3.5960730242987694E-6</v>
      </c>
      <c r="J58" s="11">
        <v>5.0896689953465907E-6</v>
      </c>
      <c r="K58" s="11">
        <v>0.16661251291131296</v>
      </c>
      <c r="L58" s="11">
        <v>0.15857846832109565</v>
      </c>
      <c r="M58" s="11">
        <v>0.98189269131479018</v>
      </c>
    </row>
    <row r="59" spans="1:13" x14ac:dyDescent="0.3">
      <c r="A59" s="13">
        <v>42184.5</v>
      </c>
      <c r="B59" s="11">
        <v>3.1498801465509521E-5</v>
      </c>
      <c r="C59" s="11">
        <v>7.8379880669362953E-2</v>
      </c>
      <c r="D59" s="11">
        <v>3.23217750685198E-5</v>
      </c>
      <c r="E59" s="11">
        <v>1.2480834625783693E-5</v>
      </c>
      <c r="F59" s="11">
        <v>0.35924542655171948</v>
      </c>
      <c r="G59" s="11">
        <v>7.1576385112552329E-5</v>
      </c>
      <c r="H59" s="11">
        <v>0.23479397600107757</v>
      </c>
      <c r="I59" s="11">
        <v>5.3345433999523961E-6</v>
      </c>
      <c r="J59" s="11">
        <v>6.9159997587059779E-6</v>
      </c>
      <c r="K59" s="11">
        <v>0.16428371024226454</v>
      </c>
      <c r="L59" s="11">
        <v>0.16313687819614447</v>
      </c>
      <c r="M59" s="11">
        <v>0.9820571923466821</v>
      </c>
    </row>
    <row r="60" spans="1:13" x14ac:dyDescent="0.3">
      <c r="A60" s="13">
        <v>42190</v>
      </c>
      <c r="B60" s="11">
        <v>3.6303940858368633E-5</v>
      </c>
      <c r="C60" s="11">
        <v>7.8194077472269891E-2</v>
      </c>
      <c r="D60" s="11">
        <v>2.1798750819206199E-5</v>
      </c>
      <c r="E60" s="11">
        <v>7.7749198492071836E-6</v>
      </c>
      <c r="F60" s="11">
        <v>0.36362443882308149</v>
      </c>
      <c r="G60" s="11">
        <v>8.7420136474013812E-5</v>
      </c>
      <c r="H60" s="11">
        <v>0.22854621609602968</v>
      </c>
      <c r="I60" s="11">
        <v>3.3705841593376661E-6</v>
      </c>
      <c r="J60" s="11">
        <v>4.4772565739700918E-6</v>
      </c>
      <c r="K60" s="11">
        <v>0.16640933263316601</v>
      </c>
      <c r="L60" s="11">
        <v>0.16306478938671887</v>
      </c>
      <c r="M60" s="11">
        <v>0.98221010717663026</v>
      </c>
    </row>
    <row r="61" spans="1:13" x14ac:dyDescent="0.3">
      <c r="A61" s="13">
        <v>42198.5</v>
      </c>
      <c r="B61" s="11">
        <v>2.7049357755880662E-6</v>
      </c>
      <c r="C61" s="11">
        <v>6.7414945727127792E-2</v>
      </c>
      <c r="D61" s="11">
        <v>2.2496043544666672E-6</v>
      </c>
      <c r="E61" s="11">
        <v>6.6200049073824486E-7</v>
      </c>
      <c r="F61" s="11">
        <v>0.35907879880794036</v>
      </c>
      <c r="G61" s="11">
        <v>1.1562481118366236E-3</v>
      </c>
      <c r="H61" s="11">
        <v>0.22446178292314781</v>
      </c>
      <c r="I61" s="11">
        <v>2.4810749654487135E-7</v>
      </c>
      <c r="J61" s="11">
        <v>3.4882783190380396E-7</v>
      </c>
      <c r="K61" s="11">
        <v>0.18116090239665647</v>
      </c>
      <c r="L61" s="11">
        <v>0.16672110855734179</v>
      </c>
      <c r="M61" s="11">
        <v>0.98207646542997395</v>
      </c>
    </row>
    <row r="62" spans="1:13" x14ac:dyDescent="0.3">
      <c r="A62" s="13">
        <v>42205.5</v>
      </c>
      <c r="B62" s="11">
        <v>1.9445909936137531E-6</v>
      </c>
      <c r="C62" s="11">
        <v>7.182377373714148E-2</v>
      </c>
      <c r="D62" s="11">
        <v>1.7893815289892994E-6</v>
      </c>
      <c r="E62" s="11">
        <v>5.878053761821983E-7</v>
      </c>
      <c r="F62" s="11">
        <v>0.3581481735400906</v>
      </c>
      <c r="G62" s="11">
        <v>9.3004983614496377E-5</v>
      </c>
      <c r="H62" s="11">
        <v>0.2194873083772774</v>
      </c>
      <c r="I62" s="11">
        <v>2.2211650147134821E-7</v>
      </c>
      <c r="J62" s="11">
        <v>3.0886420777238832E-7</v>
      </c>
      <c r="K62" s="11">
        <v>0.18292189040390577</v>
      </c>
      <c r="L62" s="11">
        <v>0.16752099619936223</v>
      </c>
      <c r="M62" s="11">
        <v>0.98214537322182949</v>
      </c>
    </row>
    <row r="63" spans="1:13" x14ac:dyDescent="0.3">
      <c r="A63" s="13">
        <v>42212.5</v>
      </c>
      <c r="B63" s="11">
        <v>1.8123573453388191E-6</v>
      </c>
      <c r="C63" s="11">
        <v>7.8956707171128682E-2</v>
      </c>
      <c r="D63" s="11">
        <v>2.6511029963038538E-6</v>
      </c>
      <c r="E63" s="11">
        <v>1.0446935355640275E-6</v>
      </c>
      <c r="F63" s="11">
        <v>0.35940295508203957</v>
      </c>
      <c r="G63" s="11">
        <v>1.6718372087654487E-3</v>
      </c>
      <c r="H63" s="11">
        <v>0.22320448916672159</v>
      </c>
      <c r="I63" s="11">
        <v>3.8494859622005969E-7</v>
      </c>
      <c r="J63" s="11">
        <v>5.2905657177992544E-7</v>
      </c>
      <c r="K63" s="11">
        <v>0.17194437022270187</v>
      </c>
      <c r="L63" s="11">
        <v>0.16481321898959767</v>
      </c>
      <c r="M63" s="11">
        <v>0.98198061944761528</v>
      </c>
    </row>
    <row r="64" spans="1:13" x14ac:dyDescent="0.3">
      <c r="A64" s="13">
        <v>42219.5</v>
      </c>
      <c r="B64" s="11">
        <v>8.938416562990867E-5</v>
      </c>
      <c r="C64" s="11">
        <v>6.5976892790190325E-2</v>
      </c>
      <c r="D64" s="11">
        <v>2.7115063516628142E-5</v>
      </c>
      <c r="E64" s="11">
        <v>9.262298243774133E-6</v>
      </c>
      <c r="F64" s="11">
        <v>0.36036233666814205</v>
      </c>
      <c r="G64" s="11">
        <v>2.8947907554897016E-2</v>
      </c>
      <c r="H64" s="11">
        <v>0.2165583990000185</v>
      </c>
      <c r="I64" s="11">
        <v>3.9280721096061301E-6</v>
      </c>
      <c r="J64" s="11">
        <v>4.9232353177384999E-6</v>
      </c>
      <c r="K64" s="11">
        <v>0.17359003629616299</v>
      </c>
      <c r="L64" s="11">
        <v>0.15442981485577151</v>
      </c>
      <c r="M64" s="11">
        <v>0.98135280756506815</v>
      </c>
    </row>
    <row r="65" spans="1:13" x14ac:dyDescent="0.3">
      <c r="A65" s="13">
        <v>42226.5</v>
      </c>
      <c r="B65" s="11">
        <v>9.0993390701064127E-5</v>
      </c>
      <c r="C65" s="11">
        <v>7.1519570678297797E-2</v>
      </c>
      <c r="D65" s="11">
        <v>1.3874778394184163E-5</v>
      </c>
      <c r="E65" s="11">
        <v>4.8494763303232034E-6</v>
      </c>
      <c r="F65" s="11">
        <v>0.36504693210510691</v>
      </c>
      <c r="G65" s="11">
        <v>2.3707270488085054E-2</v>
      </c>
      <c r="H65" s="11">
        <v>0.21297080431391568</v>
      </c>
      <c r="I65" s="11">
        <v>2.0422678151444324E-6</v>
      </c>
      <c r="J65" s="11">
        <v>2.6721642796949475E-6</v>
      </c>
      <c r="K65" s="11">
        <v>0.17110097518353742</v>
      </c>
      <c r="L65" s="11">
        <v>0.15554001515353669</v>
      </c>
      <c r="M65" s="11">
        <v>0.98084936551790469</v>
      </c>
    </row>
    <row r="66" spans="1:13" x14ac:dyDescent="0.3">
      <c r="A66" s="13">
        <v>42233</v>
      </c>
      <c r="B66" s="11">
        <v>1.651070121944505E-3</v>
      </c>
      <c r="C66" s="11">
        <v>7.0386477942796719E-2</v>
      </c>
      <c r="D66" s="11">
        <v>1.0823198862699172E-5</v>
      </c>
      <c r="E66" s="11">
        <v>3.6851279666210442E-6</v>
      </c>
      <c r="F66" s="11">
        <v>0.36460541083489556</v>
      </c>
      <c r="G66" s="11">
        <v>2.2565467332331376E-2</v>
      </c>
      <c r="H66" s="11">
        <v>0.21714356716469951</v>
      </c>
      <c r="I66" s="11">
        <v>1.5121660818018643E-6</v>
      </c>
      <c r="J66" s="11">
        <v>2.0404898073881636E-6</v>
      </c>
      <c r="K66" s="11">
        <v>0.16949171525174947</v>
      </c>
      <c r="L66" s="11">
        <v>0.15413823036886434</v>
      </c>
      <c r="M66" s="11">
        <v>0.98061872197814315</v>
      </c>
    </row>
    <row r="67" spans="1:13" x14ac:dyDescent="0.3">
      <c r="A67" s="13">
        <v>42240.5</v>
      </c>
      <c r="B67" s="11">
        <v>9.0650174896328209E-5</v>
      </c>
      <c r="C67" s="11">
        <v>7.4570434061461771E-2</v>
      </c>
      <c r="D67" s="11">
        <v>2.2493374559957909E-5</v>
      </c>
      <c r="E67" s="11">
        <v>6.8668684498897773E-6</v>
      </c>
      <c r="F67" s="11">
        <v>0.37767591614326623</v>
      </c>
      <c r="G67" s="11">
        <v>2.3098366500328694E-2</v>
      </c>
      <c r="H67" s="11">
        <v>0.22640297920036415</v>
      </c>
      <c r="I67" s="11">
        <v>2.4818519994307115E-6</v>
      </c>
      <c r="J67" s="11">
        <v>4.1868593017647532E-6</v>
      </c>
      <c r="K67" s="11">
        <v>0.14971367405018934</v>
      </c>
      <c r="L67" s="11">
        <v>0.14841195091518239</v>
      </c>
      <c r="M67" s="11">
        <v>0.98232452996271791</v>
      </c>
    </row>
    <row r="68" spans="1:13" x14ac:dyDescent="0.3">
      <c r="A68" s="13">
        <v>42247.5</v>
      </c>
      <c r="B68" s="11">
        <v>6.9934854089467436E-6</v>
      </c>
      <c r="C68" s="11">
        <v>8.3520397646736785E-2</v>
      </c>
      <c r="D68" s="11">
        <v>1.2003007649992842E-5</v>
      </c>
      <c r="E68" s="11">
        <v>2.6649443615922437E-6</v>
      </c>
      <c r="F68" s="11">
        <v>0.39450926535328235</v>
      </c>
      <c r="G68" s="11">
        <v>4.7334971529395132E-3</v>
      </c>
      <c r="H68" s="11">
        <v>0.22408179437857767</v>
      </c>
      <c r="I68" s="11">
        <v>8.5961190416286504E-7</v>
      </c>
      <c r="J68" s="11">
        <v>1.7565617765010535E-6</v>
      </c>
      <c r="K68" s="11">
        <v>0.13632368730591532</v>
      </c>
      <c r="L68" s="11">
        <v>0.15680708055144724</v>
      </c>
      <c r="M68" s="11">
        <v>0.98269882222777782</v>
      </c>
    </row>
    <row r="69" spans="1:13" x14ac:dyDescent="0.3">
      <c r="A69" s="13">
        <v>42254.5</v>
      </c>
      <c r="B69" s="11">
        <v>7.1189232268519761E-6</v>
      </c>
      <c r="C69" s="11">
        <v>9.843599418088668E-2</v>
      </c>
      <c r="D69" s="11">
        <v>1.3398416602924151E-5</v>
      </c>
      <c r="E69" s="11">
        <v>3.3479046110812038E-6</v>
      </c>
      <c r="F69" s="11">
        <v>0.3847663038113035</v>
      </c>
      <c r="G69" s="11">
        <v>8.9949432685490588E-5</v>
      </c>
      <c r="H69" s="11">
        <v>0.22629415055859131</v>
      </c>
      <c r="I69" s="11">
        <v>1.1705274250368367E-6</v>
      </c>
      <c r="J69" s="11">
        <v>2.3713693563751688E-6</v>
      </c>
      <c r="K69" s="11">
        <v>0.13458500129112863</v>
      </c>
      <c r="L69" s="11">
        <v>0.15580119358418204</v>
      </c>
      <c r="M69" s="11">
        <v>0.98279182527929076</v>
      </c>
    </row>
    <row r="70" spans="1:13" x14ac:dyDescent="0.3">
      <c r="A70" s="13">
        <v>42260.5</v>
      </c>
      <c r="B70" s="11">
        <v>7.0517917467367894E-6</v>
      </c>
      <c r="C70" s="11">
        <v>5.007140245423645E-5</v>
      </c>
      <c r="D70" s="11">
        <v>3.2908529485685579E-5</v>
      </c>
      <c r="E70" s="11">
        <v>9.867384543457602E-6</v>
      </c>
      <c r="F70" s="11">
        <v>0.43089611410755607</v>
      </c>
      <c r="G70" s="11">
        <v>0.12116805201570865</v>
      </c>
      <c r="H70" s="11">
        <v>0.11914242263707518</v>
      </c>
      <c r="I70" s="11">
        <v>5.4321409056510792E-6</v>
      </c>
      <c r="J70" s="11">
        <v>6.2983446411441285E-6</v>
      </c>
      <c r="K70" s="11">
        <v>0.17231670559124748</v>
      </c>
      <c r="L70" s="11">
        <v>0.15636507605463568</v>
      </c>
      <c r="M70" s="11">
        <v>0.98428882742059476</v>
      </c>
    </row>
    <row r="71" spans="1:13" x14ac:dyDescent="0.3">
      <c r="A71" s="13">
        <v>42268.5</v>
      </c>
      <c r="B71" s="11">
        <v>5.0656479546737566E-6</v>
      </c>
      <c r="C71" s="11">
        <v>4.6647850503012367E-5</v>
      </c>
      <c r="D71" s="11">
        <v>3.7971632080019448E-5</v>
      </c>
      <c r="E71" s="11">
        <v>1.1290278046044825E-5</v>
      </c>
      <c r="F71" s="11">
        <v>0.43898730529865454</v>
      </c>
      <c r="G71" s="11">
        <v>0.12071069104979616</v>
      </c>
      <c r="H71" s="11">
        <v>0.13818447550323107</v>
      </c>
      <c r="I71" s="11">
        <v>4.451005113870442E-6</v>
      </c>
      <c r="J71" s="11">
        <v>5.5330291095844161E-6</v>
      </c>
      <c r="K71" s="11">
        <v>0.15148230846205496</v>
      </c>
      <c r="L71" s="11">
        <v>0.15052426024345603</v>
      </c>
      <c r="M71" s="11">
        <v>0.98351712375045064</v>
      </c>
    </row>
    <row r="72" spans="1:13" x14ac:dyDescent="0.3">
      <c r="A72" s="13">
        <v>42279</v>
      </c>
      <c r="B72" s="11">
        <v>6.7494068747170552E-6</v>
      </c>
      <c r="C72" s="11">
        <v>4.0148322384641419E-5</v>
      </c>
      <c r="D72" s="11">
        <v>4.5850459261639071E-5</v>
      </c>
      <c r="E72" s="11">
        <v>1.3718300373232441E-5</v>
      </c>
      <c r="F72" s="11">
        <v>0.44448339701857292</v>
      </c>
      <c r="G72" s="11">
        <v>0.11783599155047429</v>
      </c>
      <c r="H72" s="11">
        <v>0.13710395174809176</v>
      </c>
      <c r="I72" s="11">
        <v>5.8866847553318834E-6</v>
      </c>
      <c r="J72" s="11">
        <v>7.3854753017011501E-6</v>
      </c>
      <c r="K72" s="11">
        <v>0.14829731694710716</v>
      </c>
      <c r="L72" s="11">
        <v>0.15215960408680262</v>
      </c>
      <c r="M72" s="11">
        <v>0.98375032306475718</v>
      </c>
    </row>
    <row r="73" spans="1:13" x14ac:dyDescent="0.3">
      <c r="A73" s="13">
        <v>42286</v>
      </c>
      <c r="B73" s="11">
        <v>6.4198258428974012E-6</v>
      </c>
      <c r="C73" s="11">
        <v>3.738242767732435E-5</v>
      </c>
      <c r="D73" s="11">
        <v>4.7440198359982099E-5</v>
      </c>
      <c r="E73" s="11">
        <v>1.6112780962897945E-5</v>
      </c>
      <c r="F73" s="11">
        <v>0.44814405595584472</v>
      </c>
      <c r="G73" s="11">
        <v>0.12205057280807717</v>
      </c>
      <c r="H73" s="11">
        <v>0.13120676445177046</v>
      </c>
      <c r="I73" s="11">
        <v>5.798618377215065E-6</v>
      </c>
      <c r="J73" s="11">
        <v>8.2423023369787219E-6</v>
      </c>
      <c r="K73" s="11">
        <v>0.14762986720433735</v>
      </c>
      <c r="L73" s="11">
        <v>0.15084734342641309</v>
      </c>
      <c r="M73" s="11">
        <v>0.9839052517935295</v>
      </c>
    </row>
    <row r="74" spans="1:13" x14ac:dyDescent="0.3">
      <c r="A74" s="13">
        <v>42293</v>
      </c>
      <c r="B74" s="11">
        <v>7.3187198335427425E-6</v>
      </c>
      <c r="C74" s="11">
        <v>3.9519315316372424E-5</v>
      </c>
      <c r="D74" s="11">
        <v>4.8733098064387186E-5</v>
      </c>
      <c r="E74" s="11">
        <v>1.8702614981321606E-5</v>
      </c>
      <c r="F74" s="11">
        <v>0.44509002667594955</v>
      </c>
      <c r="G74" s="11">
        <v>0.13173827442101668</v>
      </c>
      <c r="H74" s="11">
        <v>0.12244905674533073</v>
      </c>
      <c r="I74" s="11">
        <v>6.3733392922225107E-6</v>
      </c>
      <c r="J74" s="11">
        <v>8.985584973487196E-6</v>
      </c>
      <c r="K74" s="11">
        <v>0.1501122308867944</v>
      </c>
      <c r="L74" s="11">
        <v>0.15048077859844736</v>
      </c>
      <c r="M74" s="11">
        <v>0.98270282976870693</v>
      </c>
    </row>
    <row r="75" spans="1:13" x14ac:dyDescent="0.3">
      <c r="A75" s="13">
        <v>42300</v>
      </c>
      <c r="B75" s="11">
        <v>6.2072454816449544E-6</v>
      </c>
      <c r="C75" s="11">
        <v>3.6995341975761776E-5</v>
      </c>
      <c r="D75" s="11">
        <v>4.5450230394208615E-5</v>
      </c>
      <c r="E75" s="11">
        <v>2.0381088196357207E-5</v>
      </c>
      <c r="F75" s="11">
        <v>0.42737160436222804</v>
      </c>
      <c r="G75" s="11">
        <v>0.11819808574661454</v>
      </c>
      <c r="H75" s="11">
        <v>0.12941233999442092</v>
      </c>
      <c r="I75" s="11">
        <v>5.853922951113648E-6</v>
      </c>
      <c r="J75" s="11">
        <v>9.2121374217465092E-6</v>
      </c>
      <c r="K75" s="11">
        <v>0.17239359636087268</v>
      </c>
      <c r="L75" s="11">
        <v>0.15250027356944296</v>
      </c>
      <c r="M75" s="11">
        <v>0.98353107972217879</v>
      </c>
    </row>
    <row r="76" spans="1:13" x14ac:dyDescent="0.3">
      <c r="A76" s="13">
        <v>42307</v>
      </c>
      <c r="B76" s="11">
        <v>5.6883750378313828E-6</v>
      </c>
      <c r="C76" s="11">
        <v>3.7083332206662811E-5</v>
      </c>
      <c r="D76" s="11">
        <v>5.4049245032346989E-5</v>
      </c>
      <c r="E76" s="11">
        <v>2.165400365338473E-5</v>
      </c>
      <c r="F76" s="11">
        <v>0.43024013630686764</v>
      </c>
      <c r="G76" s="11">
        <v>0.11272804922233008</v>
      </c>
      <c r="H76" s="11">
        <v>0.13983031384005318</v>
      </c>
      <c r="I76" s="11">
        <v>5.9836196380819175E-6</v>
      </c>
      <c r="J76" s="11">
        <v>9.81591971069217E-6</v>
      </c>
      <c r="K76" s="11">
        <v>0.17031147726695417</v>
      </c>
      <c r="L76" s="11">
        <v>0.14675574886851583</v>
      </c>
      <c r="M76" s="11">
        <v>0.98379297301795421</v>
      </c>
    </row>
    <row r="77" spans="1:13" x14ac:dyDescent="0.3">
      <c r="A77" s="13">
        <v>42314</v>
      </c>
      <c r="B77" s="11">
        <v>5.2555298523199466E-6</v>
      </c>
      <c r="C77" s="11">
        <v>2.697207123280319E-5</v>
      </c>
      <c r="D77" s="11">
        <v>6.1776290545991847E-5</v>
      </c>
      <c r="E77" s="11">
        <v>1.984184336930105E-5</v>
      </c>
      <c r="F77" s="11">
        <v>0.42277380107689055</v>
      </c>
      <c r="G77" s="11">
        <v>0.12283266207052819</v>
      </c>
      <c r="H77" s="11">
        <v>0.14165055161020204</v>
      </c>
      <c r="I77" s="11">
        <v>5.6822128696642733E-6</v>
      </c>
      <c r="J77" s="11">
        <v>9.3330961042369633E-6</v>
      </c>
      <c r="K77" s="11">
        <v>0.17031134975395221</v>
      </c>
      <c r="L77" s="11">
        <v>0.14230277444445275</v>
      </c>
      <c r="M77" s="11">
        <v>0.98390812557362539</v>
      </c>
    </row>
    <row r="78" spans="1:13" x14ac:dyDescent="0.3">
      <c r="A78" s="13">
        <v>42321</v>
      </c>
      <c r="B78" s="11">
        <v>5.2474156112678741E-6</v>
      </c>
      <c r="C78" s="11">
        <v>2.5780324021765349E-5</v>
      </c>
      <c r="D78" s="11">
        <v>5.0748612419830407E-5</v>
      </c>
      <c r="E78" s="11">
        <v>1.959788918938292E-5</v>
      </c>
      <c r="F78" s="11">
        <v>0.41768578833458614</v>
      </c>
      <c r="G78" s="11">
        <v>0.12882630141270468</v>
      </c>
      <c r="H78" s="11">
        <v>0.14309830053581368</v>
      </c>
      <c r="I78" s="11">
        <v>5.7744700751215479E-6</v>
      </c>
      <c r="J78" s="11">
        <v>8.8625966803089429E-6</v>
      </c>
      <c r="K78" s="11">
        <v>0.1719470601974083</v>
      </c>
      <c r="L78" s="11">
        <v>0.13832653821148949</v>
      </c>
      <c r="M78" s="11">
        <v>0.98244468536181817</v>
      </c>
    </row>
    <row r="79" spans="1:13" x14ac:dyDescent="0.3">
      <c r="A79" s="13">
        <v>42328</v>
      </c>
      <c r="B79" s="11">
        <v>5.4502196014142239E-6</v>
      </c>
      <c r="C79" s="11">
        <v>2.4991856541046191E-5</v>
      </c>
      <c r="D79" s="11">
        <v>5.6342622407029843E-5</v>
      </c>
      <c r="E79" s="11">
        <v>2.0173754989384445E-5</v>
      </c>
      <c r="F79" s="11">
        <v>0.42003160611477086</v>
      </c>
      <c r="G79" s="11">
        <v>0.12522128193540186</v>
      </c>
      <c r="H79" s="11">
        <v>0.14624188432002902</v>
      </c>
      <c r="I79" s="11">
        <v>5.7965189035559712E-6</v>
      </c>
      <c r="J79" s="11">
        <v>8.6886803106125593E-6</v>
      </c>
      <c r="K79" s="11">
        <v>0.17078092135829953</v>
      </c>
      <c r="L79" s="11">
        <v>0.1376028626187458</v>
      </c>
      <c r="M79" s="11">
        <v>0.98168889474467691</v>
      </c>
    </row>
    <row r="80" spans="1:13" x14ac:dyDescent="0.3">
      <c r="A80" s="13">
        <v>42335</v>
      </c>
      <c r="B80" s="11">
        <v>8.2840392509731558E-6</v>
      </c>
      <c r="C80" s="11">
        <v>2.2602385282292789E-5</v>
      </c>
      <c r="D80" s="11">
        <v>7.2269012307447008E-5</v>
      </c>
      <c r="E80" s="11">
        <v>2.0996338745657996E-5</v>
      </c>
      <c r="F80" s="11">
        <v>0.43171662730339194</v>
      </c>
      <c r="G80" s="11">
        <v>8.7051299020473566E-2</v>
      </c>
      <c r="H80" s="11">
        <v>0.17446180353004817</v>
      </c>
      <c r="I80" s="11">
        <v>8.268674582528505E-6</v>
      </c>
      <c r="J80" s="11">
        <v>7.5496080916207095E-6</v>
      </c>
      <c r="K80" s="11">
        <v>0.1532085292551805</v>
      </c>
      <c r="L80" s="11">
        <v>0.15342177083264533</v>
      </c>
      <c r="M80" s="11">
        <v>0.97920094211982411</v>
      </c>
    </row>
    <row r="81" spans="1:13" x14ac:dyDescent="0.3">
      <c r="A81" s="13">
        <v>42342</v>
      </c>
      <c r="B81" s="11">
        <v>1.1518021985228373E-5</v>
      </c>
      <c r="C81" s="11">
        <v>2.4177356871839648E-5</v>
      </c>
      <c r="D81" s="11">
        <v>4.5607422428474964E-5</v>
      </c>
      <c r="E81" s="11">
        <v>1.526430542604449E-5</v>
      </c>
      <c r="F81" s="11">
        <v>0.42066055494358912</v>
      </c>
      <c r="G81" s="11">
        <v>0.13505717646976656</v>
      </c>
      <c r="H81" s="11">
        <v>0.17655852045718548</v>
      </c>
      <c r="I81" s="11">
        <v>6.9628004835903648E-6</v>
      </c>
      <c r="J81" s="11">
        <v>6.3640205548746956E-6</v>
      </c>
      <c r="K81" s="11">
        <v>0.12977477460884956</v>
      </c>
      <c r="L81" s="11">
        <v>0.13783907959285938</v>
      </c>
      <c r="M81" s="11">
        <v>0.9805373312959994</v>
      </c>
    </row>
    <row r="82" spans="1:13" x14ac:dyDescent="0.3">
      <c r="A82" s="13">
        <v>42349</v>
      </c>
      <c r="B82" s="11">
        <v>1.6717141694666098E-5</v>
      </c>
      <c r="C82" s="11">
        <v>1.9659949539514876E-5</v>
      </c>
      <c r="D82" s="11">
        <v>6.2306844402889932E-5</v>
      </c>
      <c r="E82" s="11">
        <v>1.3135304187618666E-5</v>
      </c>
      <c r="F82" s="11">
        <v>0.44049986925191598</v>
      </c>
      <c r="G82" s="11">
        <v>0.1628621152378745</v>
      </c>
      <c r="H82" s="11">
        <v>0.14041088857316453</v>
      </c>
      <c r="I82" s="11">
        <v>6.8822333025526668E-6</v>
      </c>
      <c r="J82" s="11">
        <v>4.7495075534099976E-6</v>
      </c>
      <c r="K82" s="11">
        <v>0.11351674077873385</v>
      </c>
      <c r="L82" s="11">
        <v>0.14258693517763044</v>
      </c>
      <c r="M82" s="11">
        <v>0.97967745205194923</v>
      </c>
    </row>
    <row r="83" spans="1:13" x14ac:dyDescent="0.3">
      <c r="A83" s="13">
        <v>42356</v>
      </c>
      <c r="B83" s="11">
        <v>1.7642611780464529E-5</v>
      </c>
      <c r="C83" s="11">
        <v>1.6194066337830253E-6</v>
      </c>
      <c r="D83" s="11">
        <v>6.5859888534016345E-6</v>
      </c>
      <c r="E83" s="11">
        <v>1.6894211172952148E-6</v>
      </c>
      <c r="F83" s="11">
        <v>0.49317097333443033</v>
      </c>
      <c r="G83" s="11">
        <v>0.17516857420624671</v>
      </c>
      <c r="H83" s="11">
        <v>0.19212647167322844</v>
      </c>
      <c r="I83" s="11">
        <v>1.2626347562280406E-6</v>
      </c>
      <c r="J83" s="11">
        <v>3.9071944807316517E-7</v>
      </c>
      <c r="K83" s="11">
        <v>8.8213617380651882E-5</v>
      </c>
      <c r="L83" s="11">
        <v>0.13941657638612459</v>
      </c>
      <c r="M83" s="11">
        <v>0.98100717258589121</v>
      </c>
    </row>
    <row r="84" spans="1:13" x14ac:dyDescent="0.3">
      <c r="A84" s="13">
        <v>42363</v>
      </c>
      <c r="B84" s="11">
        <v>2.5306626189749397E-5</v>
      </c>
      <c r="C84" s="11">
        <v>1.1108391747946988E-5</v>
      </c>
      <c r="D84" s="11">
        <v>2.3100140083806679E-2</v>
      </c>
      <c r="E84" s="11">
        <v>1.1122931632142187E-5</v>
      </c>
      <c r="F84" s="11">
        <v>0.49095033940427085</v>
      </c>
      <c r="G84" s="11">
        <v>0.15519346367501571</v>
      </c>
      <c r="H84" s="11">
        <v>0.17979936552202563</v>
      </c>
      <c r="I84" s="11">
        <v>4.987444800645959E-6</v>
      </c>
      <c r="J84" s="11">
        <v>2.2212129801312788E-6</v>
      </c>
      <c r="K84" s="11">
        <v>7.4383950446256226E-5</v>
      </c>
      <c r="L84" s="11">
        <v>0.1508275607570842</v>
      </c>
      <c r="M84" s="11">
        <v>0.98005290208564622</v>
      </c>
    </row>
    <row r="85" spans="1:13" x14ac:dyDescent="0.3">
      <c r="A85" s="13">
        <v>42370</v>
      </c>
      <c r="B85" s="11">
        <v>1.028509083504014E-5</v>
      </c>
      <c r="C85" s="11">
        <v>4.9297042167846173E-6</v>
      </c>
      <c r="D85" s="11">
        <v>3.8096865880868525E-2</v>
      </c>
      <c r="E85" s="11">
        <v>3.9433262425734431E-6</v>
      </c>
      <c r="F85" s="11">
        <v>0.48500055151808269</v>
      </c>
      <c r="G85" s="11">
        <v>0.16021399123374688</v>
      </c>
      <c r="H85" s="11">
        <v>0.16478829912325055</v>
      </c>
      <c r="I85" s="11">
        <v>2.0869375946068708E-6</v>
      </c>
      <c r="J85" s="11">
        <v>1.1039368151022989E-6</v>
      </c>
      <c r="K85" s="11">
        <v>9.2423053992107205E-5</v>
      </c>
      <c r="L85" s="11">
        <v>0.15178552019435509</v>
      </c>
      <c r="M85" s="11">
        <v>0.98001637233607097</v>
      </c>
    </row>
    <row r="86" spans="1:13" x14ac:dyDescent="0.3">
      <c r="A86" s="13">
        <v>42377</v>
      </c>
      <c r="B86" s="11">
        <v>1.0121184513987519E-6</v>
      </c>
      <c r="C86" s="11">
        <v>7.8468129835409387E-7</v>
      </c>
      <c r="D86" s="11">
        <v>0.10514026813208624</v>
      </c>
      <c r="E86" s="11">
        <v>6.2343061378567771E-7</v>
      </c>
      <c r="F86" s="11">
        <v>0.46594726016980498</v>
      </c>
      <c r="G86" s="11">
        <v>0.1374146726152625</v>
      </c>
      <c r="H86" s="11">
        <v>0.13949328061047223</v>
      </c>
      <c r="I86" s="11">
        <v>3.4257830055905918E-7</v>
      </c>
      <c r="J86" s="11">
        <v>1.9070287081702343E-7</v>
      </c>
      <c r="K86" s="11">
        <v>1.0115939406343905E-4</v>
      </c>
      <c r="L86" s="11">
        <v>0.15190040556677573</v>
      </c>
      <c r="M86" s="11">
        <v>0.97979429659897743</v>
      </c>
    </row>
    <row r="87" spans="1:13" x14ac:dyDescent="0.3">
      <c r="A87" s="13">
        <v>42384</v>
      </c>
      <c r="B87" s="11">
        <v>1.7579010815229299E-5</v>
      </c>
      <c r="C87" s="11">
        <v>1.9137571979795657E-5</v>
      </c>
      <c r="D87" s="11">
        <v>0.13542485013855723</v>
      </c>
      <c r="E87" s="11">
        <v>1.6790990364407548E-5</v>
      </c>
      <c r="F87" s="11">
        <v>0.44777324792904405</v>
      </c>
      <c r="G87" s="11">
        <v>7.522908951805829E-2</v>
      </c>
      <c r="H87" s="11">
        <v>0.15135942597971341</v>
      </c>
      <c r="I87" s="11">
        <v>5.940376110123521E-6</v>
      </c>
      <c r="J87" s="11">
        <v>4.2093805949859713E-6</v>
      </c>
      <c r="K87" s="11">
        <v>1.3061490230399219E-2</v>
      </c>
      <c r="L87" s="11">
        <v>0.17708823887436323</v>
      </c>
      <c r="M87" s="11">
        <v>0.97764304364328813</v>
      </c>
    </row>
    <row r="88" spans="1:13" x14ac:dyDescent="0.3">
      <c r="A88" s="13">
        <v>42389</v>
      </c>
      <c r="B88" s="11">
        <v>2.5149828054883789E-5</v>
      </c>
      <c r="C88" s="11">
        <v>1.6308654011953386E-5</v>
      </c>
      <c r="D88" s="11">
        <v>5.6188331737673708E-2</v>
      </c>
      <c r="E88" s="11">
        <v>4.9328334743137431E-5</v>
      </c>
      <c r="F88" s="11">
        <v>0.48179807454900614</v>
      </c>
      <c r="G88" s="11">
        <v>9.9494713422640366E-2</v>
      </c>
      <c r="H88" s="11">
        <v>0.14252868909293684</v>
      </c>
      <c r="I88" s="11">
        <v>1.5086109879820445E-5</v>
      </c>
      <c r="J88" s="11">
        <v>3.110301899002657E-6</v>
      </c>
      <c r="K88" s="11">
        <v>4.7215651468328332E-2</v>
      </c>
      <c r="L88" s="11">
        <v>0.17266555650082588</v>
      </c>
      <c r="M88" s="11">
        <v>0.97905372348405606</v>
      </c>
    </row>
    <row r="89" spans="1:13" x14ac:dyDescent="0.3">
      <c r="A89" s="13">
        <v>42398</v>
      </c>
      <c r="B89" s="11">
        <v>4.876457028392703E-3</v>
      </c>
      <c r="C89" s="11">
        <v>9.740636735872966E-6</v>
      </c>
      <c r="D89" s="11">
        <v>4.059923899049861E-2</v>
      </c>
      <c r="E89" s="11">
        <v>7.527550565817294E-5</v>
      </c>
      <c r="F89" s="11">
        <v>0.47871272604991649</v>
      </c>
      <c r="G89" s="11">
        <v>0.103264667000411</v>
      </c>
      <c r="H89" s="11">
        <v>0.14969130418782173</v>
      </c>
      <c r="I89" s="11">
        <v>6.3226405252008169E-6</v>
      </c>
      <c r="J89" s="11">
        <v>1.4949639352888747E-6</v>
      </c>
      <c r="K89" s="11">
        <v>4.8649497502397804E-2</v>
      </c>
      <c r="L89" s="11">
        <v>0.1741132754937072</v>
      </c>
      <c r="M89" s="11">
        <v>0.97672878497204652</v>
      </c>
    </row>
    <row r="90" spans="1:13" x14ac:dyDescent="0.3">
      <c r="A90" s="13">
        <v>42405</v>
      </c>
      <c r="B90" s="11">
        <v>3.366738324966187E-3</v>
      </c>
      <c r="C90" s="11">
        <v>1.2817751482334156E-5</v>
      </c>
      <c r="D90" s="11">
        <v>7.3492154525578793E-2</v>
      </c>
      <c r="E90" s="11">
        <v>3.202863303857133E-5</v>
      </c>
      <c r="F90" s="11">
        <v>0.46014690436846362</v>
      </c>
      <c r="G90" s="11">
        <v>0.11165249548607631</v>
      </c>
      <c r="H90" s="11">
        <v>0.14342424732355805</v>
      </c>
      <c r="I90" s="11">
        <v>5.228655443258106E-6</v>
      </c>
      <c r="J90" s="11">
        <v>1.6711236228813927E-6</v>
      </c>
      <c r="K90" s="11">
        <v>3.8070613998371028E-2</v>
      </c>
      <c r="L90" s="11">
        <v>0.16979509980939894</v>
      </c>
      <c r="M90" s="11">
        <v>0.9754070183196849</v>
      </c>
    </row>
    <row r="91" spans="1:13" x14ac:dyDescent="0.3">
      <c r="A91" s="13">
        <v>42412</v>
      </c>
      <c r="B91" s="11">
        <v>2.0186500717576508E-5</v>
      </c>
      <c r="C91" s="11">
        <v>5.6032190868418923E-6</v>
      </c>
      <c r="D91" s="11">
        <v>0.108611388722712</v>
      </c>
      <c r="E91" s="11">
        <v>7.5731101392059893E-5</v>
      </c>
      <c r="F91" s="11">
        <v>0.43859965110891808</v>
      </c>
      <c r="G91" s="11">
        <v>9.9758907708884625E-2</v>
      </c>
      <c r="H91" s="11">
        <v>0.13634503625953734</v>
      </c>
      <c r="I91" s="11">
        <v>2.435363046666529E-6</v>
      </c>
      <c r="J91" s="11">
        <v>1.0568543932174709E-6</v>
      </c>
      <c r="K91" s="11">
        <v>4.9217817083157138E-2</v>
      </c>
      <c r="L91" s="11">
        <v>0.16736218607815445</v>
      </c>
      <c r="M91" s="11">
        <v>0.97545881168831483</v>
      </c>
    </row>
    <row r="92" spans="1:13" x14ac:dyDescent="0.3">
      <c r="A92" s="13">
        <v>42418</v>
      </c>
      <c r="B92" s="11">
        <v>8.3403000660080481E-6</v>
      </c>
      <c r="C92" s="11">
        <v>1.1637190047115685E-5</v>
      </c>
      <c r="D92" s="11">
        <v>1.62343441707491E-2</v>
      </c>
      <c r="E92" s="11">
        <v>5.5618993825078525E-2</v>
      </c>
      <c r="F92" s="11">
        <v>0.46874879886185639</v>
      </c>
      <c r="G92" s="11">
        <v>0.12120644264568546</v>
      </c>
      <c r="H92" s="11">
        <v>0.16357796971412619</v>
      </c>
      <c r="I92" s="11">
        <v>4.1781807914087658E-6</v>
      </c>
      <c r="J92" s="11">
        <v>2.3226009629684813E-6</v>
      </c>
      <c r="K92" s="11">
        <v>1.290562858389986E-2</v>
      </c>
      <c r="L92" s="11">
        <v>0.16168134392673697</v>
      </c>
      <c r="M92" s="11">
        <v>0.9761810658142791</v>
      </c>
    </row>
    <row r="93" spans="1:13" x14ac:dyDescent="0.3">
      <c r="A93" s="13">
        <v>42426</v>
      </c>
      <c r="B93" s="11">
        <v>3.4407981643006483E-6</v>
      </c>
      <c r="C93" s="11">
        <v>6.3918200291653858E-6</v>
      </c>
      <c r="D93" s="11">
        <v>8.4874749386772892E-5</v>
      </c>
      <c r="E93" s="11">
        <v>7.7476481439680014E-2</v>
      </c>
      <c r="F93" s="11">
        <v>0.45770273952469254</v>
      </c>
      <c r="G93" s="11">
        <v>0.11809450813288075</v>
      </c>
      <c r="H93" s="11">
        <v>0.16941045551633008</v>
      </c>
      <c r="I93" s="11">
        <v>1.8636370103517485E-6</v>
      </c>
      <c r="J93" s="11">
        <v>7.508029742437878E-7</v>
      </c>
      <c r="K93" s="11">
        <v>1.6855118091475326E-2</v>
      </c>
      <c r="L93" s="11">
        <v>0.16036337548737664</v>
      </c>
      <c r="M93" s="11">
        <v>0.97777146180277685</v>
      </c>
    </row>
    <row r="94" spans="1:13" x14ac:dyDescent="0.3">
      <c r="A94" s="13">
        <v>42433</v>
      </c>
      <c r="B94" s="11">
        <v>1.7353394373610657E-5</v>
      </c>
      <c r="C94" s="11">
        <v>2.8309806639970892E-5</v>
      </c>
      <c r="D94" s="11">
        <v>8.265319988759806E-5</v>
      </c>
      <c r="E94" s="11">
        <v>8.2729701909773787E-2</v>
      </c>
      <c r="F94" s="11">
        <v>0.45489466354885555</v>
      </c>
      <c r="G94" s="11">
        <v>0.11695130835851587</v>
      </c>
      <c r="H94" s="11">
        <v>0.17324431556237294</v>
      </c>
      <c r="I94" s="11">
        <v>1.0416839009340203E-5</v>
      </c>
      <c r="J94" s="11">
        <v>3.9987873336149945E-6</v>
      </c>
      <c r="K94" s="11">
        <v>1.499536562634632E-2</v>
      </c>
      <c r="L94" s="11">
        <v>0.15704191296689143</v>
      </c>
      <c r="M94" s="11">
        <v>0.97730165215984566</v>
      </c>
    </row>
    <row r="95" spans="1:13" x14ac:dyDescent="0.3">
      <c r="A95" s="13">
        <v>42440</v>
      </c>
      <c r="B95" s="11">
        <v>1.8898674596647099E-5</v>
      </c>
      <c r="C95" s="11">
        <v>4.060471660567746E-5</v>
      </c>
      <c r="D95" s="11">
        <v>6.6300021599852033E-5</v>
      </c>
      <c r="E95" s="11">
        <v>7.599884602345125E-2</v>
      </c>
      <c r="F95" s="11">
        <v>0.4767812460311569</v>
      </c>
      <c r="G95" s="11">
        <v>0.13845106326692011</v>
      </c>
      <c r="H95" s="11">
        <v>0.14348702606458083</v>
      </c>
      <c r="I95" s="11">
        <v>2.5601737887087503E-5</v>
      </c>
      <c r="J95" s="11">
        <v>5.738740112795389E-6</v>
      </c>
      <c r="K95" s="11">
        <v>1.3758034410809326E-2</v>
      </c>
      <c r="L95" s="11">
        <v>0.15136664031227964</v>
      </c>
      <c r="M95" s="11">
        <v>0.97698043010938007</v>
      </c>
    </row>
    <row r="96" spans="1:13" x14ac:dyDescent="0.3">
      <c r="A96" s="13">
        <v>42447</v>
      </c>
      <c r="B96" s="11">
        <v>2.5155872737424459E-5</v>
      </c>
      <c r="C96" s="11">
        <v>3.9290923138918523E-5</v>
      </c>
      <c r="D96" s="11">
        <v>6.3073324571162858E-5</v>
      </c>
      <c r="E96" s="11">
        <v>7.6507812637976041E-2</v>
      </c>
      <c r="F96" s="11">
        <v>0.47172654387193008</v>
      </c>
      <c r="G96" s="11">
        <v>0.13128233279085266</v>
      </c>
      <c r="H96" s="11">
        <v>0.15211505037976492</v>
      </c>
      <c r="I96" s="11">
        <v>2.5413444746092559E-5</v>
      </c>
      <c r="J96" s="11">
        <v>6.21812496458886E-6</v>
      </c>
      <c r="K96" s="11">
        <v>1.6865315411531481E-2</v>
      </c>
      <c r="L96" s="11">
        <v>0.15134379321778657</v>
      </c>
      <c r="M96" s="11">
        <v>0.97680208694987014</v>
      </c>
    </row>
    <row r="97" spans="1:13" x14ac:dyDescent="0.3">
      <c r="A97" s="13">
        <v>42454</v>
      </c>
      <c r="B97" s="11">
        <v>4.1179632771860571E-5</v>
      </c>
      <c r="C97" s="11">
        <v>2.6792988986986703E-5</v>
      </c>
      <c r="D97" s="11">
        <v>4.0479492252416966E-5</v>
      </c>
      <c r="E97" s="11">
        <v>7.7474176267595604E-2</v>
      </c>
      <c r="F97" s="11">
        <v>0.42373058191631469</v>
      </c>
      <c r="G97" s="11">
        <v>8.7797707557839597E-2</v>
      </c>
      <c r="H97" s="11">
        <v>0.22764589194350868</v>
      </c>
      <c r="I97" s="11">
        <v>3.5901608836022431E-5</v>
      </c>
      <c r="J97" s="11">
        <v>5.7244059034039548E-6</v>
      </c>
      <c r="K97" s="11">
        <v>3.6361552998464421E-2</v>
      </c>
      <c r="L97" s="11">
        <v>0.14684001118752632</v>
      </c>
      <c r="M97" s="11">
        <v>0.97823403620208416</v>
      </c>
    </row>
    <row r="98" spans="1:13" x14ac:dyDescent="0.3">
      <c r="A98" s="13">
        <v>42461</v>
      </c>
      <c r="B98" s="11">
        <v>1.9267091229365998E-5</v>
      </c>
      <c r="C98" s="11">
        <v>5.4690617053344354E-5</v>
      </c>
      <c r="D98" s="11">
        <v>6.5269568609890687E-5</v>
      </c>
      <c r="E98" s="11">
        <v>6.6589608648301366E-2</v>
      </c>
      <c r="F98" s="11">
        <v>0.39210294364439918</v>
      </c>
      <c r="G98" s="11">
        <v>6.9374059573998406E-2</v>
      </c>
      <c r="H98" s="11">
        <v>0.27533698534742157</v>
      </c>
      <c r="I98" s="11">
        <v>3.6710406950778711E-5</v>
      </c>
      <c r="J98" s="11">
        <v>1.1656404623960385E-5</v>
      </c>
      <c r="K98" s="11">
        <v>4.6896721433203899E-2</v>
      </c>
      <c r="L98" s="11">
        <v>0.14951208726420825</v>
      </c>
      <c r="M98" s="11">
        <v>0.9782526210168403</v>
      </c>
    </row>
    <row r="99" spans="1:13" x14ac:dyDescent="0.3">
      <c r="A99" s="13">
        <v>42468</v>
      </c>
      <c r="B99" s="11">
        <v>1.5052160529059191E-5</v>
      </c>
      <c r="C99" s="11">
        <v>6.0983959246663027E-5</v>
      </c>
      <c r="D99" s="11">
        <v>5.284568011760488E-5</v>
      </c>
      <c r="E99" s="11">
        <v>4.5728381745039966E-2</v>
      </c>
      <c r="F99" s="11">
        <v>0.40017762522700923</v>
      </c>
      <c r="G99" s="11">
        <v>0.10125104774327447</v>
      </c>
      <c r="H99" s="11">
        <v>0.25357617230938723</v>
      </c>
      <c r="I99" s="11">
        <v>5.342983152727311E-5</v>
      </c>
      <c r="J99" s="11">
        <v>7.9366664982581002E-6</v>
      </c>
      <c r="K99" s="11">
        <v>5.1719551586578025E-2</v>
      </c>
      <c r="L99" s="11">
        <v>0.14735697309079218</v>
      </c>
      <c r="M99" s="11">
        <v>0.97913864638063319</v>
      </c>
    </row>
    <row r="100" spans="1:13" x14ac:dyDescent="0.3">
      <c r="A100" s="13">
        <v>42475</v>
      </c>
      <c r="B100" s="11">
        <v>9.328159699481974E-6</v>
      </c>
      <c r="C100" s="11">
        <v>5.4001274041131537E-5</v>
      </c>
      <c r="D100" s="11">
        <v>4.2779414076850104E-5</v>
      </c>
      <c r="E100" s="11">
        <v>5.3763347626981838E-2</v>
      </c>
      <c r="F100" s="11">
        <v>0.38909127344128014</v>
      </c>
      <c r="G100" s="11">
        <v>8.0409250102486479E-2</v>
      </c>
      <c r="H100" s="11">
        <v>0.29120096009856394</v>
      </c>
      <c r="I100" s="11">
        <v>4.6375532794111085E-5</v>
      </c>
      <c r="J100" s="11">
        <v>4.9034207090187829E-6</v>
      </c>
      <c r="K100" s="11">
        <v>3.5908736998240418E-2</v>
      </c>
      <c r="L100" s="11">
        <v>0.14946904393112667</v>
      </c>
      <c r="M100" s="11">
        <v>0.97916613458137969</v>
      </c>
    </row>
    <row r="101" spans="1:13" x14ac:dyDescent="0.3">
      <c r="A101" s="13">
        <v>42482</v>
      </c>
      <c r="B101" s="11">
        <v>5.9889326538683597E-6</v>
      </c>
      <c r="C101" s="11">
        <v>1.1289357148346078E-2</v>
      </c>
      <c r="D101" s="11">
        <v>2.0220186625084038E-5</v>
      </c>
      <c r="E101" s="11">
        <v>4.2184213930261387E-2</v>
      </c>
      <c r="F101" s="11">
        <v>0.38272445307491459</v>
      </c>
      <c r="G101" s="11">
        <v>6.2707809921050572E-2</v>
      </c>
      <c r="H101" s="11">
        <v>0.30913346764012195</v>
      </c>
      <c r="I101" s="11">
        <v>1.2948915230717874E-2</v>
      </c>
      <c r="J101" s="11">
        <v>2.8354598435308393E-6</v>
      </c>
      <c r="K101" s="11">
        <v>3.6704708425868378E-2</v>
      </c>
      <c r="L101" s="11">
        <v>0.14227803004959663</v>
      </c>
      <c r="M101" s="11">
        <v>0.97925995966768475</v>
      </c>
    </row>
    <row r="102" spans="1:13" x14ac:dyDescent="0.3">
      <c r="A102" s="13">
        <v>42488</v>
      </c>
      <c r="B102" s="11">
        <v>2.309985549146428E-5</v>
      </c>
      <c r="C102" s="11">
        <v>6.6203319611806154E-5</v>
      </c>
      <c r="D102" s="11">
        <v>9.0519575972572715E-5</v>
      </c>
      <c r="E102" s="11">
        <v>6.8929638091978579E-2</v>
      </c>
      <c r="F102" s="11">
        <v>0.37725902741865069</v>
      </c>
      <c r="G102" s="11">
        <v>5.1284038392687484E-2</v>
      </c>
      <c r="H102" s="11">
        <v>0.33593097288398943</v>
      </c>
      <c r="I102" s="11">
        <v>1.1560018575091272E-2</v>
      </c>
      <c r="J102" s="11">
        <v>5.1481947417418827E-6</v>
      </c>
      <c r="K102" s="11">
        <v>1.6618124329121998E-2</v>
      </c>
      <c r="L102" s="11">
        <v>0.13823320936266287</v>
      </c>
      <c r="M102" s="11">
        <v>0.98029900672897941</v>
      </c>
    </row>
    <row r="103" spans="1:13" x14ac:dyDescent="0.3">
      <c r="A103" s="13">
        <v>42496</v>
      </c>
      <c r="B103" s="11">
        <v>1.7769003539313023E-5</v>
      </c>
      <c r="C103" s="11">
        <v>2.1284995102666858E-5</v>
      </c>
      <c r="D103" s="11">
        <v>8.5741038680757617E-5</v>
      </c>
      <c r="E103" s="11">
        <v>6.2713315181397666E-2</v>
      </c>
      <c r="F103" s="11">
        <v>0.3689503550757906</v>
      </c>
      <c r="G103" s="11">
        <v>4.6546492662218129E-2</v>
      </c>
      <c r="H103" s="11">
        <v>0.34788067560665104</v>
      </c>
      <c r="I103" s="11">
        <v>9.632678796907948E-3</v>
      </c>
      <c r="J103" s="11">
        <v>2.2092202754175101E-6</v>
      </c>
      <c r="K103" s="11">
        <v>2.6033238370691568E-2</v>
      </c>
      <c r="L103" s="11">
        <v>0.13811624004874495</v>
      </c>
      <c r="M103" s="11">
        <v>0.97996902153241705</v>
      </c>
    </row>
    <row r="104" spans="1:13" x14ac:dyDescent="0.3">
      <c r="A104" s="13">
        <v>42503</v>
      </c>
      <c r="B104" s="11">
        <v>2.8521874883511997E-6</v>
      </c>
      <c r="C104" s="11">
        <v>9.3599480924067151E-6</v>
      </c>
      <c r="D104" s="11">
        <v>5.1496216765552728E-3</v>
      </c>
      <c r="E104" s="11">
        <v>9.0163936792985955E-2</v>
      </c>
      <c r="F104" s="11">
        <v>0.38468248509488157</v>
      </c>
      <c r="G104" s="11">
        <v>1.9184281733087054E-2</v>
      </c>
      <c r="H104" s="11">
        <v>0.34019384646061296</v>
      </c>
      <c r="I104" s="11">
        <v>5.3949954572437488E-5</v>
      </c>
      <c r="J104" s="11">
        <v>8.5957283612290642E-7</v>
      </c>
      <c r="K104" s="11">
        <v>2.3807183358007055E-5</v>
      </c>
      <c r="L104" s="11">
        <v>0.16053499939552995</v>
      </c>
      <c r="M104" s="11">
        <v>0.98248097068540718</v>
      </c>
    </row>
    <row r="105" spans="1:13" x14ac:dyDescent="0.3">
      <c r="A105" s="13">
        <v>42513</v>
      </c>
      <c r="B105" s="11">
        <v>8.7474937876882889E-6</v>
      </c>
      <c r="C105" s="11">
        <v>1.3960349486329745E-5</v>
      </c>
      <c r="D105" s="11">
        <v>2.5841634738303157E-2</v>
      </c>
      <c r="E105" s="11">
        <v>8.1013540116947697E-2</v>
      </c>
      <c r="F105" s="11">
        <v>0.36354157453567459</v>
      </c>
      <c r="G105" s="11">
        <v>2.0032276046817579E-2</v>
      </c>
      <c r="H105" s="11">
        <v>0.35588315332265941</v>
      </c>
      <c r="I105" s="11">
        <v>4.4103232844372629E-5</v>
      </c>
      <c r="J105" s="11">
        <v>1.9228779687845841E-6</v>
      </c>
      <c r="K105" s="11">
        <v>3.2573066160676284E-5</v>
      </c>
      <c r="L105" s="11">
        <v>0.1535865142193498</v>
      </c>
      <c r="M105" s="11">
        <v>0.98335793507285196</v>
      </c>
    </row>
    <row r="106" spans="1:13" x14ac:dyDescent="0.3">
      <c r="A106" s="13">
        <v>42520.5</v>
      </c>
      <c r="B106" s="11">
        <v>4.4899459625583392E-6</v>
      </c>
      <c r="C106" s="11">
        <v>8.2243361053132092E-6</v>
      </c>
      <c r="D106" s="11">
        <v>1.9666223597779999E-2</v>
      </c>
      <c r="E106" s="11">
        <v>7.9554225997674657E-2</v>
      </c>
      <c r="F106" s="11">
        <v>0.36784095307905884</v>
      </c>
      <c r="G106" s="11">
        <v>2.1735765294671715E-2</v>
      </c>
      <c r="H106" s="11">
        <v>0.35616754729761674</v>
      </c>
      <c r="I106" s="11">
        <v>3.142832040362877E-5</v>
      </c>
      <c r="J106" s="11">
        <v>1.1458547087966372E-6</v>
      </c>
      <c r="K106" s="11">
        <v>8.4708960066038743E-5</v>
      </c>
      <c r="L106" s="11">
        <v>0.15490528731595185</v>
      </c>
      <c r="M106" s="11">
        <v>0.9833607424421652</v>
      </c>
    </row>
    <row r="107" spans="1:13" x14ac:dyDescent="0.3">
      <c r="A107" s="13">
        <v>42527.5</v>
      </c>
      <c r="B107" s="11">
        <v>1.2813591865953156E-6</v>
      </c>
      <c r="C107" s="11">
        <v>6.6502054961842516E-6</v>
      </c>
      <c r="D107" s="11">
        <v>8.3727480450898297E-5</v>
      </c>
      <c r="E107" s="11">
        <v>8.5072467734192039E-2</v>
      </c>
      <c r="F107" s="11">
        <v>0.38137045344252146</v>
      </c>
      <c r="G107" s="11">
        <v>1.9531923652814271E-2</v>
      </c>
      <c r="H107" s="11">
        <v>0.31109212682023812</v>
      </c>
      <c r="I107" s="11">
        <v>2.8265832475073187E-2</v>
      </c>
      <c r="J107" s="11">
        <v>8.2983901411869456E-7</v>
      </c>
      <c r="K107" s="11">
        <v>5.3279283861825622E-5</v>
      </c>
      <c r="L107" s="11">
        <v>0.17452142770715123</v>
      </c>
      <c r="M107" s="11">
        <v>0.97707224248234914</v>
      </c>
    </row>
    <row r="108" spans="1:13" x14ac:dyDescent="0.3">
      <c r="A108" s="13">
        <v>42534.5</v>
      </c>
      <c r="B108" s="11">
        <v>1.3192395071343355E-6</v>
      </c>
      <c r="C108" s="11">
        <v>6.4157290882696367E-6</v>
      </c>
      <c r="D108" s="11">
        <v>9.0888779341253683E-5</v>
      </c>
      <c r="E108" s="11">
        <v>8.7809785519863751E-2</v>
      </c>
      <c r="F108" s="11">
        <v>0.38041004969299663</v>
      </c>
      <c r="G108" s="11">
        <v>1.8053749935603488E-2</v>
      </c>
      <c r="H108" s="11">
        <v>0.31173183731000709</v>
      </c>
      <c r="I108" s="11">
        <v>2.4648939658742462E-2</v>
      </c>
      <c r="J108" s="11">
        <v>8.1756873088707757E-7</v>
      </c>
      <c r="K108" s="11">
        <v>1.688898031709694E-5</v>
      </c>
      <c r="L108" s="11">
        <v>0.17722930758580191</v>
      </c>
      <c r="M108" s="11">
        <v>0.9731650799205932</v>
      </c>
    </row>
    <row r="109" spans="1:13" x14ac:dyDescent="0.3">
      <c r="A109" s="13">
        <v>42541</v>
      </c>
      <c r="B109" s="11">
        <v>4.5577897139717976E-6</v>
      </c>
      <c r="C109" s="11">
        <v>1.3497580804915414E-5</v>
      </c>
      <c r="D109" s="11">
        <v>1.3236786684611352E-2</v>
      </c>
      <c r="E109" s="11">
        <v>8.0045243024007243E-2</v>
      </c>
      <c r="F109" s="11">
        <v>0.37566133800046192</v>
      </c>
      <c r="G109" s="11">
        <v>1.9911455229745183E-2</v>
      </c>
      <c r="H109" s="11">
        <v>0.31023194643743007</v>
      </c>
      <c r="I109" s="11">
        <v>2.2635671011877738E-2</v>
      </c>
      <c r="J109" s="11">
        <v>2.6513435159571086E-6</v>
      </c>
      <c r="K109" s="11">
        <v>2.4174280571003228E-5</v>
      </c>
      <c r="L109" s="11">
        <v>0.17823267861726075</v>
      </c>
      <c r="M109" s="11">
        <v>0.97329297984360252</v>
      </c>
    </row>
    <row r="110" spans="1:13" x14ac:dyDescent="0.3">
      <c r="A110" s="13">
        <v>42548.5</v>
      </c>
      <c r="B110" s="11">
        <v>3.2286998818180538E-6</v>
      </c>
      <c r="C110" s="11">
        <v>2.5843656246267715E-5</v>
      </c>
      <c r="D110" s="11">
        <v>0.12850640694138071</v>
      </c>
      <c r="E110" s="11">
        <v>0.12723467682211656</v>
      </c>
      <c r="F110" s="11">
        <v>0.29437141848871895</v>
      </c>
      <c r="G110" s="11">
        <v>3.7621022720767667E-3</v>
      </c>
      <c r="H110" s="11">
        <v>0.30966202642913937</v>
      </c>
      <c r="I110" s="11">
        <v>2.6645092764331001E-6</v>
      </c>
      <c r="J110" s="11">
        <v>6.1810174125412852E-6</v>
      </c>
      <c r="K110" s="11">
        <v>2.719377790744994E-2</v>
      </c>
      <c r="L110" s="11">
        <v>0.10923167325630061</v>
      </c>
      <c r="M110" s="11">
        <v>0.98239046900007265</v>
      </c>
    </row>
    <row r="111" spans="1:13" x14ac:dyDescent="0.3">
      <c r="A111" s="13">
        <v>42559</v>
      </c>
      <c r="B111" s="11">
        <v>3.7280264843019869E-7</v>
      </c>
      <c r="C111" s="11">
        <v>1.0656168945071059E-3</v>
      </c>
      <c r="D111" s="11">
        <v>0.10599120422398667</v>
      </c>
      <c r="E111" s="11">
        <v>0.11707771114176448</v>
      </c>
      <c r="F111" s="11">
        <v>0.2907065491484862</v>
      </c>
      <c r="G111" s="11">
        <v>2.0772430449339008E-2</v>
      </c>
      <c r="H111" s="11">
        <v>0.27823847496917953</v>
      </c>
      <c r="I111" s="11">
        <v>6.515385876130198E-7</v>
      </c>
      <c r="J111" s="11">
        <v>8.5246250061636789E-7</v>
      </c>
      <c r="K111" s="11">
        <v>6.6503692359752245E-2</v>
      </c>
      <c r="L111" s="11">
        <v>0.11964244400924814</v>
      </c>
      <c r="M111" s="11">
        <v>0.98497794413381401</v>
      </c>
    </row>
    <row r="112" spans="1:13" x14ac:dyDescent="0.3">
      <c r="A112" s="13">
        <v>42566</v>
      </c>
      <c r="B112" s="11">
        <v>2.8260975426140016E-6</v>
      </c>
      <c r="C112" s="11">
        <v>8.4414002468832696E-5</v>
      </c>
      <c r="D112" s="11">
        <v>9.9050307460018555E-2</v>
      </c>
      <c r="E112" s="11">
        <v>0.1256769253681827</v>
      </c>
      <c r="F112" s="11">
        <v>0.30076784470843021</v>
      </c>
      <c r="G112" s="11">
        <v>1.9538603080228516E-2</v>
      </c>
      <c r="H112" s="11">
        <v>0.2796681774067199</v>
      </c>
      <c r="I112" s="11">
        <v>6.7281487219018733E-6</v>
      </c>
      <c r="J112" s="11">
        <v>6.1533195683507985E-6</v>
      </c>
      <c r="K112" s="11">
        <v>5.7604353148889079E-2</v>
      </c>
      <c r="L112" s="11">
        <v>0.1175936672592294</v>
      </c>
      <c r="M112" s="11">
        <v>0.98387849135904404</v>
      </c>
    </row>
    <row r="113" spans="1:13" x14ac:dyDescent="0.3">
      <c r="A113" s="13">
        <v>42573</v>
      </c>
      <c r="B113" s="11">
        <v>1.0369022173418184E-5</v>
      </c>
      <c r="C113" s="11">
        <v>4.9322576566772271E-5</v>
      </c>
      <c r="D113" s="11">
        <v>0.11038376511203757</v>
      </c>
      <c r="E113" s="11">
        <v>0.14268641901129325</v>
      </c>
      <c r="F113" s="11">
        <v>0.2953418197066156</v>
      </c>
      <c r="G113" s="11">
        <v>2.4512691218043649E-2</v>
      </c>
      <c r="H113" s="11">
        <v>0.2574093719285403</v>
      </c>
      <c r="I113" s="11">
        <v>3.1763547629040274E-5</v>
      </c>
      <c r="J113" s="11">
        <v>2.1589572838019345E-5</v>
      </c>
      <c r="K113" s="11">
        <v>4.6122585644450528E-2</v>
      </c>
      <c r="L113" s="11">
        <v>0.12343030265981186</v>
      </c>
      <c r="M113" s="11">
        <v>0.97898501938760296</v>
      </c>
    </row>
    <row r="114" spans="1:13" x14ac:dyDescent="0.3">
      <c r="A114" s="13">
        <v>42580</v>
      </c>
      <c r="B114" s="11">
        <v>8.8973590695010863E-6</v>
      </c>
      <c r="C114" s="11">
        <v>3.2484919857401162E-5</v>
      </c>
      <c r="D114" s="11">
        <v>0.11639150597970882</v>
      </c>
      <c r="E114" s="11">
        <v>0.15632364667421586</v>
      </c>
      <c r="F114" s="11">
        <v>0.27876846798318711</v>
      </c>
      <c r="G114" s="11">
        <v>4.3056774588148349E-2</v>
      </c>
      <c r="H114" s="11">
        <v>0.22896903386785536</v>
      </c>
      <c r="I114" s="11">
        <v>5.7775430364523642E-5</v>
      </c>
      <c r="J114" s="11">
        <v>1.4895846374082174E-5</v>
      </c>
      <c r="K114" s="11">
        <v>5.3739440131535171E-2</v>
      </c>
      <c r="L114" s="11">
        <v>0.12263707721968377</v>
      </c>
      <c r="M114" s="11">
        <v>0.97986666719070692</v>
      </c>
    </row>
    <row r="115" spans="1:13" x14ac:dyDescent="0.3">
      <c r="A115" s="13">
        <v>42587</v>
      </c>
      <c r="B115" s="11">
        <v>5.3090986656232522E-6</v>
      </c>
      <c r="C115" s="11">
        <v>5.9001343967616522E-5</v>
      </c>
      <c r="D115" s="11">
        <v>0.11438083081615599</v>
      </c>
      <c r="E115" s="11">
        <v>0.15945936595215826</v>
      </c>
      <c r="F115" s="11">
        <v>0.26530182332616942</v>
      </c>
      <c r="G115" s="11">
        <v>3.2191571191012867E-2</v>
      </c>
      <c r="H115" s="11">
        <v>0.24259560286785845</v>
      </c>
      <c r="I115" s="11">
        <v>4.7897806975160915E-5</v>
      </c>
      <c r="J115" s="11">
        <v>1.3405306802967813E-5</v>
      </c>
      <c r="K115" s="11">
        <v>6.3190621616882742E-2</v>
      </c>
      <c r="L115" s="11">
        <v>0.12275457067335097</v>
      </c>
      <c r="M115" s="11">
        <v>0.97803151286215118</v>
      </c>
    </row>
    <row r="116" spans="1:13" x14ac:dyDescent="0.3">
      <c r="A116" s="13">
        <v>42594</v>
      </c>
      <c r="B116" s="11">
        <v>8.1428951960543621E-6</v>
      </c>
      <c r="C116" s="11">
        <v>2.8106317926587111E-2</v>
      </c>
      <c r="D116" s="11">
        <v>7.2830064747006124E-2</v>
      </c>
      <c r="E116" s="11">
        <v>0.15635666633986847</v>
      </c>
      <c r="F116" s="11">
        <v>0.23367044156105735</v>
      </c>
      <c r="G116" s="11">
        <v>6.2693092248931742E-2</v>
      </c>
      <c r="H116" s="11">
        <v>0.19663307269458175</v>
      </c>
      <c r="I116" s="11">
        <v>1.1537577008172656E-2</v>
      </c>
      <c r="J116" s="11">
        <v>9.4228769100692004E-6</v>
      </c>
      <c r="K116" s="11">
        <v>8.3603714682691621E-2</v>
      </c>
      <c r="L116" s="11">
        <v>0.15455148701899707</v>
      </c>
      <c r="M116" s="11">
        <v>0.9729617305873679</v>
      </c>
    </row>
    <row r="117" spans="1:13" x14ac:dyDescent="0.3">
      <c r="A117" s="13">
        <v>42601</v>
      </c>
      <c r="B117" s="11">
        <v>9.8471196530015583E-7</v>
      </c>
      <c r="C117" s="11">
        <v>2.6349551722339407E-3</v>
      </c>
      <c r="D117" s="11">
        <v>3.6137596519256195E-2</v>
      </c>
      <c r="E117" s="11">
        <v>0.17509278472803952</v>
      </c>
      <c r="F117" s="11">
        <v>0.23229637614718909</v>
      </c>
      <c r="G117" s="11">
        <v>2.9419082159425094E-2</v>
      </c>
      <c r="H117" s="11">
        <v>0.24452367381586015</v>
      </c>
      <c r="I117" s="11">
        <v>3.0874977206368164E-2</v>
      </c>
      <c r="J117" s="11">
        <v>1.1877721201667145E-6</v>
      </c>
      <c r="K117" s="11">
        <v>8.7242737199367842E-2</v>
      </c>
      <c r="L117" s="11">
        <v>0.16177564456817459</v>
      </c>
      <c r="M117" s="11">
        <v>0.97406397608251816</v>
      </c>
    </row>
    <row r="118" spans="1:13" x14ac:dyDescent="0.3">
      <c r="A118" s="13">
        <v>42608</v>
      </c>
      <c r="B118" s="11">
        <v>7.7015319427749582E-7</v>
      </c>
      <c r="C118" s="11">
        <v>9.0988913302415781E-5</v>
      </c>
      <c r="D118" s="11">
        <v>3.860858643781085E-2</v>
      </c>
      <c r="E118" s="11">
        <v>0.16068047566714766</v>
      </c>
      <c r="F118" s="11">
        <v>0.23537561869909832</v>
      </c>
      <c r="G118" s="11">
        <v>5.2256161175862008E-2</v>
      </c>
      <c r="H118" s="11">
        <v>0.23352686648226401</v>
      </c>
      <c r="I118" s="11">
        <v>2.3243175292670133E-2</v>
      </c>
      <c r="J118" s="11">
        <v>8.9365512187597898E-7</v>
      </c>
      <c r="K118" s="11">
        <v>0.106215949916467</v>
      </c>
      <c r="L118" s="11">
        <v>0.15000051360706143</v>
      </c>
      <c r="M118" s="11">
        <v>0.97406139438463335</v>
      </c>
    </row>
    <row r="119" spans="1:13" x14ac:dyDescent="0.3">
      <c r="A119" s="13">
        <v>42615</v>
      </c>
      <c r="B119" s="11">
        <v>1.2170265884570895E-6</v>
      </c>
      <c r="C119" s="11">
        <v>8.361959785709662E-5</v>
      </c>
      <c r="D119" s="11">
        <v>4.2430317885663545E-2</v>
      </c>
      <c r="E119" s="11">
        <v>0.15951476412288884</v>
      </c>
      <c r="F119" s="11">
        <v>0.23806334729546832</v>
      </c>
      <c r="G119" s="11">
        <v>5.3602561331035754E-2</v>
      </c>
      <c r="H119" s="11">
        <v>0.23356967399188622</v>
      </c>
      <c r="I119" s="11">
        <v>2.3452782453636401E-2</v>
      </c>
      <c r="J119" s="11">
        <v>1.4170707863388442E-6</v>
      </c>
      <c r="K119" s="11">
        <v>9.9354878986127923E-2</v>
      </c>
      <c r="L119" s="11">
        <v>0.1499254202380611</v>
      </c>
      <c r="M119" s="11">
        <v>0.97404160826538178</v>
      </c>
    </row>
    <row r="120" spans="1:13" x14ac:dyDescent="0.3">
      <c r="A120" s="13">
        <v>42621.5</v>
      </c>
      <c r="B120" s="11">
        <v>3.9046004544301115E-6</v>
      </c>
      <c r="C120" s="11">
        <v>1.4380859551866285E-2</v>
      </c>
      <c r="D120" s="11">
        <v>4.0939874786041171E-2</v>
      </c>
      <c r="E120" s="11">
        <v>0.15627604034731446</v>
      </c>
      <c r="F120" s="11">
        <v>0.24151449036798228</v>
      </c>
      <c r="G120" s="11">
        <v>6.224667382064776E-2</v>
      </c>
      <c r="H120" s="11">
        <v>0.22151768515412962</v>
      </c>
      <c r="I120" s="11">
        <v>9.393875232745914E-3</v>
      </c>
      <c r="J120" s="11">
        <v>5.0968296385480576E-6</v>
      </c>
      <c r="K120" s="11">
        <v>9.2802162864514412E-2</v>
      </c>
      <c r="L120" s="11">
        <v>0.16091933644466516</v>
      </c>
      <c r="M120" s="11">
        <v>0.97393963896653035</v>
      </c>
    </row>
    <row r="121" spans="1:13" x14ac:dyDescent="0.3">
      <c r="A121" s="13">
        <v>42629</v>
      </c>
      <c r="B121" s="11">
        <v>6.7445393426356069E-7</v>
      </c>
      <c r="C121" s="11">
        <v>2.5415251690560896E-3</v>
      </c>
      <c r="D121" s="11">
        <v>4.1919779691485581E-2</v>
      </c>
      <c r="E121" s="11">
        <v>0.16090271331614939</v>
      </c>
      <c r="F121" s="11">
        <v>0.2395696944807468</v>
      </c>
      <c r="G121" s="11">
        <v>6.6565211971670618E-2</v>
      </c>
      <c r="H121" s="11">
        <v>0.20678781505555802</v>
      </c>
      <c r="I121" s="11">
        <v>1.4660421664291596E-2</v>
      </c>
      <c r="J121" s="11">
        <v>7.3784305949292529E-7</v>
      </c>
      <c r="K121" s="11">
        <v>9.7018037557437237E-2</v>
      </c>
      <c r="L121" s="11">
        <v>0.17003338879661095</v>
      </c>
      <c r="M121" s="11">
        <v>0.96829527293978157</v>
      </c>
    </row>
    <row r="122" spans="1:13" x14ac:dyDescent="0.3">
      <c r="A122" s="13">
        <v>42636</v>
      </c>
      <c r="B122" s="11">
        <v>1.3686261296665895E-5</v>
      </c>
      <c r="C122" s="11">
        <v>3.3389562423599251E-2</v>
      </c>
      <c r="D122" s="11">
        <v>2.0370477811715842E-2</v>
      </c>
      <c r="E122" s="11">
        <v>0.16703139092156846</v>
      </c>
      <c r="F122" s="11">
        <v>0.23606669876062017</v>
      </c>
      <c r="G122" s="11">
        <v>5.8230304919795507E-2</v>
      </c>
      <c r="H122" s="11">
        <v>0.20581178582713086</v>
      </c>
      <c r="I122" s="11">
        <v>1.5675745625876751E-2</v>
      </c>
      <c r="J122" s="11">
        <v>1.3764979592643043E-5</v>
      </c>
      <c r="K122" s="11">
        <v>9.2521236312451391E-2</v>
      </c>
      <c r="L122" s="11">
        <v>0.17087534615635247</v>
      </c>
      <c r="M122" s="11">
        <v>0.9696163565324295</v>
      </c>
    </row>
    <row r="123" spans="1:13" x14ac:dyDescent="0.3">
      <c r="A123" s="13">
        <v>42643</v>
      </c>
      <c r="B123" s="11">
        <v>1.086188044871753E-5</v>
      </c>
      <c r="C123" s="11">
        <v>3.6510246025683528E-2</v>
      </c>
      <c r="D123" s="11">
        <v>2.6008434630604722E-2</v>
      </c>
      <c r="E123" s="11">
        <v>0.16686882688659521</v>
      </c>
      <c r="F123" s="11">
        <v>0.23615723835785538</v>
      </c>
      <c r="G123" s="11">
        <v>6.1830571687946492E-2</v>
      </c>
      <c r="H123" s="11">
        <v>0.20237556564513492</v>
      </c>
      <c r="I123" s="11">
        <v>7.2516225769311618E-3</v>
      </c>
      <c r="J123" s="11">
        <v>1.0806405270750532E-5</v>
      </c>
      <c r="K123" s="11">
        <v>9.1636961899162109E-2</v>
      </c>
      <c r="L123" s="11">
        <v>0.17133886400436696</v>
      </c>
      <c r="M123" s="11">
        <v>0.96977584345223233</v>
      </c>
    </row>
    <row r="124" spans="1:13" x14ac:dyDescent="0.3">
      <c r="A124" s="13">
        <v>42650</v>
      </c>
      <c r="B124" s="11">
        <v>1.7510201573948057E-6</v>
      </c>
      <c r="C124" s="11">
        <v>5.0439878626922972E-2</v>
      </c>
      <c r="D124" s="11">
        <v>4.5677865865435254E-3</v>
      </c>
      <c r="E124" s="11">
        <v>0.15284531269824361</v>
      </c>
      <c r="F124" s="11">
        <v>0.23838460319665289</v>
      </c>
      <c r="G124" s="11">
        <v>8.3821781255949773E-2</v>
      </c>
      <c r="H124" s="11">
        <v>0.19286219716398734</v>
      </c>
      <c r="I124" s="11">
        <v>4.2538519935248912E-3</v>
      </c>
      <c r="J124" s="11">
        <v>1.4853341393602466E-6</v>
      </c>
      <c r="K124" s="11">
        <v>9.3357469855602296E-2</v>
      </c>
      <c r="L124" s="11">
        <v>0.179463882268276</v>
      </c>
      <c r="M124" s="11">
        <v>0.96751426563587417</v>
      </c>
    </row>
    <row r="125" spans="1:13" x14ac:dyDescent="0.3">
      <c r="A125" s="13">
        <v>42657</v>
      </c>
      <c r="B125" s="11">
        <v>2.230421489581323E-7</v>
      </c>
      <c r="C125" s="11">
        <v>3.0626944560873375E-2</v>
      </c>
      <c r="D125" s="11">
        <v>1.0294598940813342E-4</v>
      </c>
      <c r="E125" s="11">
        <v>0.16563821293062772</v>
      </c>
      <c r="F125" s="11">
        <v>0.25720517915007757</v>
      </c>
      <c r="G125" s="11">
        <v>7.0867931087123998E-2</v>
      </c>
      <c r="H125" s="11">
        <v>0.19813857579454228</v>
      </c>
      <c r="I125" s="11">
        <v>6.9095811186964864E-3</v>
      </c>
      <c r="J125" s="11">
        <v>2.0383402444452141E-7</v>
      </c>
      <c r="K125" s="11">
        <v>8.8042027041707119E-2</v>
      </c>
      <c r="L125" s="11">
        <v>0.1824681754507699</v>
      </c>
      <c r="M125" s="11">
        <v>0.96828340259066792</v>
      </c>
    </row>
    <row r="126" spans="1:13" x14ac:dyDescent="0.3">
      <c r="A126" s="13">
        <v>42664</v>
      </c>
      <c r="B126" s="11">
        <v>6.0312096013142216E-6</v>
      </c>
      <c r="C126" s="11">
        <v>4.0507587877992433E-2</v>
      </c>
      <c r="D126" s="11">
        <v>8.2080137733528332E-5</v>
      </c>
      <c r="E126" s="11">
        <v>0.1638220138149189</v>
      </c>
      <c r="F126" s="11">
        <v>0.24716692007790403</v>
      </c>
      <c r="G126" s="11">
        <v>7.1824303258059163E-2</v>
      </c>
      <c r="H126" s="11">
        <v>0.20579911815249041</v>
      </c>
      <c r="I126" s="11">
        <v>7.2370014972351869E-3</v>
      </c>
      <c r="J126" s="11">
        <v>5.4658095749861399E-6</v>
      </c>
      <c r="K126" s="11">
        <v>8.3139983415190952E-2</v>
      </c>
      <c r="L126" s="11">
        <v>0.18040949474929904</v>
      </c>
      <c r="M126" s="11">
        <v>0.9694598735450316</v>
      </c>
    </row>
    <row r="127" spans="1:13" x14ac:dyDescent="0.3">
      <c r="A127" s="13">
        <v>42670</v>
      </c>
      <c r="B127" s="11">
        <v>9.6798264020948049E-6</v>
      </c>
      <c r="C127" s="11">
        <v>1.7208490783264727E-2</v>
      </c>
      <c r="D127" s="11">
        <v>5.7885900163986603E-5</v>
      </c>
      <c r="E127" s="11">
        <v>0.15917943677527696</v>
      </c>
      <c r="F127" s="11">
        <v>0.28941806765421885</v>
      </c>
      <c r="G127" s="11">
        <v>0.11377130353882429</v>
      </c>
      <c r="H127" s="11">
        <v>0.18206573995878247</v>
      </c>
      <c r="I127" s="11">
        <v>9.2046122756596696E-5</v>
      </c>
      <c r="J127" s="11">
        <v>1.0415872934825938E-5</v>
      </c>
      <c r="K127" s="11">
        <v>8.3670679498684911E-2</v>
      </c>
      <c r="L127" s="11">
        <v>0.1545162540686903</v>
      </c>
      <c r="M127" s="11">
        <v>0.96607473575505654</v>
      </c>
    </row>
    <row r="128" spans="1:13" x14ac:dyDescent="0.3">
      <c r="A128" s="13">
        <v>42678</v>
      </c>
      <c r="B128" s="11">
        <v>1.1052908666202008E-5</v>
      </c>
      <c r="C128" s="11">
        <v>3.0067808137418359E-2</v>
      </c>
      <c r="D128" s="11">
        <v>5.7496350878093256E-5</v>
      </c>
      <c r="E128" s="11">
        <v>0.1334188694265549</v>
      </c>
      <c r="F128" s="11">
        <v>0.29462426751933279</v>
      </c>
      <c r="G128" s="11">
        <v>0.13354701101486649</v>
      </c>
      <c r="H128" s="11">
        <v>0.18867925579375527</v>
      </c>
      <c r="I128" s="11">
        <v>9.1020523464574088E-5</v>
      </c>
      <c r="J128" s="11">
        <v>1.2146014553852012E-5</v>
      </c>
      <c r="K128" s="11">
        <v>7.4898294339215785E-2</v>
      </c>
      <c r="L128" s="11">
        <v>0.14459277797129375</v>
      </c>
      <c r="M128" s="11">
        <v>0.96794692174440855</v>
      </c>
    </row>
    <row r="129" spans="1:13" x14ac:dyDescent="0.3">
      <c r="A129" s="13">
        <v>42685</v>
      </c>
      <c r="B129" s="11">
        <v>1.2900387663230796E-5</v>
      </c>
      <c r="C129" s="11">
        <v>1.7064764036095682E-2</v>
      </c>
      <c r="D129" s="11">
        <v>5.0502149895310925E-5</v>
      </c>
      <c r="E129" s="11">
        <v>0.15350407962749818</v>
      </c>
      <c r="F129" s="11">
        <v>0.27843226629016526</v>
      </c>
      <c r="G129" s="11">
        <v>0.13036756680631742</v>
      </c>
      <c r="H129" s="11">
        <v>0.18659270090217631</v>
      </c>
      <c r="I129" s="11">
        <v>5.7152067277509353E-5</v>
      </c>
      <c r="J129" s="11">
        <v>1.4404673481372624E-5</v>
      </c>
      <c r="K129" s="11">
        <v>8.1694109141144958E-2</v>
      </c>
      <c r="L129" s="11">
        <v>0.15220955391828472</v>
      </c>
      <c r="M129" s="11">
        <v>0.96925683592494605</v>
      </c>
    </row>
    <row r="130" spans="1:13" x14ac:dyDescent="0.3">
      <c r="A130" s="13">
        <v>42692</v>
      </c>
      <c r="B130" s="11">
        <v>2.0419612773708635E-5</v>
      </c>
      <c r="C130" s="11">
        <v>5.1726810107448042E-2</v>
      </c>
      <c r="D130" s="11">
        <v>7.91645628042584E-5</v>
      </c>
      <c r="E130" s="11">
        <v>0.15565990438198563</v>
      </c>
      <c r="F130" s="11">
        <v>0.27920578015828812</v>
      </c>
      <c r="G130" s="11">
        <v>0.12431120503577991</v>
      </c>
      <c r="H130" s="11">
        <v>0.17531892175736294</v>
      </c>
      <c r="I130" s="11">
        <v>8.3865321413163795E-5</v>
      </c>
      <c r="J130" s="11">
        <v>3.0891519837577721E-5</v>
      </c>
      <c r="K130" s="11">
        <v>6.5486778652895025E-2</v>
      </c>
      <c r="L130" s="11">
        <v>0.14807625888941162</v>
      </c>
      <c r="M130" s="11">
        <v>0.96856139331581881</v>
      </c>
    </row>
    <row r="131" spans="1:13" x14ac:dyDescent="0.3">
      <c r="A131" s="13">
        <v>42699</v>
      </c>
      <c r="B131" s="11">
        <v>2.3564289960522583E-5</v>
      </c>
      <c r="C131" s="11">
        <v>7.6170023693797606E-2</v>
      </c>
      <c r="D131" s="11">
        <v>8.9343296417302855E-5</v>
      </c>
      <c r="E131" s="11">
        <v>0.15593260606590298</v>
      </c>
      <c r="F131" s="11">
        <v>0.26680430354514151</v>
      </c>
      <c r="G131" s="11">
        <v>0.1170622102420065</v>
      </c>
      <c r="H131" s="11">
        <v>0.17983146055177229</v>
      </c>
      <c r="I131" s="11">
        <v>7.6878350437302201E-5</v>
      </c>
      <c r="J131" s="11">
        <v>5.4754369498389525E-5</v>
      </c>
      <c r="K131" s="11">
        <v>5.1539668172749194E-2</v>
      </c>
      <c r="L131" s="11">
        <v>0.15241518742231649</v>
      </c>
      <c r="M131" s="11">
        <v>0.96472666557514075</v>
      </c>
    </row>
    <row r="132" spans="1:13" x14ac:dyDescent="0.3">
      <c r="A132" s="13">
        <v>42706</v>
      </c>
      <c r="B132" s="11">
        <v>2.4130570667156343E-5</v>
      </c>
      <c r="C132" s="11">
        <v>7.9823073027727412E-2</v>
      </c>
      <c r="D132" s="11">
        <v>8.3432605456830867E-5</v>
      </c>
      <c r="E132" s="11">
        <v>9.3182648284288599E-2</v>
      </c>
      <c r="F132" s="11">
        <v>0.27639514454619318</v>
      </c>
      <c r="G132" s="11">
        <v>0.14019380208900831</v>
      </c>
      <c r="H132" s="11">
        <v>0.19796009093696651</v>
      </c>
      <c r="I132" s="11">
        <v>4.5111035530708369E-5</v>
      </c>
      <c r="J132" s="11">
        <v>2.8661596704204665E-5</v>
      </c>
      <c r="K132" s="11">
        <v>5.4663512194198856E-2</v>
      </c>
      <c r="L132" s="11">
        <v>0.15760039311325827</v>
      </c>
      <c r="M132" s="11">
        <v>0.95516845697578534</v>
      </c>
    </row>
    <row r="133" spans="1:13" x14ac:dyDescent="0.3">
      <c r="A133" s="13">
        <v>42713</v>
      </c>
      <c r="B133" s="11">
        <v>2.128672666681886E-5</v>
      </c>
      <c r="C133" s="11">
        <v>4.6724483457386459E-2</v>
      </c>
      <c r="D133" s="11">
        <v>8.4217081283497277E-5</v>
      </c>
      <c r="E133" s="11">
        <v>0.10473639048178746</v>
      </c>
      <c r="F133" s="11">
        <v>0.29798884228912509</v>
      </c>
      <c r="G133" s="11">
        <v>0.13755495670500681</v>
      </c>
      <c r="H133" s="11">
        <v>0.19972151351603928</v>
      </c>
      <c r="I133" s="11">
        <v>8.2746439541801865E-5</v>
      </c>
      <c r="J133" s="11">
        <v>3.1376345102822694E-5</v>
      </c>
      <c r="K133" s="11">
        <v>5.3682436331330866E-2</v>
      </c>
      <c r="L133" s="11">
        <v>0.15937175062672906</v>
      </c>
      <c r="M133" s="11">
        <v>0.9519253307287372</v>
      </c>
    </row>
    <row r="134" spans="1:13" x14ac:dyDescent="0.3">
      <c r="A134" s="13">
        <v>42720</v>
      </c>
      <c r="B134" s="11">
        <v>9.5961404559988765E-6</v>
      </c>
      <c r="C134" s="11">
        <v>3.8511054912191811E-2</v>
      </c>
      <c r="D134" s="11">
        <v>2.7306217684310663E-5</v>
      </c>
      <c r="E134" s="11">
        <v>0.11144807004875804</v>
      </c>
      <c r="F134" s="11">
        <v>0.29418137417773116</v>
      </c>
      <c r="G134" s="11">
        <v>0.13268406785326087</v>
      </c>
      <c r="H134" s="11">
        <v>0.20510334504979003</v>
      </c>
      <c r="I134" s="11">
        <v>9.0485692230631349E-5</v>
      </c>
      <c r="J134" s="11">
        <v>1.4540170475498311E-5</v>
      </c>
      <c r="K134" s="11">
        <v>6.0742086937869505E-2</v>
      </c>
      <c r="L134" s="11">
        <v>0.15718807279955216</v>
      </c>
      <c r="M134" s="11">
        <v>0.9524535040779466</v>
      </c>
    </row>
    <row r="135" spans="1:13" x14ac:dyDescent="0.3">
      <c r="A135" s="13">
        <v>42727</v>
      </c>
      <c r="B135" s="11">
        <v>8.9351911246509042E-5</v>
      </c>
      <c r="C135" s="11">
        <v>1.4690417742716573E-2</v>
      </c>
      <c r="D135" s="11">
        <v>1.3186889052010227E-5</v>
      </c>
      <c r="E135" s="11">
        <v>0.11571985874549925</v>
      </c>
      <c r="F135" s="11">
        <v>0.22565500791381607</v>
      </c>
      <c r="G135" s="11">
        <v>0.10075601065053694</v>
      </c>
      <c r="H135" s="11">
        <v>0.3046923308805688</v>
      </c>
      <c r="I135" s="11">
        <v>2.3598301549399351E-2</v>
      </c>
      <c r="J135" s="11">
        <v>5.318758437374196E-5</v>
      </c>
      <c r="K135" s="11">
        <v>5.1574350352473965E-2</v>
      </c>
      <c r="L135" s="11">
        <v>0.16315799578031681</v>
      </c>
      <c r="M135" s="11">
        <v>0.94842808510364396</v>
      </c>
    </row>
    <row r="136" spans="1:13" x14ac:dyDescent="0.3">
      <c r="A136" s="13">
        <v>42734</v>
      </c>
      <c r="B136" s="11">
        <v>1.6065431907702384E-2</v>
      </c>
      <c r="C136" s="11">
        <v>5.2737231871128193E-2</v>
      </c>
      <c r="D136" s="11">
        <v>8.7743930233828121E-5</v>
      </c>
      <c r="E136" s="11">
        <v>0.11792590714557721</v>
      </c>
      <c r="F136" s="11">
        <v>0.19524258575026129</v>
      </c>
      <c r="G136" s="11">
        <v>9.1853366734695449E-2</v>
      </c>
      <c r="H136" s="11">
        <v>0.30779806132172716</v>
      </c>
      <c r="I136" s="11">
        <v>7.5443250045678271E-5</v>
      </c>
      <c r="J136" s="11">
        <v>3.5012269626963019E-5</v>
      </c>
      <c r="K136" s="11">
        <v>4.559175181009615E-2</v>
      </c>
      <c r="L136" s="11">
        <v>0.17258746400890571</v>
      </c>
      <c r="M136" s="11">
        <v>0.9467284753411036</v>
      </c>
    </row>
    <row r="137" spans="1:13" x14ac:dyDescent="0.3">
      <c r="A137" s="13">
        <v>42741</v>
      </c>
      <c r="B137" s="11">
        <v>1.5059072558132084E-2</v>
      </c>
      <c r="C137" s="11">
        <v>6.0296420763110217E-2</v>
      </c>
      <c r="D137" s="11">
        <v>1.8249359925043621E-5</v>
      </c>
      <c r="E137" s="11">
        <v>0.11245472932518251</v>
      </c>
      <c r="F137" s="11">
        <v>0.20107230108891519</v>
      </c>
      <c r="G137" s="11">
        <v>9.1192212348506704E-2</v>
      </c>
      <c r="H137" s="11">
        <v>0.3049901444030389</v>
      </c>
      <c r="I137" s="11">
        <v>8.8520844775942368E-5</v>
      </c>
      <c r="J137" s="11">
        <v>1.3629187451356184E-5</v>
      </c>
      <c r="K137" s="11">
        <v>4.7121225790013495E-2</v>
      </c>
      <c r="L137" s="11">
        <v>0.16769349433094863</v>
      </c>
      <c r="M137" s="11">
        <v>0.94838977567138982</v>
      </c>
    </row>
    <row r="138" spans="1:13" x14ac:dyDescent="0.3">
      <c r="A138" s="13">
        <v>42748</v>
      </c>
      <c r="B138" s="11">
        <v>1.6565163782195344E-2</v>
      </c>
      <c r="C138" s="11">
        <v>6.8521509605923958E-2</v>
      </c>
      <c r="D138" s="11">
        <v>2.413292341291691E-5</v>
      </c>
      <c r="E138" s="11">
        <v>0.110995504496264</v>
      </c>
      <c r="F138" s="11">
        <v>0.20690470966047289</v>
      </c>
      <c r="G138" s="11">
        <v>8.5612337843863295E-2</v>
      </c>
      <c r="H138" s="11">
        <v>0.30848327800754805</v>
      </c>
      <c r="I138" s="11">
        <v>8.7130010587707673E-5</v>
      </c>
      <c r="J138" s="11">
        <v>1.4137901924035864E-5</v>
      </c>
      <c r="K138" s="11">
        <v>4.1069960431714403E-2</v>
      </c>
      <c r="L138" s="11">
        <v>0.16172213533609334</v>
      </c>
      <c r="M138" s="11">
        <v>0.94604658866955527</v>
      </c>
    </row>
    <row r="139" spans="1:13" x14ac:dyDescent="0.3">
      <c r="A139" s="13">
        <v>42755</v>
      </c>
      <c r="B139" s="11">
        <v>1.5765959310746272E-2</v>
      </c>
      <c r="C139" s="11">
        <v>6.1437668605071515E-2</v>
      </c>
      <c r="D139" s="11">
        <v>8.8751540170128223E-5</v>
      </c>
      <c r="E139" s="11">
        <v>0.10317355753384852</v>
      </c>
      <c r="F139" s="11">
        <v>0.22916467092444195</v>
      </c>
      <c r="G139" s="11">
        <v>0.11726867927359201</v>
      </c>
      <c r="H139" s="11">
        <v>0.29235112697971066</v>
      </c>
      <c r="I139" s="11">
        <v>2.1595106737195121E-5</v>
      </c>
      <c r="J139" s="11">
        <v>2.7260100617241149E-5</v>
      </c>
      <c r="K139" s="11">
        <v>3.6405827088231368E-2</v>
      </c>
      <c r="L139" s="11">
        <v>0.14429490353683311</v>
      </c>
      <c r="M139" s="11">
        <v>0.95149994512298053</v>
      </c>
    </row>
    <row r="140" spans="1:13" x14ac:dyDescent="0.3">
      <c r="A140" s="13">
        <v>42762</v>
      </c>
      <c r="B140" s="11">
        <v>1.8426552113908139E-2</v>
      </c>
      <c r="C140" s="11">
        <v>7.3651814593372861E-2</v>
      </c>
      <c r="D140" s="11">
        <v>8.5215459882930026E-5</v>
      </c>
      <c r="E140" s="11">
        <v>9.0761822462972208E-2</v>
      </c>
      <c r="F140" s="11">
        <v>0.23643897827250399</v>
      </c>
      <c r="G140" s="11">
        <v>0.12390586575216243</v>
      </c>
      <c r="H140" s="11">
        <v>0.2867134977086484</v>
      </c>
      <c r="I140" s="11">
        <v>2.6070440766904535E-5</v>
      </c>
      <c r="J140" s="11">
        <v>3.3329583187259137E-5</v>
      </c>
      <c r="K140" s="11">
        <v>2.7943420703578033E-2</v>
      </c>
      <c r="L140" s="11">
        <v>0.14201343290901683</v>
      </c>
      <c r="M140" s="11">
        <v>0.95106843226492299</v>
      </c>
    </row>
    <row r="141" spans="1:13" x14ac:dyDescent="0.3">
      <c r="A141" s="13">
        <v>42768</v>
      </c>
      <c r="B141" s="11">
        <v>3.6046535849283717E-2</v>
      </c>
      <c r="C141" s="11">
        <v>6.6303215293926146E-2</v>
      </c>
      <c r="D141" s="11">
        <v>8.1624647177584435E-5</v>
      </c>
      <c r="E141" s="11">
        <v>7.9514066262721922E-2</v>
      </c>
      <c r="F141" s="11">
        <v>0.2453738399652125</v>
      </c>
      <c r="G141" s="11">
        <v>0.15116781011075681</v>
      </c>
      <c r="H141" s="11">
        <v>0.25757538491368831</v>
      </c>
      <c r="I141" s="11">
        <v>1.1517115839020239E-5</v>
      </c>
      <c r="J141" s="11">
        <v>2.7889063056811553E-5</v>
      </c>
      <c r="K141" s="11">
        <v>2.9526889852021038E-2</v>
      </c>
      <c r="L141" s="11">
        <v>0.13437122692631615</v>
      </c>
      <c r="M141" s="11">
        <v>0.95069283816093364</v>
      </c>
    </row>
    <row r="142" spans="1:13" x14ac:dyDescent="0.3">
      <c r="A142" s="13">
        <v>42776</v>
      </c>
      <c r="B142" s="11">
        <v>3.6323012793727322E-2</v>
      </c>
      <c r="C142" s="11">
        <v>7.4107618241048223E-2</v>
      </c>
      <c r="D142" s="11">
        <v>8.5147243475026588E-5</v>
      </c>
      <c r="E142" s="11">
        <v>7.0939964064567138E-2</v>
      </c>
      <c r="F142" s="11">
        <v>0.25001688611920808</v>
      </c>
      <c r="G142" s="11">
        <v>0.15416084401668634</v>
      </c>
      <c r="H142" s="11">
        <v>0.24652792801273768</v>
      </c>
      <c r="I142" s="11">
        <v>1.1278889056877359E-5</v>
      </c>
      <c r="J142" s="11">
        <v>2.9652339755767696E-5</v>
      </c>
      <c r="K142" s="11">
        <v>2.9389932560198184E-2</v>
      </c>
      <c r="L142" s="11">
        <v>0.13840773571953935</v>
      </c>
      <c r="M142" s="11">
        <v>0.9483794299648115</v>
      </c>
    </row>
    <row r="143" spans="1:13" x14ac:dyDescent="0.3">
      <c r="A143" s="13">
        <v>42783</v>
      </c>
      <c r="B143" s="11">
        <v>2.9793790792010267E-2</v>
      </c>
      <c r="C143" s="11">
        <v>4.2524123680307571E-2</v>
      </c>
      <c r="D143" s="11">
        <v>8.7766471311791677E-5</v>
      </c>
      <c r="E143" s="11">
        <v>0.10557895205742185</v>
      </c>
      <c r="F143" s="11">
        <v>0.26099398522564199</v>
      </c>
      <c r="G143" s="11">
        <v>0.1469915756219333</v>
      </c>
      <c r="H143" s="11">
        <v>0.20801149196713989</v>
      </c>
      <c r="I143" s="11">
        <v>1.9745505187238032E-5</v>
      </c>
      <c r="J143" s="11">
        <v>6.4488219750268326E-5</v>
      </c>
      <c r="K143" s="11">
        <v>4.6648398579483177E-2</v>
      </c>
      <c r="L143" s="11">
        <v>0.15928568187981262</v>
      </c>
      <c r="M143" s="11">
        <v>0.94935774508152782</v>
      </c>
    </row>
    <row r="144" spans="1:13" x14ac:dyDescent="0.3">
      <c r="A144" s="13">
        <v>42793.5</v>
      </c>
      <c r="B144" s="11">
        <v>4.454125313787715E-2</v>
      </c>
      <c r="C144" s="11">
        <v>4.2331553085771988E-2</v>
      </c>
      <c r="D144" s="11">
        <v>8.2084405437540754E-5</v>
      </c>
      <c r="E144" s="11">
        <v>0.11574249262839728</v>
      </c>
      <c r="F144" s="11">
        <v>0.22502298190321962</v>
      </c>
      <c r="G144" s="11">
        <v>0.15906835933898023</v>
      </c>
      <c r="H144" s="11">
        <v>0.20397741842070666</v>
      </c>
      <c r="I144" s="11">
        <v>1.432565407811975E-5</v>
      </c>
      <c r="J144" s="11">
        <v>3.092878093574184E-5</v>
      </c>
      <c r="K144" s="11">
        <v>5.5498296000725367E-2</v>
      </c>
      <c r="L144" s="11">
        <v>0.15369030664387026</v>
      </c>
      <c r="M144" s="11">
        <v>0.94677803249205916</v>
      </c>
    </row>
    <row r="145" spans="1:13" x14ac:dyDescent="0.3">
      <c r="A145" s="13">
        <v>42800.5</v>
      </c>
      <c r="B145" s="11">
        <v>4.3105696085401539E-2</v>
      </c>
      <c r="C145" s="11">
        <v>3.3859179191694636E-2</v>
      </c>
      <c r="D145" s="11">
        <v>8.4451989484317678E-5</v>
      </c>
      <c r="E145" s="11">
        <v>0.12876191995002911</v>
      </c>
      <c r="F145" s="11">
        <v>0.22156848149626659</v>
      </c>
      <c r="G145" s="11">
        <v>0.16596621596202885</v>
      </c>
      <c r="H145" s="11">
        <v>0.19792538932291945</v>
      </c>
      <c r="I145" s="11">
        <v>1.4913560857251717E-5</v>
      </c>
      <c r="J145" s="11">
        <v>3.1223693029304478E-5</v>
      </c>
      <c r="K145" s="11">
        <v>5.0452591661101331E-2</v>
      </c>
      <c r="L145" s="11">
        <v>0.15822993708718763</v>
      </c>
      <c r="M145" s="11">
        <v>0.94333968830160542</v>
      </c>
    </row>
    <row r="146" spans="1:13" x14ac:dyDescent="0.3">
      <c r="A146" s="13">
        <v>42807.5</v>
      </c>
      <c r="B146" s="11">
        <v>4.4712654810183793E-2</v>
      </c>
      <c r="C146" s="11">
        <v>5.2821352107848288E-2</v>
      </c>
      <c r="D146" s="11">
        <v>8.8832001436678297E-5</v>
      </c>
      <c r="E146" s="11">
        <v>0.12769135927114555</v>
      </c>
      <c r="F146" s="11">
        <v>0.19718816088217861</v>
      </c>
      <c r="G146" s="11">
        <v>0.14828614013112809</v>
      </c>
      <c r="H146" s="11">
        <v>0.22117568851601177</v>
      </c>
      <c r="I146" s="11">
        <v>8.1506999283283611E-6</v>
      </c>
      <c r="J146" s="11">
        <v>9.4582915341063379E-6</v>
      </c>
      <c r="K146" s="11">
        <v>5.167818026320159E-2</v>
      </c>
      <c r="L146" s="11">
        <v>0.15634002302540323</v>
      </c>
      <c r="M146" s="11">
        <v>0.94167412503065973</v>
      </c>
    </row>
    <row r="147" spans="1:13" x14ac:dyDescent="0.3">
      <c r="A147" s="13">
        <v>42814.5</v>
      </c>
      <c r="B147" s="11">
        <v>4.6878747198660593E-2</v>
      </c>
      <c r="C147" s="11">
        <v>6.5141717726102624E-2</v>
      </c>
      <c r="D147" s="11">
        <v>8.6698253833346231E-5</v>
      </c>
      <c r="E147" s="11">
        <v>0.11029074789365843</v>
      </c>
      <c r="F147" s="11">
        <v>0.20907131419880701</v>
      </c>
      <c r="G147" s="11">
        <v>0.1585582835568119</v>
      </c>
      <c r="H147" s="11">
        <v>0.2003736403602259</v>
      </c>
      <c r="I147" s="11">
        <v>6.0901552238722547E-6</v>
      </c>
      <c r="J147" s="11">
        <v>6.1289494199254425E-6</v>
      </c>
      <c r="K147" s="11">
        <v>5.1859944871774331E-2</v>
      </c>
      <c r="L147" s="11">
        <v>0.15772668683548202</v>
      </c>
      <c r="M147" s="11">
        <v>0.94134278495705159</v>
      </c>
    </row>
    <row r="148" spans="1:13" x14ac:dyDescent="0.3">
      <c r="A148" s="13">
        <v>42821.5</v>
      </c>
      <c r="B148" s="11">
        <v>5.26319018819928E-2</v>
      </c>
      <c r="C148" s="11">
        <v>6.9850723620115102E-2</v>
      </c>
      <c r="D148" s="11">
        <v>9.5306807894260295E-4</v>
      </c>
      <c r="E148" s="11">
        <v>0.11053704956237212</v>
      </c>
      <c r="F148" s="11">
        <v>0.21025257962434021</v>
      </c>
      <c r="G148" s="11">
        <v>0.15016463307923161</v>
      </c>
      <c r="H148" s="11">
        <v>0.19482203346579244</v>
      </c>
      <c r="I148" s="11">
        <v>2.3103290743115667E-7</v>
      </c>
      <c r="J148" s="11">
        <v>2.2388064659707533E-7</v>
      </c>
      <c r="K148" s="11">
        <v>5.4406522720180241E-2</v>
      </c>
      <c r="L148" s="11">
        <v>0.15638103305347889</v>
      </c>
      <c r="M148" s="11">
        <v>0.94089154345231107</v>
      </c>
    </row>
    <row r="149" spans="1:13" x14ac:dyDescent="0.3">
      <c r="A149" s="13">
        <v>42828.5</v>
      </c>
      <c r="B149" s="11">
        <v>4.2505950547768477E-2</v>
      </c>
      <c r="C149" s="11">
        <v>4.9148968582827732E-2</v>
      </c>
      <c r="D149" s="11">
        <v>5.3935525873398053E-2</v>
      </c>
      <c r="E149" s="11">
        <v>0.14880694938092445</v>
      </c>
      <c r="F149" s="11">
        <v>0.14675639076949865</v>
      </c>
      <c r="G149" s="11">
        <v>0.13716022033938327</v>
      </c>
      <c r="H149" s="11">
        <v>0.2252078659987331</v>
      </c>
      <c r="I149" s="11">
        <v>4.4811665076329948E-5</v>
      </c>
      <c r="J149" s="11">
        <v>6.1230875371182951E-5</v>
      </c>
      <c r="K149" s="11">
        <v>5.5580609826991839E-2</v>
      </c>
      <c r="L149" s="11">
        <v>0.14079147614002688</v>
      </c>
      <c r="M149" s="11">
        <v>0.94748208684947677</v>
      </c>
    </row>
    <row r="150" spans="1:13" x14ac:dyDescent="0.3">
      <c r="A150" s="13">
        <v>42835.5</v>
      </c>
      <c r="B150" s="11">
        <v>4.6953095150237517E-2</v>
      </c>
      <c r="C150" s="11">
        <v>4.0991832277669102E-2</v>
      </c>
      <c r="D150" s="11">
        <v>6.1647836587456102E-2</v>
      </c>
      <c r="E150" s="11">
        <v>0.15096907755716588</v>
      </c>
      <c r="F150" s="11">
        <v>0.14203284023511678</v>
      </c>
      <c r="G150" s="11">
        <v>0.13336874853077071</v>
      </c>
      <c r="H150" s="11">
        <v>0.22361091040891051</v>
      </c>
      <c r="I150" s="11">
        <v>6.348699694060263E-5</v>
      </c>
      <c r="J150" s="11">
        <v>8.0407320288328646E-5</v>
      </c>
      <c r="K150" s="11">
        <v>6.3316125045626656E-2</v>
      </c>
      <c r="L150" s="11">
        <v>0.13696563988981789</v>
      </c>
      <c r="M150" s="11">
        <v>0.94710584470488557</v>
      </c>
    </row>
    <row r="151" spans="1:13" x14ac:dyDescent="0.3">
      <c r="A151" s="13">
        <v>42842.5</v>
      </c>
      <c r="B151" s="11">
        <v>5.561997178112843E-2</v>
      </c>
      <c r="C151" s="11">
        <v>4.4267154317541017E-2</v>
      </c>
      <c r="D151" s="11">
        <v>6.9053285931530248E-2</v>
      </c>
      <c r="E151" s="11">
        <v>0.15359305850242647</v>
      </c>
      <c r="F151" s="11">
        <v>0.14679585969849743</v>
      </c>
      <c r="G151" s="11">
        <v>0.14390829263925711</v>
      </c>
      <c r="H151" s="11">
        <v>0.21767998908877512</v>
      </c>
      <c r="I151" s="11">
        <v>8.2045587604776053E-5</v>
      </c>
      <c r="J151" s="11">
        <v>7.386075076417949E-5</v>
      </c>
      <c r="K151" s="11">
        <v>4.6312972558813351E-2</v>
      </c>
      <c r="L151" s="11">
        <v>0.12261350914366193</v>
      </c>
      <c r="M151" s="11">
        <v>0.95090676720951151</v>
      </c>
    </row>
    <row r="152" spans="1:13" x14ac:dyDescent="0.3">
      <c r="A152" s="13">
        <v>42849.5</v>
      </c>
      <c r="B152" s="11">
        <v>5.8872329993315216E-2</v>
      </c>
      <c r="C152" s="11">
        <v>7.3121884486096148E-2</v>
      </c>
      <c r="D152" s="11">
        <v>3.4698524228391397E-2</v>
      </c>
      <c r="E152" s="11">
        <v>0.12901664837797547</v>
      </c>
      <c r="F152" s="11">
        <v>0.13236492602106051</v>
      </c>
      <c r="G152" s="11">
        <v>0.18941655237989755</v>
      </c>
      <c r="H152" s="11">
        <v>0.14898912105858725</v>
      </c>
      <c r="I152" s="11">
        <v>1.7907590081655874E-5</v>
      </c>
      <c r="J152" s="11">
        <v>3.257673438570584E-5</v>
      </c>
      <c r="K152" s="11">
        <v>9.525193425288897E-2</v>
      </c>
      <c r="L152" s="11">
        <v>0.13821759487732008</v>
      </c>
      <c r="M152" s="11">
        <v>0.94809505756896206</v>
      </c>
    </row>
    <row r="153" spans="1:13" x14ac:dyDescent="0.3">
      <c r="A153" s="13">
        <v>42856.5</v>
      </c>
      <c r="B153" s="11">
        <v>6.5941872197262427E-2</v>
      </c>
      <c r="C153" s="11">
        <v>8.46373183170534E-2</v>
      </c>
      <c r="D153" s="11">
        <v>2.8052242035239783E-3</v>
      </c>
      <c r="E153" s="11">
        <v>0.12234857254946498</v>
      </c>
      <c r="F153" s="11">
        <v>0.13980344467201763</v>
      </c>
      <c r="G153" s="11">
        <v>0.170727172998968</v>
      </c>
      <c r="H153" s="11">
        <v>0.17002882886529411</v>
      </c>
      <c r="I153" s="11">
        <v>2.1080009364256099E-6</v>
      </c>
      <c r="J153" s="11">
        <v>1.4230006658149546E-5</v>
      </c>
      <c r="K153" s="11">
        <v>0.10455192836112344</v>
      </c>
      <c r="L153" s="11">
        <v>0.13913929982769752</v>
      </c>
      <c r="M153" s="11">
        <v>0.94878946251518459</v>
      </c>
    </row>
    <row r="154" spans="1:13" x14ac:dyDescent="0.3">
      <c r="A154" s="13">
        <v>42863.5</v>
      </c>
      <c r="B154" s="11">
        <v>6.0401871323607706E-2</v>
      </c>
      <c r="C154" s="11">
        <v>9.5402485745515422E-2</v>
      </c>
      <c r="D154" s="11">
        <v>8.7520666482310614E-5</v>
      </c>
      <c r="E154" s="11">
        <v>0.12457921969048162</v>
      </c>
      <c r="F154" s="11">
        <v>0.14817467975782597</v>
      </c>
      <c r="G154" s="11">
        <v>0.17428143017685149</v>
      </c>
      <c r="H154" s="11">
        <v>0.17452125427586004</v>
      </c>
      <c r="I154" s="11">
        <v>4.8613489753328634E-6</v>
      </c>
      <c r="J154" s="11">
        <v>8.977691414264647E-6</v>
      </c>
      <c r="K154" s="11">
        <v>7.5430425607318802E-2</v>
      </c>
      <c r="L154" s="11">
        <v>0.14710727371566704</v>
      </c>
      <c r="M154" s="11">
        <v>0.94061674940814377</v>
      </c>
    </row>
    <row r="155" spans="1:13" x14ac:dyDescent="0.3">
      <c r="A155" s="13">
        <v>42870.5</v>
      </c>
      <c r="B155" s="11">
        <v>6.6527221458000232E-2</v>
      </c>
      <c r="C155" s="11">
        <v>5.4573138555645571E-2</v>
      </c>
      <c r="D155" s="11">
        <v>4.5898430278488694E-2</v>
      </c>
      <c r="E155" s="11">
        <v>0.13886016686787822</v>
      </c>
      <c r="F155" s="11">
        <v>0.16979639016081871</v>
      </c>
      <c r="G155" s="11">
        <v>0.17794141827385654</v>
      </c>
      <c r="H155" s="11">
        <v>0.1746427740410926</v>
      </c>
      <c r="I155" s="11">
        <v>4.6819641425847664E-5</v>
      </c>
      <c r="J155" s="11">
        <v>7.7429787538535152E-5</v>
      </c>
      <c r="K155" s="11">
        <v>4.0206264190677368E-2</v>
      </c>
      <c r="L155" s="11">
        <v>0.13142994674457761</v>
      </c>
      <c r="M155" s="11">
        <v>0.94593008953190116</v>
      </c>
    </row>
    <row r="156" spans="1:13" x14ac:dyDescent="0.3">
      <c r="A156" s="13">
        <v>42881</v>
      </c>
      <c r="B156" s="11">
        <v>6.3326004305863187E-2</v>
      </c>
      <c r="C156" s="11">
        <v>5.466700178083346E-2</v>
      </c>
      <c r="D156" s="11">
        <v>5.0605691685317922E-2</v>
      </c>
      <c r="E156" s="11">
        <v>0.13857586049518192</v>
      </c>
      <c r="F156" s="11">
        <v>0.16911874133835764</v>
      </c>
      <c r="G156" s="11">
        <v>0.17317905247430876</v>
      </c>
      <c r="H156" s="11">
        <v>0.16218231295532023</v>
      </c>
      <c r="I156" s="11">
        <v>6.7155705827903764E-5</v>
      </c>
      <c r="J156" s="11">
        <v>4.8677490986340989E-5</v>
      </c>
      <c r="K156" s="11">
        <v>4.8486743184158333E-2</v>
      </c>
      <c r="L156" s="11">
        <v>0.13974275858384436</v>
      </c>
      <c r="M156" s="11">
        <v>0.94936993888091337</v>
      </c>
    </row>
    <row r="157" spans="1:13" x14ac:dyDescent="0.3">
      <c r="A157" s="13">
        <v>42888</v>
      </c>
      <c r="B157" s="11">
        <v>6.5109928153667063E-2</v>
      </c>
      <c r="C157" s="11">
        <v>6.8472621715488957E-2</v>
      </c>
      <c r="D157" s="11">
        <v>3.4880226061589942E-2</v>
      </c>
      <c r="E157" s="11">
        <v>0.13652164278213685</v>
      </c>
      <c r="F157" s="11">
        <v>0.15996511297608662</v>
      </c>
      <c r="G157" s="11">
        <v>0.19049537195817284</v>
      </c>
      <c r="H157" s="11">
        <v>0.16872533213041294</v>
      </c>
      <c r="I157" s="11">
        <v>7.3248557075175229E-5</v>
      </c>
      <c r="J157" s="11">
        <v>1.7410121074159017E-5</v>
      </c>
      <c r="K157" s="11">
        <v>3.9778562354639287E-2</v>
      </c>
      <c r="L157" s="11">
        <v>0.13596054318965614</v>
      </c>
      <c r="M157" s="11">
        <v>0.94806424088203356</v>
      </c>
    </row>
    <row r="158" spans="1:13" x14ac:dyDescent="0.3">
      <c r="A158" s="13">
        <v>42895</v>
      </c>
      <c r="B158" s="11">
        <v>8.2557375707755634E-2</v>
      </c>
      <c r="C158" s="11">
        <v>7.4356167504339238E-2</v>
      </c>
      <c r="D158" s="11">
        <v>1.0245424141491541E-4</v>
      </c>
      <c r="E158" s="11">
        <v>0.12426637062807869</v>
      </c>
      <c r="F158" s="11">
        <v>0.16938205176374868</v>
      </c>
      <c r="G158" s="11">
        <v>0.21699736500111019</v>
      </c>
      <c r="H158" s="11">
        <v>0.15799801564336924</v>
      </c>
      <c r="I158" s="11">
        <v>1.4498434553588784E-6</v>
      </c>
      <c r="J158" s="11">
        <v>9.1484749947911566E-7</v>
      </c>
      <c r="K158" s="11">
        <v>3.6079778650371007E-2</v>
      </c>
      <c r="L158" s="11">
        <v>0.13825805616885761</v>
      </c>
      <c r="M158" s="11">
        <v>0.94429742032764108</v>
      </c>
    </row>
    <row r="159" spans="1:13" x14ac:dyDescent="0.3">
      <c r="A159" s="13">
        <v>42901.5</v>
      </c>
      <c r="B159" s="11">
        <v>8.2536761365785916E-2</v>
      </c>
      <c r="C159" s="11">
        <v>7.3617065083815242E-2</v>
      </c>
      <c r="D159" s="11">
        <v>1.7483901152746942E-5</v>
      </c>
      <c r="E159" s="11">
        <v>0.11740106388682538</v>
      </c>
      <c r="F159" s="11">
        <v>0.17872477483049881</v>
      </c>
      <c r="G159" s="11">
        <v>0.22758340595802548</v>
      </c>
      <c r="H159" s="11">
        <v>0.14179986836170699</v>
      </c>
      <c r="I159" s="11">
        <v>9.4060356254041137E-5</v>
      </c>
      <c r="J159" s="11">
        <v>8.696844440795312E-6</v>
      </c>
      <c r="K159" s="11">
        <v>3.0780261010126403E-2</v>
      </c>
      <c r="L159" s="11">
        <v>0.1474365584013683</v>
      </c>
      <c r="M159" s="11">
        <v>0.94555570137156653</v>
      </c>
    </row>
    <row r="160" spans="1:13" x14ac:dyDescent="0.3">
      <c r="A160" s="13">
        <v>42909</v>
      </c>
      <c r="B160" s="11">
        <v>8.870915502650592E-2</v>
      </c>
      <c r="C160" s="11">
        <v>5.1798782122571212E-2</v>
      </c>
      <c r="D160" s="11">
        <v>8.8703911177981056E-5</v>
      </c>
      <c r="E160" s="11">
        <v>0.10316089307731319</v>
      </c>
      <c r="F160" s="11">
        <v>0.19182474343926886</v>
      </c>
      <c r="G160" s="11">
        <v>0.24518986867153209</v>
      </c>
      <c r="H160" s="11">
        <v>0.10711921067406682</v>
      </c>
      <c r="I160" s="11">
        <v>3.7390540769464244E-3</v>
      </c>
      <c r="J160" s="11">
        <v>4.179483778574147E-5</v>
      </c>
      <c r="K160" s="11">
        <v>7.452928746717688E-2</v>
      </c>
      <c r="L160" s="11">
        <v>0.13379850669565485</v>
      </c>
      <c r="M160" s="11">
        <v>0.94634363559193102</v>
      </c>
    </row>
    <row r="161" spans="1:13" x14ac:dyDescent="0.3">
      <c r="A161" s="13">
        <v>42916</v>
      </c>
      <c r="B161" s="11">
        <v>0.10409068813361423</v>
      </c>
      <c r="C161" s="11">
        <v>2.3633196038163259E-2</v>
      </c>
      <c r="D161" s="11">
        <v>1.793737596760265E-5</v>
      </c>
      <c r="E161" s="11">
        <v>0.11206757149323328</v>
      </c>
      <c r="F161" s="11">
        <v>0.17739257488650451</v>
      </c>
      <c r="G161" s="11">
        <v>0.24798039381521181</v>
      </c>
      <c r="H161" s="11">
        <v>0.1185437503616365</v>
      </c>
      <c r="I161" s="11">
        <v>3.6675500524312003E-5</v>
      </c>
      <c r="J161" s="11">
        <v>8.3183140033098066E-5</v>
      </c>
      <c r="K161" s="11">
        <v>8.2339948158063961E-2</v>
      </c>
      <c r="L161" s="11">
        <v>0.13381408109704748</v>
      </c>
      <c r="M161" s="11">
        <v>0.94341972724459178</v>
      </c>
    </row>
    <row r="162" spans="1:13" x14ac:dyDescent="0.3">
      <c r="A162" s="13">
        <v>42923</v>
      </c>
      <c r="B162" s="11">
        <v>9.7109632446328017E-2</v>
      </c>
      <c r="C162" s="11">
        <v>4.9691425284082817E-3</v>
      </c>
      <c r="D162" s="11">
        <v>2.1636909463508756E-5</v>
      </c>
      <c r="E162" s="11">
        <v>0.11155179410615462</v>
      </c>
      <c r="F162" s="11">
        <v>0.20793665813412834</v>
      </c>
      <c r="G162" s="11">
        <v>0.27647463301512359</v>
      </c>
      <c r="H162" s="11">
        <v>0.11174716883148748</v>
      </c>
      <c r="I162" s="11">
        <v>2.169665872317503E-5</v>
      </c>
      <c r="J162" s="11">
        <v>2.7241129111570033E-5</v>
      </c>
      <c r="K162" s="11">
        <v>4.9416655291065058E-2</v>
      </c>
      <c r="L162" s="11">
        <v>0.14072374095000642</v>
      </c>
      <c r="M162" s="11">
        <v>0.94445447396682036</v>
      </c>
    </row>
    <row r="163" spans="1:13" x14ac:dyDescent="0.3">
      <c r="A163" s="13">
        <v>42930</v>
      </c>
      <c r="B163" s="11">
        <v>0.11258812357155304</v>
      </c>
      <c r="C163" s="11">
        <v>1.8647194834085903E-2</v>
      </c>
      <c r="D163" s="11">
        <v>8.6158769143358173E-5</v>
      </c>
      <c r="E163" s="11">
        <v>8.6026109024930547E-2</v>
      </c>
      <c r="F163" s="11">
        <v>0.1877245709658234</v>
      </c>
      <c r="G163" s="11">
        <v>0.30117515454850607</v>
      </c>
      <c r="H163" s="11">
        <v>8.2829602156266224E-2</v>
      </c>
      <c r="I163" s="11">
        <v>7.9521063392820534E-5</v>
      </c>
      <c r="J163" s="11">
        <v>2.5491562559820154E-2</v>
      </c>
      <c r="K163" s="11">
        <v>7.0677307840396247E-2</v>
      </c>
      <c r="L163" s="11">
        <v>0.11467469466608227</v>
      </c>
      <c r="M163" s="11">
        <v>0.94044296150267559</v>
      </c>
    </row>
    <row r="164" spans="1:13" x14ac:dyDescent="0.3">
      <c r="A164" s="13">
        <v>42937</v>
      </c>
      <c r="B164" s="11">
        <v>0.11385316027849854</v>
      </c>
      <c r="C164" s="11">
        <v>1.6547657185982799E-2</v>
      </c>
      <c r="D164" s="11">
        <v>8.6994910060285026E-5</v>
      </c>
      <c r="E164" s="11">
        <v>8.5399253135669442E-2</v>
      </c>
      <c r="F164" s="11">
        <v>0.19169208299911433</v>
      </c>
      <c r="G164" s="11">
        <v>0.30448724672990707</v>
      </c>
      <c r="H164" s="11">
        <v>8.2101454553561118E-2</v>
      </c>
      <c r="I164" s="11">
        <v>7.3954703462417865E-5</v>
      </c>
      <c r="J164" s="11">
        <v>2.3362830358033042E-2</v>
      </c>
      <c r="K164" s="11">
        <v>6.8470643691144209E-2</v>
      </c>
      <c r="L164" s="11">
        <v>0.11392472145456671</v>
      </c>
      <c r="M164" s="11">
        <v>0.93763025899188768</v>
      </c>
    </row>
    <row r="165" spans="1:13" x14ac:dyDescent="0.3">
      <c r="A165" s="13">
        <v>42944</v>
      </c>
      <c r="B165" s="11">
        <v>0.12165286174301773</v>
      </c>
      <c r="C165" s="11">
        <v>2.1387834932294875E-2</v>
      </c>
      <c r="D165" s="11">
        <v>1.7316010536067185E-5</v>
      </c>
      <c r="E165" s="11">
        <v>8.1044994266529544E-2</v>
      </c>
      <c r="F165" s="11">
        <v>0.18537793437793942</v>
      </c>
      <c r="G165" s="11">
        <v>0.30080422847560268</v>
      </c>
      <c r="H165" s="11">
        <v>9.5847506016194711E-2</v>
      </c>
      <c r="I165" s="11">
        <v>5.4693035919475119E-3</v>
      </c>
      <c r="J165" s="11">
        <v>2.366093352311071E-2</v>
      </c>
      <c r="K165" s="11">
        <v>6.7155742404479427E-2</v>
      </c>
      <c r="L165" s="11">
        <v>9.758134465834728E-2</v>
      </c>
      <c r="M165" s="11">
        <v>0.94009916150207562</v>
      </c>
    </row>
    <row r="166" spans="1:13" x14ac:dyDescent="0.3">
      <c r="A166" s="13">
        <v>42951</v>
      </c>
      <c r="B166" s="11">
        <v>0.11988181512089867</v>
      </c>
      <c r="C166" s="11">
        <v>2.8500480005159146E-2</v>
      </c>
      <c r="D166" s="11">
        <v>3.9906906485511153E-5</v>
      </c>
      <c r="E166" s="11">
        <v>6.2946073397286403E-2</v>
      </c>
      <c r="F166" s="11">
        <v>0.17976363539536286</v>
      </c>
      <c r="G166" s="11">
        <v>0.31706554909832663</v>
      </c>
      <c r="H166" s="11">
        <v>9.2507303175423591E-2</v>
      </c>
      <c r="I166" s="11">
        <v>3.2436247749375327E-2</v>
      </c>
      <c r="J166" s="11">
        <v>1.2343561188885485E-2</v>
      </c>
      <c r="K166" s="11">
        <v>6.4488604059327728E-2</v>
      </c>
      <c r="L166" s="11">
        <v>9.0026823903468667E-2</v>
      </c>
      <c r="M166" s="11">
        <v>0.93957830906222828</v>
      </c>
    </row>
    <row r="167" spans="1:13" x14ac:dyDescent="0.3">
      <c r="A167" s="13">
        <v>42958</v>
      </c>
      <c r="B167" s="11">
        <v>0.1194889189544743</v>
      </c>
      <c r="C167" s="11">
        <v>2.8152220838769577E-2</v>
      </c>
      <c r="D167" s="11">
        <v>4.5160452812448895E-5</v>
      </c>
      <c r="E167" s="11">
        <v>6.1560497885092581E-2</v>
      </c>
      <c r="F167" s="11">
        <v>0.18213749719886971</v>
      </c>
      <c r="G167" s="11">
        <v>0.31858308888347214</v>
      </c>
      <c r="H167" s="11">
        <v>8.9146289771334972E-2</v>
      </c>
      <c r="I167" s="11">
        <v>3.3093402935507207E-2</v>
      </c>
      <c r="J167" s="11">
        <v>1.2374521910446924E-2</v>
      </c>
      <c r="K167" s="11">
        <v>6.3198044330172357E-2</v>
      </c>
      <c r="L167" s="11">
        <v>9.2220356839047793E-2</v>
      </c>
      <c r="M167" s="11">
        <v>0.94026396454698802</v>
      </c>
    </row>
    <row r="168" spans="1:13" x14ac:dyDescent="0.3">
      <c r="A168" s="13">
        <v>42965</v>
      </c>
      <c r="B168" s="11">
        <v>0.11841034559310366</v>
      </c>
      <c r="C168" s="11">
        <v>1.7054129502288704E-5</v>
      </c>
      <c r="D168" s="11">
        <v>1.9118275442154687E-6</v>
      </c>
      <c r="E168" s="11">
        <v>8.5121960724882983E-2</v>
      </c>
      <c r="F168" s="11">
        <v>0.19534985673145971</v>
      </c>
      <c r="G168" s="11">
        <v>0.30739717860760718</v>
      </c>
      <c r="H168" s="11">
        <v>8.0926001852924437E-2</v>
      </c>
      <c r="I168" s="11">
        <v>1.4804436964019666E-4</v>
      </c>
      <c r="J168" s="11">
        <v>2.4029926093285612E-2</v>
      </c>
      <c r="K168" s="11">
        <v>6.9831756535623665E-2</v>
      </c>
      <c r="L168" s="11">
        <v>0.11876596353442606</v>
      </c>
      <c r="M168" s="11">
        <v>0.93918822734382734</v>
      </c>
    </row>
    <row r="169" spans="1:13" x14ac:dyDescent="0.3">
      <c r="A169" s="13">
        <v>42972</v>
      </c>
      <c r="B169" s="11">
        <v>0.10679468035025866</v>
      </c>
      <c r="C169" s="11">
        <v>1.5661291318030537E-2</v>
      </c>
      <c r="D169" s="11">
        <v>1.3642149791560499E-5</v>
      </c>
      <c r="E169" s="11">
        <v>8.0724945979498502E-2</v>
      </c>
      <c r="F169" s="11">
        <v>0.1644537069003813</v>
      </c>
      <c r="G169" s="11">
        <v>0.28826572344726381</v>
      </c>
      <c r="H169" s="11">
        <v>8.9575364809247909E-2</v>
      </c>
      <c r="I169" s="11">
        <v>3.3783197098869193E-5</v>
      </c>
      <c r="J169" s="11">
        <v>3.7112834223874618E-2</v>
      </c>
      <c r="K169" s="11">
        <v>9.9871659441711294E-2</v>
      </c>
      <c r="L169" s="11">
        <v>0.11749236818284294</v>
      </c>
      <c r="M169" s="11">
        <v>0.93281112378799413</v>
      </c>
    </row>
    <row r="170" spans="1:13" x14ac:dyDescent="0.3">
      <c r="A170" s="13">
        <v>42979</v>
      </c>
      <c r="B170" s="11">
        <v>0.12383885769714197</v>
      </c>
      <c r="C170" s="11">
        <v>8.1779385062476294E-5</v>
      </c>
      <c r="D170" s="11">
        <v>1.2886795944117932E-5</v>
      </c>
      <c r="E170" s="11">
        <v>8.1958558850722091E-2</v>
      </c>
      <c r="F170" s="11">
        <v>0.16095979375384561</v>
      </c>
      <c r="G170" s="11">
        <v>0.27989366887589995</v>
      </c>
      <c r="H170" s="11">
        <v>0.10649663449950555</v>
      </c>
      <c r="I170" s="11">
        <v>2.9873619680545728E-5</v>
      </c>
      <c r="J170" s="11">
        <v>1.4981412856377383E-2</v>
      </c>
      <c r="K170" s="11">
        <v>0.10200552690213792</v>
      </c>
      <c r="L170" s="11">
        <v>0.12974100676368239</v>
      </c>
      <c r="M170" s="11">
        <v>0.93423488041091529</v>
      </c>
    </row>
    <row r="171" spans="1:13" x14ac:dyDescent="0.3">
      <c r="A171" s="13">
        <v>42986</v>
      </c>
      <c r="B171" s="11">
        <v>0.13167801167991286</v>
      </c>
      <c r="C171" s="11">
        <v>3.1910600436936549E-3</v>
      </c>
      <c r="D171" s="11">
        <v>1.8241839282956962E-5</v>
      </c>
      <c r="E171" s="11">
        <v>7.6606360027077158E-2</v>
      </c>
      <c r="F171" s="11">
        <v>0.18560962729635208</v>
      </c>
      <c r="G171" s="11">
        <v>0.28346216618405534</v>
      </c>
      <c r="H171" s="11">
        <v>0.10227162787817397</v>
      </c>
      <c r="I171" s="11">
        <v>6.0534479617013704E-3</v>
      </c>
      <c r="J171" s="11">
        <v>6.3553441585953255E-6</v>
      </c>
      <c r="K171" s="11">
        <v>8.7902510699177747E-2</v>
      </c>
      <c r="L171" s="11">
        <v>0.1232005910464143</v>
      </c>
      <c r="M171" s="11">
        <v>0.9334826648175476</v>
      </c>
    </row>
    <row r="172" spans="1:13" x14ac:dyDescent="0.3">
      <c r="A172" s="13">
        <v>42993</v>
      </c>
      <c r="B172" s="11">
        <v>8.3783717617109135E-2</v>
      </c>
      <c r="C172" s="11">
        <v>1.4788051689319908E-5</v>
      </c>
      <c r="D172" s="11">
        <v>6.2336598410990506E-2</v>
      </c>
      <c r="E172" s="11">
        <v>5.8509976707559492E-3</v>
      </c>
      <c r="F172" s="11">
        <v>0.17636298803077266</v>
      </c>
      <c r="G172" s="11">
        <v>0.29139229923755877</v>
      </c>
      <c r="H172" s="11">
        <v>1.8209110674972873E-2</v>
      </c>
      <c r="I172" s="11">
        <v>0.10232914781105466</v>
      </c>
      <c r="J172" s="11">
        <v>1.0439414994368749E-5</v>
      </c>
      <c r="K172" s="11">
        <v>4.5919123414025854E-2</v>
      </c>
      <c r="L172" s="11">
        <v>0.21379078966607593</v>
      </c>
      <c r="M172" s="11">
        <v>0.91218042512537434</v>
      </c>
    </row>
    <row r="173" spans="1:13" x14ac:dyDescent="0.3">
      <c r="A173" s="13">
        <v>43000</v>
      </c>
      <c r="B173" s="11">
        <v>0.10265199037010951</v>
      </c>
      <c r="C173" s="11">
        <v>8.7948118045052254E-5</v>
      </c>
      <c r="D173" s="11">
        <v>7.0325660560735082E-2</v>
      </c>
      <c r="E173" s="11">
        <v>1.5255297862213779E-2</v>
      </c>
      <c r="F173" s="11">
        <v>0.10955515582377473</v>
      </c>
      <c r="G173" s="11">
        <v>0.2708035627673146</v>
      </c>
      <c r="H173" s="11">
        <v>0.12614907076913867</v>
      </c>
      <c r="I173" s="11">
        <v>0.13607477521435718</v>
      </c>
      <c r="J173" s="11">
        <v>5.7807655427370791E-6</v>
      </c>
      <c r="K173" s="11">
        <v>6.0187438377358654E-2</v>
      </c>
      <c r="L173" s="11">
        <v>0.10890331937140998</v>
      </c>
      <c r="M173" s="11">
        <v>0.9476022661085749</v>
      </c>
    </row>
    <row r="174" spans="1:13" x14ac:dyDescent="0.3">
      <c r="A174" s="13">
        <v>43006</v>
      </c>
      <c r="B174" s="11">
        <v>0.1033711389073378</v>
      </c>
      <c r="C174" s="11">
        <v>8.2062591967011246E-5</v>
      </c>
      <c r="D174" s="11">
        <v>7.3036692980115919E-2</v>
      </c>
      <c r="E174" s="11">
        <v>3.0616116581522201E-2</v>
      </c>
      <c r="F174" s="11">
        <v>9.3703864376835019E-2</v>
      </c>
      <c r="G174" s="11">
        <v>0.26507392628332166</v>
      </c>
      <c r="H174" s="11">
        <v>0.1477919745552862</v>
      </c>
      <c r="I174" s="11">
        <v>0.12622855535880509</v>
      </c>
      <c r="J174" s="11">
        <v>2.732693781065284E-5</v>
      </c>
      <c r="K174" s="11">
        <v>6.493169383655617E-2</v>
      </c>
      <c r="L174" s="11">
        <v>9.5136647590442283E-2</v>
      </c>
      <c r="M174" s="11">
        <v>0.94954831001714401</v>
      </c>
    </row>
    <row r="175" spans="1:13" x14ac:dyDescent="0.3">
      <c r="A175" s="13">
        <v>43014</v>
      </c>
      <c r="B175" s="11">
        <v>0.10466741864098678</v>
      </c>
      <c r="C175" s="11">
        <v>8.8020389009574161E-5</v>
      </c>
      <c r="D175" s="11">
        <v>6.6931064326706202E-2</v>
      </c>
      <c r="E175" s="11">
        <v>3.5623831719752759E-2</v>
      </c>
      <c r="F175" s="11">
        <v>9.3706915508008193E-2</v>
      </c>
      <c r="G175" s="11">
        <v>0.26820252134403683</v>
      </c>
      <c r="H175" s="11">
        <v>0.14831443926836094</v>
      </c>
      <c r="I175" s="11">
        <v>0.12499051956230765</v>
      </c>
      <c r="J175" s="11">
        <v>2.5461672715236542E-5</v>
      </c>
      <c r="K175" s="11">
        <v>6.5821517343494299E-2</v>
      </c>
      <c r="L175" s="11">
        <v>9.1628290224621614E-2</v>
      </c>
      <c r="M175" s="11">
        <v>0.94972997737220721</v>
      </c>
    </row>
    <row r="176" spans="1:13" x14ac:dyDescent="0.3">
      <c r="A176" s="13">
        <v>43021</v>
      </c>
      <c r="B176" s="11">
        <v>9.1516459226128014E-2</v>
      </c>
      <c r="C176" s="11">
        <v>8.3207808740346845E-5</v>
      </c>
      <c r="D176" s="11">
        <v>4.7261646656732652E-2</v>
      </c>
      <c r="E176" s="11">
        <v>1.5378758909160697E-2</v>
      </c>
      <c r="F176" s="11">
        <v>9.8477654166951242E-2</v>
      </c>
      <c r="G176" s="11">
        <v>0.2727311122499344</v>
      </c>
      <c r="H176" s="11">
        <v>0.16754779688999785</v>
      </c>
      <c r="I176" s="11">
        <v>0.15047719350590133</v>
      </c>
      <c r="J176" s="11">
        <v>5.4468797302706632E-5</v>
      </c>
      <c r="K176" s="11">
        <v>7.2476752630727725E-2</v>
      </c>
      <c r="L176" s="11">
        <v>8.3994949158423052E-2</v>
      </c>
      <c r="M176" s="11">
        <v>0.95295269636278102</v>
      </c>
    </row>
    <row r="177" spans="1:13" x14ac:dyDescent="0.3">
      <c r="A177" s="13">
        <v>43028</v>
      </c>
      <c r="B177" s="11">
        <v>0.12019266525940249</v>
      </c>
      <c r="C177" s="11">
        <v>2.839847751033332E-6</v>
      </c>
      <c r="D177" s="11">
        <v>4.6432900665508314E-2</v>
      </c>
      <c r="E177" s="11">
        <v>8.9324749109340139E-5</v>
      </c>
      <c r="F177" s="11">
        <v>0.10238087917320986</v>
      </c>
      <c r="G177" s="11">
        <v>0.27812653553717009</v>
      </c>
      <c r="H177" s="11">
        <v>0.14188594535193538</v>
      </c>
      <c r="I177" s="11">
        <v>0.15037137654378635</v>
      </c>
      <c r="J177" s="11">
        <v>2.1436108592745139E-6</v>
      </c>
      <c r="K177" s="11">
        <v>7.1465515154019499E-2</v>
      </c>
      <c r="L177" s="11">
        <v>8.9049874107248406E-2</v>
      </c>
      <c r="M177" s="11">
        <v>0.96113728953184652</v>
      </c>
    </row>
    <row r="178" spans="1:13" x14ac:dyDescent="0.3">
      <c r="A178" s="13">
        <v>43035</v>
      </c>
      <c r="B178" s="11">
        <v>0.11775833643560352</v>
      </c>
      <c r="C178" s="11">
        <v>1.3399616419058183E-6</v>
      </c>
      <c r="D178" s="11">
        <v>5.4777267138717591E-2</v>
      </c>
      <c r="E178" s="11">
        <v>5.1501197286291317E-4</v>
      </c>
      <c r="F178" s="11">
        <v>9.8983411078809577E-2</v>
      </c>
      <c r="G178" s="11">
        <v>0.27741711508737366</v>
      </c>
      <c r="H178" s="11">
        <v>0.14023889587224106</v>
      </c>
      <c r="I178" s="11">
        <v>0.14946396998641753</v>
      </c>
      <c r="J178" s="11">
        <v>1.0700611274883827E-6</v>
      </c>
      <c r="K178" s="11">
        <v>6.9728995539536529E-2</v>
      </c>
      <c r="L178" s="11">
        <v>9.1114586865668312E-2</v>
      </c>
      <c r="M178" s="11">
        <v>0.96105486044040811</v>
      </c>
    </row>
    <row r="179" spans="1:13" x14ac:dyDescent="0.3">
      <c r="A179" s="13">
        <v>43042</v>
      </c>
      <c r="B179" s="11">
        <v>0.11998097647345517</v>
      </c>
      <c r="C179" s="11">
        <v>7.0604052195237094E-7</v>
      </c>
      <c r="D179" s="11">
        <v>7.3809858629942299E-2</v>
      </c>
      <c r="E179" s="11">
        <v>2.4311881003760143E-4</v>
      </c>
      <c r="F179" s="11">
        <v>9.8428935999313821E-2</v>
      </c>
      <c r="G179" s="11">
        <v>0.2718112262095117</v>
      </c>
      <c r="H179" s="11">
        <v>0.10655461878572293</v>
      </c>
      <c r="I179" s="11">
        <v>0.1532293861041665</v>
      </c>
      <c r="J179" s="11">
        <v>7.9866833659980117E-7</v>
      </c>
      <c r="K179" s="11">
        <v>8.542756508148594E-2</v>
      </c>
      <c r="L179" s="11">
        <v>9.0512809197505512E-2</v>
      </c>
      <c r="M179" s="11">
        <v>0.96335377983826864</v>
      </c>
    </row>
    <row r="180" spans="1:13" x14ac:dyDescent="0.3">
      <c r="A180" s="13">
        <v>43049</v>
      </c>
      <c r="B180" s="11">
        <v>0.12951291132811649</v>
      </c>
      <c r="C180" s="11">
        <v>3.7008566370909335E-5</v>
      </c>
      <c r="D180" s="11">
        <v>3.0747589323097332E-2</v>
      </c>
      <c r="E180" s="11">
        <v>1.4062860126825477E-2</v>
      </c>
      <c r="F180" s="11">
        <v>0.10980724123522517</v>
      </c>
      <c r="G180" s="11">
        <v>0.25789531076871941</v>
      </c>
      <c r="H180" s="11">
        <v>0.14643698970595442</v>
      </c>
      <c r="I180" s="11">
        <v>0.14438201585591734</v>
      </c>
      <c r="J180" s="11">
        <v>3.5191129077264423E-5</v>
      </c>
      <c r="K180" s="11">
        <v>9.0205415535376782E-2</v>
      </c>
      <c r="L180" s="11">
        <v>7.6877466425319438E-2</v>
      </c>
      <c r="M180" s="11">
        <v>0.96261234645286975</v>
      </c>
    </row>
    <row r="181" spans="1:13" x14ac:dyDescent="0.3">
      <c r="A181" s="13">
        <v>43055</v>
      </c>
      <c r="B181" s="11">
        <v>0.1318611184350133</v>
      </c>
      <c r="C181" s="11">
        <v>9.9569254751466698E-7</v>
      </c>
      <c r="D181" s="11">
        <v>7.545832422272844E-2</v>
      </c>
      <c r="E181" s="11">
        <v>6.6386827066750975E-4</v>
      </c>
      <c r="F181" s="11">
        <v>9.8804507123454011E-2</v>
      </c>
      <c r="G181" s="11">
        <v>0.21221129862568275</v>
      </c>
      <c r="H181" s="11">
        <v>0.1594125153605245</v>
      </c>
      <c r="I181" s="11">
        <v>0.15640281884395621</v>
      </c>
      <c r="J181" s="11">
        <v>1.3318703837307914E-6</v>
      </c>
      <c r="K181" s="11">
        <v>9.7199805646105392E-2</v>
      </c>
      <c r="L181" s="11">
        <v>6.7983415908936709E-2</v>
      </c>
      <c r="M181" s="11">
        <v>0.95784366382699948</v>
      </c>
    </row>
    <row r="182" spans="1:13" x14ac:dyDescent="0.3">
      <c r="A182" s="13">
        <v>43063</v>
      </c>
      <c r="B182" s="11">
        <v>0.13140577208796464</v>
      </c>
      <c r="C182" s="11">
        <v>4.6650962292857222E-6</v>
      </c>
      <c r="D182" s="11">
        <v>7.3303756732307726E-2</v>
      </c>
      <c r="E182" s="11">
        <v>3.4014294767800348E-3</v>
      </c>
      <c r="F182" s="11">
        <v>9.6292318707209626E-2</v>
      </c>
      <c r="G182" s="11">
        <v>0.21172970957038589</v>
      </c>
      <c r="H182" s="11">
        <v>0.16355164428665575</v>
      </c>
      <c r="I182" s="11">
        <v>0.15650806582337987</v>
      </c>
      <c r="J182" s="11">
        <v>5.8496657711352836E-6</v>
      </c>
      <c r="K182" s="11">
        <v>9.8186029680756959E-2</v>
      </c>
      <c r="L182" s="11">
        <v>6.5610758872559113E-2</v>
      </c>
      <c r="M182" s="11">
        <v>0.95774387236866065</v>
      </c>
    </row>
    <row r="183" spans="1:13" x14ac:dyDescent="0.3">
      <c r="A183" s="13">
        <v>43070</v>
      </c>
      <c r="B183" s="11">
        <v>0.1330703920479672</v>
      </c>
      <c r="C183" s="11">
        <v>1.0201902913807121E-5</v>
      </c>
      <c r="D183" s="11">
        <v>8.4235608603531895E-2</v>
      </c>
      <c r="E183" s="11">
        <v>8.3186824890281894E-5</v>
      </c>
      <c r="F183" s="11">
        <v>8.6605275392459713E-2</v>
      </c>
      <c r="G183" s="11">
        <v>0.20891073101417063</v>
      </c>
      <c r="H183" s="11">
        <v>0.17473782755537515</v>
      </c>
      <c r="I183" s="11">
        <v>0.15127561717453891</v>
      </c>
      <c r="J183" s="11">
        <v>1.5089942930708274E-5</v>
      </c>
      <c r="K183" s="11">
        <v>9.9310332327688045E-2</v>
      </c>
      <c r="L183" s="11">
        <v>6.1745737213533665E-2</v>
      </c>
      <c r="M183" s="11">
        <v>0.95980251344713818</v>
      </c>
    </row>
    <row r="184" spans="1:13" x14ac:dyDescent="0.3">
      <c r="A184" s="13">
        <v>43077</v>
      </c>
      <c r="B184" s="11">
        <v>0.1348053716615378</v>
      </c>
      <c r="C184" s="11">
        <v>6.8952049596019841E-6</v>
      </c>
      <c r="D184" s="11">
        <v>8.3112698108656638E-2</v>
      </c>
      <c r="E184" s="11">
        <v>9.1083482002964812E-5</v>
      </c>
      <c r="F184" s="11">
        <v>7.9792100377109237E-2</v>
      </c>
      <c r="G184" s="11">
        <v>0.2065685460343811</v>
      </c>
      <c r="H184" s="11">
        <v>0.18229572993646553</v>
      </c>
      <c r="I184" s="11">
        <v>0.15069308408488227</v>
      </c>
      <c r="J184" s="11">
        <v>9.7704539532981793E-6</v>
      </c>
      <c r="K184" s="11">
        <v>0.10269746210338145</v>
      </c>
      <c r="L184" s="11">
        <v>5.9927258552670067E-2</v>
      </c>
      <c r="M184" s="11">
        <v>0.95966271968678507</v>
      </c>
    </row>
    <row r="185" spans="1:13" x14ac:dyDescent="0.3">
      <c r="A185" s="13">
        <v>43084</v>
      </c>
      <c r="B185" s="11">
        <v>0.13151990018195195</v>
      </c>
      <c r="C185" s="11">
        <v>7.4861683754159607E-6</v>
      </c>
      <c r="D185" s="11">
        <v>7.4610460492712041E-2</v>
      </c>
      <c r="E185" s="11">
        <v>5.7327448658377016E-3</v>
      </c>
      <c r="F185" s="11">
        <v>7.6235947832361997E-2</v>
      </c>
      <c r="G185" s="11">
        <v>0.212012429511584</v>
      </c>
      <c r="H185" s="11">
        <v>0.18273940986505283</v>
      </c>
      <c r="I185" s="11">
        <v>0.15406571498713881</v>
      </c>
      <c r="J185" s="11">
        <v>1.2367379597019486E-5</v>
      </c>
      <c r="K185" s="11">
        <v>0.10388855078211875</v>
      </c>
      <c r="L185" s="11">
        <v>5.9174987933269509E-2</v>
      </c>
      <c r="M185" s="11">
        <v>0.96002162729324991</v>
      </c>
    </row>
    <row r="186" spans="1:13" x14ac:dyDescent="0.3">
      <c r="A186" s="13">
        <v>43091</v>
      </c>
      <c r="B186" s="11">
        <v>0.14390837528256081</v>
      </c>
      <c r="C186" s="11">
        <v>7.9970471362170621E-6</v>
      </c>
      <c r="D186" s="11">
        <v>6.8384408065198618E-2</v>
      </c>
      <c r="E186" s="11">
        <v>6.7623153781912037E-3</v>
      </c>
      <c r="F186" s="11">
        <v>8.9911699852834412E-2</v>
      </c>
      <c r="G186" s="11">
        <v>0.19188340311666341</v>
      </c>
      <c r="H186" s="11">
        <v>0.17970076095601062</v>
      </c>
      <c r="I186" s="11">
        <v>0.13820186240841309</v>
      </c>
      <c r="J186" s="11">
        <v>1.868008134305872E-5</v>
      </c>
      <c r="K186" s="11">
        <v>0.10475079793020069</v>
      </c>
      <c r="L186" s="11">
        <v>7.6469699881447847E-2</v>
      </c>
      <c r="M186" s="11">
        <v>0.95104763056244612</v>
      </c>
    </row>
    <row r="187" spans="1:13" x14ac:dyDescent="0.3">
      <c r="A187" s="13">
        <v>43098</v>
      </c>
      <c r="B187" s="11">
        <v>0.16189736646814248</v>
      </c>
      <c r="C187" s="11">
        <v>5.4268699966872011E-5</v>
      </c>
      <c r="D187" s="11">
        <v>5.9834268594950758E-2</v>
      </c>
      <c r="E187" s="11">
        <v>4.0444074152900709E-2</v>
      </c>
      <c r="F187" s="11">
        <v>9.4230728626705465E-2</v>
      </c>
      <c r="G187" s="11">
        <v>0.19375852614107841</v>
      </c>
      <c r="H187" s="11">
        <v>0.1640436846188848</v>
      </c>
      <c r="I187" s="11">
        <v>0.10284189548087806</v>
      </c>
      <c r="J187" s="11">
        <v>8.977179429433635E-5</v>
      </c>
      <c r="K187" s="11">
        <v>0.10240556579914788</v>
      </c>
      <c r="L187" s="11">
        <v>8.0399849623050287E-2</v>
      </c>
      <c r="M187" s="11">
        <v>0.94858844235445927</v>
      </c>
    </row>
    <row r="188" spans="1:13" x14ac:dyDescent="0.3">
      <c r="A188" s="13">
        <v>43105</v>
      </c>
      <c r="B188" s="11">
        <v>0.16183288519067565</v>
      </c>
      <c r="C188" s="11">
        <v>2.135130790392465E-5</v>
      </c>
      <c r="D188" s="11">
        <v>6.4678098615301563E-2</v>
      </c>
      <c r="E188" s="11">
        <v>5.9310001441383951E-2</v>
      </c>
      <c r="F188" s="11">
        <v>7.1205413891561486E-2</v>
      </c>
      <c r="G188" s="11">
        <v>0.18480316258158117</v>
      </c>
      <c r="H188" s="11">
        <v>0.1851254797551036</v>
      </c>
      <c r="I188" s="11">
        <v>8.7168769432844601E-2</v>
      </c>
      <c r="J188" s="11">
        <v>8.5692765981142154E-5</v>
      </c>
      <c r="K188" s="11">
        <v>0.1085706844707422</v>
      </c>
      <c r="L188" s="11">
        <v>7.71984605469207E-2</v>
      </c>
      <c r="M188" s="11">
        <v>0.94790004010083218</v>
      </c>
    </row>
    <row r="189" spans="1:13" x14ac:dyDescent="0.3">
      <c r="A189" s="13">
        <v>43112</v>
      </c>
      <c r="B189" s="11">
        <v>0.16871438915751732</v>
      </c>
      <c r="C189" s="11">
        <v>2.6672547722491065E-5</v>
      </c>
      <c r="D189" s="11">
        <v>4.3992575868190394E-2</v>
      </c>
      <c r="E189" s="11">
        <v>7.2544822977992807E-2</v>
      </c>
      <c r="F189" s="11">
        <v>6.9758200160562056E-2</v>
      </c>
      <c r="G189" s="11">
        <v>0.17017704822659069</v>
      </c>
      <c r="H189" s="11">
        <v>0.20832793634757049</v>
      </c>
      <c r="I189" s="11">
        <v>8.6982926068560576E-2</v>
      </c>
      <c r="J189" s="11">
        <v>8.3329181911524162E-5</v>
      </c>
      <c r="K189" s="11">
        <v>0.11183655141338342</v>
      </c>
      <c r="L189" s="11">
        <v>6.755554804999829E-2</v>
      </c>
      <c r="M189" s="11">
        <v>0.94695997918803532</v>
      </c>
    </row>
    <row r="190" spans="1:13" x14ac:dyDescent="0.3">
      <c r="A190" s="13">
        <v>43119</v>
      </c>
      <c r="B190" s="11">
        <v>0.17822663483529735</v>
      </c>
      <c r="C190" s="11">
        <v>4.0298361941028797E-5</v>
      </c>
      <c r="D190" s="11">
        <v>4.019095625528496E-2</v>
      </c>
      <c r="E190" s="11">
        <v>7.9790539555346429E-2</v>
      </c>
      <c r="F190" s="11">
        <v>6.9464346841531119E-2</v>
      </c>
      <c r="G190" s="11">
        <v>0.17019352063553544</v>
      </c>
      <c r="H190" s="11">
        <v>0.20750421011632686</v>
      </c>
      <c r="I190" s="11">
        <v>7.866369356846091E-2</v>
      </c>
      <c r="J190" s="11">
        <v>8.2557805743205557E-5</v>
      </c>
      <c r="K190" s="11">
        <v>0.1114153589457013</v>
      </c>
      <c r="L190" s="11">
        <v>6.4427883078831447E-2</v>
      </c>
      <c r="M190" s="11">
        <v>0.94737961097087975</v>
      </c>
    </row>
    <row r="191" spans="1:13" x14ac:dyDescent="0.3">
      <c r="A191" s="13">
        <v>43126</v>
      </c>
      <c r="B191" s="11">
        <v>0.18797651594646056</v>
      </c>
      <c r="C191" s="11">
        <v>2.7343361659997278E-5</v>
      </c>
      <c r="D191" s="11">
        <v>7.1460767925825605E-2</v>
      </c>
      <c r="E191" s="11">
        <v>6.5551293526563345E-2</v>
      </c>
      <c r="F191" s="11">
        <v>7.6047530848998679E-2</v>
      </c>
      <c r="G191" s="11">
        <v>0.15688217230669757</v>
      </c>
      <c r="H191" s="11">
        <v>0.20039009202238076</v>
      </c>
      <c r="I191" s="11">
        <v>7.539324420376943E-2</v>
      </c>
      <c r="J191" s="11">
        <v>8.3957093843329452E-5</v>
      </c>
      <c r="K191" s="11">
        <v>9.5705094657954043E-2</v>
      </c>
      <c r="L191" s="11">
        <v>7.0481988105846702E-2</v>
      </c>
      <c r="M191" s="11">
        <v>0.94692115335928984</v>
      </c>
    </row>
    <row r="192" spans="1:13" x14ac:dyDescent="0.3">
      <c r="A192" s="13">
        <v>43133</v>
      </c>
      <c r="B192" s="11">
        <v>0.17767205637609645</v>
      </c>
      <c r="C192" s="11">
        <v>8.6770026170194603E-5</v>
      </c>
      <c r="D192" s="11">
        <v>8.4082183384637021E-2</v>
      </c>
      <c r="E192" s="11">
        <v>6.3707143176317579E-2</v>
      </c>
      <c r="F192" s="11">
        <v>6.0364535104945681E-2</v>
      </c>
      <c r="G192" s="11">
        <v>0.1447728816800638</v>
      </c>
      <c r="H192" s="11">
        <v>0.2375787872112082</v>
      </c>
      <c r="I192" s="11">
        <v>7.6596445184548001E-2</v>
      </c>
      <c r="J192" s="11">
        <v>8.7227386114173942E-5</v>
      </c>
      <c r="K192" s="11">
        <v>7.5361241746102467E-2</v>
      </c>
      <c r="L192" s="11">
        <v>7.9690728723796428E-2</v>
      </c>
      <c r="M192" s="11">
        <v>0.94658387742166639</v>
      </c>
    </row>
    <row r="193" spans="1:13" x14ac:dyDescent="0.3">
      <c r="A193" s="13">
        <v>43140</v>
      </c>
      <c r="B193" s="11">
        <v>0.16463023235250651</v>
      </c>
      <c r="C193" s="11">
        <v>4.1818238853153881E-5</v>
      </c>
      <c r="D193" s="11">
        <v>8.0411398236835629E-2</v>
      </c>
      <c r="E193" s="11">
        <v>2.9516230132202358E-2</v>
      </c>
      <c r="F193" s="11">
        <v>9.5905809363772285E-2</v>
      </c>
      <c r="G193" s="11">
        <v>0.14034720568594738</v>
      </c>
      <c r="H193" s="11">
        <v>0.22791536827332481</v>
      </c>
      <c r="I193" s="11">
        <v>0.10355127518678504</v>
      </c>
      <c r="J193" s="11">
        <v>3.7752890577367413E-5</v>
      </c>
      <c r="K193" s="11">
        <v>6.8115755892687258E-2</v>
      </c>
      <c r="L193" s="11">
        <v>8.9527153746508173E-2</v>
      </c>
      <c r="M193" s="11">
        <v>0.94418347977272044</v>
      </c>
    </row>
    <row r="194" spans="1:13" x14ac:dyDescent="0.3">
      <c r="A194" s="13">
        <v>43147</v>
      </c>
      <c r="B194" s="11">
        <v>0.16641238625488949</v>
      </c>
      <c r="C194" s="11">
        <v>1.634190332642589E-5</v>
      </c>
      <c r="D194" s="11">
        <v>7.4076792057918284E-2</v>
      </c>
      <c r="E194" s="11">
        <v>1.8853177043905947E-2</v>
      </c>
      <c r="F194" s="11">
        <v>8.9732383247003861E-2</v>
      </c>
      <c r="G194" s="11">
        <v>0.14628431676049569</v>
      </c>
      <c r="H194" s="11">
        <v>0.21394090816148284</v>
      </c>
      <c r="I194" s="11">
        <v>0.10231406534219205</v>
      </c>
      <c r="J194" s="11">
        <v>1.8134987166840215E-5</v>
      </c>
      <c r="K194" s="11">
        <v>8.8000666707554798E-2</v>
      </c>
      <c r="L194" s="11">
        <v>0.10035082753406373</v>
      </c>
      <c r="M194" s="11">
        <v>0.94633870200927572</v>
      </c>
    </row>
    <row r="195" spans="1:13" x14ac:dyDescent="0.3">
      <c r="A195" s="13">
        <v>43157.5</v>
      </c>
      <c r="B195" s="11">
        <v>0.17123903024973391</v>
      </c>
      <c r="C195" s="11">
        <v>3.1802978027825476E-6</v>
      </c>
      <c r="D195" s="11">
        <v>8.1126613216385406E-3</v>
      </c>
      <c r="E195" s="11">
        <v>9.0617267131508791E-2</v>
      </c>
      <c r="F195" s="11">
        <v>8.7641063731722063E-2</v>
      </c>
      <c r="G195" s="11">
        <v>0.17596780620504077</v>
      </c>
      <c r="H195" s="11">
        <v>0.23853941245556445</v>
      </c>
      <c r="I195" s="11">
        <v>6.6749767884787578E-2</v>
      </c>
      <c r="J195" s="11">
        <v>4.0367239790548569E-6</v>
      </c>
      <c r="K195" s="11">
        <v>7.7364586648456871E-2</v>
      </c>
      <c r="L195" s="11">
        <v>8.376118734976519E-2</v>
      </c>
      <c r="M195" s="11">
        <v>0.94932201078677247</v>
      </c>
    </row>
    <row r="196" spans="1:13" x14ac:dyDescent="0.3">
      <c r="A196" s="13">
        <v>43164.5</v>
      </c>
      <c r="B196" s="11">
        <v>0.17764362612650555</v>
      </c>
      <c r="C196" s="11">
        <v>2.5145450198932532E-6</v>
      </c>
      <c r="D196" s="11">
        <v>8.8250158050674006E-5</v>
      </c>
      <c r="E196" s="11">
        <v>8.7647557727064784E-2</v>
      </c>
      <c r="F196" s="11">
        <v>8.9930499692676066E-2</v>
      </c>
      <c r="G196" s="11">
        <v>0.1769032192345508</v>
      </c>
      <c r="H196" s="11">
        <v>0.22784889718632936</v>
      </c>
      <c r="I196" s="11">
        <v>6.7643924875511519E-2</v>
      </c>
      <c r="J196" s="11">
        <v>4.7846567853425371E-6</v>
      </c>
      <c r="K196" s="11">
        <v>8.6748696981766835E-2</v>
      </c>
      <c r="L196" s="11">
        <v>8.5538028815739311E-2</v>
      </c>
      <c r="M196" s="11">
        <v>0.94719628710371506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6"/>
  <sheetViews>
    <sheetView topLeftCell="D1" workbookViewId="0">
      <selection activeCell="J15" sqref="J15"/>
    </sheetView>
  </sheetViews>
  <sheetFormatPr defaultRowHeight="13.5" x14ac:dyDescent="0.3"/>
  <cols>
    <col min="1" max="1" width="16.59765625" customWidth="1"/>
  </cols>
  <sheetData>
    <row r="1" spans="1:13" x14ac:dyDescent="0.3">
      <c r="A1" s="13" t="s">
        <v>87</v>
      </c>
      <c r="B1" s="11" t="s">
        <v>62</v>
      </c>
      <c r="C1" s="11" t="s">
        <v>54</v>
      </c>
      <c r="D1" s="11" t="s">
        <v>56</v>
      </c>
      <c r="E1" s="11" t="s">
        <v>52</v>
      </c>
      <c r="F1" s="11" t="s">
        <v>64</v>
      </c>
      <c r="G1" s="11" t="s">
        <v>58</v>
      </c>
      <c r="H1" s="11" t="s">
        <v>60</v>
      </c>
      <c r="I1" s="11" t="s">
        <v>50</v>
      </c>
      <c r="J1" s="11" t="s">
        <v>68</v>
      </c>
      <c r="K1" s="11" t="s">
        <v>66</v>
      </c>
      <c r="L1" s="11" t="s">
        <v>88</v>
      </c>
      <c r="M1" s="11" t="s">
        <v>89</v>
      </c>
    </row>
    <row r="2" spans="1:13" x14ac:dyDescent="0.3">
      <c r="A2" s="13">
        <v>41785.5</v>
      </c>
      <c r="B2" s="11">
        <v>1.7773220431259368E-2</v>
      </c>
      <c r="C2" s="11">
        <v>2.5028148488940722E-5</v>
      </c>
      <c r="D2" s="11">
        <v>0.17730491953004426</v>
      </c>
      <c r="E2" s="11">
        <v>1.080941907225658E-5</v>
      </c>
      <c r="F2" s="11">
        <v>0.38596186082432971</v>
      </c>
      <c r="G2" s="11">
        <v>9.9790655841192774E-2</v>
      </c>
      <c r="H2" s="11">
        <v>0.16175783758292014</v>
      </c>
      <c r="I2" s="11">
        <v>3.1997263596754591E-5</v>
      </c>
      <c r="J2" s="11">
        <v>2.2382933215023362E-5</v>
      </c>
      <c r="K2" s="11">
        <v>1.9435018735442444E-5</v>
      </c>
      <c r="L2" s="11">
        <v>0.1573018530071453</v>
      </c>
      <c r="M2" s="11">
        <v>0.96143729379804366</v>
      </c>
    </row>
    <row r="3" spans="1:13" x14ac:dyDescent="0.3">
      <c r="A3" s="13">
        <v>41792.5</v>
      </c>
      <c r="B3" s="11">
        <v>1.1715250895903414E-2</v>
      </c>
      <c r="C3" s="11">
        <v>7.3677642797038206E-6</v>
      </c>
      <c r="D3" s="11">
        <v>0.20070615486361756</v>
      </c>
      <c r="E3" s="11">
        <v>2.5824591827604067E-6</v>
      </c>
      <c r="F3" s="11">
        <v>0.39094827712832148</v>
      </c>
      <c r="G3" s="11">
        <v>0.11717736433434078</v>
      </c>
      <c r="H3" s="11">
        <v>0.12734243378081264</v>
      </c>
      <c r="I3" s="11">
        <v>9.3446097838501501E-5</v>
      </c>
      <c r="J3" s="11">
        <v>8.9000929313779296E-6</v>
      </c>
      <c r="K3" s="11">
        <v>5.1580219759458472E-6</v>
      </c>
      <c r="L3" s="11">
        <v>0.15199306456079589</v>
      </c>
      <c r="M3" s="11">
        <v>0.95957963502108468</v>
      </c>
    </row>
    <row r="4" spans="1:13" x14ac:dyDescent="0.3">
      <c r="A4" s="13">
        <v>41799.5</v>
      </c>
      <c r="B4" s="11">
        <v>7.3466080908850314E-3</v>
      </c>
      <c r="C4" s="11">
        <v>1.7502118129487206E-5</v>
      </c>
      <c r="D4" s="11">
        <v>0.20228601448799918</v>
      </c>
      <c r="E4" s="11">
        <v>6.9865698317138536E-6</v>
      </c>
      <c r="F4" s="11">
        <v>0.39728808278827243</v>
      </c>
      <c r="G4" s="11">
        <v>0.11525741253923426</v>
      </c>
      <c r="H4" s="11">
        <v>0.122809643816014</v>
      </c>
      <c r="I4" s="11">
        <v>4.8556414173809514E-5</v>
      </c>
      <c r="J4" s="11">
        <v>2.1001234608859057E-5</v>
      </c>
      <c r="K4" s="11">
        <v>1.1633107079967381E-5</v>
      </c>
      <c r="L4" s="11">
        <v>0.15490655883377125</v>
      </c>
      <c r="M4" s="11">
        <v>0.96116625309772519</v>
      </c>
    </row>
    <row r="5" spans="1:13" x14ac:dyDescent="0.3">
      <c r="A5" s="13">
        <v>41806</v>
      </c>
      <c r="B5" s="11">
        <v>2.4229211761607448E-2</v>
      </c>
      <c r="C5" s="11">
        <v>2.1713156410837255E-5</v>
      </c>
      <c r="D5" s="11">
        <v>0.24959255069659675</v>
      </c>
      <c r="E5" s="11">
        <v>8.8843418084855784E-6</v>
      </c>
      <c r="F5" s="11">
        <v>0.40562864387552106</v>
      </c>
      <c r="G5" s="11">
        <v>9.0952339565773033E-2</v>
      </c>
      <c r="H5" s="11">
        <v>9.3217120561601446E-2</v>
      </c>
      <c r="I5" s="11">
        <v>2.7982987176008931E-5</v>
      </c>
      <c r="J5" s="11">
        <v>1.0339970430880226E-2</v>
      </c>
      <c r="K5" s="11">
        <v>1.0157540779320198E-5</v>
      </c>
      <c r="L5" s="11">
        <v>0.12597142508184531</v>
      </c>
      <c r="M5" s="11">
        <v>0.96037172393625614</v>
      </c>
    </row>
    <row r="6" spans="1:13" x14ac:dyDescent="0.3">
      <c r="A6" s="13">
        <v>41813.5</v>
      </c>
      <c r="B6" s="11">
        <v>2.7778164510415298E-2</v>
      </c>
      <c r="C6" s="11">
        <v>4.1797360215765778E-5</v>
      </c>
      <c r="D6" s="11">
        <v>0.26327645111079789</v>
      </c>
      <c r="E6" s="11">
        <v>1.0075355627619722E-5</v>
      </c>
      <c r="F6" s="11">
        <v>0.4174024013288215</v>
      </c>
      <c r="G6" s="11">
        <v>4.4147594563222856E-2</v>
      </c>
      <c r="H6" s="11">
        <v>8.988617812327071E-2</v>
      </c>
      <c r="I6" s="11">
        <v>1.5024647694707345E-5</v>
      </c>
      <c r="J6" s="11">
        <v>2.5297986242867866E-2</v>
      </c>
      <c r="K6" s="11">
        <v>1.0034260260045397E-5</v>
      </c>
      <c r="L6" s="11">
        <v>0.13213429249680567</v>
      </c>
      <c r="M6" s="11">
        <v>0.95921773444225</v>
      </c>
    </row>
    <row r="7" spans="1:13" x14ac:dyDescent="0.3">
      <c r="A7" s="13">
        <v>41820.5</v>
      </c>
      <c r="B7" s="11">
        <v>2.020925510625016E-2</v>
      </c>
      <c r="C7" s="11">
        <v>4.1199624865001399E-5</v>
      </c>
      <c r="D7" s="11">
        <v>0.27065859848702323</v>
      </c>
      <c r="E7" s="11">
        <v>9.3111977960553739E-6</v>
      </c>
      <c r="F7" s="11">
        <v>0.41940197129084472</v>
      </c>
      <c r="G7" s="11">
        <v>3.6842663731049198E-2</v>
      </c>
      <c r="H7" s="11">
        <v>9.2427911419853875E-2</v>
      </c>
      <c r="I7" s="11">
        <v>1.4098390135641484E-5</v>
      </c>
      <c r="J7" s="11">
        <v>2.6462967466513079E-2</v>
      </c>
      <c r="K7" s="11">
        <v>8.5913397470673456E-6</v>
      </c>
      <c r="L7" s="11">
        <v>0.13392343194592193</v>
      </c>
      <c r="M7" s="11">
        <v>0.95967771528229984</v>
      </c>
    </row>
    <row r="8" spans="1:13" x14ac:dyDescent="0.3">
      <c r="A8" s="13">
        <v>41827.5</v>
      </c>
      <c r="B8" s="11">
        <v>1.2134591306173918E-2</v>
      </c>
      <c r="C8" s="11">
        <v>1.0746940157011617E-2</v>
      </c>
      <c r="D8" s="11">
        <v>0.28663144694938802</v>
      </c>
      <c r="E8" s="11">
        <v>3.4704175733256214E-6</v>
      </c>
      <c r="F8" s="11">
        <v>0.38374969504676915</v>
      </c>
      <c r="G8" s="11">
        <v>5.1757590990526452E-2</v>
      </c>
      <c r="H8" s="11">
        <v>0.12110517854755375</v>
      </c>
      <c r="I8" s="11">
        <v>3.5346083444101344E-6</v>
      </c>
      <c r="J8" s="11">
        <v>2.9673503915349352E-2</v>
      </c>
      <c r="K8" s="11">
        <v>2.2085161058788712E-6</v>
      </c>
      <c r="L8" s="11">
        <v>0.10419183954520422</v>
      </c>
      <c r="M8" s="11">
        <v>0.96702021470896693</v>
      </c>
    </row>
    <row r="9" spans="1:13" x14ac:dyDescent="0.3">
      <c r="A9" s="13">
        <v>41834.5</v>
      </c>
      <c r="B9" s="11">
        <v>0.11183967659650421</v>
      </c>
      <c r="C9" s="11">
        <v>1.7049978549770008E-2</v>
      </c>
      <c r="D9" s="11">
        <v>0.20716048102329951</v>
      </c>
      <c r="E9" s="11">
        <v>6.2212298822533023E-6</v>
      </c>
      <c r="F9" s="11">
        <v>0.44716724408799918</v>
      </c>
      <c r="G9" s="11">
        <v>1.1362137034173894E-2</v>
      </c>
      <c r="H9" s="11">
        <v>0.13108843723199548</v>
      </c>
      <c r="I9" s="11">
        <v>4.9705497539567674E-6</v>
      </c>
      <c r="J9" s="11">
        <v>4.3471691054789331E-5</v>
      </c>
      <c r="K9" s="11">
        <v>5.4092563291804031E-6</v>
      </c>
      <c r="L9" s="11">
        <v>7.4271972749237553E-2</v>
      </c>
      <c r="M9" s="11">
        <v>0.96677024524264099</v>
      </c>
    </row>
    <row r="10" spans="1:13" x14ac:dyDescent="0.3">
      <c r="A10" s="13">
        <v>41841.5</v>
      </c>
      <c r="B10" s="11">
        <v>0.14967206537583866</v>
      </c>
      <c r="C10" s="11">
        <v>1.334483402827244E-5</v>
      </c>
      <c r="D10" s="11">
        <v>0.10185801428607312</v>
      </c>
      <c r="E10" s="11">
        <v>1.8998843116113443E-6</v>
      </c>
      <c r="F10" s="11">
        <v>0.47669814703140806</v>
      </c>
      <c r="G10" s="11">
        <v>1.8608522490101429E-3</v>
      </c>
      <c r="H10" s="11">
        <v>0.14793320686103409</v>
      </c>
      <c r="I10" s="11">
        <v>3.0806271354970221E-6</v>
      </c>
      <c r="J10" s="11">
        <v>4.6165045719462575E-2</v>
      </c>
      <c r="K10" s="11">
        <v>4.2703166730097843E-6</v>
      </c>
      <c r="L10" s="11">
        <v>7.5790072815024853E-2</v>
      </c>
      <c r="M10" s="11">
        <v>0.96547082997832312</v>
      </c>
    </row>
    <row r="11" spans="1:13" x14ac:dyDescent="0.3">
      <c r="A11" s="13">
        <v>41848.5</v>
      </c>
      <c r="B11" s="11">
        <v>0.16364356296085486</v>
      </c>
      <c r="C11" s="11">
        <v>1.7243396300117306E-5</v>
      </c>
      <c r="D11" s="11">
        <v>8.876817397377583E-2</v>
      </c>
      <c r="E11" s="11">
        <v>4.0812726389405617E-6</v>
      </c>
      <c r="F11" s="11">
        <v>0.49282505316124553</v>
      </c>
      <c r="G11" s="11">
        <v>3.8131831396963012E-5</v>
      </c>
      <c r="H11" s="11">
        <v>0.15887227596420703</v>
      </c>
      <c r="I11" s="11">
        <v>1.1198865980579006E-5</v>
      </c>
      <c r="J11" s="11">
        <v>7.8053308056004059E-3</v>
      </c>
      <c r="K11" s="11">
        <v>1.2479362700944415E-5</v>
      </c>
      <c r="L11" s="11">
        <v>8.8002468405298837E-2</v>
      </c>
      <c r="M11" s="11">
        <v>0.96400668409693624</v>
      </c>
    </row>
    <row r="12" spans="1:13" x14ac:dyDescent="0.3">
      <c r="A12" s="13">
        <v>41855.5</v>
      </c>
      <c r="B12" s="11">
        <v>0.16522009601713739</v>
      </c>
      <c r="C12" s="11">
        <v>7.2206298365259977E-2</v>
      </c>
      <c r="D12" s="11">
        <v>8.4151609953466439E-5</v>
      </c>
      <c r="E12" s="11">
        <v>4.1637756438988456E-6</v>
      </c>
      <c r="F12" s="11">
        <v>0.50881445936161362</v>
      </c>
      <c r="G12" s="11">
        <v>1.1908513940122954E-5</v>
      </c>
      <c r="H12" s="11">
        <v>0.13284116993370559</v>
      </c>
      <c r="I12" s="11">
        <v>1.0431808164006887E-2</v>
      </c>
      <c r="J12" s="11">
        <v>1.5697145683173357E-2</v>
      </c>
      <c r="K12" s="11">
        <v>3.2948844552327897E-5</v>
      </c>
      <c r="L12" s="11">
        <v>9.4655849731013375E-2</v>
      </c>
      <c r="M12" s="11">
        <v>0.95992074219233003</v>
      </c>
    </row>
    <row r="13" spans="1:13" x14ac:dyDescent="0.3">
      <c r="A13" s="13">
        <v>41862.5</v>
      </c>
      <c r="B13" s="11">
        <v>0.17733239902331538</v>
      </c>
      <c r="C13" s="11">
        <v>8.0165217951472844E-6</v>
      </c>
      <c r="D13" s="11">
        <v>8.1620387373630444E-6</v>
      </c>
      <c r="E13" s="11">
        <v>5.4287942309702543E-7</v>
      </c>
      <c r="F13" s="11">
        <v>0.47807453964317043</v>
      </c>
      <c r="G13" s="11">
        <v>8.5244620591112156E-7</v>
      </c>
      <c r="H13" s="11">
        <v>0.14009493100075018</v>
      </c>
      <c r="I13" s="11">
        <v>5.8575150548970925E-4</v>
      </c>
      <c r="J13" s="11">
        <v>8.0138392238359474E-2</v>
      </c>
      <c r="K13" s="11">
        <v>4.1912025000624853E-2</v>
      </c>
      <c r="L13" s="11">
        <v>8.1844387702128485E-2</v>
      </c>
      <c r="M13" s="11">
        <v>0.97029637201486052</v>
      </c>
    </row>
    <row r="14" spans="1:13" x14ac:dyDescent="0.3">
      <c r="A14" s="13">
        <v>41868.5</v>
      </c>
      <c r="B14" s="11">
        <v>0.1953461212920497</v>
      </c>
      <c r="C14" s="11">
        <v>1.6216052958415779E-2</v>
      </c>
      <c r="D14" s="11">
        <v>5.7274778569556835E-5</v>
      </c>
      <c r="E14" s="11">
        <v>9.5723477158863228E-6</v>
      </c>
      <c r="F14" s="11">
        <v>0.4423296335748968</v>
      </c>
      <c r="G14" s="11">
        <v>1.156142218728855E-5</v>
      </c>
      <c r="H14" s="11">
        <v>0.16682410777716974</v>
      </c>
      <c r="I14" s="11">
        <v>1.8202135756642618E-5</v>
      </c>
      <c r="J14" s="11">
        <v>6.4281889007567386E-2</v>
      </c>
      <c r="K14" s="11">
        <v>2.7396466721949047E-2</v>
      </c>
      <c r="L14" s="11">
        <v>8.7509117983722171E-2</v>
      </c>
      <c r="M14" s="11">
        <v>0.9548250414351549</v>
      </c>
    </row>
    <row r="15" spans="1:13" x14ac:dyDescent="0.3">
      <c r="A15" s="13">
        <v>41876.5</v>
      </c>
      <c r="B15" s="11">
        <v>0.19779282495628117</v>
      </c>
      <c r="C15" s="11">
        <v>9.0032095893579083E-5</v>
      </c>
      <c r="D15" s="11">
        <v>6.0995302612369153E-6</v>
      </c>
      <c r="E15" s="11">
        <v>2.1393128788488883E-6</v>
      </c>
      <c r="F15" s="11">
        <v>0.43266201855420011</v>
      </c>
      <c r="G15" s="11">
        <v>2.408779686383326E-6</v>
      </c>
      <c r="H15" s="11">
        <v>0.15561881171198794</v>
      </c>
      <c r="I15" s="11">
        <v>2.0939501062160428E-6</v>
      </c>
      <c r="J15" s="11">
        <v>7.9049951202000146E-2</v>
      </c>
      <c r="K15" s="11">
        <v>4.3375437117651974E-2</v>
      </c>
      <c r="L15" s="11">
        <v>9.1398182789052387E-2</v>
      </c>
      <c r="M15" s="11">
        <v>0.95270373008856102</v>
      </c>
    </row>
    <row r="16" spans="1:13" x14ac:dyDescent="0.3">
      <c r="A16" s="13">
        <v>41883.5</v>
      </c>
      <c r="B16" s="11">
        <v>0.19859390023220791</v>
      </c>
      <c r="C16" s="11">
        <v>9.3633696753901797E-5</v>
      </c>
      <c r="D16" s="11">
        <v>1.7034389796866834E-6</v>
      </c>
      <c r="E16" s="11">
        <v>5.5784355083304926E-7</v>
      </c>
      <c r="F16" s="11">
        <v>0.39905945964174411</v>
      </c>
      <c r="G16" s="11">
        <v>6.7528917943153602E-7</v>
      </c>
      <c r="H16" s="11">
        <v>0.16770839112868904</v>
      </c>
      <c r="I16" s="11">
        <v>6.1583002952511329E-7</v>
      </c>
      <c r="J16" s="11">
        <v>7.886494731882851E-2</v>
      </c>
      <c r="K16" s="11">
        <v>6.8562199134248963E-2</v>
      </c>
      <c r="L16" s="11">
        <v>8.7113916445788142E-2</v>
      </c>
      <c r="M16" s="11">
        <v>0.9544862094247738</v>
      </c>
    </row>
    <row r="17" spans="1:13" x14ac:dyDescent="0.3">
      <c r="A17" s="13">
        <v>41890.5</v>
      </c>
      <c r="B17" s="11">
        <v>0.19800736284614234</v>
      </c>
      <c r="C17" s="11">
        <v>8.618308217233553E-5</v>
      </c>
      <c r="D17" s="11">
        <v>1.433215899912321E-5</v>
      </c>
      <c r="E17" s="11">
        <v>4.3606586117979088E-6</v>
      </c>
      <c r="F17" s="11">
        <v>0.40366482829032629</v>
      </c>
      <c r="G17" s="11">
        <v>5.7422042730712444E-6</v>
      </c>
      <c r="H17" s="11">
        <v>0.16286038387110316</v>
      </c>
      <c r="I17" s="11">
        <v>5.538351789498543E-6</v>
      </c>
      <c r="J17" s="11">
        <v>8.4698794649579426E-2</v>
      </c>
      <c r="K17" s="11">
        <v>6.1216965293633831E-2</v>
      </c>
      <c r="L17" s="11">
        <v>8.9435508593369142E-2</v>
      </c>
      <c r="M17" s="11">
        <v>0.95390477476913993</v>
      </c>
    </row>
    <row r="18" spans="1:13" x14ac:dyDescent="0.3">
      <c r="A18" s="13">
        <v>41896.5</v>
      </c>
      <c r="B18" s="11">
        <v>0.19452698072510327</v>
      </c>
      <c r="C18" s="11">
        <v>9.0294047412839158E-5</v>
      </c>
      <c r="D18" s="11">
        <v>2.5889304360363561E-5</v>
      </c>
      <c r="E18" s="11">
        <v>8.6420342880835262E-6</v>
      </c>
      <c r="F18" s="11">
        <v>0.412692759407153</v>
      </c>
      <c r="G18" s="11">
        <v>9.2139083007286517E-6</v>
      </c>
      <c r="H18" s="11">
        <v>0.14000583613736928</v>
      </c>
      <c r="I18" s="11">
        <v>9.8691791798000695E-6</v>
      </c>
      <c r="J18" s="11">
        <v>8.8824272797649734E-2</v>
      </c>
      <c r="K18" s="11">
        <v>4.8755941581521925E-2</v>
      </c>
      <c r="L18" s="11">
        <v>0.11505030087766101</v>
      </c>
      <c r="M18" s="11">
        <v>0.94703235428578281</v>
      </c>
    </row>
    <row r="19" spans="1:13" x14ac:dyDescent="0.3">
      <c r="A19" s="13">
        <v>41904.5</v>
      </c>
      <c r="B19" s="11">
        <v>0.19948926479284987</v>
      </c>
      <c r="C19" s="11">
        <v>8.6857937301153737E-5</v>
      </c>
      <c r="D19" s="11">
        <v>9.4711304891610326E-6</v>
      </c>
      <c r="E19" s="11">
        <v>3.4827347752497224E-6</v>
      </c>
      <c r="F19" s="11">
        <v>0.43420430238632729</v>
      </c>
      <c r="G19" s="11">
        <v>3.713344552631607E-6</v>
      </c>
      <c r="H19" s="11">
        <v>0.10760986889272151</v>
      </c>
      <c r="I19" s="11">
        <v>3.1870808766911738E-6</v>
      </c>
      <c r="J19" s="11">
        <v>6.8464291406864122E-2</v>
      </c>
      <c r="K19" s="11">
        <v>5.6835322056408129E-2</v>
      </c>
      <c r="L19" s="11">
        <v>0.1332902382368342</v>
      </c>
      <c r="M19" s="11">
        <v>0.94653113147585333</v>
      </c>
    </row>
    <row r="20" spans="1:13" x14ac:dyDescent="0.3">
      <c r="A20" s="13">
        <v>41911.5</v>
      </c>
      <c r="B20" s="11">
        <v>0.19909186021490291</v>
      </c>
      <c r="C20" s="11">
        <v>8.5516154418441534E-5</v>
      </c>
      <c r="D20" s="11">
        <v>1.1986246846929235E-5</v>
      </c>
      <c r="E20" s="11">
        <v>6.5211273755746958E-6</v>
      </c>
      <c r="F20" s="11">
        <v>0.43439614385824693</v>
      </c>
      <c r="G20" s="11">
        <v>5.9713719631603367E-6</v>
      </c>
      <c r="H20" s="11">
        <v>0.10611543617710609</v>
      </c>
      <c r="I20" s="11">
        <v>6.1906334727662387E-6</v>
      </c>
      <c r="J20" s="11">
        <v>6.8397722634603544E-2</v>
      </c>
      <c r="K20" s="11">
        <v>5.6968130678941395E-2</v>
      </c>
      <c r="L20" s="11">
        <v>0.13491452090212222</v>
      </c>
      <c r="M20" s="11">
        <v>0.95109145334908907</v>
      </c>
    </row>
    <row r="21" spans="1:13" x14ac:dyDescent="0.3">
      <c r="A21" s="13">
        <v>41917</v>
      </c>
      <c r="B21" s="11">
        <v>0.20047840375980205</v>
      </c>
      <c r="C21" s="11">
        <v>9.153207348367828E-5</v>
      </c>
      <c r="D21" s="11">
        <v>9.5895824643678202E-6</v>
      </c>
      <c r="E21" s="11">
        <v>4.3667435834846056E-6</v>
      </c>
      <c r="F21" s="11">
        <v>0.42866061856604087</v>
      </c>
      <c r="G21" s="11">
        <v>3.3643022426652275E-6</v>
      </c>
      <c r="H21" s="11">
        <v>9.1406138427351444E-2</v>
      </c>
      <c r="I21" s="11">
        <v>5.2505177818846437E-6</v>
      </c>
      <c r="J21" s="11">
        <v>6.7025725400307545E-2</v>
      </c>
      <c r="K21" s="11">
        <v>7.7291286196622525E-2</v>
      </c>
      <c r="L21" s="11">
        <v>0.13502372443031946</v>
      </c>
      <c r="M21" s="11">
        <v>0.95396053276807447</v>
      </c>
    </row>
    <row r="22" spans="1:13" x14ac:dyDescent="0.3">
      <c r="A22" s="13">
        <v>41925.5</v>
      </c>
      <c r="B22" s="11">
        <v>0.20275618711744745</v>
      </c>
      <c r="C22" s="11">
        <v>8.7370544811065347E-5</v>
      </c>
      <c r="D22" s="11">
        <v>3.9076637214609152E-5</v>
      </c>
      <c r="E22" s="11">
        <v>1.2724472197454933E-5</v>
      </c>
      <c r="F22" s="11">
        <v>0.4308751734857687</v>
      </c>
      <c r="G22" s="11">
        <v>1.0118252811066583E-5</v>
      </c>
      <c r="H22" s="11">
        <v>9.5519576521908706E-2</v>
      </c>
      <c r="I22" s="11">
        <v>1.2098272056947489E-5</v>
      </c>
      <c r="J22" s="11">
        <v>5.9525345721488009E-2</v>
      </c>
      <c r="K22" s="11">
        <v>7.2321249243038538E-2</v>
      </c>
      <c r="L22" s="11">
        <v>0.13884107973125742</v>
      </c>
      <c r="M22" s="11">
        <v>0.95109013866215164</v>
      </c>
    </row>
    <row r="23" spans="1:13" x14ac:dyDescent="0.3">
      <c r="A23" s="13">
        <v>41932.5</v>
      </c>
      <c r="B23" s="11">
        <v>0.19332240287731284</v>
      </c>
      <c r="C23" s="11">
        <v>9.9942434906287701E-3</v>
      </c>
      <c r="D23" s="11">
        <v>2.1785394183510264E-5</v>
      </c>
      <c r="E23" s="11">
        <v>1.4648602732870402E-5</v>
      </c>
      <c r="F23" s="11">
        <v>0.44161695019962721</v>
      </c>
      <c r="G23" s="11">
        <v>6.2916686135698463E-6</v>
      </c>
      <c r="H23" s="11">
        <v>0.14662021731449043</v>
      </c>
      <c r="I23" s="11">
        <v>7.1664788891789669E-6</v>
      </c>
      <c r="J23" s="11">
        <v>6.047677363521247E-2</v>
      </c>
      <c r="K23" s="11">
        <v>2.4667783473527036E-2</v>
      </c>
      <c r="L23" s="11">
        <v>0.1232517368647822</v>
      </c>
      <c r="M23" s="11">
        <v>0.94318789553624305</v>
      </c>
    </row>
    <row r="24" spans="1:13" x14ac:dyDescent="0.3">
      <c r="A24" s="13">
        <v>41939.5</v>
      </c>
      <c r="B24" s="11">
        <v>0.19481751625402596</v>
      </c>
      <c r="C24" s="11">
        <v>8.9646904835753363E-5</v>
      </c>
      <c r="D24" s="11">
        <v>2.7115098033415333E-6</v>
      </c>
      <c r="E24" s="11">
        <v>1.5514822640438445E-6</v>
      </c>
      <c r="F24" s="11">
        <v>0.44972815833545315</v>
      </c>
      <c r="G24" s="11">
        <v>8.0722716548525622E-7</v>
      </c>
      <c r="H24" s="11">
        <v>0.1466956645124031</v>
      </c>
      <c r="I24" s="11">
        <v>7.4582051157602729E-7</v>
      </c>
      <c r="J24" s="11">
        <v>6.771615498561806E-2</v>
      </c>
      <c r="K24" s="11">
        <v>2.5288953385046161E-2</v>
      </c>
      <c r="L24" s="11">
        <v>0.11565808958287342</v>
      </c>
      <c r="M24" s="11">
        <v>0.94684821292171539</v>
      </c>
    </row>
    <row r="25" spans="1:13" x14ac:dyDescent="0.3">
      <c r="A25" s="13">
        <v>41946.5</v>
      </c>
      <c r="B25" s="11">
        <v>0.19396162326912811</v>
      </c>
      <c r="C25" s="11">
        <v>9.254156236424139E-5</v>
      </c>
      <c r="D25" s="11">
        <v>5.3671041060191541E-6</v>
      </c>
      <c r="E25" s="11">
        <v>4.5831535291873382E-6</v>
      </c>
      <c r="F25" s="11">
        <v>0.46782996707408442</v>
      </c>
      <c r="G25" s="11">
        <v>2.1333861061057791E-6</v>
      </c>
      <c r="H25" s="11">
        <v>0.15298771054022126</v>
      </c>
      <c r="I25" s="11">
        <v>1.6167673289278882E-6</v>
      </c>
      <c r="J25" s="11">
        <v>7.9383984165017671E-2</v>
      </c>
      <c r="K25" s="11">
        <v>1.1656395101246221E-2</v>
      </c>
      <c r="L25" s="11">
        <v>9.4074077876867931E-2</v>
      </c>
      <c r="M25" s="11">
        <v>0.95752034464073443</v>
      </c>
    </row>
    <row r="26" spans="1:13" x14ac:dyDescent="0.3">
      <c r="A26" s="13">
        <v>41953.5</v>
      </c>
      <c r="B26" s="11">
        <v>0.19079369856369932</v>
      </c>
      <c r="C26" s="11">
        <v>0.12583543595261334</v>
      </c>
      <c r="D26" s="11">
        <v>3.0322322992227687E-6</v>
      </c>
      <c r="E26" s="11">
        <v>9.0737324600634123E-7</v>
      </c>
      <c r="F26" s="11">
        <v>0.44804571589171072</v>
      </c>
      <c r="G26" s="11">
        <v>1.6399352832955271E-4</v>
      </c>
      <c r="H26" s="11">
        <v>0.1531272405462408</v>
      </c>
      <c r="I26" s="11">
        <v>5.8638032226948511E-7</v>
      </c>
      <c r="J26" s="11">
        <v>3.3274056086990208E-6</v>
      </c>
      <c r="K26" s="11">
        <v>1.0833198994206085E-6</v>
      </c>
      <c r="L26" s="11">
        <v>8.2024978806030588E-2</v>
      </c>
      <c r="M26" s="11">
        <v>0.9355044143329605</v>
      </c>
    </row>
    <row r="27" spans="1:13" x14ac:dyDescent="0.3">
      <c r="A27" s="13">
        <v>41960.5</v>
      </c>
      <c r="B27" s="11">
        <v>0.1926961304055311</v>
      </c>
      <c r="C27" s="11">
        <v>0.12546497432830578</v>
      </c>
      <c r="D27" s="11">
        <v>3.929269396553398E-5</v>
      </c>
      <c r="E27" s="11">
        <v>1.2684104725873424E-5</v>
      </c>
      <c r="F27" s="11">
        <v>0.44471454000187594</v>
      </c>
      <c r="G27" s="11">
        <v>3.9716013549845013E-5</v>
      </c>
      <c r="H27" s="11">
        <v>0.16370378639452995</v>
      </c>
      <c r="I27" s="11">
        <v>6.7263540646461302E-6</v>
      </c>
      <c r="J27" s="11">
        <v>4.9457624918430714E-5</v>
      </c>
      <c r="K27" s="11">
        <v>1.2332949167887516E-5</v>
      </c>
      <c r="L27" s="11">
        <v>7.326035912936503E-2</v>
      </c>
      <c r="M27" s="11">
        <v>0.94204606575106398</v>
      </c>
    </row>
    <row r="28" spans="1:13" x14ac:dyDescent="0.3">
      <c r="A28" s="13">
        <v>41967.5</v>
      </c>
      <c r="B28" s="11">
        <v>0.18599077385891394</v>
      </c>
      <c r="C28" s="11">
        <v>0.12602455288767039</v>
      </c>
      <c r="D28" s="11">
        <v>1.0028083717962145E-2</v>
      </c>
      <c r="E28" s="11">
        <v>1.0954942411844228E-5</v>
      </c>
      <c r="F28" s="11">
        <v>0.4538454349162151</v>
      </c>
      <c r="G28" s="11">
        <v>9.3113399584670434E-6</v>
      </c>
      <c r="H28" s="11">
        <v>0.13776236305701528</v>
      </c>
      <c r="I28" s="11">
        <v>4.2120106983448984E-6</v>
      </c>
      <c r="J28" s="11">
        <v>3.4082419412371809E-3</v>
      </c>
      <c r="K28" s="11">
        <v>8.0648767470645881E-6</v>
      </c>
      <c r="L28" s="11">
        <v>8.2908006451170232E-2</v>
      </c>
      <c r="M28" s="11">
        <v>0.94040360555025926</v>
      </c>
    </row>
    <row r="29" spans="1:13" x14ac:dyDescent="0.3">
      <c r="A29" s="13">
        <v>41974.5</v>
      </c>
      <c r="B29" s="11">
        <v>0.18941627907630701</v>
      </c>
      <c r="C29" s="11">
        <v>2.7115064423906987E-2</v>
      </c>
      <c r="D29" s="11">
        <v>2.6633778513692578E-2</v>
      </c>
      <c r="E29" s="11">
        <v>4.5390819782188389E-2</v>
      </c>
      <c r="F29" s="11">
        <v>0.49302862511794443</v>
      </c>
      <c r="G29" s="11">
        <v>2.8331988345047582E-5</v>
      </c>
      <c r="H29" s="11">
        <v>0.1146828915216897</v>
      </c>
      <c r="I29" s="11">
        <v>8.9255707472220298E-6</v>
      </c>
      <c r="J29" s="11">
        <v>2.1984080769628229E-2</v>
      </c>
      <c r="K29" s="11">
        <v>3.0761626784216786E-5</v>
      </c>
      <c r="L29" s="11">
        <v>8.1680441608766266E-2</v>
      </c>
      <c r="M29" s="11">
        <v>0.93340460116982649</v>
      </c>
    </row>
    <row r="30" spans="1:13" x14ac:dyDescent="0.3">
      <c r="A30" s="13">
        <v>41981.5</v>
      </c>
      <c r="B30" s="11">
        <v>0.1814437713900181</v>
      </c>
      <c r="C30" s="11">
        <v>3.4759842610777199E-3</v>
      </c>
      <c r="D30" s="11">
        <v>2.22350130416928E-2</v>
      </c>
      <c r="E30" s="11">
        <v>7.8210299366427191E-2</v>
      </c>
      <c r="F30" s="11">
        <v>0.50521216253847612</v>
      </c>
      <c r="G30" s="11">
        <v>8.6520006049458736E-6</v>
      </c>
      <c r="H30" s="11">
        <v>0.10140628120586033</v>
      </c>
      <c r="I30" s="11">
        <v>2.7402377180716182E-6</v>
      </c>
      <c r="J30" s="11">
        <v>3.8232346648226258E-2</v>
      </c>
      <c r="K30" s="11">
        <v>8.768500603767354E-6</v>
      </c>
      <c r="L30" s="11">
        <v>6.9763980809294676E-2</v>
      </c>
      <c r="M30" s="11">
        <v>0.93308873521154956</v>
      </c>
    </row>
    <row r="31" spans="1:13" x14ac:dyDescent="0.3">
      <c r="A31" s="13">
        <v>41988</v>
      </c>
      <c r="B31" s="11">
        <v>0.18324225837282784</v>
      </c>
      <c r="C31" s="11">
        <v>1.4819883949778867E-5</v>
      </c>
      <c r="D31" s="11">
        <v>3.3059892025229551E-3</v>
      </c>
      <c r="E31" s="11">
        <v>9.2282709192463744E-2</v>
      </c>
      <c r="F31" s="11">
        <v>0.51874587889453316</v>
      </c>
      <c r="G31" s="11">
        <v>1.6292459772204003E-6</v>
      </c>
      <c r="H31" s="11">
        <v>8.5670655338412408E-2</v>
      </c>
      <c r="I31" s="11">
        <v>7.7915891269662607E-7</v>
      </c>
      <c r="J31" s="11">
        <v>4.7850312877038947E-2</v>
      </c>
      <c r="K31" s="11">
        <v>1.2479735817476456E-6</v>
      </c>
      <c r="L31" s="11">
        <v>6.8883719859779494E-2</v>
      </c>
      <c r="M31" s="11">
        <v>0.93149374618038239</v>
      </c>
    </row>
    <row r="32" spans="1:13" x14ac:dyDescent="0.3">
      <c r="A32" s="13">
        <v>41995.5</v>
      </c>
      <c r="B32" s="11">
        <v>0.18277336105455128</v>
      </c>
      <c r="C32" s="11">
        <v>1.5123825380350547E-5</v>
      </c>
      <c r="D32" s="11">
        <v>2.9890387378622937E-5</v>
      </c>
      <c r="E32" s="11">
        <v>3.1584502095056668E-5</v>
      </c>
      <c r="F32" s="11">
        <v>0.57035141721899063</v>
      </c>
      <c r="G32" s="11">
        <v>6.6806428294991023E-5</v>
      </c>
      <c r="H32" s="11">
        <v>0.11300257167533218</v>
      </c>
      <c r="I32" s="11">
        <v>3.4754303005298962E-6</v>
      </c>
      <c r="J32" s="11">
        <v>5.1695971122764854E-2</v>
      </c>
      <c r="K32" s="11">
        <v>9.8794940353779517E-6</v>
      </c>
      <c r="L32" s="11">
        <v>8.2019918860876173E-2</v>
      </c>
      <c r="M32" s="11">
        <v>0.91542444641806164</v>
      </c>
    </row>
    <row r="33" spans="1:13" x14ac:dyDescent="0.3">
      <c r="A33" s="13">
        <v>42002.5</v>
      </c>
      <c r="B33" s="11">
        <v>0.16490981791123754</v>
      </c>
      <c r="C33" s="11">
        <v>3.5650184779491527E-6</v>
      </c>
      <c r="D33" s="11">
        <v>4.6919296950465484E-6</v>
      </c>
      <c r="E33" s="11">
        <v>3.0396761668793331E-2</v>
      </c>
      <c r="F33" s="11">
        <v>0.59229119319904389</v>
      </c>
      <c r="G33" s="11">
        <v>8.9653930081812027E-5</v>
      </c>
      <c r="H33" s="11">
        <v>0.10348272433731953</v>
      </c>
      <c r="I33" s="11">
        <v>9.0693968033034952E-7</v>
      </c>
      <c r="J33" s="11">
        <v>5.9246073058850601E-2</v>
      </c>
      <c r="K33" s="11">
        <v>4.769340130070174E-6</v>
      </c>
      <c r="L33" s="11">
        <v>4.9569842666689914E-2</v>
      </c>
      <c r="M33" s="11">
        <v>0.9106624772861841</v>
      </c>
    </row>
    <row r="34" spans="1:13" x14ac:dyDescent="0.3">
      <c r="A34" s="13">
        <v>42009.5</v>
      </c>
      <c r="B34" s="11">
        <v>0.16352356007708885</v>
      </c>
      <c r="C34" s="11">
        <v>8.4037144862028601E-6</v>
      </c>
      <c r="D34" s="11">
        <v>1.3281602029305755E-5</v>
      </c>
      <c r="E34" s="11">
        <v>8.2926136813388918E-5</v>
      </c>
      <c r="F34" s="11">
        <v>0.58899129854264709</v>
      </c>
      <c r="G34" s="11">
        <v>3.0689372315917916E-2</v>
      </c>
      <c r="H34" s="11">
        <v>0.1458779073038223</v>
      </c>
      <c r="I34" s="11">
        <v>2.3560187573898123E-6</v>
      </c>
      <c r="J34" s="11">
        <v>6.1009559666137109E-2</v>
      </c>
      <c r="K34" s="11">
        <v>2.1417153526889445E-5</v>
      </c>
      <c r="L34" s="11">
        <v>9.7799174687735729E-3</v>
      </c>
      <c r="M34" s="11">
        <v>0.92926960849286133</v>
      </c>
    </row>
    <row r="35" spans="1:13" x14ac:dyDescent="0.3">
      <c r="A35" s="13">
        <v>42016.5</v>
      </c>
      <c r="B35" s="11">
        <v>0.15575454750591322</v>
      </c>
      <c r="C35" s="11">
        <v>2.5232346408063017E-7</v>
      </c>
      <c r="D35" s="11">
        <v>4.0205717185366971E-7</v>
      </c>
      <c r="E35" s="11">
        <v>4.3166050189912137E-6</v>
      </c>
      <c r="F35" s="11">
        <v>0.59135359770326912</v>
      </c>
      <c r="G35" s="11">
        <v>1.4440079533027891E-2</v>
      </c>
      <c r="H35" s="11">
        <v>0.15616224957734076</v>
      </c>
      <c r="I35" s="11">
        <v>8.115991680436044E-8</v>
      </c>
      <c r="J35" s="11">
        <v>7.2384065548795395E-2</v>
      </c>
      <c r="K35" s="11">
        <v>1.2457607230310005E-4</v>
      </c>
      <c r="L35" s="11">
        <v>9.7758319137786973E-3</v>
      </c>
      <c r="M35" s="11">
        <v>0.9274896601212439</v>
      </c>
    </row>
    <row r="36" spans="1:13" x14ac:dyDescent="0.3">
      <c r="A36" s="13">
        <v>42023.5</v>
      </c>
      <c r="B36" s="11">
        <v>0.15624459718737085</v>
      </c>
      <c r="C36" s="11">
        <v>8.8011612513790191E-6</v>
      </c>
      <c r="D36" s="11">
        <v>1.1098085233969323E-5</v>
      </c>
      <c r="E36" s="11">
        <v>4.7010337699782735E-5</v>
      </c>
      <c r="F36" s="11">
        <v>0.59197686849325903</v>
      </c>
      <c r="G36" s="11">
        <v>1.9912472341563434E-2</v>
      </c>
      <c r="H36" s="11">
        <v>0.15026245918190267</v>
      </c>
      <c r="I36" s="11">
        <v>2.0971242749953344E-6</v>
      </c>
      <c r="J36" s="11">
        <v>6.4979499565319732E-2</v>
      </c>
      <c r="K36" s="11">
        <v>8.2889355360245135E-5</v>
      </c>
      <c r="L36" s="11">
        <v>1.647220716676372E-2</v>
      </c>
      <c r="M36" s="11">
        <v>0.93158182124680988</v>
      </c>
    </row>
    <row r="37" spans="1:13" x14ac:dyDescent="0.3">
      <c r="A37" s="13">
        <v>42030.5</v>
      </c>
      <c r="B37" s="11">
        <v>0.15738219777363849</v>
      </c>
      <c r="C37" s="11">
        <v>1.4786126999362638E-5</v>
      </c>
      <c r="D37" s="11">
        <v>3.9527997531194943E-6</v>
      </c>
      <c r="E37" s="11">
        <v>8.3491186027558501E-5</v>
      </c>
      <c r="F37" s="11">
        <v>0.60442729938890649</v>
      </c>
      <c r="G37" s="11">
        <v>1.6224059691913175E-5</v>
      </c>
      <c r="H37" s="11">
        <v>0.14502911239580571</v>
      </c>
      <c r="I37" s="11">
        <v>1.1195274059553012E-6</v>
      </c>
      <c r="J37" s="11">
        <v>6.815205526894233E-2</v>
      </c>
      <c r="K37" s="11">
        <v>5.3854391195573754E-5</v>
      </c>
      <c r="L37" s="11">
        <v>2.4835907081633506E-2</v>
      </c>
      <c r="M37" s="11">
        <v>0.92876434319915346</v>
      </c>
    </row>
    <row r="38" spans="1:13" x14ac:dyDescent="0.3">
      <c r="A38" s="13">
        <v>42037.5</v>
      </c>
      <c r="B38" s="11">
        <v>0.16274583698919923</v>
      </c>
      <c r="C38" s="11">
        <v>9.4472807057164645E-6</v>
      </c>
      <c r="D38" s="11">
        <v>2.1473379785611226E-6</v>
      </c>
      <c r="E38" s="11">
        <v>3.3977021259617409E-5</v>
      </c>
      <c r="F38" s="11">
        <v>0.60373561779692808</v>
      </c>
      <c r="G38" s="11">
        <v>7.5253660704278729E-5</v>
      </c>
      <c r="H38" s="11">
        <v>0.15670452533291257</v>
      </c>
      <c r="I38" s="11">
        <v>6.8299400485740214E-7</v>
      </c>
      <c r="J38" s="11">
        <v>6.124148069576435E-2</v>
      </c>
      <c r="K38" s="11">
        <v>2.5545789190766963E-5</v>
      </c>
      <c r="L38" s="11">
        <v>1.5425485101351987E-2</v>
      </c>
      <c r="M38" s="11">
        <v>0.95745521699540981</v>
      </c>
    </row>
    <row r="39" spans="1:13" x14ac:dyDescent="0.3">
      <c r="A39" s="13">
        <v>42044.5</v>
      </c>
      <c r="B39" s="11">
        <v>0.16546466447037142</v>
      </c>
      <c r="C39" s="11">
        <v>2.1946063533980756E-5</v>
      </c>
      <c r="D39" s="11">
        <v>4.4048591575080054E-6</v>
      </c>
      <c r="E39" s="11">
        <v>9.1934443830910002E-3</v>
      </c>
      <c r="F39" s="11">
        <v>0.61022098349697029</v>
      </c>
      <c r="G39" s="11">
        <v>2.0977750613196005E-5</v>
      </c>
      <c r="H39" s="11">
        <v>0.15633820023318054</v>
      </c>
      <c r="I39" s="11">
        <v>1.1681445551965439E-6</v>
      </c>
      <c r="J39" s="11">
        <v>5.0692894155361837E-2</v>
      </c>
      <c r="K39" s="11">
        <v>7.4477921451023826E-5</v>
      </c>
      <c r="L39" s="11">
        <v>7.9668385217140335E-3</v>
      </c>
      <c r="M39" s="11">
        <v>0.96494611516709472</v>
      </c>
    </row>
    <row r="40" spans="1:13" x14ac:dyDescent="0.3">
      <c r="A40" s="13">
        <v>42050</v>
      </c>
      <c r="B40" s="11">
        <v>0.14207780626050318</v>
      </c>
      <c r="C40" s="11">
        <v>9.1175471366185783E-5</v>
      </c>
      <c r="D40" s="11">
        <v>1.6730865251885451E-6</v>
      </c>
      <c r="E40" s="11">
        <v>0.10011738288859953</v>
      </c>
      <c r="F40" s="11">
        <v>0.59726929229961645</v>
      </c>
      <c r="G40" s="11">
        <v>3.4269593811206986E-5</v>
      </c>
      <c r="H40" s="11">
        <v>3.3826331925131035E-2</v>
      </c>
      <c r="I40" s="11">
        <v>5.7731270521538596E-7</v>
      </c>
      <c r="J40" s="11">
        <v>5.9838206120934004E-2</v>
      </c>
      <c r="K40" s="11">
        <v>6.6742362252996235E-2</v>
      </c>
      <c r="L40" s="11">
        <v>9.227878118742817E-7</v>
      </c>
      <c r="M40" s="11">
        <v>0.970363659108059</v>
      </c>
    </row>
    <row r="41" spans="1:13" x14ac:dyDescent="0.3">
      <c r="A41" s="13">
        <v>42058.5</v>
      </c>
      <c r="B41" s="11">
        <v>0.1194081951252423</v>
      </c>
      <c r="C41" s="11">
        <v>1.6105578731364283E-6</v>
      </c>
      <c r="D41" s="11">
        <v>7.433293322596582E-7</v>
      </c>
      <c r="E41" s="11">
        <v>6.2690315475764549E-2</v>
      </c>
      <c r="F41" s="11">
        <v>0.58074550194481234</v>
      </c>
      <c r="G41" s="11">
        <v>1.6148088905661255E-6</v>
      </c>
      <c r="H41" s="11">
        <v>8.8447109266728968E-5</v>
      </c>
      <c r="I41" s="11">
        <v>4.8848990126762881E-7</v>
      </c>
      <c r="J41" s="11">
        <v>4.9723412951314078E-2</v>
      </c>
      <c r="K41" s="11">
        <v>0.18557794063765948</v>
      </c>
      <c r="L41" s="11">
        <v>1.7617295699432971E-3</v>
      </c>
      <c r="M41" s="11">
        <v>0.96231771617276918</v>
      </c>
    </row>
    <row r="42" spans="1:13" x14ac:dyDescent="0.3">
      <c r="A42" s="13">
        <v>42065.5</v>
      </c>
      <c r="B42" s="11">
        <v>0.11681944358973344</v>
      </c>
      <c r="C42" s="11">
        <v>5.2965875569125488E-6</v>
      </c>
      <c r="D42" s="11">
        <v>2.5885483820645238E-6</v>
      </c>
      <c r="E42" s="11">
        <v>4.9096851030535404E-2</v>
      </c>
      <c r="F42" s="11">
        <v>0.58679171832560062</v>
      </c>
      <c r="G42" s="11">
        <v>6.515274294521571E-6</v>
      </c>
      <c r="H42" s="11">
        <v>8.4774248659606061E-5</v>
      </c>
      <c r="I42" s="11">
        <v>1.7192361720212499E-6</v>
      </c>
      <c r="J42" s="11">
        <v>5.7735887442500321E-2</v>
      </c>
      <c r="K42" s="11">
        <v>0.18744179977452172</v>
      </c>
      <c r="L42" s="11">
        <v>2.0134059420433407E-3</v>
      </c>
      <c r="M42" s="11">
        <v>0.96444756973769519</v>
      </c>
    </row>
    <row r="43" spans="1:13" x14ac:dyDescent="0.3">
      <c r="A43" s="13">
        <v>42072.5</v>
      </c>
      <c r="B43" s="11">
        <v>0.12868996246049702</v>
      </c>
      <c r="C43" s="11">
        <v>7.8004230685194177E-6</v>
      </c>
      <c r="D43" s="11">
        <v>3.3183747411809119E-6</v>
      </c>
      <c r="E43" s="11">
        <v>9.0940643425867944E-5</v>
      </c>
      <c r="F43" s="11">
        <v>0.50266487689759887</v>
      </c>
      <c r="G43" s="11">
        <v>6.5612502128329625E-6</v>
      </c>
      <c r="H43" s="11">
        <v>7.7971665201373364E-6</v>
      </c>
      <c r="I43" s="11">
        <v>2.216164141956151E-6</v>
      </c>
      <c r="J43" s="11">
        <v>2.8550991436902578E-2</v>
      </c>
      <c r="K43" s="11">
        <v>0.33622887227116499</v>
      </c>
      <c r="L43" s="11">
        <v>3.7466629117260692E-3</v>
      </c>
      <c r="M43" s="11">
        <v>0.96373116988650953</v>
      </c>
    </row>
    <row r="44" spans="1:13" x14ac:dyDescent="0.3">
      <c r="A44" s="13">
        <v>42079.5</v>
      </c>
      <c r="B44" s="11">
        <v>0.13152379909254669</v>
      </c>
      <c r="C44" s="11">
        <v>1.2778365418603364E-5</v>
      </c>
      <c r="D44" s="11">
        <v>5.4054140041708189E-6</v>
      </c>
      <c r="E44" s="11">
        <v>9.1189474633085558E-5</v>
      </c>
      <c r="F44" s="11">
        <v>0.50194738226842417</v>
      </c>
      <c r="G44" s="11">
        <v>9.8220265696197311E-6</v>
      </c>
      <c r="H44" s="11">
        <v>1.1996735046500183E-5</v>
      </c>
      <c r="I44" s="11">
        <v>3.9968183822215732E-6</v>
      </c>
      <c r="J44" s="11">
        <v>2.3923940861830282E-2</v>
      </c>
      <c r="K44" s="11">
        <v>0.34155011749024616</v>
      </c>
      <c r="L44" s="11">
        <v>9.1957145289851361E-4</v>
      </c>
      <c r="M44" s="11">
        <v>0.9677759245434181</v>
      </c>
    </row>
    <row r="45" spans="1:13" x14ac:dyDescent="0.3">
      <c r="A45" s="13">
        <v>42086.5</v>
      </c>
      <c r="B45" s="11">
        <v>0.1313048123300633</v>
      </c>
      <c r="C45" s="11">
        <v>6.4725856577754396E-6</v>
      </c>
      <c r="D45" s="11">
        <v>2.8536428943123244E-6</v>
      </c>
      <c r="E45" s="11">
        <v>3.5567668781985615E-5</v>
      </c>
      <c r="F45" s="11">
        <v>0.50398778450703929</v>
      </c>
      <c r="G45" s="11">
        <v>4.9361565075580822E-6</v>
      </c>
      <c r="H45" s="11">
        <v>6.1154551675445175E-6</v>
      </c>
      <c r="I45" s="11">
        <v>2.0923123644285252E-6</v>
      </c>
      <c r="J45" s="11">
        <v>2.6451980246810936E-2</v>
      </c>
      <c r="K45" s="11">
        <v>0.33797502970422522</v>
      </c>
      <c r="L45" s="11">
        <v>2.223553904876831E-4</v>
      </c>
      <c r="M45" s="11">
        <v>0.96770779572171417</v>
      </c>
    </row>
    <row r="46" spans="1:13" x14ac:dyDescent="0.3">
      <c r="A46" s="13">
        <v>42093.5</v>
      </c>
      <c r="B46" s="11">
        <v>0.13253622174290258</v>
      </c>
      <c r="C46" s="11">
        <v>9.1959659908236517E-6</v>
      </c>
      <c r="D46" s="11">
        <v>4.5183846774791157E-6</v>
      </c>
      <c r="E46" s="11">
        <v>8.4256676430518993E-5</v>
      </c>
      <c r="F46" s="11">
        <v>0.49967655563450647</v>
      </c>
      <c r="G46" s="11">
        <v>8.7921172322610148E-6</v>
      </c>
      <c r="H46" s="11">
        <v>1.0624911627026802E-5</v>
      </c>
      <c r="I46" s="11">
        <v>3.3429047086831447E-6</v>
      </c>
      <c r="J46" s="11">
        <v>2.3107151390178125E-2</v>
      </c>
      <c r="K46" s="11">
        <v>0.34415863744832303</v>
      </c>
      <c r="L46" s="11">
        <v>4.0070282342311963E-4</v>
      </c>
      <c r="M46" s="11">
        <v>0.96821369934085</v>
      </c>
    </row>
    <row r="47" spans="1:13" x14ac:dyDescent="0.3">
      <c r="A47" s="13">
        <v>42100.5</v>
      </c>
      <c r="B47" s="11">
        <v>0.13103627118653086</v>
      </c>
      <c r="C47" s="11">
        <v>1.8266122060922741E-5</v>
      </c>
      <c r="D47" s="11">
        <v>8.3925683563033834E-6</v>
      </c>
      <c r="E47" s="11">
        <v>8.8533201489095605E-5</v>
      </c>
      <c r="F47" s="11">
        <v>0.50312021139562391</v>
      </c>
      <c r="G47" s="11">
        <v>1.4321171468513952E-5</v>
      </c>
      <c r="H47" s="11">
        <v>1.9429357727077554E-5</v>
      </c>
      <c r="I47" s="11">
        <v>6.5866002323368385E-6</v>
      </c>
      <c r="J47" s="11">
        <v>2.3796304327348066E-2</v>
      </c>
      <c r="K47" s="11">
        <v>0.34181073303091553</v>
      </c>
      <c r="L47" s="11">
        <v>8.0951038247406901E-5</v>
      </c>
      <c r="M47" s="11">
        <v>0.97139419291131268</v>
      </c>
    </row>
    <row r="48" spans="1:13" x14ac:dyDescent="0.3">
      <c r="A48" s="13">
        <v>42107.5</v>
      </c>
      <c r="B48" s="11">
        <v>0.13631154027099332</v>
      </c>
      <c r="C48" s="11">
        <v>2.2074010958536195E-5</v>
      </c>
      <c r="D48" s="11">
        <v>1.4156159206627646E-5</v>
      </c>
      <c r="E48" s="11">
        <v>2.4074748431309464E-5</v>
      </c>
      <c r="F48" s="11">
        <v>0.46897990002443413</v>
      </c>
      <c r="G48" s="11">
        <v>3.1924929140346938E-5</v>
      </c>
      <c r="H48" s="11">
        <v>5.0511063346563704E-5</v>
      </c>
      <c r="I48" s="11">
        <v>3.4697895637100116E-6</v>
      </c>
      <c r="J48" s="11">
        <v>1.1261680153002969E-2</v>
      </c>
      <c r="K48" s="11">
        <v>0.36759055293509985</v>
      </c>
      <c r="L48" s="11">
        <v>1.5710115915822609E-2</v>
      </c>
      <c r="M48" s="11">
        <v>0.96856199100417961</v>
      </c>
    </row>
    <row r="49" spans="1:13" x14ac:dyDescent="0.3">
      <c r="A49" s="13">
        <v>42113.5</v>
      </c>
      <c r="B49" s="11">
        <v>0.1338249143105609</v>
      </c>
      <c r="C49" s="11">
        <v>2.3880438281175589E-5</v>
      </c>
      <c r="D49" s="11">
        <v>1.5846702591406756E-5</v>
      </c>
      <c r="E49" s="11">
        <v>2.5398323820776569E-5</v>
      </c>
      <c r="F49" s="11">
        <v>0.46758007724104272</v>
      </c>
      <c r="G49" s="11">
        <v>3.8582422851025913E-5</v>
      </c>
      <c r="H49" s="11">
        <v>6.5955877450869411E-5</v>
      </c>
      <c r="I49" s="11">
        <v>3.9450896127145127E-6</v>
      </c>
      <c r="J49" s="11">
        <v>1.2929140607356679E-2</v>
      </c>
      <c r="K49" s="11">
        <v>0.36816918199127363</v>
      </c>
      <c r="L49" s="11">
        <v>1.7323076995158088E-2</v>
      </c>
      <c r="M49" s="11">
        <v>0.96993058791956543</v>
      </c>
    </row>
    <row r="50" spans="1:13" x14ac:dyDescent="0.3">
      <c r="A50" s="13">
        <v>42121.5</v>
      </c>
      <c r="B50" s="11">
        <v>0.11714538083425582</v>
      </c>
      <c r="C50" s="11">
        <v>6.1831498295480595E-6</v>
      </c>
      <c r="D50" s="11">
        <v>3.100167416773233E-6</v>
      </c>
      <c r="E50" s="11">
        <v>4.901486836877608E-6</v>
      </c>
      <c r="F50" s="11">
        <v>0.47937838913981207</v>
      </c>
      <c r="G50" s="11">
        <v>1.1560282680746267E-5</v>
      </c>
      <c r="H50" s="11">
        <v>8.852274902839869E-5</v>
      </c>
      <c r="I50" s="11">
        <v>6.9626578636646646E-7</v>
      </c>
      <c r="J50" s="11">
        <v>2.6617653986161234E-2</v>
      </c>
      <c r="K50" s="11">
        <v>0.35197241370948618</v>
      </c>
      <c r="L50" s="11">
        <v>2.4771198228705976E-2</v>
      </c>
      <c r="M50" s="11">
        <v>0.97069805868651449</v>
      </c>
    </row>
    <row r="51" spans="1:13" x14ac:dyDescent="0.3">
      <c r="A51" s="13">
        <v>42128.5</v>
      </c>
      <c r="B51" s="11">
        <v>0.10743097528703856</v>
      </c>
      <c r="C51" s="11">
        <v>9.4274790940436138E-5</v>
      </c>
      <c r="D51" s="11">
        <v>1.3462200642978916E-6</v>
      </c>
      <c r="E51" s="11">
        <v>1.6725728429729862E-6</v>
      </c>
      <c r="F51" s="11">
        <v>0.48871456710768546</v>
      </c>
      <c r="G51" s="11">
        <v>1.9524140752504878E-5</v>
      </c>
      <c r="H51" s="11">
        <v>1.0608842107143672E-5</v>
      </c>
      <c r="I51" s="11">
        <v>2.5450476350170987E-7</v>
      </c>
      <c r="J51" s="11">
        <v>4.1982686654688038E-2</v>
      </c>
      <c r="K51" s="11">
        <v>0.33324687577327194</v>
      </c>
      <c r="L51" s="11">
        <v>2.8497214105845093E-2</v>
      </c>
      <c r="M51" s="11">
        <v>0.97052555857731226</v>
      </c>
    </row>
    <row r="52" spans="1:13" x14ac:dyDescent="0.3">
      <c r="A52" s="13">
        <v>42135.5</v>
      </c>
      <c r="B52" s="11">
        <v>9.4852861087699081E-2</v>
      </c>
      <c r="C52" s="11">
        <v>1.743893119720155E-5</v>
      </c>
      <c r="D52" s="11">
        <v>8.826994919483662E-6</v>
      </c>
      <c r="E52" s="11">
        <v>9.5095283939679318E-6</v>
      </c>
      <c r="F52" s="11">
        <v>0.46125941130031328</v>
      </c>
      <c r="G52" s="11">
        <v>4.6908696163633974E-2</v>
      </c>
      <c r="H52" s="11">
        <v>1.2453928644331577E-2</v>
      </c>
      <c r="I52" s="11">
        <v>1.2042607819440718E-6</v>
      </c>
      <c r="J52" s="11">
        <v>3.5805242284954571E-5</v>
      </c>
      <c r="K52" s="11">
        <v>0.35474785980368639</v>
      </c>
      <c r="L52" s="11">
        <v>2.9704458042758206E-2</v>
      </c>
      <c r="M52" s="11">
        <v>0.97116382346758079</v>
      </c>
    </row>
    <row r="53" spans="1:13" x14ac:dyDescent="0.3">
      <c r="A53" s="13">
        <v>42140.5</v>
      </c>
      <c r="B53" s="11">
        <v>8.3151788132112617E-2</v>
      </c>
      <c r="C53" s="11">
        <v>9.8280191407014612E-3</v>
      </c>
      <c r="D53" s="11">
        <v>9.1290939437122157E-7</v>
      </c>
      <c r="E53" s="11">
        <v>7.9619067849056512E-7</v>
      </c>
      <c r="F53" s="11">
        <v>0.46787459707861856</v>
      </c>
      <c r="G53" s="11">
        <v>1.0078973251176015E-4</v>
      </c>
      <c r="H53" s="11">
        <v>5.2545661999808174E-2</v>
      </c>
      <c r="I53" s="11">
        <v>1.2754764947525764E-7</v>
      </c>
      <c r="J53" s="11">
        <v>9.0883894695803865E-7</v>
      </c>
      <c r="K53" s="11">
        <v>0.34767543826057479</v>
      </c>
      <c r="L53" s="11">
        <v>3.8820960169003264E-2</v>
      </c>
      <c r="M53" s="11">
        <v>0.9726785848105719</v>
      </c>
    </row>
    <row r="54" spans="1:13" x14ac:dyDescent="0.3">
      <c r="A54" s="13">
        <v>42149.5</v>
      </c>
      <c r="B54" s="11">
        <v>3.8412092514232644E-2</v>
      </c>
      <c r="C54" s="11">
        <v>4.4419608288345507E-2</v>
      </c>
      <c r="D54" s="11">
        <v>4.5559454148118192E-7</v>
      </c>
      <c r="E54" s="11">
        <v>1.7868328155869634E-7</v>
      </c>
      <c r="F54" s="11">
        <v>0.50630969629447664</v>
      </c>
      <c r="G54" s="11">
        <v>2.0746111524108976E-2</v>
      </c>
      <c r="H54" s="11">
        <v>3.1298967712714809E-4</v>
      </c>
      <c r="I54" s="11">
        <v>4.754851028261435E-8</v>
      </c>
      <c r="J54" s="11">
        <v>2.6868560156266819E-7</v>
      </c>
      <c r="K54" s="11">
        <v>0.32743618354346044</v>
      </c>
      <c r="L54" s="11">
        <v>6.236236764631381E-2</v>
      </c>
      <c r="M54" s="11">
        <v>0.97869970374241633</v>
      </c>
    </row>
    <row r="55" spans="1:13" x14ac:dyDescent="0.3">
      <c r="A55" s="13">
        <v>42156.5</v>
      </c>
      <c r="B55" s="11">
        <v>9.9750764076728671E-3</v>
      </c>
      <c r="C55" s="11">
        <v>4.2007314051232925E-2</v>
      </c>
      <c r="D55" s="11">
        <v>8.4194701811920685E-5</v>
      </c>
      <c r="E55" s="11">
        <v>7.0785894461224762E-6</v>
      </c>
      <c r="F55" s="11">
        <v>0.52036092571233827</v>
      </c>
      <c r="G55" s="11">
        <v>5.4759279770193993E-2</v>
      </c>
      <c r="H55" s="11">
        <v>2.2090045176661969E-2</v>
      </c>
      <c r="I55" s="11">
        <v>4.3535534120946975E-6</v>
      </c>
      <c r="J55" s="11">
        <v>7.7152451922723591E-6</v>
      </c>
      <c r="K55" s="11">
        <v>0.28908000830507796</v>
      </c>
      <c r="L55" s="11">
        <v>6.1624008486959626E-2</v>
      </c>
      <c r="M55" s="11">
        <v>0.98124181865454763</v>
      </c>
    </row>
    <row r="56" spans="1:13" x14ac:dyDescent="0.3">
      <c r="A56" s="13">
        <v>42163.5</v>
      </c>
      <c r="B56" s="11">
        <v>1.1716828888386039E-2</v>
      </c>
      <c r="C56" s="11">
        <v>5.8195456413274026E-2</v>
      </c>
      <c r="D56" s="11">
        <v>8.2615035689311703E-5</v>
      </c>
      <c r="E56" s="11">
        <v>5.1407728934132121E-6</v>
      </c>
      <c r="F56" s="11">
        <v>0.55458221229464366</v>
      </c>
      <c r="G56" s="11">
        <v>3.9384209416937127E-2</v>
      </c>
      <c r="H56" s="11">
        <v>1.0209427025314867E-2</v>
      </c>
      <c r="I56" s="11">
        <v>3.6768250776352674E-6</v>
      </c>
      <c r="J56" s="11">
        <v>6.5553520412003122E-6</v>
      </c>
      <c r="K56" s="11">
        <v>0.26124163222676278</v>
      </c>
      <c r="L56" s="11">
        <v>6.4572245748980003E-2</v>
      </c>
      <c r="M56" s="11">
        <v>0.98155913098697067</v>
      </c>
    </row>
    <row r="57" spans="1:13" x14ac:dyDescent="0.3">
      <c r="A57" s="13">
        <v>42170.5</v>
      </c>
      <c r="B57" s="11">
        <v>3.0312693992747916E-5</v>
      </c>
      <c r="C57" s="11">
        <v>6.918206276310114E-2</v>
      </c>
      <c r="D57" s="11">
        <v>8.4231621300681869E-5</v>
      </c>
      <c r="E57" s="11">
        <v>2.9558617292179135E-6</v>
      </c>
      <c r="F57" s="11">
        <v>0.55601610989980388</v>
      </c>
      <c r="G57" s="11">
        <v>1.2923888411694534E-2</v>
      </c>
      <c r="H57" s="11">
        <v>4.0886753063052249E-2</v>
      </c>
      <c r="I57" s="11">
        <v>1.6566531811719022E-6</v>
      </c>
      <c r="J57" s="11">
        <v>2.1345307889178207E-6</v>
      </c>
      <c r="K57" s="11">
        <v>0.25152595193911315</v>
      </c>
      <c r="L57" s="11">
        <v>6.9343942562242217E-2</v>
      </c>
      <c r="M57" s="11">
        <v>0.98303920541525802</v>
      </c>
    </row>
    <row r="58" spans="1:13" x14ac:dyDescent="0.3">
      <c r="A58" s="13">
        <v>42177.5</v>
      </c>
      <c r="B58" s="11">
        <v>4.8954414319025888E-6</v>
      </c>
      <c r="C58" s="11">
        <v>6.4177478729168722E-2</v>
      </c>
      <c r="D58" s="11">
        <v>8.5243664893813262E-5</v>
      </c>
      <c r="E58" s="11">
        <v>1.8172899289350764E-6</v>
      </c>
      <c r="F58" s="11">
        <v>0.55788598976088366</v>
      </c>
      <c r="G58" s="11">
        <v>1.9284829396805623E-2</v>
      </c>
      <c r="H58" s="11">
        <v>3.6215479497522719E-2</v>
      </c>
      <c r="I58" s="11">
        <v>8.5888919451729342E-7</v>
      </c>
      <c r="J58" s="11">
        <v>1.3997401533521603E-6</v>
      </c>
      <c r="K58" s="11">
        <v>0.25343637821172404</v>
      </c>
      <c r="L58" s="11">
        <v>6.8905629378292768E-2</v>
      </c>
      <c r="M58" s="11">
        <v>0.98337860591598125</v>
      </c>
    </row>
    <row r="59" spans="1:13" x14ac:dyDescent="0.3">
      <c r="A59" s="13">
        <v>42184.5</v>
      </c>
      <c r="B59" s="11">
        <v>4.3311833006665939E-6</v>
      </c>
      <c r="C59" s="11">
        <v>5.8961786332617276E-2</v>
      </c>
      <c r="D59" s="11">
        <v>9.0173785774370368E-5</v>
      </c>
      <c r="E59" s="11">
        <v>1.4188128722832474E-6</v>
      </c>
      <c r="F59" s="11">
        <v>0.57547718812894599</v>
      </c>
      <c r="G59" s="11">
        <v>1.3530888915727648E-2</v>
      </c>
      <c r="H59" s="11">
        <v>2.7383382240267904E-2</v>
      </c>
      <c r="I59" s="11">
        <v>7.0242851090487208E-7</v>
      </c>
      <c r="J59" s="11">
        <v>1.042354667534324E-6</v>
      </c>
      <c r="K59" s="11">
        <v>0.25120916513382846</v>
      </c>
      <c r="L59" s="11">
        <v>7.3339920683486937E-2</v>
      </c>
      <c r="M59" s="11">
        <v>0.98356842177593751</v>
      </c>
    </row>
    <row r="60" spans="1:13" x14ac:dyDescent="0.3">
      <c r="A60" s="13">
        <v>42190</v>
      </c>
      <c r="B60" s="11">
        <v>2.0867121304868523E-5</v>
      </c>
      <c r="C60" s="11">
        <v>5.1088950281410424E-2</v>
      </c>
      <c r="D60" s="11">
        <v>8.844855477566107E-5</v>
      </c>
      <c r="E60" s="11">
        <v>3.663230899958153E-6</v>
      </c>
      <c r="F60" s="11">
        <v>0.58191294791488368</v>
      </c>
      <c r="G60" s="11">
        <v>3.0486954578238735E-2</v>
      </c>
      <c r="H60" s="11">
        <v>1.4082823247473963E-2</v>
      </c>
      <c r="I60" s="11">
        <v>1.8414066238890702E-6</v>
      </c>
      <c r="J60" s="11">
        <v>2.9360972089526632E-6</v>
      </c>
      <c r="K60" s="11">
        <v>0.25251385726593878</v>
      </c>
      <c r="L60" s="11">
        <v>6.9796710301241058E-2</v>
      </c>
      <c r="M60" s="11">
        <v>0.98390282782816996</v>
      </c>
    </row>
    <row r="61" spans="1:13" x14ac:dyDescent="0.3">
      <c r="A61" s="13">
        <v>42198.5</v>
      </c>
      <c r="B61" s="11">
        <v>2.3607996507162868E-5</v>
      </c>
      <c r="C61" s="11">
        <v>4.0736552544434063E-2</v>
      </c>
      <c r="D61" s="11">
        <v>1.1870223680063392E-2</v>
      </c>
      <c r="E61" s="11">
        <v>3.9051669939852945E-6</v>
      </c>
      <c r="F61" s="11">
        <v>0.57639100403638566</v>
      </c>
      <c r="G61" s="11">
        <v>2.7536874375585746E-2</v>
      </c>
      <c r="H61" s="11">
        <v>7.1353870414529999E-3</v>
      </c>
      <c r="I61" s="11">
        <v>1.8642553041141127E-6</v>
      </c>
      <c r="J61" s="11">
        <v>3.0425353519410579E-6</v>
      </c>
      <c r="K61" s="11">
        <v>0.26473344068255017</v>
      </c>
      <c r="L61" s="11">
        <v>7.1564097685370906E-2</v>
      </c>
      <c r="M61" s="11">
        <v>0.984301678201709</v>
      </c>
    </row>
    <row r="62" spans="1:13" x14ac:dyDescent="0.3">
      <c r="A62" s="13">
        <v>42205.5</v>
      </c>
      <c r="B62" s="11">
        <v>1.7624280110444454E-6</v>
      </c>
      <c r="C62" s="11">
        <v>4.8425595707143325E-2</v>
      </c>
      <c r="D62" s="11">
        <v>1.4622470309860296E-3</v>
      </c>
      <c r="E62" s="11">
        <v>3.7770922153957666E-7</v>
      </c>
      <c r="F62" s="11">
        <v>0.57758862610039197</v>
      </c>
      <c r="G62" s="11">
        <v>3.755794030408062E-2</v>
      </c>
      <c r="H62" s="11">
        <v>3.3200445256673212E-3</v>
      </c>
      <c r="I62" s="11">
        <v>1.6796559667605419E-7</v>
      </c>
      <c r="J62" s="11">
        <v>2.9367935718892288E-7</v>
      </c>
      <c r="K62" s="11">
        <v>0.26207787203718669</v>
      </c>
      <c r="L62" s="11">
        <v>6.9565072512357551E-2</v>
      </c>
      <c r="M62" s="11">
        <v>0.98461528832484091</v>
      </c>
    </row>
    <row r="63" spans="1:13" x14ac:dyDescent="0.3">
      <c r="A63" s="13">
        <v>42212.5</v>
      </c>
      <c r="B63" s="11">
        <v>7.9863541559445136E-3</v>
      </c>
      <c r="C63" s="11">
        <v>4.5537598957872148E-2</v>
      </c>
      <c r="D63" s="11">
        <v>8.5042942516148288E-5</v>
      </c>
      <c r="E63" s="11">
        <v>1.4525522403883837E-6</v>
      </c>
      <c r="F63" s="11">
        <v>0.56995212038171694</v>
      </c>
      <c r="G63" s="11">
        <v>2.8120730246128777E-2</v>
      </c>
      <c r="H63" s="11">
        <v>1.5534400647271785E-5</v>
      </c>
      <c r="I63" s="11">
        <v>7.4351905168246146E-7</v>
      </c>
      <c r="J63" s="11">
        <v>1.4373839241655345E-6</v>
      </c>
      <c r="K63" s="11">
        <v>0.27841344888441433</v>
      </c>
      <c r="L63" s="11">
        <v>6.9885536575543639E-2</v>
      </c>
      <c r="M63" s="11">
        <v>0.98485057063712567</v>
      </c>
    </row>
    <row r="64" spans="1:13" x14ac:dyDescent="0.3">
      <c r="A64" s="13">
        <v>42219.5</v>
      </c>
      <c r="B64" s="11">
        <v>8.510376628455954E-3</v>
      </c>
      <c r="C64" s="11">
        <v>4.2940677527973883E-2</v>
      </c>
      <c r="D64" s="11">
        <v>8.3589585840228856E-5</v>
      </c>
      <c r="E64" s="11">
        <v>2.0276229113726785E-6</v>
      </c>
      <c r="F64" s="11">
        <v>0.56490238793165248</v>
      </c>
      <c r="G64" s="11">
        <v>3.2233007526123382E-2</v>
      </c>
      <c r="H64" s="11">
        <v>2.5076906713343657E-5</v>
      </c>
      <c r="I64" s="11">
        <v>1.0051550538638875E-6</v>
      </c>
      <c r="J64" s="11">
        <v>1.8351380840883861E-6</v>
      </c>
      <c r="K64" s="11">
        <v>0.28320952665226945</v>
      </c>
      <c r="L64" s="11">
        <v>6.8090489324921871E-2</v>
      </c>
      <c r="M64" s="11">
        <v>0.98486040616294312</v>
      </c>
    </row>
    <row r="65" spans="1:13" x14ac:dyDescent="0.3">
      <c r="A65" s="13">
        <v>42226.5</v>
      </c>
      <c r="B65" s="11">
        <v>7.8365149741995224E-3</v>
      </c>
      <c r="C65" s="11">
        <v>3.8041319059019051E-2</v>
      </c>
      <c r="D65" s="11">
        <v>8.5567451014558439E-5</v>
      </c>
      <c r="E65" s="11">
        <v>7.1503246104066737E-7</v>
      </c>
      <c r="F65" s="11">
        <v>0.56321811453262793</v>
      </c>
      <c r="G65" s="11">
        <v>4.1659631569515208E-2</v>
      </c>
      <c r="H65" s="11">
        <v>1.316124184244998E-5</v>
      </c>
      <c r="I65" s="11">
        <v>3.6126656117396312E-7</v>
      </c>
      <c r="J65" s="11">
        <v>6.2161245499050273E-7</v>
      </c>
      <c r="K65" s="11">
        <v>0.28287383082338641</v>
      </c>
      <c r="L65" s="11">
        <v>6.6270162436917662E-2</v>
      </c>
      <c r="M65" s="11">
        <v>0.9843507110725096</v>
      </c>
    </row>
    <row r="66" spans="1:13" x14ac:dyDescent="0.3">
      <c r="A66" s="13">
        <v>42233</v>
      </c>
      <c r="B66" s="11">
        <v>3.4191928072743148E-2</v>
      </c>
      <c r="C66" s="11">
        <v>7.4128637735722848E-3</v>
      </c>
      <c r="D66" s="11">
        <v>8.490428289050235E-5</v>
      </c>
      <c r="E66" s="11">
        <v>2.0174945030592222E-6</v>
      </c>
      <c r="F66" s="11">
        <v>0.53934417338478524</v>
      </c>
      <c r="G66" s="11">
        <v>1.775633970700095E-2</v>
      </c>
      <c r="H66" s="11">
        <v>1.6444621019369467E-5</v>
      </c>
      <c r="I66" s="11">
        <v>9.1960433672321929E-7</v>
      </c>
      <c r="J66" s="11">
        <v>2.8383604544598467E-6</v>
      </c>
      <c r="K66" s="11">
        <v>0.33361371208682661</v>
      </c>
      <c r="L66" s="11">
        <v>6.7573858611867627E-2</v>
      </c>
      <c r="M66" s="11">
        <v>0.98525075005640805</v>
      </c>
    </row>
    <row r="67" spans="1:13" x14ac:dyDescent="0.3">
      <c r="A67" s="13">
        <v>42240.5</v>
      </c>
      <c r="B67" s="11">
        <v>2.6850686772384027E-2</v>
      </c>
      <c r="C67" s="11">
        <v>1.836063941474116E-2</v>
      </c>
      <c r="D67" s="11">
        <v>8.7524366646068619E-5</v>
      </c>
      <c r="E67" s="11">
        <v>7.8463547690338681E-7</v>
      </c>
      <c r="F67" s="11">
        <v>0.5702631977935797</v>
      </c>
      <c r="G67" s="11">
        <v>3.0630287474716706E-2</v>
      </c>
      <c r="H67" s="11">
        <v>1.9509830432047519E-3</v>
      </c>
      <c r="I67" s="11">
        <v>2.8170225863519946E-7</v>
      </c>
      <c r="J67" s="11">
        <v>1.1924816083703222E-6</v>
      </c>
      <c r="K67" s="11">
        <v>0.29361860495635861</v>
      </c>
      <c r="L67" s="11">
        <v>5.8235817359024999E-2</v>
      </c>
      <c r="M67" s="11">
        <v>0.98615132705478292</v>
      </c>
    </row>
    <row r="68" spans="1:13" x14ac:dyDescent="0.3">
      <c r="A68" s="13">
        <v>42247.5</v>
      </c>
      <c r="B68" s="11">
        <v>1.196686756987593E-2</v>
      </c>
      <c r="C68" s="11">
        <v>3.5775144075649024E-2</v>
      </c>
      <c r="D68" s="11">
        <v>1.3453402628251612E-2</v>
      </c>
      <c r="E68" s="11">
        <v>4.5333357769390254E-6</v>
      </c>
      <c r="F68" s="11">
        <v>0.59037604648654785</v>
      </c>
      <c r="G68" s="11">
        <v>1.3702560580886682E-2</v>
      </c>
      <c r="H68" s="11">
        <v>7.3417543135779594E-3</v>
      </c>
      <c r="I68" s="11">
        <v>1.590541529913772E-6</v>
      </c>
      <c r="J68" s="11">
        <v>7.7913687082738246E-6</v>
      </c>
      <c r="K68" s="11">
        <v>0.25797735472089511</v>
      </c>
      <c r="L68" s="11">
        <v>6.9392954378300814E-2</v>
      </c>
      <c r="M68" s="11">
        <v>0.9862477380310557</v>
      </c>
    </row>
    <row r="69" spans="1:13" x14ac:dyDescent="0.3">
      <c r="A69" s="13">
        <v>42254.5</v>
      </c>
      <c r="B69" s="11">
        <v>1.1635260032863502E-2</v>
      </c>
      <c r="C69" s="11">
        <v>3.8772035679309202E-2</v>
      </c>
      <c r="D69" s="11">
        <v>2.3331726540862838E-2</v>
      </c>
      <c r="E69" s="11">
        <v>6.399161968898894E-6</v>
      </c>
      <c r="F69" s="11">
        <v>0.58409859847200862</v>
      </c>
      <c r="G69" s="11">
        <v>1.1797947777131113E-2</v>
      </c>
      <c r="H69" s="11">
        <v>9.3003547875721935E-3</v>
      </c>
      <c r="I69" s="11">
        <v>2.3893342071052437E-6</v>
      </c>
      <c r="J69" s="11">
        <v>1.2487955036597949E-5</v>
      </c>
      <c r="K69" s="11">
        <v>0.25296895221594728</v>
      </c>
      <c r="L69" s="11">
        <v>6.8073848043092564E-2</v>
      </c>
      <c r="M69" s="11">
        <v>0.98599293641948416</v>
      </c>
    </row>
    <row r="70" spans="1:13" x14ac:dyDescent="0.3">
      <c r="A70" s="13">
        <v>42260.5</v>
      </c>
      <c r="B70" s="11">
        <v>1.4091884753751754E-5</v>
      </c>
      <c r="C70" s="11">
        <v>1.9593987827235158E-5</v>
      </c>
      <c r="D70" s="11">
        <v>4.9375134236389542E-5</v>
      </c>
      <c r="E70" s="11">
        <v>6.146443834456232E-6</v>
      </c>
      <c r="F70" s="11">
        <v>0.59032314111857609</v>
      </c>
      <c r="G70" s="11">
        <v>7.0386769619099204E-2</v>
      </c>
      <c r="H70" s="11">
        <v>2.4680837392472523E-5</v>
      </c>
      <c r="I70" s="11">
        <v>4.8231896446832108E-6</v>
      </c>
      <c r="J70" s="11">
        <v>7.5738448968853583E-6</v>
      </c>
      <c r="K70" s="11">
        <v>0.26354183053796038</v>
      </c>
      <c r="L70" s="11">
        <v>7.5621973401778494E-2</v>
      </c>
      <c r="M70" s="11">
        <v>0.98367682128175249</v>
      </c>
    </row>
    <row r="71" spans="1:13" x14ac:dyDescent="0.3">
      <c r="A71" s="13">
        <v>42268.5</v>
      </c>
      <c r="B71" s="11">
        <v>4.3818977045233237E-6</v>
      </c>
      <c r="C71" s="11">
        <v>1.2687266204540059E-5</v>
      </c>
      <c r="D71" s="11">
        <v>6.3151482965005911E-5</v>
      </c>
      <c r="E71" s="11">
        <v>5.6396758971183395E-6</v>
      </c>
      <c r="F71" s="11">
        <v>0.60448813771204324</v>
      </c>
      <c r="G71" s="11">
        <v>8.7137052573650647E-2</v>
      </c>
      <c r="H71" s="11">
        <v>3.7896239567727267E-5</v>
      </c>
      <c r="I71" s="11">
        <v>2.737189042337472E-6</v>
      </c>
      <c r="J71" s="11">
        <v>4.162461154265726E-6</v>
      </c>
      <c r="K71" s="11">
        <v>0.24019350072759502</v>
      </c>
      <c r="L71" s="11">
        <v>6.8050652774175477E-2</v>
      </c>
      <c r="M71" s="11">
        <v>0.98285465054968735</v>
      </c>
    </row>
    <row r="72" spans="1:13" x14ac:dyDescent="0.3">
      <c r="A72" s="13">
        <v>42279</v>
      </c>
      <c r="B72" s="11">
        <v>6.2826121832978499E-7</v>
      </c>
      <c r="C72" s="11">
        <v>4.3296451444162789E-6</v>
      </c>
      <c r="D72" s="11">
        <v>9.1608661525521679E-5</v>
      </c>
      <c r="E72" s="11">
        <v>8.893202100329924E-7</v>
      </c>
      <c r="F72" s="11">
        <v>0.56441879593576449</v>
      </c>
      <c r="G72" s="11">
        <v>0.10860461253577638</v>
      </c>
      <c r="H72" s="11">
        <v>1.0089165870154794E-5</v>
      </c>
      <c r="I72" s="11">
        <v>4.3096041357615875E-7</v>
      </c>
      <c r="J72" s="11">
        <v>6.3143330093474119E-7</v>
      </c>
      <c r="K72" s="11">
        <v>0.26309053054149589</v>
      </c>
      <c r="L72" s="11">
        <v>6.3777453539280216E-2</v>
      </c>
      <c r="M72" s="11">
        <v>0.98335006697419414</v>
      </c>
    </row>
    <row r="73" spans="1:13" x14ac:dyDescent="0.3">
      <c r="A73" s="13">
        <v>42286</v>
      </c>
      <c r="B73" s="11">
        <v>7.6711386414494177E-7</v>
      </c>
      <c r="C73" s="11">
        <v>4.8277829434251642E-6</v>
      </c>
      <c r="D73" s="11">
        <v>3.5318930788701009E-3</v>
      </c>
      <c r="E73" s="11">
        <v>7.8173889409543925E-7</v>
      </c>
      <c r="F73" s="11">
        <v>0.55955426430353616</v>
      </c>
      <c r="G73" s="11">
        <v>0.10750790261549521</v>
      </c>
      <c r="H73" s="11">
        <v>1.2137970231707514E-5</v>
      </c>
      <c r="I73" s="11">
        <v>4.4578123172438891E-7</v>
      </c>
      <c r="J73" s="11">
        <v>5.5306875107030192E-7</v>
      </c>
      <c r="K73" s="11">
        <v>0.26433232844341265</v>
      </c>
      <c r="L73" s="11">
        <v>6.5054098102769783E-2</v>
      </c>
      <c r="M73" s="11">
        <v>0.98329313702710841</v>
      </c>
    </row>
    <row r="74" spans="1:13" x14ac:dyDescent="0.3">
      <c r="A74" s="13">
        <v>42293</v>
      </c>
      <c r="B74" s="11">
        <v>4.5074901837633792E-6</v>
      </c>
      <c r="C74" s="11">
        <v>6.6565049341387256E-5</v>
      </c>
      <c r="D74" s="11">
        <v>3.1727380846044505E-2</v>
      </c>
      <c r="E74" s="11">
        <v>5.3976946545738778E-6</v>
      </c>
      <c r="F74" s="11">
        <v>0.56623293801654107</v>
      </c>
      <c r="G74" s="11">
        <v>6.8902766602760693E-2</v>
      </c>
      <c r="H74" s="11">
        <v>6.9386648376157129E-5</v>
      </c>
      <c r="I74" s="11">
        <v>3.1329258038257489E-6</v>
      </c>
      <c r="J74" s="11">
        <v>4.7421717050819465E-6</v>
      </c>
      <c r="K74" s="11">
        <v>0.25938057400615738</v>
      </c>
      <c r="L74" s="11">
        <v>7.3602608548431425E-2</v>
      </c>
      <c r="M74" s="11">
        <v>0.98206221772733426</v>
      </c>
    </row>
    <row r="75" spans="1:13" x14ac:dyDescent="0.3">
      <c r="A75" s="13">
        <v>42300</v>
      </c>
      <c r="B75" s="11">
        <v>3.0297750717036312E-6</v>
      </c>
      <c r="C75" s="11">
        <v>4.9634950543375178E-5</v>
      </c>
      <c r="D75" s="11">
        <v>2.4253726703669782E-2</v>
      </c>
      <c r="E75" s="11">
        <v>5.1782897706958536E-6</v>
      </c>
      <c r="F75" s="11">
        <v>0.56177566736988271</v>
      </c>
      <c r="G75" s="11">
        <v>7.4545994664992982E-2</v>
      </c>
      <c r="H75" s="11">
        <v>6.6192429653591384E-5</v>
      </c>
      <c r="I75" s="11">
        <v>2.6636881930628387E-6</v>
      </c>
      <c r="J75" s="11">
        <v>4.1292737528689627E-6</v>
      </c>
      <c r="K75" s="11">
        <v>0.26700979396958946</v>
      </c>
      <c r="L75" s="11">
        <v>7.2283988884879691E-2</v>
      </c>
      <c r="M75" s="11">
        <v>0.98182358875399733</v>
      </c>
    </row>
    <row r="76" spans="1:13" x14ac:dyDescent="0.3">
      <c r="A76" s="13">
        <v>42307</v>
      </c>
      <c r="B76" s="11">
        <v>1.7398475768752896E-6</v>
      </c>
      <c r="C76" s="11">
        <v>5.8277132462987063E-5</v>
      </c>
      <c r="D76" s="11">
        <v>8.6041641498403598E-2</v>
      </c>
      <c r="E76" s="11">
        <v>2.8026484013886088E-6</v>
      </c>
      <c r="F76" s="11">
        <v>0.56870659732316253</v>
      </c>
      <c r="G76" s="11">
        <v>3.2722976743534291E-2</v>
      </c>
      <c r="H76" s="11">
        <v>8.545442029799847E-5</v>
      </c>
      <c r="I76" s="11">
        <v>1.7196120022902438E-6</v>
      </c>
      <c r="J76" s="11">
        <v>2.4297409876580526E-6</v>
      </c>
      <c r="K76" s="11">
        <v>0.24533961055553477</v>
      </c>
      <c r="L76" s="11">
        <v>6.7036750477635451E-2</v>
      </c>
      <c r="M76" s="11">
        <v>0.98136781049501898</v>
      </c>
    </row>
    <row r="77" spans="1:13" x14ac:dyDescent="0.3">
      <c r="A77" s="13">
        <v>42314</v>
      </c>
      <c r="B77" s="11">
        <v>2.6991474007513617E-7</v>
      </c>
      <c r="C77" s="11">
        <v>1.1007552995373878E-6</v>
      </c>
      <c r="D77" s="11">
        <v>0.12430242618195342</v>
      </c>
      <c r="E77" s="11">
        <v>5.1119371656157378E-7</v>
      </c>
      <c r="F77" s="11">
        <v>0.53303312188934493</v>
      </c>
      <c r="G77" s="11">
        <v>3.7001271818060857E-2</v>
      </c>
      <c r="H77" s="11">
        <v>1.0592694924165299E-3</v>
      </c>
      <c r="I77" s="11">
        <v>3.1825117847355301E-7</v>
      </c>
      <c r="J77" s="11">
        <v>4.129218818260771E-7</v>
      </c>
      <c r="K77" s="11">
        <v>0.2482257999649278</v>
      </c>
      <c r="L77" s="11">
        <v>5.6375497616479857E-2</v>
      </c>
      <c r="M77" s="11">
        <v>0.9820101895114316</v>
      </c>
    </row>
    <row r="78" spans="1:13" x14ac:dyDescent="0.3">
      <c r="A78" s="13">
        <v>42321</v>
      </c>
      <c r="B78" s="11">
        <v>1.215172456780471E-6</v>
      </c>
      <c r="C78" s="11">
        <v>5.4779276764890587E-6</v>
      </c>
      <c r="D78" s="11">
        <v>0.16424789293513506</v>
      </c>
      <c r="E78" s="11">
        <v>2.6282039653983816E-6</v>
      </c>
      <c r="F78" s="11">
        <v>0.51861652431260763</v>
      </c>
      <c r="G78" s="11">
        <v>5.2062252437024325E-5</v>
      </c>
      <c r="H78" s="11">
        <v>3.4331154464449024E-5</v>
      </c>
      <c r="I78" s="11">
        <v>1.5183331505728532E-6</v>
      </c>
      <c r="J78" s="11">
        <v>2.1444569837800058E-6</v>
      </c>
      <c r="K78" s="11">
        <v>0.25169131789158794</v>
      </c>
      <c r="L78" s="11">
        <v>6.5344887359534837E-2</v>
      </c>
      <c r="M78" s="11">
        <v>0.98070099531244626</v>
      </c>
    </row>
    <row r="79" spans="1:13" x14ac:dyDescent="0.3">
      <c r="A79" s="13">
        <v>42328</v>
      </c>
      <c r="B79" s="11">
        <v>1.0504880995364536E-7</v>
      </c>
      <c r="C79" s="11">
        <v>5.5922853677202579E-7</v>
      </c>
      <c r="D79" s="11">
        <v>0.16277436351143024</v>
      </c>
      <c r="E79" s="11">
        <v>2.3696173887183294E-7</v>
      </c>
      <c r="F79" s="11">
        <v>0.51572656977657316</v>
      </c>
      <c r="G79" s="11">
        <v>7.7301640200209981E-5</v>
      </c>
      <c r="H79" s="11">
        <v>2.894936904916635E-6</v>
      </c>
      <c r="I79" s="11">
        <v>1.43933185199227E-7</v>
      </c>
      <c r="J79" s="11">
        <v>2.1481642499864296E-7</v>
      </c>
      <c r="K79" s="11">
        <v>0.25434660662662872</v>
      </c>
      <c r="L79" s="11">
        <v>6.7071003519566894E-2</v>
      </c>
      <c r="M79" s="11">
        <v>0.9797226287053471</v>
      </c>
    </row>
    <row r="80" spans="1:13" x14ac:dyDescent="0.3">
      <c r="A80" s="13">
        <v>42335</v>
      </c>
      <c r="B80" s="11">
        <v>5.3421071357161513E-6</v>
      </c>
      <c r="C80" s="11">
        <v>8.0597645129074098E-6</v>
      </c>
      <c r="D80" s="11">
        <v>0.1006805047062993</v>
      </c>
      <c r="E80" s="11">
        <v>5.0150440713055033E-6</v>
      </c>
      <c r="F80" s="11">
        <v>0.57086573800056617</v>
      </c>
      <c r="G80" s="11">
        <v>3.4964945356601743E-5</v>
      </c>
      <c r="H80" s="11">
        <v>2.3002849183246979E-2</v>
      </c>
      <c r="I80" s="11">
        <v>4.9830052234734401E-6</v>
      </c>
      <c r="J80" s="11">
        <v>3.2819615688569852E-6</v>
      </c>
      <c r="K80" s="11">
        <v>0.21411892393232962</v>
      </c>
      <c r="L80" s="11">
        <v>9.127033734968909E-2</v>
      </c>
      <c r="M80" s="11">
        <v>0.97826462954985938</v>
      </c>
    </row>
    <row r="81" spans="1:13" x14ac:dyDescent="0.3">
      <c r="A81" s="13">
        <v>42342</v>
      </c>
      <c r="B81" s="11">
        <v>1.2856755428029979E-2</v>
      </c>
      <c r="C81" s="11">
        <v>3.7438596823521068E-5</v>
      </c>
      <c r="D81" s="11">
        <v>7.0003396978070564E-2</v>
      </c>
      <c r="E81" s="11">
        <v>1.2693736158623079E-5</v>
      </c>
      <c r="F81" s="11">
        <v>0.55977680453227163</v>
      </c>
      <c r="G81" s="11">
        <v>6.2333964394947296E-2</v>
      </c>
      <c r="H81" s="11">
        <v>3.9978467934677055E-2</v>
      </c>
      <c r="I81" s="11">
        <v>1.3587747113078123E-5</v>
      </c>
      <c r="J81" s="11">
        <v>9.2990151824736291E-6</v>
      </c>
      <c r="K81" s="11">
        <v>0.18516010051366269</v>
      </c>
      <c r="L81" s="11">
        <v>6.9817491123062944E-2</v>
      </c>
      <c r="M81" s="11">
        <v>0.9806074726915891</v>
      </c>
    </row>
    <row r="82" spans="1:13" x14ac:dyDescent="0.3">
      <c r="A82" s="13">
        <v>42349</v>
      </c>
      <c r="B82" s="11">
        <v>5.6172916100521097E-6</v>
      </c>
      <c r="C82" s="11">
        <v>2.0189138186617155E-6</v>
      </c>
      <c r="D82" s="11">
        <v>7.6142362716929927E-3</v>
      </c>
      <c r="E82" s="11">
        <v>6.9477463682551863E-7</v>
      </c>
      <c r="F82" s="11">
        <v>0.56728562884955902</v>
      </c>
      <c r="G82" s="11">
        <v>0.11359621998034353</v>
      </c>
      <c r="H82" s="11">
        <v>6.4266108167452207E-2</v>
      </c>
      <c r="I82" s="11">
        <v>7.2114092593072603E-7</v>
      </c>
      <c r="J82" s="11">
        <v>5.5804595963021851E-7</v>
      </c>
      <c r="K82" s="11">
        <v>0.18651676174298276</v>
      </c>
      <c r="L82" s="11">
        <v>6.0711434821018512E-2</v>
      </c>
      <c r="M82" s="11">
        <v>0.97949104753039073</v>
      </c>
    </row>
    <row r="83" spans="1:13" x14ac:dyDescent="0.3">
      <c r="A83" s="13">
        <v>42356</v>
      </c>
      <c r="B83" s="11">
        <v>3.5540851840674854E-2</v>
      </c>
      <c r="C83" s="11">
        <v>2.367272619197684E-6</v>
      </c>
      <c r="D83" s="11">
        <v>9.6494032230096238E-3</v>
      </c>
      <c r="E83" s="11">
        <v>1.2435068727912228E-6</v>
      </c>
      <c r="F83" s="11">
        <v>0.66663670464896341</v>
      </c>
      <c r="G83" s="11">
        <v>9.8254588348479888E-2</v>
      </c>
      <c r="H83" s="11">
        <v>0.13548856300673376</v>
      </c>
      <c r="I83" s="11">
        <v>1.6160974276537252E-6</v>
      </c>
      <c r="J83" s="11">
        <v>6.915790265480171E-7</v>
      </c>
      <c r="K83" s="11">
        <v>3.4458786820436937E-5</v>
      </c>
      <c r="L83" s="11">
        <v>5.4389511689371672E-2</v>
      </c>
      <c r="M83" s="11">
        <v>0.98289990192033017</v>
      </c>
    </row>
    <row r="84" spans="1:13" x14ac:dyDescent="0.3">
      <c r="A84" s="13">
        <v>42363</v>
      </c>
      <c r="B84" s="11">
        <v>7.0493503701791992E-3</v>
      </c>
      <c r="C84" s="11">
        <v>2.1020556201325416E-5</v>
      </c>
      <c r="D84" s="11">
        <v>0.11247367843701088</v>
      </c>
      <c r="E84" s="11">
        <v>9.6831647617665033E-6</v>
      </c>
      <c r="F84" s="11">
        <v>0.626560035810102</v>
      </c>
      <c r="G84" s="11">
        <v>7.5982283570798698E-2</v>
      </c>
      <c r="H84" s="11">
        <v>0.10285094679777637</v>
      </c>
      <c r="I84" s="11">
        <v>7.2599675163308793E-6</v>
      </c>
      <c r="J84" s="11">
        <v>5.7698356982219429E-6</v>
      </c>
      <c r="K84" s="11">
        <v>5.8745143963622681E-5</v>
      </c>
      <c r="L84" s="11">
        <v>7.4981226345991497E-2</v>
      </c>
      <c r="M84" s="11">
        <v>0.98316902775983328</v>
      </c>
    </row>
    <row r="85" spans="1:13" x14ac:dyDescent="0.3">
      <c r="A85" s="13">
        <v>42370</v>
      </c>
      <c r="B85" s="11">
        <v>8.4078706585485235E-5</v>
      </c>
      <c r="C85" s="11">
        <v>1.561881411535725E-5</v>
      </c>
      <c r="D85" s="11">
        <v>0.13652031126737763</v>
      </c>
      <c r="E85" s="11">
        <v>6.228933690946438E-6</v>
      </c>
      <c r="F85" s="11">
        <v>0.60336287216387319</v>
      </c>
      <c r="G85" s="11">
        <v>8.1802826948016924E-2</v>
      </c>
      <c r="H85" s="11">
        <v>0.10757404217558192</v>
      </c>
      <c r="I85" s="11">
        <v>4.5639864502009006E-6</v>
      </c>
      <c r="J85" s="11">
        <v>3.803795586015237E-6</v>
      </c>
      <c r="K85" s="11">
        <v>6.133231145778933E-5</v>
      </c>
      <c r="L85" s="11">
        <v>7.0564320897264499E-2</v>
      </c>
      <c r="M85" s="11">
        <v>0.9824864210471056</v>
      </c>
    </row>
    <row r="86" spans="1:13" x14ac:dyDescent="0.3">
      <c r="A86" s="13">
        <v>42377</v>
      </c>
      <c r="B86" s="11">
        <v>2.8536567178261687E-3</v>
      </c>
      <c r="C86" s="11">
        <v>7.6227379800960332E-6</v>
      </c>
      <c r="D86" s="11">
        <v>8.3501879289203745E-2</v>
      </c>
      <c r="E86" s="11">
        <v>3.0341011174561467E-6</v>
      </c>
      <c r="F86" s="11">
        <v>0.62035207294450534</v>
      </c>
      <c r="G86" s="11">
        <v>9.5736810346865209E-2</v>
      </c>
      <c r="H86" s="11">
        <v>0.12647602943597874</v>
      </c>
      <c r="I86" s="11">
        <v>2.2075713753433125E-6</v>
      </c>
      <c r="J86" s="11">
        <v>1.7936452372331464E-6</v>
      </c>
      <c r="K86" s="11">
        <v>2.5841644402883209E-5</v>
      </c>
      <c r="L86" s="11">
        <v>7.1039051565507619E-2</v>
      </c>
      <c r="M86" s="11">
        <v>0.98211546079667322</v>
      </c>
    </row>
    <row r="87" spans="1:13" x14ac:dyDescent="0.3">
      <c r="A87" s="13">
        <v>42384</v>
      </c>
      <c r="B87" s="11">
        <v>3.421302504753074E-5</v>
      </c>
      <c r="C87" s="11">
        <v>8.949092093149938E-6</v>
      </c>
      <c r="D87" s="11">
        <v>8.8804280248416634E-2</v>
      </c>
      <c r="E87" s="11">
        <v>3.8639810257160273E-6</v>
      </c>
      <c r="F87" s="11">
        <v>0.62110502463382755</v>
      </c>
      <c r="G87" s="11">
        <v>4.1665935308795428E-2</v>
      </c>
      <c r="H87" s="11">
        <v>0.14571873104123037</v>
      </c>
      <c r="I87" s="11">
        <v>1.785232778830905E-6</v>
      </c>
      <c r="J87" s="11">
        <v>1.8792609138886065E-6</v>
      </c>
      <c r="K87" s="11">
        <v>8.800713780175857E-5</v>
      </c>
      <c r="L87" s="11">
        <v>0.10256733103806932</v>
      </c>
      <c r="M87" s="11">
        <v>0.98116220211999061</v>
      </c>
    </row>
    <row r="88" spans="1:13" x14ac:dyDescent="0.3">
      <c r="A88" s="13">
        <v>42389</v>
      </c>
      <c r="B88" s="11">
        <v>1.4946684837490535E-2</v>
      </c>
      <c r="C88" s="11">
        <v>4.621460839444858E-6</v>
      </c>
      <c r="D88" s="11">
        <v>8.5555350277537976E-5</v>
      </c>
      <c r="E88" s="11">
        <v>2.3380399029226302E-6</v>
      </c>
      <c r="F88" s="11">
        <v>0.66499601157537702</v>
      </c>
      <c r="G88" s="11">
        <v>5.3942846015799607E-2</v>
      </c>
      <c r="H88" s="11">
        <v>0.13603489529310875</v>
      </c>
      <c r="I88" s="11">
        <v>1.5769868799139799E-6</v>
      </c>
      <c r="J88" s="11">
        <v>8.247039634524112E-7</v>
      </c>
      <c r="K88" s="11">
        <v>3.3693673318390238E-2</v>
      </c>
      <c r="L88" s="11">
        <v>9.6290972417970438E-2</v>
      </c>
      <c r="M88" s="11">
        <v>0.98235231854981742</v>
      </c>
    </row>
    <row r="89" spans="1:13" x14ac:dyDescent="0.3">
      <c r="A89" s="13">
        <v>42398</v>
      </c>
      <c r="B89" s="11">
        <v>2.6094318146920732E-5</v>
      </c>
      <c r="C89" s="11">
        <v>2.5028517071190879E-5</v>
      </c>
      <c r="D89" s="11">
        <v>6.5756645630871857E-5</v>
      </c>
      <c r="E89" s="11">
        <v>3.1885354073156249E-5</v>
      </c>
      <c r="F89" s="11">
        <v>0.65332695734480839</v>
      </c>
      <c r="G89" s="11">
        <v>8.8696232459318097E-2</v>
      </c>
      <c r="H89" s="11">
        <v>0.11789546591224949</v>
      </c>
      <c r="I89" s="11">
        <v>9.4735970852961148E-6</v>
      </c>
      <c r="J89" s="11">
        <v>6.7169498872661143E-6</v>
      </c>
      <c r="K89" s="11">
        <v>5.0898451737153863E-2</v>
      </c>
      <c r="L89" s="11">
        <v>8.9017937164575359E-2</v>
      </c>
      <c r="M89" s="11">
        <v>0.97945664539758515</v>
      </c>
    </row>
    <row r="90" spans="1:13" x14ac:dyDescent="0.3">
      <c r="A90" s="13">
        <v>42405</v>
      </c>
      <c r="B90" s="11">
        <v>2.3892585573261776E-5</v>
      </c>
      <c r="C90" s="11">
        <v>2.5048891429832201E-5</v>
      </c>
      <c r="D90" s="11">
        <v>6.5897394280614704E-5</v>
      </c>
      <c r="E90" s="11">
        <v>3.9182398273317556E-5</v>
      </c>
      <c r="F90" s="11">
        <v>0.66283796133343875</v>
      </c>
      <c r="G90" s="11">
        <v>8.1236525317546451E-2</v>
      </c>
      <c r="H90" s="11">
        <v>0.11836630791514025</v>
      </c>
      <c r="I90" s="11">
        <v>1.0756322188250515E-5</v>
      </c>
      <c r="J90" s="11">
        <v>7.2873498739242227E-6</v>
      </c>
      <c r="K90" s="11">
        <v>4.7893269573769215E-2</v>
      </c>
      <c r="L90" s="11">
        <v>8.9493870918486138E-2</v>
      </c>
      <c r="M90" s="11">
        <v>0.97845043435046386</v>
      </c>
    </row>
    <row r="91" spans="1:13" x14ac:dyDescent="0.3">
      <c r="A91" s="13">
        <v>42412</v>
      </c>
      <c r="B91" s="11">
        <v>1.4852308407868269E-5</v>
      </c>
      <c r="C91" s="11">
        <v>1.6970215873443929E-5</v>
      </c>
      <c r="D91" s="11">
        <v>8.253590410981495E-5</v>
      </c>
      <c r="E91" s="11">
        <v>5.1770690299734963E-5</v>
      </c>
      <c r="F91" s="11">
        <v>0.64800544894378564</v>
      </c>
      <c r="G91" s="11">
        <v>7.5707822883781556E-2</v>
      </c>
      <c r="H91" s="11">
        <v>0.11758235900064531</v>
      </c>
      <c r="I91" s="11">
        <v>7.032889126929477E-6</v>
      </c>
      <c r="J91" s="11">
        <v>6.2041946696698276E-6</v>
      </c>
      <c r="K91" s="11">
        <v>7.1782331040257552E-2</v>
      </c>
      <c r="L91" s="11">
        <v>8.674267192904242E-2</v>
      </c>
      <c r="M91" s="11">
        <v>0.97871302836261465</v>
      </c>
    </row>
    <row r="92" spans="1:13" x14ac:dyDescent="0.3">
      <c r="A92" s="13">
        <v>42418</v>
      </c>
      <c r="B92" s="11">
        <v>6.0916411041127311E-6</v>
      </c>
      <c r="C92" s="11">
        <v>9.4058267182578355E-6</v>
      </c>
      <c r="D92" s="11">
        <v>3.1426409157242423E-5</v>
      </c>
      <c r="E92" s="11">
        <v>8.8470037749721235E-5</v>
      </c>
      <c r="F92" s="11">
        <v>0.656699472841899</v>
      </c>
      <c r="G92" s="11">
        <v>0.10096871518349421</v>
      </c>
      <c r="H92" s="11">
        <v>0.11350834069356801</v>
      </c>
      <c r="I92" s="11">
        <v>4.1863759658728956E-6</v>
      </c>
      <c r="J92" s="11">
        <v>4.1107601959308234E-6</v>
      </c>
      <c r="K92" s="11">
        <v>4.8114999034169478E-2</v>
      </c>
      <c r="L92" s="11">
        <v>8.0564781195978E-2</v>
      </c>
      <c r="M92" s="11">
        <v>0.98001117835761076</v>
      </c>
    </row>
    <row r="93" spans="1:13" x14ac:dyDescent="0.3">
      <c r="A93" s="13">
        <v>42426</v>
      </c>
      <c r="B93" s="11">
        <v>5.6211984169750915E-6</v>
      </c>
      <c r="C93" s="11">
        <v>9.1839219598481061E-6</v>
      </c>
      <c r="D93" s="11">
        <v>1.5744585088489533E-5</v>
      </c>
      <c r="E93" s="11">
        <v>8.7184615202315387E-3</v>
      </c>
      <c r="F93" s="11">
        <v>0.67083130179080375</v>
      </c>
      <c r="G93" s="11">
        <v>9.3577025297001126E-2</v>
      </c>
      <c r="H93" s="11">
        <v>0.10501101119527659</v>
      </c>
      <c r="I93" s="11">
        <v>3.1763063574301886E-6</v>
      </c>
      <c r="J93" s="11">
        <v>3.4375650152780065E-6</v>
      </c>
      <c r="K93" s="11">
        <v>3.5121601029399319E-2</v>
      </c>
      <c r="L93" s="11">
        <v>8.6703435590449657E-2</v>
      </c>
      <c r="M93" s="11">
        <v>0.97941788032590305</v>
      </c>
    </row>
    <row r="94" spans="1:13" x14ac:dyDescent="0.3">
      <c r="A94" s="13">
        <v>42433</v>
      </c>
      <c r="B94" s="11">
        <v>2.7532097259495453E-6</v>
      </c>
      <c r="C94" s="11">
        <v>4.9859085641024335E-6</v>
      </c>
      <c r="D94" s="11">
        <v>7.5951302695308372E-6</v>
      </c>
      <c r="E94" s="11">
        <v>2.4652779588440595E-2</v>
      </c>
      <c r="F94" s="11">
        <v>0.67721818030680747</v>
      </c>
      <c r="G94" s="11">
        <v>0.10352627731487987</v>
      </c>
      <c r="H94" s="11">
        <v>0.10854748551053632</v>
      </c>
      <c r="I94" s="11">
        <v>1.8149887950348206E-6</v>
      </c>
      <c r="J94" s="11">
        <v>1.7480454091517907E-6</v>
      </c>
      <c r="K94" s="11">
        <v>3.7300258990753143E-3</v>
      </c>
      <c r="L94" s="11">
        <v>8.2306354097496481E-2</v>
      </c>
      <c r="M94" s="11">
        <v>0.97795736267819822</v>
      </c>
    </row>
    <row r="95" spans="1:13" x14ac:dyDescent="0.3">
      <c r="A95" s="13">
        <v>42440</v>
      </c>
      <c r="B95" s="11">
        <v>7.6580241154733088E-7</v>
      </c>
      <c r="C95" s="11">
        <v>1.5488269416637847E-6</v>
      </c>
      <c r="D95" s="11">
        <v>2.1473045460230079E-6</v>
      </c>
      <c r="E95" s="11">
        <v>1.2912809718903975E-2</v>
      </c>
      <c r="F95" s="11">
        <v>0.6681367229968046</v>
      </c>
      <c r="G95" s="11">
        <v>0.11507468104506073</v>
      </c>
      <c r="H95" s="11">
        <v>0.12582810320798909</v>
      </c>
      <c r="I95" s="11">
        <v>5.358931354768047E-7</v>
      </c>
      <c r="J95" s="11">
        <v>5.29689905513479E-7</v>
      </c>
      <c r="K95" s="11">
        <v>1.004285688510526E-4</v>
      </c>
      <c r="L95" s="11">
        <v>7.7941726945450193E-2</v>
      </c>
      <c r="M95" s="11">
        <v>0.97597978357823278</v>
      </c>
    </row>
    <row r="96" spans="1:13" x14ac:dyDescent="0.3">
      <c r="A96" s="13">
        <v>42447</v>
      </c>
      <c r="B96" s="11">
        <v>2.5172985166855323E-6</v>
      </c>
      <c r="C96" s="11">
        <v>5.043942169902484E-6</v>
      </c>
      <c r="D96" s="11">
        <v>6.8197970014733296E-6</v>
      </c>
      <c r="E96" s="11">
        <v>1.7911394378831408E-2</v>
      </c>
      <c r="F96" s="11">
        <v>0.66944143205131168</v>
      </c>
      <c r="G96" s="11">
        <v>0.11307715680033599</v>
      </c>
      <c r="H96" s="11">
        <v>0.12043736206211302</v>
      </c>
      <c r="I96" s="11">
        <v>1.696932904503568E-6</v>
      </c>
      <c r="J96" s="11">
        <v>1.7082346858455067E-6</v>
      </c>
      <c r="K96" s="11">
        <v>8.8401218714260362E-5</v>
      </c>
      <c r="L96" s="11">
        <v>7.9026467283415128E-2</v>
      </c>
      <c r="M96" s="11">
        <v>0.9757485902358497</v>
      </c>
    </row>
    <row r="97" spans="1:13" x14ac:dyDescent="0.3">
      <c r="A97" s="13">
        <v>42454</v>
      </c>
      <c r="B97" s="11">
        <v>2.4105498656908405E-7</v>
      </c>
      <c r="C97" s="11">
        <v>4.7425288688710098E-7</v>
      </c>
      <c r="D97" s="11">
        <v>6.3954700793865833E-7</v>
      </c>
      <c r="E97" s="11">
        <v>2.1301346225598025E-2</v>
      </c>
      <c r="F97" s="11">
        <v>0.65847824582967962</v>
      </c>
      <c r="G97" s="11">
        <v>9.8864108844957915E-2</v>
      </c>
      <c r="H97" s="11">
        <v>0.1426323677735338</v>
      </c>
      <c r="I97" s="11">
        <v>1.6810721529134309E-7</v>
      </c>
      <c r="J97" s="11">
        <v>1.6268926742383406E-7</v>
      </c>
      <c r="K97" s="11">
        <v>2.8352128478932148E-4</v>
      </c>
      <c r="L97" s="11">
        <v>7.8438724390077125E-2</v>
      </c>
      <c r="M97" s="11">
        <v>0.97584473423908069</v>
      </c>
    </row>
    <row r="98" spans="1:13" x14ac:dyDescent="0.3">
      <c r="A98" s="13">
        <v>42461</v>
      </c>
      <c r="B98" s="11">
        <v>3.4083312529590788E-6</v>
      </c>
      <c r="C98" s="11">
        <v>8.6071865229966642E-6</v>
      </c>
      <c r="D98" s="11">
        <v>1.1116744192474687E-5</v>
      </c>
      <c r="E98" s="11">
        <v>1.427320859487937E-2</v>
      </c>
      <c r="F98" s="11">
        <v>0.64320704089844227</v>
      </c>
      <c r="G98" s="11">
        <v>9.1884579773318056E-2</v>
      </c>
      <c r="H98" s="11">
        <v>0.16503132760974387</v>
      </c>
      <c r="I98" s="11">
        <v>2.9408438265533652E-6</v>
      </c>
      <c r="J98" s="11">
        <v>2.9578378769870158E-6</v>
      </c>
      <c r="K98" s="11">
        <v>5.8497494129819147E-3</v>
      </c>
      <c r="L98" s="11">
        <v>7.9725062766962548E-2</v>
      </c>
      <c r="M98" s="11">
        <v>0.97507629443756361</v>
      </c>
    </row>
    <row r="99" spans="1:13" x14ac:dyDescent="0.3">
      <c r="A99" s="13">
        <v>42468</v>
      </c>
      <c r="B99" s="11">
        <v>1.1272964684955283E-6</v>
      </c>
      <c r="C99" s="11">
        <v>3.0230269303452063E-6</v>
      </c>
      <c r="D99" s="11">
        <v>3.6510598611238083E-6</v>
      </c>
      <c r="E99" s="11">
        <v>2.9452107464288326E-3</v>
      </c>
      <c r="F99" s="11">
        <v>0.64665485203566386</v>
      </c>
      <c r="G99" s="11">
        <v>0.10802257011006997</v>
      </c>
      <c r="H99" s="11">
        <v>0.15510473197720848</v>
      </c>
      <c r="I99" s="11">
        <v>1.020043515750548E-6</v>
      </c>
      <c r="J99" s="11">
        <v>9.3917855444757154E-7</v>
      </c>
      <c r="K99" s="11">
        <v>8.6967518533039613E-3</v>
      </c>
      <c r="L99" s="11">
        <v>7.8566122671994837E-2</v>
      </c>
      <c r="M99" s="11">
        <v>0.9752111255873479</v>
      </c>
    </row>
    <row r="100" spans="1:13" x14ac:dyDescent="0.3">
      <c r="A100" s="13">
        <v>42475</v>
      </c>
      <c r="B100" s="11">
        <v>2.6185906062999261E-6</v>
      </c>
      <c r="C100" s="11">
        <v>7.4393839012545294E-6</v>
      </c>
      <c r="D100" s="11">
        <v>9.3276484576851169E-6</v>
      </c>
      <c r="E100" s="11">
        <v>4.7031255054994945E-3</v>
      </c>
      <c r="F100" s="11">
        <v>0.61286325249047358</v>
      </c>
      <c r="G100" s="11">
        <v>7.277298209163148E-2</v>
      </c>
      <c r="H100" s="11">
        <v>0.229528823920084</v>
      </c>
      <c r="I100" s="11">
        <v>2.259030791341186E-6</v>
      </c>
      <c r="J100" s="11">
        <v>2.4632058263448002E-6</v>
      </c>
      <c r="K100" s="11">
        <v>1.6158744196888376E-5</v>
      </c>
      <c r="L100" s="11">
        <v>8.009154938853176E-2</v>
      </c>
      <c r="M100" s="11">
        <v>0.97615253118939238</v>
      </c>
    </row>
    <row r="101" spans="1:13" x14ac:dyDescent="0.3">
      <c r="A101" s="13">
        <v>42482</v>
      </c>
      <c r="B101" s="11">
        <v>8.712510865477602E-6</v>
      </c>
      <c r="C101" s="11">
        <v>3.0153390522559529E-5</v>
      </c>
      <c r="D101" s="11">
        <v>3.1812026673063572E-5</v>
      </c>
      <c r="E101" s="11">
        <v>1.5332814293946314E-2</v>
      </c>
      <c r="F101" s="11">
        <v>0.60628743937413732</v>
      </c>
      <c r="G101" s="11">
        <v>5.7808593302962182E-2</v>
      </c>
      <c r="H101" s="11">
        <v>0.24183054606690643</v>
      </c>
      <c r="I101" s="11">
        <v>8.1505452123846693E-6</v>
      </c>
      <c r="J101" s="11">
        <v>8.240153214283226E-6</v>
      </c>
      <c r="K101" s="11">
        <v>7.7693528987644476E-5</v>
      </c>
      <c r="L101" s="11">
        <v>7.8575844806572315E-2</v>
      </c>
      <c r="M101" s="11">
        <v>0.97552688963186562</v>
      </c>
    </row>
    <row r="102" spans="1:13" x14ac:dyDescent="0.3">
      <c r="A102" s="13">
        <v>42488</v>
      </c>
      <c r="B102" s="11">
        <v>2.0103518082414921E-5</v>
      </c>
      <c r="C102" s="11">
        <v>4.3713647922036728E-5</v>
      </c>
      <c r="D102" s="11">
        <v>7.2880417896552114E-5</v>
      </c>
      <c r="E102" s="11">
        <v>2.4987590299247849E-2</v>
      </c>
      <c r="F102" s="11">
        <v>0.58955232205132291</v>
      </c>
      <c r="G102" s="11">
        <v>4.9599948566453562E-2</v>
      </c>
      <c r="H102" s="11">
        <v>0.26271739122616705</v>
      </c>
      <c r="I102" s="11">
        <v>1.4491904548330765E-5</v>
      </c>
      <c r="J102" s="11">
        <v>1.5273203169763505E-5</v>
      </c>
      <c r="K102" s="11">
        <v>8.5950508861673775E-5</v>
      </c>
      <c r="L102" s="11">
        <v>7.2890334656327799E-2</v>
      </c>
      <c r="M102" s="11">
        <v>0.97587606082721678</v>
      </c>
    </row>
    <row r="103" spans="1:13" x14ac:dyDescent="0.3">
      <c r="A103" s="13">
        <v>42496</v>
      </c>
      <c r="B103" s="11">
        <v>2.0105055386823425E-5</v>
      </c>
      <c r="C103" s="11">
        <v>4.9704058372271186E-5</v>
      </c>
      <c r="D103" s="11">
        <v>7.0180404505736411E-5</v>
      </c>
      <c r="E103" s="11">
        <v>2.655276398787899E-2</v>
      </c>
      <c r="F103" s="11">
        <v>0.58571389599005041</v>
      </c>
      <c r="G103" s="11">
        <v>5.1404122062540379E-2</v>
      </c>
      <c r="H103" s="11">
        <v>0.2651156602321198</v>
      </c>
      <c r="I103" s="11">
        <v>1.5910236329827021E-5</v>
      </c>
      <c r="J103" s="11">
        <v>1.6064442251044174E-5</v>
      </c>
      <c r="K103" s="11">
        <v>7.4052284400626193E-5</v>
      </c>
      <c r="L103" s="11">
        <v>7.0967541246164001E-2</v>
      </c>
      <c r="M103" s="11">
        <v>0.97599893165416585</v>
      </c>
    </row>
    <row r="104" spans="1:13" x14ac:dyDescent="0.3">
      <c r="A104" s="13">
        <v>42503</v>
      </c>
      <c r="B104" s="11">
        <v>1.4823357898132617E-5</v>
      </c>
      <c r="C104" s="11">
        <v>3.8471037224810797E-5</v>
      </c>
      <c r="D104" s="11">
        <v>5.8260190250211447E-5</v>
      </c>
      <c r="E104" s="11">
        <v>2.6237647961371978E-2</v>
      </c>
      <c r="F104" s="11">
        <v>0.58886065958554823</v>
      </c>
      <c r="G104" s="11">
        <v>4.1090587764644165E-2</v>
      </c>
      <c r="H104" s="11">
        <v>0.26415485591857546</v>
      </c>
      <c r="I104" s="11">
        <v>1.2075041373471059E-5</v>
      </c>
      <c r="J104" s="11">
        <v>1.3666205099705729E-5</v>
      </c>
      <c r="K104" s="11">
        <v>4.3821133544886466E-5</v>
      </c>
      <c r="L104" s="11">
        <v>7.947513180446901E-2</v>
      </c>
      <c r="M104" s="11">
        <v>0.97549904832746059</v>
      </c>
    </row>
    <row r="105" spans="1:13" x14ac:dyDescent="0.3">
      <c r="A105" s="13">
        <v>42513</v>
      </c>
      <c r="B105" s="11">
        <v>1.6400900635162408E-5</v>
      </c>
      <c r="C105" s="11">
        <v>3.364993653945918E-5</v>
      </c>
      <c r="D105" s="11">
        <v>6.9888002272397594E-5</v>
      </c>
      <c r="E105" s="11">
        <v>2.2968413116427111E-2</v>
      </c>
      <c r="F105" s="11">
        <v>0.58107429021316437</v>
      </c>
      <c r="G105" s="11">
        <v>4.3112157989213098E-2</v>
      </c>
      <c r="H105" s="11">
        <v>0.27594162670816302</v>
      </c>
      <c r="I105" s="11">
        <v>1.2102206207586048E-5</v>
      </c>
      <c r="J105" s="11">
        <v>1.2820141498892018E-5</v>
      </c>
      <c r="K105" s="11">
        <v>3.4645508030102352E-5</v>
      </c>
      <c r="L105" s="11">
        <v>7.6724005277848617E-2</v>
      </c>
      <c r="M105" s="11">
        <v>0.97583656121223528</v>
      </c>
    </row>
    <row r="106" spans="1:13" x14ac:dyDescent="0.3">
      <c r="A106" s="13">
        <v>42520.5</v>
      </c>
      <c r="B106" s="11">
        <v>1.875302306556561E-5</v>
      </c>
      <c r="C106" s="11">
        <v>3.2494516652657089E-5</v>
      </c>
      <c r="D106" s="11">
        <v>7.5210340768269945E-5</v>
      </c>
      <c r="E106" s="11">
        <v>2.5488438371078125E-2</v>
      </c>
      <c r="F106" s="11">
        <v>0.57351899379572524</v>
      </c>
      <c r="G106" s="11">
        <v>3.8633406774265154E-2</v>
      </c>
      <c r="H106" s="11">
        <v>0.28807309367553824</v>
      </c>
      <c r="I106" s="11">
        <v>1.23543460981981E-5</v>
      </c>
      <c r="J106" s="11">
        <v>1.2871188827309884E-5</v>
      </c>
      <c r="K106" s="11">
        <v>3.0777059590555364E-5</v>
      </c>
      <c r="L106" s="11">
        <v>7.4103606908390643E-2</v>
      </c>
      <c r="M106" s="11">
        <v>0.97612676487479888</v>
      </c>
    </row>
    <row r="107" spans="1:13" x14ac:dyDescent="0.3">
      <c r="A107" s="13">
        <v>42527.5</v>
      </c>
      <c r="B107" s="11">
        <v>3.0133177340684375E-6</v>
      </c>
      <c r="C107" s="11">
        <v>8.1307528794259678E-6</v>
      </c>
      <c r="D107" s="11">
        <v>1.8546445348776569E-5</v>
      </c>
      <c r="E107" s="11">
        <v>7.7608553072913991E-2</v>
      </c>
      <c r="F107" s="11">
        <v>0.56038303027231873</v>
      </c>
      <c r="G107" s="11">
        <v>7.7397440935501336E-3</v>
      </c>
      <c r="H107" s="11">
        <v>0.24464464632210256</v>
      </c>
      <c r="I107" s="11">
        <v>4.4173684723899302E-6</v>
      </c>
      <c r="J107" s="11">
        <v>2.9904559050161648E-6</v>
      </c>
      <c r="K107" s="11">
        <v>8.7540639064403435E-6</v>
      </c>
      <c r="L107" s="11">
        <v>0.10957817383486844</v>
      </c>
      <c r="M107" s="11">
        <v>0.96715375439984308</v>
      </c>
    </row>
    <row r="108" spans="1:13" x14ac:dyDescent="0.3">
      <c r="A108" s="13">
        <v>42534.5</v>
      </c>
      <c r="B108" s="11">
        <v>8.4223151877462597E-7</v>
      </c>
      <c r="C108" s="11">
        <v>1.959009406028259E-6</v>
      </c>
      <c r="D108" s="11">
        <v>3.2799786497218477E-6</v>
      </c>
      <c r="E108" s="11">
        <v>4.7475362591984184E-2</v>
      </c>
      <c r="F108" s="11">
        <v>0.57467747814415093</v>
      </c>
      <c r="G108" s="11">
        <v>2.3584074896637977E-3</v>
      </c>
      <c r="H108" s="11">
        <v>0.24465791069943793</v>
      </c>
      <c r="I108" s="11">
        <v>9.0810516070754591E-7</v>
      </c>
      <c r="J108" s="11">
        <v>7.6157770376540518E-7</v>
      </c>
      <c r="K108" s="11">
        <v>1.2078337160390561E-6</v>
      </c>
      <c r="L108" s="11">
        <v>0.13082188233860814</v>
      </c>
      <c r="M108" s="11">
        <v>0.96323871764457336</v>
      </c>
    </row>
    <row r="109" spans="1:13" x14ac:dyDescent="0.3">
      <c r="A109" s="13">
        <v>42541</v>
      </c>
      <c r="B109" s="11">
        <v>8.0348840031360164E-7</v>
      </c>
      <c r="C109" s="11">
        <v>2.1030118390748124E-6</v>
      </c>
      <c r="D109" s="11">
        <v>3.0296562446876633E-6</v>
      </c>
      <c r="E109" s="11">
        <v>5.7431234272643079E-2</v>
      </c>
      <c r="F109" s="11">
        <v>0.57343098096073519</v>
      </c>
      <c r="G109" s="11">
        <v>8.9219369977322949E-5</v>
      </c>
      <c r="H109" s="11">
        <v>0.239154800467858</v>
      </c>
      <c r="I109" s="11">
        <v>8.891485322375243E-7</v>
      </c>
      <c r="J109" s="11">
        <v>7.4502158215393818E-7</v>
      </c>
      <c r="K109" s="11">
        <v>1.2639782992305298E-6</v>
      </c>
      <c r="L109" s="11">
        <v>0.1298849306238887</v>
      </c>
      <c r="M109" s="11">
        <v>0.96314010612788936</v>
      </c>
    </row>
    <row r="110" spans="1:13" x14ac:dyDescent="0.3">
      <c r="A110" s="13">
        <v>42548.5</v>
      </c>
      <c r="B110" s="11">
        <v>3.2390419379496898E-6</v>
      </c>
      <c r="C110" s="11">
        <v>1.768045137093152E-5</v>
      </c>
      <c r="D110" s="11">
        <v>2.4479441315512123E-5</v>
      </c>
      <c r="E110" s="11">
        <v>0.11577314811811996</v>
      </c>
      <c r="F110" s="11">
        <v>0.55523198077155667</v>
      </c>
      <c r="G110" s="11">
        <v>8.0208474073541289E-5</v>
      </c>
      <c r="H110" s="11">
        <v>0.27300135656863728</v>
      </c>
      <c r="I110" s="11">
        <v>1.7908292467632005E-6</v>
      </c>
      <c r="J110" s="11">
        <v>8.6834692643312249E-6</v>
      </c>
      <c r="K110" s="11">
        <v>6.2538602536102704E-6</v>
      </c>
      <c r="L110" s="11">
        <v>5.5851178974223474E-2</v>
      </c>
      <c r="M110" s="11">
        <v>0.96973408519229742</v>
      </c>
    </row>
    <row r="111" spans="1:13" x14ac:dyDescent="0.3">
      <c r="A111" s="13">
        <v>42559</v>
      </c>
      <c r="B111" s="11">
        <v>2.9224462135795882E-6</v>
      </c>
      <c r="C111" s="11">
        <v>3.4917652323416141E-5</v>
      </c>
      <c r="D111" s="11">
        <v>1.9756423450821752E-5</v>
      </c>
      <c r="E111" s="11">
        <v>0.11716282399215594</v>
      </c>
      <c r="F111" s="11">
        <v>0.56132254908736279</v>
      </c>
      <c r="G111" s="11">
        <v>4.5002307337737883E-3</v>
      </c>
      <c r="H111" s="11">
        <v>0.24453597693365139</v>
      </c>
      <c r="I111" s="11">
        <v>1.6393917577087046E-6</v>
      </c>
      <c r="J111" s="11">
        <v>8.7771989125948669E-6</v>
      </c>
      <c r="K111" s="11">
        <v>6.9413530025420398E-6</v>
      </c>
      <c r="L111" s="11">
        <v>7.24034647873954E-2</v>
      </c>
      <c r="M111" s="11">
        <v>0.97169718546043049</v>
      </c>
    </row>
    <row r="112" spans="1:13" x14ac:dyDescent="0.3">
      <c r="A112" s="13">
        <v>42566</v>
      </c>
      <c r="B112" s="11">
        <v>3.0789794132646371E-6</v>
      </c>
      <c r="C112" s="11">
        <v>2.1997058155835273E-5</v>
      </c>
      <c r="D112" s="11">
        <v>1.6831456514004264E-5</v>
      </c>
      <c r="E112" s="11">
        <v>0.12450611899214475</v>
      </c>
      <c r="F112" s="11">
        <v>0.5674802821805407</v>
      </c>
      <c r="G112" s="11">
        <v>4.6179904652974349E-3</v>
      </c>
      <c r="H112" s="11">
        <v>0.23810253293254099</v>
      </c>
      <c r="I112" s="11">
        <v>1.8905498957210713E-6</v>
      </c>
      <c r="J112" s="11">
        <v>8.92629526039335E-6</v>
      </c>
      <c r="K112" s="11">
        <v>6.225530796151692E-6</v>
      </c>
      <c r="L112" s="11">
        <v>6.5234125559440706E-2</v>
      </c>
      <c r="M112" s="11">
        <v>0.96998529349354989</v>
      </c>
    </row>
    <row r="113" spans="1:13" x14ac:dyDescent="0.3">
      <c r="A113" s="13">
        <v>42573</v>
      </c>
      <c r="B113" s="11">
        <v>2.6684149114830198E-6</v>
      </c>
      <c r="C113" s="11">
        <v>1.2096980700654608E-5</v>
      </c>
      <c r="D113" s="11">
        <v>2.3582724709563538E-5</v>
      </c>
      <c r="E113" s="11">
        <v>0.14837108817775951</v>
      </c>
      <c r="F113" s="11">
        <v>0.55305370253161512</v>
      </c>
      <c r="G113" s="11">
        <v>4.9388653671953095E-3</v>
      </c>
      <c r="H113" s="11">
        <v>0.21668196845110713</v>
      </c>
      <c r="I113" s="11">
        <v>2.3478978839811048E-6</v>
      </c>
      <c r="J113" s="11">
        <v>1.0673110962890678E-5</v>
      </c>
      <c r="K113" s="11">
        <v>5.186827885173249E-6</v>
      </c>
      <c r="L113" s="11">
        <v>7.6897819515269222E-2</v>
      </c>
      <c r="M113" s="11">
        <v>0.96465256343069161</v>
      </c>
    </row>
    <row r="114" spans="1:13" x14ac:dyDescent="0.3">
      <c r="A114" s="13">
        <v>42580</v>
      </c>
      <c r="B114" s="11">
        <v>1.8708252520851886E-5</v>
      </c>
      <c r="C114" s="11">
        <v>3.2853488066096075E-5</v>
      </c>
      <c r="D114" s="11">
        <v>8.8665232799943852E-5</v>
      </c>
      <c r="E114" s="11">
        <v>0.19568243298383015</v>
      </c>
      <c r="F114" s="11">
        <v>0.52464541923012575</v>
      </c>
      <c r="G114" s="11">
        <v>4.7811238489948372E-2</v>
      </c>
      <c r="H114" s="11">
        <v>0.16151034176508341</v>
      </c>
      <c r="I114" s="11">
        <v>6.706618415001289E-6</v>
      </c>
      <c r="J114" s="11">
        <v>3.5597925711927162E-5</v>
      </c>
      <c r="K114" s="11">
        <v>1.267922362974817E-5</v>
      </c>
      <c r="L114" s="11">
        <v>7.0155356789868825E-2</v>
      </c>
      <c r="M114" s="11">
        <v>0.96872676900651111</v>
      </c>
    </row>
    <row r="115" spans="1:13" x14ac:dyDescent="0.3">
      <c r="A115" s="13">
        <v>42587</v>
      </c>
      <c r="B115" s="11">
        <v>1.4132022795805892E-5</v>
      </c>
      <c r="C115" s="11">
        <v>4.4615633718369886E-5</v>
      </c>
      <c r="D115" s="11">
        <v>8.3336963755066898E-5</v>
      </c>
      <c r="E115" s="11">
        <v>0.18522199978741533</v>
      </c>
      <c r="F115" s="11">
        <v>0.52620662114285321</v>
      </c>
      <c r="G115" s="11">
        <v>3.8873090574471955E-2</v>
      </c>
      <c r="H115" s="11">
        <v>0.17518314825169512</v>
      </c>
      <c r="I115" s="11">
        <v>6.6814804367091725E-6</v>
      </c>
      <c r="J115" s="11">
        <v>3.0991348777759761E-5</v>
      </c>
      <c r="K115" s="11">
        <v>1.7585546810291669E-5</v>
      </c>
      <c r="L115" s="11">
        <v>7.431779724727039E-2</v>
      </c>
      <c r="M115" s="11">
        <v>0.96877834151338471</v>
      </c>
    </row>
    <row r="116" spans="1:13" x14ac:dyDescent="0.3">
      <c r="A116" s="13">
        <v>42594</v>
      </c>
      <c r="B116" s="11">
        <v>1.3235611756858634E-5</v>
      </c>
      <c r="C116" s="11">
        <v>2.7865395286940799E-2</v>
      </c>
      <c r="D116" s="11">
        <v>2.3796820149087459E-5</v>
      </c>
      <c r="E116" s="11">
        <v>0.21565361677626554</v>
      </c>
      <c r="F116" s="11">
        <v>0.45744339211553436</v>
      </c>
      <c r="G116" s="11">
        <v>7.0187297281257777E-2</v>
      </c>
      <c r="H116" s="11">
        <v>8.2171861472199681E-2</v>
      </c>
      <c r="I116" s="11">
        <v>5.1873766393774965E-6</v>
      </c>
      <c r="J116" s="11">
        <v>8.2411950921212769E-6</v>
      </c>
      <c r="K116" s="11">
        <v>8.3404870013748656E-5</v>
      </c>
      <c r="L116" s="11">
        <v>0.14654457119415062</v>
      </c>
      <c r="M116" s="11">
        <v>0.97192567281253317</v>
      </c>
    </row>
    <row r="117" spans="1:13" x14ac:dyDescent="0.3">
      <c r="A117" s="13">
        <v>42601</v>
      </c>
      <c r="B117" s="11">
        <v>5.9666276152250639E-6</v>
      </c>
      <c r="C117" s="11">
        <v>7.49881444807954E-3</v>
      </c>
      <c r="D117" s="11">
        <v>8.6132199681752871E-6</v>
      </c>
      <c r="E117" s="11">
        <v>0.23334578187283822</v>
      </c>
      <c r="F117" s="11">
        <v>0.45107821394041653</v>
      </c>
      <c r="G117" s="11">
        <v>4.8241995477868088E-2</v>
      </c>
      <c r="H117" s="11">
        <v>0.10872004287938285</v>
      </c>
      <c r="I117" s="11">
        <v>2.1736702417994902E-6</v>
      </c>
      <c r="J117" s="11">
        <v>3.5455721544848666E-6</v>
      </c>
      <c r="K117" s="11">
        <v>9.1513850659293185E-5</v>
      </c>
      <c r="L117" s="11">
        <v>0.15100333844077582</v>
      </c>
      <c r="M117" s="11">
        <v>0.97171100560946477</v>
      </c>
    </row>
    <row r="118" spans="1:13" x14ac:dyDescent="0.3">
      <c r="A118" s="13">
        <v>42608</v>
      </c>
      <c r="B118" s="11">
        <v>4.8602842414370442E-6</v>
      </c>
      <c r="C118" s="11">
        <v>4.5483646379668513E-3</v>
      </c>
      <c r="D118" s="11">
        <v>8.2407459462655611E-6</v>
      </c>
      <c r="E118" s="11">
        <v>0.23329233780064348</v>
      </c>
      <c r="F118" s="11">
        <v>0.44928536353239612</v>
      </c>
      <c r="G118" s="11">
        <v>5.4642528038983965E-2</v>
      </c>
      <c r="H118" s="11">
        <v>0.10461089552899444</v>
      </c>
      <c r="I118" s="11">
        <v>2.1654732267416455E-6</v>
      </c>
      <c r="J118" s="11">
        <v>3.3721866330076121E-6</v>
      </c>
      <c r="K118" s="11">
        <v>7.5091462528789933E-3</v>
      </c>
      <c r="L118" s="11">
        <v>0.14609272551808863</v>
      </c>
      <c r="M118" s="11">
        <v>0.97287844673593538</v>
      </c>
    </row>
    <row r="119" spans="1:13" x14ac:dyDescent="0.3">
      <c r="A119" s="13">
        <v>42615</v>
      </c>
      <c r="B119" s="11">
        <v>7.2159881445792598E-6</v>
      </c>
      <c r="C119" s="11">
        <v>5.8768365806141105E-3</v>
      </c>
      <c r="D119" s="11">
        <v>1.3163826964541918E-5</v>
      </c>
      <c r="E119" s="11">
        <v>0.2319000540597122</v>
      </c>
      <c r="F119" s="11">
        <v>0.45219111179655053</v>
      </c>
      <c r="G119" s="11">
        <v>5.7095860060600231E-2</v>
      </c>
      <c r="H119" s="11">
        <v>0.10395218176251088</v>
      </c>
      <c r="I119" s="11">
        <v>3.3820450708843771E-6</v>
      </c>
      <c r="J119" s="11">
        <v>4.9568619881124526E-6</v>
      </c>
      <c r="K119" s="11">
        <v>2.6360614767532301E-3</v>
      </c>
      <c r="L119" s="11">
        <v>0.14631917554109067</v>
      </c>
      <c r="M119" s="11">
        <v>0.97277746530992526</v>
      </c>
    </row>
    <row r="120" spans="1:13" x14ac:dyDescent="0.3">
      <c r="A120" s="13">
        <v>42621.5</v>
      </c>
      <c r="B120" s="11">
        <v>5.2122128209538601E-6</v>
      </c>
      <c r="C120" s="11">
        <v>6.119154330366942E-3</v>
      </c>
      <c r="D120" s="11">
        <v>1.0429159728310117E-5</v>
      </c>
      <c r="E120" s="11">
        <v>0.23222332921074051</v>
      </c>
      <c r="F120" s="11">
        <v>0.45200396954538125</v>
      </c>
      <c r="G120" s="11">
        <v>5.6387973123653602E-2</v>
      </c>
      <c r="H120" s="11">
        <v>0.10225431813933196</v>
      </c>
      <c r="I120" s="11">
        <v>2.6431159032397471E-6</v>
      </c>
      <c r="J120" s="11">
        <v>4.2688585661450033E-6</v>
      </c>
      <c r="K120" s="11">
        <v>8.938003163886575E-5</v>
      </c>
      <c r="L120" s="11">
        <v>0.1508993222718682</v>
      </c>
      <c r="M120" s="11">
        <v>0.97149968143047782</v>
      </c>
    </row>
    <row r="121" spans="1:13" x14ac:dyDescent="0.3">
      <c r="A121" s="13">
        <v>42629</v>
      </c>
      <c r="B121" s="11">
        <v>4.9181689452566189E-6</v>
      </c>
      <c r="C121" s="11">
        <v>5.6497440495436113E-3</v>
      </c>
      <c r="D121" s="11">
        <v>9.5089028537289919E-6</v>
      </c>
      <c r="E121" s="11">
        <v>0.23246384804440898</v>
      </c>
      <c r="F121" s="11">
        <v>0.45257449605182321</v>
      </c>
      <c r="G121" s="11">
        <v>5.7411677283134642E-2</v>
      </c>
      <c r="H121" s="11">
        <v>0.10036609082465427</v>
      </c>
      <c r="I121" s="11">
        <v>2.428822017575819E-6</v>
      </c>
      <c r="J121" s="11">
        <v>3.8516173720473301E-6</v>
      </c>
      <c r="K121" s="11">
        <v>8.9844789976138733E-5</v>
      </c>
      <c r="L121" s="11">
        <v>0.15142359144527057</v>
      </c>
      <c r="M121" s="11">
        <v>0.96583710673423484</v>
      </c>
    </row>
    <row r="122" spans="1:13" x14ac:dyDescent="0.3">
      <c r="A122" s="13">
        <v>42636</v>
      </c>
      <c r="B122" s="11">
        <v>2.5865781605564308E-5</v>
      </c>
      <c r="C122" s="11">
        <v>1.79557073681888E-2</v>
      </c>
      <c r="D122" s="11">
        <v>2.6850222550395971E-5</v>
      </c>
      <c r="E122" s="11">
        <v>0.24836370828225174</v>
      </c>
      <c r="F122" s="11">
        <v>0.43866178424967039</v>
      </c>
      <c r="G122" s="11">
        <v>3.1512341479692792E-2</v>
      </c>
      <c r="H122" s="11">
        <v>0.11048848473568089</v>
      </c>
      <c r="I122" s="11">
        <v>7.8615182705996744E-6</v>
      </c>
      <c r="J122" s="11">
        <v>1.5611904596554503E-5</v>
      </c>
      <c r="K122" s="11">
        <v>8.2922948194929979E-5</v>
      </c>
      <c r="L122" s="11">
        <v>0.15285886150929734</v>
      </c>
      <c r="M122" s="11">
        <v>0.96941373714658308</v>
      </c>
    </row>
    <row r="123" spans="1:13" x14ac:dyDescent="0.3">
      <c r="A123" s="13">
        <v>42643</v>
      </c>
      <c r="B123" s="11">
        <v>9.4970987701449804E-6</v>
      </c>
      <c r="C123" s="11">
        <v>1.0075128080912057E-2</v>
      </c>
      <c r="D123" s="11">
        <v>4.9418539980255053E-6</v>
      </c>
      <c r="E123" s="11">
        <v>0.26867713133224941</v>
      </c>
      <c r="F123" s="11">
        <v>0.4285723206469163</v>
      </c>
      <c r="G123" s="11">
        <v>1.8346897310355943E-2</v>
      </c>
      <c r="H123" s="11">
        <v>0.12026774207654492</v>
      </c>
      <c r="I123" s="11">
        <v>1.9047237432965323E-6</v>
      </c>
      <c r="J123" s="11">
        <v>3.4522483655832205E-6</v>
      </c>
      <c r="K123" s="11">
        <v>9.0060780667200021E-5</v>
      </c>
      <c r="L123" s="11">
        <v>0.15395092384747705</v>
      </c>
      <c r="M123" s="11">
        <v>0.97253459860414004</v>
      </c>
    </row>
    <row r="124" spans="1:13" x14ac:dyDescent="0.3">
      <c r="A124" s="13">
        <v>42650</v>
      </c>
      <c r="B124" s="11">
        <v>7.9035826669805056E-5</v>
      </c>
      <c r="C124" s="11">
        <v>1.9333546245134486E-2</v>
      </c>
      <c r="D124" s="11">
        <v>1.6245452442460688E-5</v>
      </c>
      <c r="E124" s="11">
        <v>0.26645339700555282</v>
      </c>
      <c r="F124" s="11">
        <v>0.4218305725060571</v>
      </c>
      <c r="G124" s="11">
        <v>2.4012254487594035E-2</v>
      </c>
      <c r="H124" s="11">
        <v>0.10299982554215935</v>
      </c>
      <c r="I124" s="11">
        <v>7.696165906750505E-6</v>
      </c>
      <c r="J124" s="11">
        <v>1.4974532257989935E-5</v>
      </c>
      <c r="K124" s="11">
        <v>9.0925138799018978E-5</v>
      </c>
      <c r="L124" s="11">
        <v>0.16516152709742621</v>
      </c>
      <c r="M124" s="11">
        <v>0.96855736483915034</v>
      </c>
    </row>
    <row r="125" spans="1:13" x14ac:dyDescent="0.3">
      <c r="A125" s="13">
        <v>42657</v>
      </c>
      <c r="B125" s="11">
        <v>9.9240694777749823E-6</v>
      </c>
      <c r="C125" s="11">
        <v>9.3679813311742483E-6</v>
      </c>
      <c r="D125" s="11">
        <v>3.9066819282198854E-6</v>
      </c>
      <c r="E125" s="11">
        <v>0.28047418179726041</v>
      </c>
      <c r="F125" s="11">
        <v>0.44637792019303707</v>
      </c>
      <c r="G125" s="11">
        <v>2.3678205732267791E-3</v>
      </c>
      <c r="H125" s="11">
        <v>0.10091273170429652</v>
      </c>
      <c r="I125" s="11">
        <v>2.195008492519454E-6</v>
      </c>
      <c r="J125" s="11">
        <v>3.5343987413303102E-6</v>
      </c>
      <c r="K125" s="11">
        <v>5.5696002447322748E-6</v>
      </c>
      <c r="L125" s="11">
        <v>0.16983284799196355</v>
      </c>
      <c r="M125" s="11">
        <v>0.97106456436647626</v>
      </c>
    </row>
    <row r="126" spans="1:13" x14ac:dyDescent="0.3">
      <c r="A126" s="13">
        <v>42664</v>
      </c>
      <c r="B126" s="11">
        <v>4.1892034782769897E-5</v>
      </c>
      <c r="C126" s="11">
        <v>4.3723354227917772E-5</v>
      </c>
      <c r="D126" s="11">
        <v>1.9081897272251564E-5</v>
      </c>
      <c r="E126" s="11">
        <v>0.2712873631323004</v>
      </c>
      <c r="F126" s="11">
        <v>0.4500459001907377</v>
      </c>
      <c r="G126" s="11">
        <v>1.2561116435154144E-2</v>
      </c>
      <c r="H126" s="11">
        <v>9.7436359137826917E-2</v>
      </c>
      <c r="I126" s="11">
        <v>8.9314197698752584E-6</v>
      </c>
      <c r="J126" s="11">
        <v>1.5206853228843901E-5</v>
      </c>
      <c r="K126" s="11">
        <v>5.0677214967033408E-5</v>
      </c>
      <c r="L126" s="11">
        <v>0.16848974832973221</v>
      </c>
      <c r="M126" s="11">
        <v>0.9706071260122463</v>
      </c>
    </row>
    <row r="127" spans="1:13" x14ac:dyDescent="0.3">
      <c r="A127" s="13">
        <v>42670</v>
      </c>
      <c r="B127" s="11">
        <v>5.5909280650077962E-5</v>
      </c>
      <c r="C127" s="11">
        <v>5.4027747719580258E-5</v>
      </c>
      <c r="D127" s="11">
        <v>2.4552959227175037E-5</v>
      </c>
      <c r="E127" s="11">
        <v>0.2658424778998057</v>
      </c>
      <c r="F127" s="11">
        <v>0.46090947892618772</v>
      </c>
      <c r="G127" s="11">
        <v>2.4650166000773629E-2</v>
      </c>
      <c r="H127" s="11">
        <v>8.9857550317995361E-2</v>
      </c>
      <c r="I127" s="11">
        <v>1.2370917273793751E-5</v>
      </c>
      <c r="J127" s="11">
        <v>2.3172284683322313E-5</v>
      </c>
      <c r="K127" s="11">
        <v>7.3588093513001637E-5</v>
      </c>
      <c r="L127" s="11">
        <v>0.15849670557217066</v>
      </c>
      <c r="M127" s="11">
        <v>0.96178202226517495</v>
      </c>
    </row>
    <row r="128" spans="1:13" x14ac:dyDescent="0.3">
      <c r="A128" s="13">
        <v>42678</v>
      </c>
      <c r="B128" s="11">
        <v>1.121317136345533E-6</v>
      </c>
      <c r="C128" s="11">
        <v>8.9655962650683188E-5</v>
      </c>
      <c r="D128" s="11">
        <v>1.1925210861706166E-6</v>
      </c>
      <c r="E128" s="11">
        <v>0.21171447347602973</v>
      </c>
      <c r="F128" s="11">
        <v>0.46644073274055903</v>
      </c>
      <c r="G128" s="11">
        <v>6.8429190770976187E-2</v>
      </c>
      <c r="H128" s="11">
        <v>0.12229772352849032</v>
      </c>
      <c r="I128" s="11">
        <v>6.7485739507943096E-7</v>
      </c>
      <c r="J128" s="11">
        <v>8.4563658664634029E-7</v>
      </c>
      <c r="K128" s="11">
        <v>3.9760924874574837E-6</v>
      </c>
      <c r="L128" s="11">
        <v>0.13102041309660237</v>
      </c>
      <c r="M128" s="11">
        <v>0.95619537362805751</v>
      </c>
    </row>
    <row r="129" spans="1:13" x14ac:dyDescent="0.3">
      <c r="A129" s="13">
        <v>42685</v>
      </c>
      <c r="B129" s="11">
        <v>8.4555962422199979E-5</v>
      </c>
      <c r="C129" s="11">
        <v>4.5648907804440697E-2</v>
      </c>
      <c r="D129" s="11">
        <v>6.4914907747449049E-5</v>
      </c>
      <c r="E129" s="11">
        <v>0.1728524419833756</v>
      </c>
      <c r="F129" s="11">
        <v>0.46085125675006117</v>
      </c>
      <c r="G129" s="11">
        <v>5.3977582077940595E-2</v>
      </c>
      <c r="H129" s="11">
        <v>0.1269277625076726</v>
      </c>
      <c r="I129" s="11">
        <v>7.517992271944956E-5</v>
      </c>
      <c r="J129" s="11">
        <v>4.20320743653163E-5</v>
      </c>
      <c r="K129" s="11">
        <v>4.1227251928665256E-5</v>
      </c>
      <c r="L129" s="11">
        <v>0.1394341387573263</v>
      </c>
      <c r="M129" s="11">
        <v>0.95986456537556153</v>
      </c>
    </row>
    <row r="130" spans="1:13" x14ac:dyDescent="0.3">
      <c r="A130" s="13">
        <v>42692</v>
      </c>
      <c r="B130" s="11">
        <v>8.5807033357714242E-5</v>
      </c>
      <c r="C130" s="11">
        <v>5.2479374705629862E-2</v>
      </c>
      <c r="D130" s="11">
        <v>7.4312839992045839E-5</v>
      </c>
      <c r="E130" s="11">
        <v>0.17357276350797751</v>
      </c>
      <c r="F130" s="11">
        <v>0.45392891151718956</v>
      </c>
      <c r="G130" s="11">
        <v>6.2488255185672109E-2</v>
      </c>
      <c r="H130" s="11">
        <v>0.1200084517297845</v>
      </c>
      <c r="I130" s="11">
        <v>5.3495583243274954E-5</v>
      </c>
      <c r="J130" s="11">
        <v>4.4486025242953372E-5</v>
      </c>
      <c r="K130" s="11">
        <v>3.4162118209460784E-5</v>
      </c>
      <c r="L130" s="11">
        <v>0.13722997975370113</v>
      </c>
      <c r="M130" s="11">
        <v>0.96196968145472217</v>
      </c>
    </row>
    <row r="131" spans="1:13" x14ac:dyDescent="0.3">
      <c r="A131" s="13">
        <v>42699</v>
      </c>
      <c r="B131" s="11">
        <v>8.5491146351647434E-5</v>
      </c>
      <c r="C131" s="11">
        <v>5.8700656259537222E-2</v>
      </c>
      <c r="D131" s="11">
        <v>6.4862590388858126E-5</v>
      </c>
      <c r="E131" s="11">
        <v>0.17083128536615524</v>
      </c>
      <c r="F131" s="11">
        <v>0.44784906309618122</v>
      </c>
      <c r="G131" s="11">
        <v>6.1236997256506803E-2</v>
      </c>
      <c r="H131" s="11">
        <v>0.12978209281911299</v>
      </c>
      <c r="I131" s="11">
        <v>4.7965952859618803E-5</v>
      </c>
      <c r="J131" s="11">
        <v>5.0928801545690279E-5</v>
      </c>
      <c r="K131" s="11">
        <v>2.3762952467078214E-5</v>
      </c>
      <c r="L131" s="11">
        <v>0.13132689375889361</v>
      </c>
      <c r="M131" s="11">
        <v>0.96035089038780763</v>
      </c>
    </row>
    <row r="132" spans="1:13" x14ac:dyDescent="0.3">
      <c r="A132" s="13">
        <v>42706</v>
      </c>
      <c r="B132" s="11">
        <v>8.413201506655899E-5</v>
      </c>
      <c r="C132" s="11">
        <v>5.8798378949802922E-2</v>
      </c>
      <c r="D132" s="11">
        <v>5.053792761819214E-5</v>
      </c>
      <c r="E132" s="11">
        <v>9.2409920280358271E-2</v>
      </c>
      <c r="F132" s="11">
        <v>0.45535279467956652</v>
      </c>
      <c r="G132" s="11">
        <v>9.5658250856071936E-2</v>
      </c>
      <c r="H132" s="11">
        <v>0.16678037245575092</v>
      </c>
      <c r="I132" s="11">
        <v>2.3921061673086695E-5</v>
      </c>
      <c r="J132" s="11">
        <v>2.0657057407176352E-5</v>
      </c>
      <c r="K132" s="11">
        <v>2.298808465460179E-5</v>
      </c>
      <c r="L132" s="11">
        <v>0.1307980466320299</v>
      </c>
      <c r="M132" s="11">
        <v>0.94551551292176572</v>
      </c>
    </row>
    <row r="133" spans="1:13" x14ac:dyDescent="0.3">
      <c r="A133" s="13">
        <v>42713</v>
      </c>
      <c r="B133" s="11">
        <v>2.8510717922577953E-5</v>
      </c>
      <c r="C133" s="11">
        <v>2.0028354648216354E-2</v>
      </c>
      <c r="D133" s="11">
        <v>3.1476102897262548E-2</v>
      </c>
      <c r="E133" s="11">
        <v>0.12262565254046565</v>
      </c>
      <c r="F133" s="11">
        <v>0.41939428225747466</v>
      </c>
      <c r="G133" s="11">
        <v>9.291230422935963E-2</v>
      </c>
      <c r="H133" s="11">
        <v>0.21951859694181994</v>
      </c>
      <c r="I133" s="11">
        <v>7.6989855872846801E-5</v>
      </c>
      <c r="J133" s="11">
        <v>1.3980156412069442E-5</v>
      </c>
      <c r="K133" s="11">
        <v>2.4632918678626861E-5</v>
      </c>
      <c r="L133" s="11">
        <v>9.3900592836515154E-2</v>
      </c>
      <c r="M133" s="11">
        <v>0.95609959271728939</v>
      </c>
    </row>
    <row r="134" spans="1:13" x14ac:dyDescent="0.3">
      <c r="A134" s="13">
        <v>42720</v>
      </c>
      <c r="B134" s="11">
        <v>5.2972776412798595E-6</v>
      </c>
      <c r="C134" s="11">
        <v>2.3662827558259297E-2</v>
      </c>
      <c r="D134" s="11">
        <v>4.4614957022137948E-2</v>
      </c>
      <c r="E134" s="11">
        <v>0.10696824221223096</v>
      </c>
      <c r="F134" s="11">
        <v>0.42841676077293128</v>
      </c>
      <c r="G134" s="11">
        <v>6.6939195370468399E-2</v>
      </c>
      <c r="H134" s="11">
        <v>0.22285377329285228</v>
      </c>
      <c r="I134" s="11">
        <v>7.9244428343417934E-5</v>
      </c>
      <c r="J134" s="11">
        <v>2.8444714992262786E-6</v>
      </c>
      <c r="K134" s="11">
        <v>2.1895474724268607E-3</v>
      </c>
      <c r="L134" s="11">
        <v>0.10426731012120903</v>
      </c>
      <c r="M134" s="11">
        <v>0.95921746266994279</v>
      </c>
    </row>
    <row r="135" spans="1:13" x14ac:dyDescent="0.3">
      <c r="A135" s="13">
        <v>42727</v>
      </c>
      <c r="B135" s="11">
        <v>5.1757406551714874E-2</v>
      </c>
      <c r="C135" s="11">
        <v>4.1743399589514048E-5</v>
      </c>
      <c r="D135" s="11">
        <v>9.0561262004681503E-5</v>
      </c>
      <c r="E135" s="11">
        <v>0.10552089264933906</v>
      </c>
      <c r="F135" s="11">
        <v>0.33779416954070074</v>
      </c>
      <c r="G135" s="11">
        <v>3.329956628522962E-2</v>
      </c>
      <c r="H135" s="11">
        <v>0.33671090912448048</v>
      </c>
      <c r="I135" s="11">
        <v>1.5556595351405992E-2</v>
      </c>
      <c r="J135" s="11">
        <v>7.5121570598084032E-6</v>
      </c>
      <c r="K135" s="11">
        <v>1.4214849516495228E-2</v>
      </c>
      <c r="L135" s="11">
        <v>0.10500579416197992</v>
      </c>
      <c r="M135" s="11">
        <v>0.94891962061705171</v>
      </c>
    </row>
    <row r="136" spans="1:13" x14ac:dyDescent="0.3">
      <c r="A136" s="13">
        <v>42734</v>
      </c>
      <c r="B136" s="11">
        <v>6.4134135964120056E-2</v>
      </c>
      <c r="C136" s="11">
        <v>1.7382879467126109E-2</v>
      </c>
      <c r="D136" s="11">
        <v>4.0803027682386403E-2</v>
      </c>
      <c r="E136" s="11">
        <v>0.1096470881005331</v>
      </c>
      <c r="F136" s="11">
        <v>0.29748582585813577</v>
      </c>
      <c r="G136" s="11">
        <v>6.9333575666248376E-3</v>
      </c>
      <c r="H136" s="11">
        <v>0.34011944688229057</v>
      </c>
      <c r="I136" s="11">
        <v>1.3834519862903996E-5</v>
      </c>
      <c r="J136" s="11">
        <v>6.7642443320986893E-6</v>
      </c>
      <c r="K136" s="11">
        <v>1.0310857888663774E-2</v>
      </c>
      <c r="L136" s="11">
        <v>0.11316278182592435</v>
      </c>
      <c r="M136" s="11">
        <v>0.94630156502045015</v>
      </c>
    </row>
    <row r="137" spans="1:13" x14ac:dyDescent="0.3">
      <c r="A137" s="13">
        <v>42741</v>
      </c>
      <c r="B137" s="11">
        <v>0.10046142195791552</v>
      </c>
      <c r="C137" s="11">
        <v>3.2789477258498387E-2</v>
      </c>
      <c r="D137" s="11">
        <v>2.1556574809198097E-3</v>
      </c>
      <c r="E137" s="11">
        <v>9.7484095833547918E-2</v>
      </c>
      <c r="F137" s="11">
        <v>0.28437713324019764</v>
      </c>
      <c r="G137" s="11">
        <v>1.4734311448123944E-2</v>
      </c>
      <c r="H137" s="11">
        <v>0.34686524320052492</v>
      </c>
      <c r="I137" s="11">
        <v>2.7560037797712186E-6</v>
      </c>
      <c r="J137" s="11">
        <v>6.233921384333933E-7</v>
      </c>
      <c r="K137" s="11">
        <v>3.0459597451388268E-2</v>
      </c>
      <c r="L137" s="11">
        <v>9.0669682732965343E-2</v>
      </c>
      <c r="M137" s="11">
        <v>0.95078947885325804</v>
      </c>
    </row>
    <row r="138" spans="1:13" x14ac:dyDescent="0.3">
      <c r="A138" s="13">
        <v>42748</v>
      </c>
      <c r="B138" s="11">
        <v>9.9192505672668338E-2</v>
      </c>
      <c r="C138" s="11">
        <v>2.9382723307473345E-2</v>
      </c>
      <c r="D138" s="11">
        <v>9.3195408233629794E-5</v>
      </c>
      <c r="E138" s="11">
        <v>0.10399326661126028</v>
      </c>
      <c r="F138" s="11">
        <v>0.28636955998402741</v>
      </c>
      <c r="G138" s="11">
        <v>1.5195924507666572E-2</v>
      </c>
      <c r="H138" s="11">
        <v>0.34773242388189823</v>
      </c>
      <c r="I138" s="11">
        <v>1.5016512551191128E-6</v>
      </c>
      <c r="J138" s="11">
        <v>3.3890096079862092E-7</v>
      </c>
      <c r="K138" s="11">
        <v>2.8546766634665707E-2</v>
      </c>
      <c r="L138" s="11">
        <v>8.9491793439890541E-2</v>
      </c>
      <c r="M138" s="11">
        <v>0.94631904432228986</v>
      </c>
    </row>
    <row r="139" spans="1:13" x14ac:dyDescent="0.3">
      <c r="A139" s="13">
        <v>42755</v>
      </c>
      <c r="B139" s="11">
        <v>9.0130633757972006E-2</v>
      </c>
      <c r="C139" s="11">
        <v>4.2502023023569483E-3</v>
      </c>
      <c r="D139" s="11">
        <v>5.7957436403226974E-2</v>
      </c>
      <c r="E139" s="11">
        <v>9.5428336963169838E-2</v>
      </c>
      <c r="F139" s="11">
        <v>0.3029430242587528</v>
      </c>
      <c r="G139" s="11">
        <v>4.3894432338139173E-2</v>
      </c>
      <c r="H139" s="11">
        <v>0.32291522565214609</v>
      </c>
      <c r="I139" s="11">
        <v>2.6373267375560907E-6</v>
      </c>
      <c r="J139" s="11">
        <v>3.0282065312556745E-6</v>
      </c>
      <c r="K139" s="11">
        <v>1.8454951762349174E-2</v>
      </c>
      <c r="L139" s="11">
        <v>6.4020091028618192E-2</v>
      </c>
      <c r="M139" s="11">
        <v>0.95075799336823918</v>
      </c>
    </row>
    <row r="140" spans="1:13" x14ac:dyDescent="0.3">
      <c r="A140" s="13">
        <v>42762</v>
      </c>
      <c r="B140" s="11">
        <v>9.0369247932278712E-2</v>
      </c>
      <c r="C140" s="11">
        <v>8.9058625915384748E-5</v>
      </c>
      <c r="D140" s="11">
        <v>9.9559237364835587E-2</v>
      </c>
      <c r="E140" s="11">
        <v>9.3379934801305658E-2</v>
      </c>
      <c r="F140" s="11">
        <v>0.28428676615551624</v>
      </c>
      <c r="G140" s="11">
        <v>2.9544543759799032E-2</v>
      </c>
      <c r="H140" s="11">
        <v>0.31406229098214405</v>
      </c>
      <c r="I140" s="11">
        <v>2.4283794159325628E-6</v>
      </c>
      <c r="J140" s="11">
        <v>2.5753091555793871E-6</v>
      </c>
      <c r="K140" s="11">
        <v>2.44552318276249E-2</v>
      </c>
      <c r="L140" s="11">
        <v>6.4248684862008951E-2</v>
      </c>
      <c r="M140" s="11">
        <v>0.95209320012044274</v>
      </c>
    </row>
    <row r="141" spans="1:13" x14ac:dyDescent="0.3">
      <c r="A141" s="13">
        <v>42768</v>
      </c>
      <c r="B141" s="11">
        <v>0.11985794453370313</v>
      </c>
      <c r="C141" s="11">
        <v>8.0818690087457282E-5</v>
      </c>
      <c r="D141" s="11">
        <v>0.16476334622526576</v>
      </c>
      <c r="E141" s="11">
        <v>6.0572473862680262E-2</v>
      </c>
      <c r="F141" s="11">
        <v>0.26892047700402577</v>
      </c>
      <c r="G141" s="11">
        <v>6.0505256298806633E-2</v>
      </c>
      <c r="H141" s="11">
        <v>0.24088216912149235</v>
      </c>
      <c r="I141" s="11">
        <v>1.6182959182649033E-5</v>
      </c>
      <c r="J141" s="11">
        <v>3.0637622238383084E-5</v>
      </c>
      <c r="K141" s="11">
        <v>4.0633609401363562E-2</v>
      </c>
      <c r="L141" s="11">
        <v>4.3737084281154012E-2</v>
      </c>
      <c r="M141" s="11">
        <v>0.94467931550717077</v>
      </c>
    </row>
    <row r="142" spans="1:13" x14ac:dyDescent="0.3">
      <c r="A142" s="13">
        <v>42776</v>
      </c>
      <c r="B142" s="11">
        <v>0.11985868793135918</v>
      </c>
      <c r="C142" s="11">
        <v>7.2828480671787869E-5</v>
      </c>
      <c r="D142" s="11">
        <v>0.15201008750729281</v>
      </c>
      <c r="E142" s="11">
        <v>6.2132861121919063E-2</v>
      </c>
      <c r="F142" s="11">
        <v>0.27464604132533144</v>
      </c>
      <c r="G142" s="11">
        <v>6.428631899874071E-2</v>
      </c>
      <c r="H142" s="11">
        <v>0.24234152704883222</v>
      </c>
      <c r="I142" s="11">
        <v>1.413094492121905E-5</v>
      </c>
      <c r="J142" s="11">
        <v>2.623509029550897E-5</v>
      </c>
      <c r="K142" s="11">
        <v>3.8106327754933937E-2</v>
      </c>
      <c r="L142" s="11">
        <v>4.6504953795702256E-2</v>
      </c>
      <c r="M142" s="11">
        <v>0.94216809895350628</v>
      </c>
    </row>
    <row r="143" spans="1:13" x14ac:dyDescent="0.3">
      <c r="A143" s="13">
        <v>42783</v>
      </c>
      <c r="B143" s="11">
        <v>0.12736893942866262</v>
      </c>
      <c r="C143" s="11">
        <v>8.6313103385940351E-5</v>
      </c>
      <c r="D143" s="11">
        <v>0.11341614771092758</v>
      </c>
      <c r="E143" s="11">
        <v>8.9702633295700829E-2</v>
      </c>
      <c r="F143" s="11">
        <v>0.28121985677755046</v>
      </c>
      <c r="G143" s="11">
        <v>5.8729482063159213E-2</v>
      </c>
      <c r="H143" s="11">
        <v>0.22673079310956709</v>
      </c>
      <c r="I143" s="11">
        <v>2.4250939642657167E-5</v>
      </c>
      <c r="J143" s="11">
        <v>3.2567555667848176E-5</v>
      </c>
      <c r="K143" s="11">
        <v>5.1334434228510743E-2</v>
      </c>
      <c r="L143" s="11">
        <v>5.1354581787225045E-2</v>
      </c>
      <c r="M143" s="11">
        <v>0.93939659847048085</v>
      </c>
    </row>
    <row r="144" spans="1:13" x14ac:dyDescent="0.3">
      <c r="A144" s="13">
        <v>42793.5</v>
      </c>
      <c r="B144" s="11">
        <v>0.1493882205552515</v>
      </c>
      <c r="C144" s="11">
        <v>8.1463540127145242E-5</v>
      </c>
      <c r="D144" s="11">
        <v>0.10210132760005122</v>
      </c>
      <c r="E144" s="11">
        <v>0.10421898671372741</v>
      </c>
      <c r="F144" s="11">
        <v>0.23757376888293347</v>
      </c>
      <c r="G144" s="11">
        <v>7.9091184677749213E-2</v>
      </c>
      <c r="H144" s="11">
        <v>0.22056921204309432</v>
      </c>
      <c r="I144" s="11">
        <v>1.3599831474022354E-5</v>
      </c>
      <c r="J144" s="11">
        <v>1.85838733696478E-5</v>
      </c>
      <c r="K144" s="11">
        <v>6.3061871078154003E-2</v>
      </c>
      <c r="L144" s="11">
        <v>4.3881781204068097E-2</v>
      </c>
      <c r="M144" s="11">
        <v>0.93426423621645749</v>
      </c>
    </row>
    <row r="145" spans="1:13" x14ac:dyDescent="0.3">
      <c r="A145" s="13">
        <v>42800.5</v>
      </c>
      <c r="B145" s="11">
        <v>0.15597254601853219</v>
      </c>
      <c r="C145" s="11">
        <v>2.8175852628374996E-6</v>
      </c>
      <c r="D145" s="11">
        <v>8.3758098984278761E-5</v>
      </c>
      <c r="E145" s="11">
        <v>0.17866251945095127</v>
      </c>
      <c r="F145" s="11">
        <v>0.20433880431766299</v>
      </c>
      <c r="G145" s="11">
        <v>0.16010243979726343</v>
      </c>
      <c r="H145" s="11">
        <v>0.1615580693922832</v>
      </c>
      <c r="I145" s="11">
        <v>9.3802854444947237E-7</v>
      </c>
      <c r="J145" s="11">
        <v>1.047175715790953E-6</v>
      </c>
      <c r="K145" s="11">
        <v>7.4309638595856473E-2</v>
      </c>
      <c r="L145" s="11">
        <v>6.4967421538943054E-2</v>
      </c>
      <c r="M145" s="11">
        <v>0.90344174185652115</v>
      </c>
    </row>
    <row r="146" spans="1:13" x14ac:dyDescent="0.3">
      <c r="A146" s="13">
        <v>42807.5</v>
      </c>
      <c r="B146" s="11">
        <v>0.14620124022183967</v>
      </c>
      <c r="C146" s="11">
        <v>5.6927291910094267E-5</v>
      </c>
      <c r="D146" s="11">
        <v>8.369788088981496E-2</v>
      </c>
      <c r="E146" s="11">
        <v>0.18719528213855127</v>
      </c>
      <c r="F146" s="11">
        <v>0.14243205400249512</v>
      </c>
      <c r="G146" s="11">
        <v>0.107913958258613</v>
      </c>
      <c r="H146" s="11">
        <v>0.20090959158001445</v>
      </c>
      <c r="I146" s="11">
        <v>4.6175802696560354E-5</v>
      </c>
      <c r="J146" s="11">
        <v>2.4218499473025132E-5</v>
      </c>
      <c r="K146" s="11">
        <v>7.1786581028160754E-2</v>
      </c>
      <c r="L146" s="11">
        <v>5.9736090286431072E-2</v>
      </c>
      <c r="M146" s="11">
        <v>0.89862543048662979</v>
      </c>
    </row>
    <row r="147" spans="1:13" x14ac:dyDescent="0.3">
      <c r="A147" s="13">
        <v>42814.5</v>
      </c>
      <c r="B147" s="11">
        <v>0.14488680914305477</v>
      </c>
      <c r="C147" s="11">
        <v>3.4973307572295892E-5</v>
      </c>
      <c r="D147" s="11">
        <v>0.15452818674174579</v>
      </c>
      <c r="E147" s="11">
        <v>0.12062961129450739</v>
      </c>
      <c r="F147" s="11">
        <v>0.18726102013950874</v>
      </c>
      <c r="G147" s="11">
        <v>0.1692108228175993</v>
      </c>
      <c r="H147" s="11">
        <v>8.4914365428221852E-2</v>
      </c>
      <c r="I147" s="11">
        <v>7.4523278925725965E-3</v>
      </c>
      <c r="J147" s="11">
        <v>1.1936667704978019E-5</v>
      </c>
      <c r="K147" s="11">
        <v>6.650845974997073E-2</v>
      </c>
      <c r="L147" s="11">
        <v>6.4561486817541563E-2</v>
      </c>
      <c r="M147" s="11">
        <v>0.89427510960285694</v>
      </c>
    </row>
    <row r="148" spans="1:13" x14ac:dyDescent="0.3">
      <c r="A148" s="13">
        <v>42821.5</v>
      </c>
      <c r="B148" s="11">
        <v>0.14022117178505478</v>
      </c>
      <c r="C148" s="11">
        <v>1.069869175432697E-5</v>
      </c>
      <c r="D148" s="11">
        <v>0.17635375290705452</v>
      </c>
      <c r="E148" s="11">
        <v>0.13185394421766938</v>
      </c>
      <c r="F148" s="11">
        <v>0.17869974896559851</v>
      </c>
      <c r="G148" s="11">
        <v>0.16611434675268771</v>
      </c>
      <c r="H148" s="11">
        <v>9.8237546882018606E-2</v>
      </c>
      <c r="I148" s="11">
        <v>8.5144867810666274E-5</v>
      </c>
      <c r="J148" s="11">
        <v>3.5282869701905952E-6</v>
      </c>
      <c r="K148" s="11">
        <v>4.6533369581009336E-2</v>
      </c>
      <c r="L148" s="11">
        <v>6.1886747062372002E-2</v>
      </c>
      <c r="M148" s="11">
        <v>0.89597505947515654</v>
      </c>
    </row>
    <row r="149" spans="1:13" x14ac:dyDescent="0.3">
      <c r="A149" s="13">
        <v>42828.5</v>
      </c>
      <c r="B149" s="11">
        <v>0.12940750125358513</v>
      </c>
      <c r="C149" s="11">
        <v>3.4401923884481734E-5</v>
      </c>
      <c r="D149" s="11">
        <v>0.22114537099295289</v>
      </c>
      <c r="E149" s="11">
        <v>0.16136707246840815</v>
      </c>
      <c r="F149" s="11">
        <v>0.11462174753284847</v>
      </c>
      <c r="G149" s="11">
        <v>0.1568710910373621</v>
      </c>
      <c r="H149" s="11">
        <v>0.12779103416912202</v>
      </c>
      <c r="I149" s="11">
        <v>8.2666427033533383E-5</v>
      </c>
      <c r="J149" s="11">
        <v>1.4911266338033303E-5</v>
      </c>
      <c r="K149" s="11">
        <v>3.9996392446661311E-2</v>
      </c>
      <c r="L149" s="11">
        <v>4.866781048180379E-2</v>
      </c>
      <c r="M149" s="11">
        <v>0.90149912055290038</v>
      </c>
    </row>
    <row r="150" spans="1:13" x14ac:dyDescent="0.3">
      <c r="A150" s="13">
        <v>42835.5</v>
      </c>
      <c r="B150" s="11">
        <v>0.137391569525215</v>
      </c>
      <c r="C150" s="11">
        <v>3.1698965026453063E-5</v>
      </c>
      <c r="D150" s="11">
        <v>0.22493926577442239</v>
      </c>
      <c r="E150" s="11">
        <v>0.15901633391881606</v>
      </c>
      <c r="F150" s="11">
        <v>0.10563524808055876</v>
      </c>
      <c r="G150" s="11">
        <v>0.15096585816207284</v>
      </c>
      <c r="H150" s="11">
        <v>0.12489060482759455</v>
      </c>
      <c r="I150" s="11">
        <v>8.6650060039598204E-5</v>
      </c>
      <c r="J150" s="11">
        <v>1.4027590402437215E-5</v>
      </c>
      <c r="K150" s="11">
        <v>5.4206376315003482E-2</v>
      </c>
      <c r="L150" s="11">
        <v>4.2822366780848463E-2</v>
      </c>
      <c r="M150" s="11">
        <v>0.90151326257494047</v>
      </c>
    </row>
    <row r="151" spans="1:13" x14ac:dyDescent="0.3">
      <c r="A151" s="13">
        <v>42842.5</v>
      </c>
      <c r="B151" s="11">
        <v>0.15537488970566202</v>
      </c>
      <c r="C151" s="11">
        <v>9.6046136451551609E-7</v>
      </c>
      <c r="D151" s="11">
        <v>0.18622600389306887</v>
      </c>
      <c r="E151" s="11">
        <v>0.15127396612532862</v>
      </c>
      <c r="F151" s="11">
        <v>0.16050736081514905</v>
      </c>
      <c r="G151" s="11">
        <v>0.20137860493240514</v>
      </c>
      <c r="H151" s="11">
        <v>9.9144981776386518E-2</v>
      </c>
      <c r="I151" s="11">
        <v>3.7906349490585793E-2</v>
      </c>
      <c r="J151" s="11">
        <v>4.5042127990622177E-7</v>
      </c>
      <c r="K151" s="11">
        <v>9.917742248294443E-4</v>
      </c>
      <c r="L151" s="11">
        <v>7.1946581539401207E-3</v>
      </c>
      <c r="M151" s="11">
        <v>0.9049793772789676</v>
      </c>
    </row>
    <row r="152" spans="1:13" x14ac:dyDescent="0.3">
      <c r="A152" s="13">
        <v>42849.5</v>
      </c>
      <c r="B152" s="11">
        <v>0.1584416731640643</v>
      </c>
      <c r="C152" s="11">
        <v>7.4712711771130871E-5</v>
      </c>
      <c r="D152" s="11">
        <v>0.15275539108403605</v>
      </c>
      <c r="E152" s="11">
        <v>0.15255413282058178</v>
      </c>
      <c r="F152" s="11">
        <v>0.12870701666840348</v>
      </c>
      <c r="G152" s="11">
        <v>0.18025037476050881</v>
      </c>
      <c r="H152" s="11">
        <v>9.737941323576732E-2</v>
      </c>
      <c r="I152" s="11">
        <v>2.4409888573310792E-2</v>
      </c>
      <c r="J152" s="11">
        <v>3.060665489993727E-5</v>
      </c>
      <c r="K152" s="11">
        <v>8.3993467265560701E-2</v>
      </c>
      <c r="L152" s="11">
        <v>2.1403323061095707E-2</v>
      </c>
      <c r="M152" s="11">
        <v>0.90338949228373422</v>
      </c>
    </row>
    <row r="153" spans="1:13" x14ac:dyDescent="0.3">
      <c r="A153" s="13">
        <v>42856.5</v>
      </c>
      <c r="B153" s="11">
        <v>0.15663671479531482</v>
      </c>
      <c r="C153" s="11">
        <v>4.7201472231597634E-5</v>
      </c>
      <c r="D153" s="11">
        <v>0.15869988497421328</v>
      </c>
      <c r="E153" s="11">
        <v>0.16230132144140022</v>
      </c>
      <c r="F153" s="11">
        <v>0.1233542472746251</v>
      </c>
      <c r="G153" s="11">
        <v>0.19708188497624099</v>
      </c>
      <c r="H153" s="11">
        <v>8.3692074802217617E-2</v>
      </c>
      <c r="I153" s="11">
        <v>1.590360219426246E-2</v>
      </c>
      <c r="J153" s="11">
        <v>1.9214702917104754E-5</v>
      </c>
      <c r="K153" s="11">
        <v>7.9274050441598756E-2</v>
      </c>
      <c r="L153" s="11">
        <v>2.2989802924978025E-2</v>
      </c>
      <c r="M153" s="11">
        <v>0.90404286397589828</v>
      </c>
    </row>
    <row r="154" spans="1:13" x14ac:dyDescent="0.3">
      <c r="A154" s="13">
        <v>42863.5</v>
      </c>
      <c r="B154" s="11">
        <v>0.13198888365144618</v>
      </c>
      <c r="C154" s="11">
        <v>2.5026637076137755E-5</v>
      </c>
      <c r="D154" s="11">
        <v>0.16478984613786024</v>
      </c>
      <c r="E154" s="11">
        <v>0.16995389750380829</v>
      </c>
      <c r="F154" s="11">
        <v>0.14240317928780738</v>
      </c>
      <c r="G154" s="11">
        <v>0.21059588907966853</v>
      </c>
      <c r="H154" s="11">
        <v>8.4961300467755962E-2</v>
      </c>
      <c r="I154" s="11">
        <v>2.627392697160557E-2</v>
      </c>
      <c r="J154" s="11">
        <v>6.5744212788670564E-6</v>
      </c>
      <c r="K154" s="11">
        <v>1.381116799125601E-2</v>
      </c>
      <c r="L154" s="11">
        <v>5.5190307850436875E-2</v>
      </c>
      <c r="M154" s="11">
        <v>0.88365630771516968</v>
      </c>
    </row>
    <row r="155" spans="1:13" x14ac:dyDescent="0.3">
      <c r="A155" s="13">
        <v>42870.5</v>
      </c>
      <c r="B155" s="11">
        <v>0.142891479151627</v>
      </c>
      <c r="C155" s="11">
        <v>3.6419231305098303E-5</v>
      </c>
      <c r="D155" s="11">
        <v>8.1213126584304393E-2</v>
      </c>
      <c r="E155" s="11">
        <v>0.18003744629795612</v>
      </c>
      <c r="F155" s="11">
        <v>0.14077069713235321</v>
      </c>
      <c r="G155" s="11">
        <v>0.24319963434773867</v>
      </c>
      <c r="H155" s="11">
        <v>8.1758977743704886E-2</v>
      </c>
      <c r="I155" s="11">
        <v>1.1875977165020842E-2</v>
      </c>
      <c r="J155" s="11">
        <v>1.1875334870486476E-5</v>
      </c>
      <c r="K155" s="11">
        <v>5.9099559421260557E-2</v>
      </c>
      <c r="L155" s="11">
        <v>5.9104807589858803E-2</v>
      </c>
      <c r="M155" s="11">
        <v>0.87971448618898884</v>
      </c>
    </row>
    <row r="156" spans="1:13" x14ac:dyDescent="0.3">
      <c r="A156" s="13">
        <v>42881</v>
      </c>
      <c r="B156" s="11">
        <v>0.13399942337993842</v>
      </c>
      <c r="C156" s="11">
        <v>7.517166183338416E-5</v>
      </c>
      <c r="D156" s="11">
        <v>6.8491050903778286E-2</v>
      </c>
      <c r="E156" s="11">
        <v>0.1761490946738303</v>
      </c>
      <c r="F156" s="11">
        <v>0.13190506101919561</v>
      </c>
      <c r="G156" s="11">
        <v>0.23632693457386725</v>
      </c>
      <c r="H156" s="11">
        <v>4.4687962476812275E-2</v>
      </c>
      <c r="I156" s="11">
        <v>2.1938113242671437E-2</v>
      </c>
      <c r="J156" s="11">
        <v>1.8198632515913802E-5</v>
      </c>
      <c r="K156" s="11">
        <v>9.6057774685837913E-2</v>
      </c>
      <c r="L156" s="11">
        <v>9.0351214749719189E-2</v>
      </c>
      <c r="M156" s="11">
        <v>0.87806913036488032</v>
      </c>
    </row>
    <row r="157" spans="1:13" x14ac:dyDescent="0.3">
      <c r="A157" s="13">
        <v>42888</v>
      </c>
      <c r="B157" s="11">
        <v>0.13216784648209473</v>
      </c>
      <c r="C157" s="11">
        <v>8.7397462274611132E-5</v>
      </c>
      <c r="D157" s="11">
        <v>6.1976063165061115E-2</v>
      </c>
      <c r="E157" s="11">
        <v>0.17904399879675245</v>
      </c>
      <c r="F157" s="11">
        <v>0.11048645064874697</v>
      </c>
      <c r="G157" s="11">
        <v>0.27189117611026647</v>
      </c>
      <c r="H157" s="11">
        <v>6.5587818204291062E-2</v>
      </c>
      <c r="I157" s="11">
        <v>2.9471545233362473E-2</v>
      </c>
      <c r="J157" s="11">
        <v>1.1895432604810678E-5</v>
      </c>
      <c r="K157" s="11">
        <v>6.8982501519364067E-2</v>
      </c>
      <c r="L157" s="11">
        <v>8.0293306945181206E-2</v>
      </c>
      <c r="M157" s="11">
        <v>0.86950590940625139</v>
      </c>
    </row>
    <row r="158" spans="1:13" x14ac:dyDescent="0.3">
      <c r="A158" s="13">
        <v>42895</v>
      </c>
      <c r="B158" s="11">
        <v>0.14692088862172129</v>
      </c>
      <c r="C158" s="11">
        <v>8.4017060004742364E-5</v>
      </c>
      <c r="D158" s="11">
        <v>3.1861166884255152E-2</v>
      </c>
      <c r="E158" s="11">
        <v>0.17405177633363147</v>
      </c>
      <c r="F158" s="11">
        <v>0.11473158554688768</v>
      </c>
      <c r="G158" s="11">
        <v>0.29719374039894536</v>
      </c>
      <c r="H158" s="11">
        <v>5.9180951537423546E-2</v>
      </c>
      <c r="I158" s="11">
        <v>2.6902138032083502E-2</v>
      </c>
      <c r="J158" s="11">
        <v>9.9910360513008366E-6</v>
      </c>
      <c r="K158" s="11">
        <v>7.322995757422894E-2</v>
      </c>
      <c r="L158" s="11">
        <v>7.5833786974767045E-2</v>
      </c>
      <c r="M158" s="11">
        <v>0.85632222370165478</v>
      </c>
    </row>
    <row r="159" spans="1:13" x14ac:dyDescent="0.3">
      <c r="A159" s="13">
        <v>42901.5</v>
      </c>
      <c r="B159" s="11">
        <v>0.14710365597097771</v>
      </c>
      <c r="C159" s="11">
        <v>8.4620941711439581E-5</v>
      </c>
      <c r="D159" s="11">
        <v>2.2611348701130566E-5</v>
      </c>
      <c r="E159" s="11">
        <v>0.1415311194461224</v>
      </c>
      <c r="F159" s="11">
        <v>0.14451932045112242</v>
      </c>
      <c r="G159" s="11">
        <v>0.33072708418959795</v>
      </c>
      <c r="H159" s="11">
        <v>1.8039526035921183E-2</v>
      </c>
      <c r="I159" s="11">
        <v>3.9637194643864088E-2</v>
      </c>
      <c r="J159" s="11">
        <v>3.4366045864220949E-6</v>
      </c>
      <c r="K159" s="11">
        <v>7.3045657738311953E-2</v>
      </c>
      <c r="L159" s="11">
        <v>0.10528577262908337</v>
      </c>
      <c r="M159" s="11">
        <v>0.85161931748287345</v>
      </c>
    </row>
    <row r="160" spans="1:13" x14ac:dyDescent="0.3">
      <c r="A160" s="13">
        <v>42909</v>
      </c>
      <c r="B160" s="11">
        <v>0.15083003734418549</v>
      </c>
      <c r="C160" s="11">
        <v>7.1155815994421547E-5</v>
      </c>
      <c r="D160" s="11">
        <v>4.5499003862482165E-5</v>
      </c>
      <c r="E160" s="11">
        <v>0.12078860885922284</v>
      </c>
      <c r="F160" s="11">
        <v>0.14857412931712916</v>
      </c>
      <c r="G160" s="11">
        <v>0.33833570007882385</v>
      </c>
      <c r="H160" s="11">
        <v>8.8479550073186346E-5</v>
      </c>
      <c r="I160" s="11">
        <v>4.508387990178573E-2</v>
      </c>
      <c r="J160" s="11">
        <v>7.7184048528555819E-6</v>
      </c>
      <c r="K160" s="11">
        <v>0.10345537027233068</v>
      </c>
      <c r="L160" s="11">
        <v>9.2719421451739295E-2</v>
      </c>
      <c r="M160" s="11">
        <v>0.87012658327906056</v>
      </c>
    </row>
    <row r="161" spans="1:13" x14ac:dyDescent="0.3">
      <c r="A161" s="13">
        <v>42916</v>
      </c>
      <c r="B161" s="11">
        <v>0.1005082379820048</v>
      </c>
      <c r="C161" s="11">
        <v>9.1269598458778813E-5</v>
      </c>
      <c r="D161" s="11">
        <v>7.7317115954287682E-2</v>
      </c>
      <c r="E161" s="11">
        <v>0.10718068288131949</v>
      </c>
      <c r="F161" s="11">
        <v>0.17096672356133277</v>
      </c>
      <c r="G161" s="11">
        <v>0.30923017447626078</v>
      </c>
      <c r="H161" s="11">
        <v>2.5681498340363722E-6</v>
      </c>
      <c r="I161" s="11">
        <v>7.9573589301224421E-2</v>
      </c>
      <c r="J161" s="11">
        <v>5.0822023741870204E-7</v>
      </c>
      <c r="K161" s="11">
        <v>7.1591686405899482E-2</v>
      </c>
      <c r="L161" s="11">
        <v>8.3537443469140327E-2</v>
      </c>
      <c r="M161" s="11">
        <v>0.86734450491205872</v>
      </c>
    </row>
    <row r="162" spans="1:13" x14ac:dyDescent="0.3">
      <c r="A162" s="13">
        <v>42923</v>
      </c>
      <c r="B162" s="11">
        <v>0.10023995673602071</v>
      </c>
      <c r="C162" s="11">
        <v>8.4185167657798744E-5</v>
      </c>
      <c r="D162" s="11">
        <v>7.7227234543532822E-2</v>
      </c>
      <c r="E162" s="11">
        <v>0.10680066413273889</v>
      </c>
      <c r="F162" s="11">
        <v>0.17202467132531604</v>
      </c>
      <c r="G162" s="11">
        <v>0.31018818670958481</v>
      </c>
      <c r="H162" s="11">
        <v>4.3116132793893539E-6</v>
      </c>
      <c r="I162" s="11">
        <v>7.9552829588682122E-2</v>
      </c>
      <c r="J162" s="11">
        <v>8.561660011371994E-7</v>
      </c>
      <c r="K162" s="11">
        <v>7.0173084176698347E-2</v>
      </c>
      <c r="L162" s="11">
        <v>8.370401984048785E-2</v>
      </c>
      <c r="M162" s="11">
        <v>0.87195922646334978</v>
      </c>
    </row>
    <row r="163" spans="1:13" x14ac:dyDescent="0.3">
      <c r="A163" s="13">
        <v>42930</v>
      </c>
      <c r="B163" s="11">
        <v>0.10322945925193189</v>
      </c>
      <c r="C163" s="11">
        <v>9.019128688972765E-5</v>
      </c>
      <c r="D163" s="11">
        <v>8.3651955688751611E-2</v>
      </c>
      <c r="E163" s="11">
        <v>0.10259323358586109</v>
      </c>
      <c r="F163" s="11">
        <v>0.16629599087566221</v>
      </c>
      <c r="G163" s="11">
        <v>0.31264300896557368</v>
      </c>
      <c r="H163" s="11">
        <v>4.9919355411700695E-6</v>
      </c>
      <c r="I163" s="11">
        <v>8.1825096843794243E-2</v>
      </c>
      <c r="J163" s="11">
        <v>1.2485888858696015E-6</v>
      </c>
      <c r="K163" s="11">
        <v>7.2032898690491315E-2</v>
      </c>
      <c r="L163" s="11">
        <v>7.7631924286617207E-2</v>
      </c>
      <c r="M163" s="11">
        <v>0.87504255348024429</v>
      </c>
    </row>
    <row r="164" spans="1:13" x14ac:dyDescent="0.3">
      <c r="A164" s="13">
        <v>42937</v>
      </c>
      <c r="B164" s="11">
        <v>0.10150587731877275</v>
      </c>
      <c r="C164" s="11">
        <v>8.8544007698994055E-5</v>
      </c>
      <c r="D164" s="11">
        <v>9.7519714823143575E-2</v>
      </c>
      <c r="E164" s="11">
        <v>0.10763370261474679</v>
      </c>
      <c r="F164" s="11">
        <v>0.15990313573662485</v>
      </c>
      <c r="G164" s="11">
        <v>0.3076607654352137</v>
      </c>
      <c r="H164" s="11">
        <v>1.7660091134584319E-5</v>
      </c>
      <c r="I164" s="11">
        <v>8.1790995317204768E-2</v>
      </c>
      <c r="J164" s="11">
        <v>2.5709333770529998E-6</v>
      </c>
      <c r="K164" s="11">
        <v>7.4483322898203266E-2</v>
      </c>
      <c r="L164" s="11">
        <v>6.939371082387967E-2</v>
      </c>
      <c r="M164" s="11">
        <v>0.87239209450299293</v>
      </c>
    </row>
    <row r="165" spans="1:13" x14ac:dyDescent="0.3">
      <c r="A165" s="13">
        <v>42944</v>
      </c>
      <c r="B165" s="11">
        <v>0.11622714971694217</v>
      </c>
      <c r="C165" s="11">
        <v>3.7494619536661437E-2</v>
      </c>
      <c r="D165" s="11">
        <v>5.8611355384050379E-2</v>
      </c>
      <c r="E165" s="11">
        <v>7.8317653811992363E-2</v>
      </c>
      <c r="F165" s="11">
        <v>0.15906052455286762</v>
      </c>
      <c r="G165" s="11">
        <v>0.32560917807162343</v>
      </c>
      <c r="H165" s="11">
        <v>8.6354391242699635E-5</v>
      </c>
      <c r="I165" s="11">
        <v>0.10557584198447073</v>
      </c>
      <c r="J165" s="11">
        <v>3.7685046772709281E-6</v>
      </c>
      <c r="K165" s="11">
        <v>7.4609642228628356E-2</v>
      </c>
      <c r="L165" s="11">
        <v>4.4403911816843493E-2</v>
      </c>
      <c r="M165" s="11">
        <v>0.88086987595937349</v>
      </c>
    </row>
    <row r="166" spans="1:13" x14ac:dyDescent="0.3">
      <c r="A166" s="13">
        <v>42951</v>
      </c>
      <c r="B166" s="11">
        <v>0.11387232038281912</v>
      </c>
      <c r="C166" s="11">
        <v>4.9053752396069177E-2</v>
      </c>
      <c r="D166" s="11">
        <v>5.7401254514618173E-2</v>
      </c>
      <c r="E166" s="11">
        <v>5.401673722707287E-2</v>
      </c>
      <c r="F166" s="11">
        <v>0.15311931031056106</v>
      </c>
      <c r="G166" s="11">
        <v>0.33966124348187071</v>
      </c>
      <c r="H166" s="11">
        <v>8.8715164876607586E-5</v>
      </c>
      <c r="I166" s="11">
        <v>0.13803646184224561</v>
      </c>
      <c r="J166" s="11">
        <v>3.2431907315113517E-6</v>
      </c>
      <c r="K166" s="11">
        <v>6.3390379682410639E-2</v>
      </c>
      <c r="L166" s="11">
        <v>3.1356581806724522E-2</v>
      </c>
      <c r="M166" s="11">
        <v>0.88318167406409009</v>
      </c>
    </row>
    <row r="167" spans="1:13" x14ac:dyDescent="0.3">
      <c r="A167" s="13">
        <v>42958</v>
      </c>
      <c r="B167" s="11">
        <v>0.11530627061866916</v>
      </c>
      <c r="C167" s="11">
        <v>5.0778780383345837E-2</v>
      </c>
      <c r="D167" s="11">
        <v>4.8867125762560061E-2</v>
      </c>
      <c r="E167" s="11">
        <v>4.5946921060229538E-2</v>
      </c>
      <c r="F167" s="11">
        <v>0.15968839273311161</v>
      </c>
      <c r="G167" s="11">
        <v>0.33975996988446305</v>
      </c>
      <c r="H167" s="11">
        <v>8.9078433919693542E-5</v>
      </c>
      <c r="I167" s="11">
        <v>0.13997988609323594</v>
      </c>
      <c r="J167" s="11">
        <v>7.2060272692264194E-6</v>
      </c>
      <c r="K167" s="11">
        <v>6.6643799108641877E-2</v>
      </c>
      <c r="L167" s="11">
        <v>3.2932569894553919E-2</v>
      </c>
      <c r="M167" s="11">
        <v>0.88462595957762391</v>
      </c>
    </row>
    <row r="168" spans="1:13" x14ac:dyDescent="0.3">
      <c r="A168" s="13">
        <v>42965</v>
      </c>
      <c r="B168" s="11">
        <v>0.12058014885046292</v>
      </c>
      <c r="C168" s="11">
        <v>8.2569324872575796E-3</v>
      </c>
      <c r="D168" s="11">
        <v>5.6557205969623998E-2</v>
      </c>
      <c r="E168" s="11">
        <v>7.8335698272267093E-2</v>
      </c>
      <c r="F168" s="11">
        <v>0.17533525608342304</v>
      </c>
      <c r="G168" s="11">
        <v>0.32937863642532567</v>
      </c>
      <c r="H168" s="11">
        <v>1.4127944239252978E-5</v>
      </c>
      <c r="I168" s="11">
        <v>0.11569684642614578</v>
      </c>
      <c r="J168" s="11">
        <v>2.3507340211236984E-6</v>
      </c>
      <c r="K168" s="11">
        <v>6.5893275970323101E-2</v>
      </c>
      <c r="L168" s="11">
        <v>4.9949520836910531E-2</v>
      </c>
      <c r="M168" s="11">
        <v>0.89115146440356219</v>
      </c>
    </row>
    <row r="169" spans="1:13" x14ac:dyDescent="0.3">
      <c r="A169" s="13">
        <v>42972</v>
      </c>
      <c r="B169" s="11">
        <v>0.11981803023100981</v>
      </c>
      <c r="C169" s="11">
        <v>7.0111066451663845E-2</v>
      </c>
      <c r="D169" s="11">
        <v>4.2021698804695735E-4</v>
      </c>
      <c r="E169" s="11">
        <v>7.4585496897644016E-2</v>
      </c>
      <c r="F169" s="11">
        <v>0.14797939751519168</v>
      </c>
      <c r="G169" s="11">
        <v>0.32611810371151445</v>
      </c>
      <c r="H169" s="11">
        <v>1.7174751426784807E-6</v>
      </c>
      <c r="I169" s="11">
        <v>0.10159064642697442</v>
      </c>
      <c r="J169" s="11">
        <v>1.4606648199287863E-7</v>
      </c>
      <c r="K169" s="11">
        <v>0.1081803686207642</v>
      </c>
      <c r="L169" s="11">
        <v>5.1194809615565919E-2</v>
      </c>
      <c r="M169" s="11">
        <v>0.88249950575570146</v>
      </c>
    </row>
    <row r="170" spans="1:13" x14ac:dyDescent="0.3">
      <c r="A170" s="13">
        <v>42979</v>
      </c>
      <c r="B170" s="11">
        <v>0.11548906479843199</v>
      </c>
      <c r="C170" s="11">
        <v>3.1737206939198674E-2</v>
      </c>
      <c r="D170" s="11">
        <v>2.0312760672644738E-2</v>
      </c>
      <c r="E170" s="11">
        <v>8.1645955103576195E-2</v>
      </c>
      <c r="F170" s="11">
        <v>0.15037272923143433</v>
      </c>
      <c r="G170" s="11">
        <v>0.32161968344327285</v>
      </c>
      <c r="H170" s="11">
        <v>8.4328993186977427E-5</v>
      </c>
      <c r="I170" s="11">
        <v>0.1022292162054611</v>
      </c>
      <c r="J170" s="11">
        <v>5.6293869471589178E-6</v>
      </c>
      <c r="K170" s="11">
        <v>0.10924403108237221</v>
      </c>
      <c r="L170" s="11">
        <v>6.7259394143473886E-2</v>
      </c>
      <c r="M170" s="11">
        <v>0.88371696434158975</v>
      </c>
    </row>
    <row r="171" spans="1:13" x14ac:dyDescent="0.3">
      <c r="A171" s="13">
        <v>42986</v>
      </c>
      <c r="B171" s="11">
        <v>0.10934902042260623</v>
      </c>
      <c r="C171" s="11">
        <v>1.6396353978841715E-2</v>
      </c>
      <c r="D171" s="11">
        <v>8.1772622679900625E-2</v>
      </c>
      <c r="E171" s="11">
        <v>6.382221303560516E-2</v>
      </c>
      <c r="F171" s="11">
        <v>0.1571601987370094</v>
      </c>
      <c r="G171" s="11">
        <v>0.30695620807801088</v>
      </c>
      <c r="H171" s="11">
        <v>3.8149543046460112E-5</v>
      </c>
      <c r="I171" s="11">
        <v>0.12515284969261983</v>
      </c>
      <c r="J171" s="11">
        <v>6.0321302816412906E-6</v>
      </c>
      <c r="K171" s="11">
        <v>8.1358346044853591E-2</v>
      </c>
      <c r="L171" s="11">
        <v>5.7988005657224347E-2</v>
      </c>
      <c r="M171" s="11">
        <v>0.88029496984972211</v>
      </c>
    </row>
    <row r="172" spans="1:13" x14ac:dyDescent="0.3">
      <c r="A172" s="13">
        <v>42993</v>
      </c>
      <c r="B172" s="11">
        <v>7.5213740691168707E-2</v>
      </c>
      <c r="C172" s="11">
        <v>8.5414650561468648E-5</v>
      </c>
      <c r="D172" s="11">
        <v>0.14064586201091725</v>
      </c>
      <c r="E172" s="11">
        <v>2.4676380052854236E-2</v>
      </c>
      <c r="F172" s="11">
        <v>0.12830524456009382</v>
      </c>
      <c r="G172" s="11">
        <v>0.27703363698969091</v>
      </c>
      <c r="H172" s="11">
        <v>4.693819239629384E-5</v>
      </c>
      <c r="I172" s="11">
        <v>0.210019712188562</v>
      </c>
      <c r="J172" s="11">
        <v>2.1591686583862901E-5</v>
      </c>
      <c r="K172" s="11">
        <v>4.8334486252136426E-2</v>
      </c>
      <c r="L172" s="11">
        <v>9.5616992725035072E-2</v>
      </c>
      <c r="M172" s="11">
        <v>0.87733934021706372</v>
      </c>
    </row>
    <row r="173" spans="1:13" x14ac:dyDescent="0.3">
      <c r="A173" s="13">
        <v>43000</v>
      </c>
      <c r="B173" s="11">
        <v>7.6975126363923813E-2</v>
      </c>
      <c r="C173" s="11">
        <v>8.5892593677186916E-5</v>
      </c>
      <c r="D173" s="11">
        <v>0.16004593154777444</v>
      </c>
      <c r="E173" s="11">
        <v>2.8176172211073127E-2</v>
      </c>
      <c r="F173" s="11">
        <v>0.10081177646153019</v>
      </c>
      <c r="G173" s="11">
        <v>0.28444242715411577</v>
      </c>
      <c r="H173" s="11">
        <v>7.3936742734409334E-6</v>
      </c>
      <c r="I173" s="11">
        <v>0.22293248981154826</v>
      </c>
      <c r="J173" s="11">
        <v>2.1204752701744775E-6</v>
      </c>
      <c r="K173" s="11">
        <v>6.0145464710957802E-2</v>
      </c>
      <c r="L173" s="11">
        <v>6.6375204995855766E-2</v>
      </c>
      <c r="M173" s="11">
        <v>0.93145229933278095</v>
      </c>
    </row>
    <row r="174" spans="1:13" x14ac:dyDescent="0.3">
      <c r="A174" s="13">
        <v>43006</v>
      </c>
      <c r="B174" s="11">
        <v>8.0916593677231377E-2</v>
      </c>
      <c r="C174" s="11">
        <v>1.4718616185830542E-5</v>
      </c>
      <c r="D174" s="11">
        <v>0.18875723015505519</v>
      </c>
      <c r="E174" s="11">
        <v>8.9039377740085746E-2</v>
      </c>
      <c r="F174" s="11">
        <v>5.7466203375268997E-2</v>
      </c>
      <c r="G174" s="11">
        <v>0.28493465744869606</v>
      </c>
      <c r="H174" s="11">
        <v>1.6908080989375133E-2</v>
      </c>
      <c r="I174" s="11">
        <v>0.18138041955208181</v>
      </c>
      <c r="J174" s="11">
        <v>6.205274255931987E-6</v>
      </c>
      <c r="K174" s="11">
        <v>7.5306205319808986E-2</v>
      </c>
      <c r="L174" s="11">
        <v>2.5270307851954939E-2</v>
      </c>
      <c r="M174" s="11">
        <v>0.92605245509965928</v>
      </c>
    </row>
    <row r="175" spans="1:13" x14ac:dyDescent="0.3">
      <c r="A175" s="13">
        <v>43014</v>
      </c>
      <c r="B175" s="11">
        <v>6.3489007759090485E-2</v>
      </c>
      <c r="C175" s="11">
        <v>2.8525547342339328E-5</v>
      </c>
      <c r="D175" s="11">
        <v>0.20734517892025894</v>
      </c>
      <c r="E175" s="11">
        <v>0.11340114574701481</v>
      </c>
      <c r="F175" s="11">
        <v>3.7764165946015914E-2</v>
      </c>
      <c r="G175" s="11">
        <v>0.29072007298298352</v>
      </c>
      <c r="H175" s="11">
        <v>1.4969571351860009E-2</v>
      </c>
      <c r="I175" s="11">
        <v>0.17182551732016502</v>
      </c>
      <c r="J175" s="11">
        <v>6.6833160565880025E-6</v>
      </c>
      <c r="K175" s="11">
        <v>7.9976409668979426E-2</v>
      </c>
      <c r="L175" s="11">
        <v>2.0473721440233086E-2</v>
      </c>
      <c r="M175" s="11">
        <v>0.92987397438732589</v>
      </c>
    </row>
    <row r="176" spans="1:13" x14ac:dyDescent="0.3">
      <c r="A176" s="13">
        <v>43021</v>
      </c>
      <c r="B176" s="11">
        <v>5.2885614687926914E-2</v>
      </c>
      <c r="C176" s="11">
        <v>1.9225207767791862E-5</v>
      </c>
      <c r="D176" s="11">
        <v>0.16491120858203012</v>
      </c>
      <c r="E176" s="11">
        <v>8.394647214164809E-2</v>
      </c>
      <c r="F176" s="11">
        <v>7.6719367271022035E-2</v>
      </c>
      <c r="G176" s="11">
        <v>0.27062369085195992</v>
      </c>
      <c r="H176" s="11">
        <v>5.7893939023190309E-2</v>
      </c>
      <c r="I176" s="11">
        <v>0.19676852849141827</v>
      </c>
      <c r="J176" s="11">
        <v>8.9965463545876041E-6</v>
      </c>
      <c r="K176" s="11">
        <v>9.1392243279319385E-2</v>
      </c>
      <c r="L176" s="11">
        <v>4.8307139173625778E-3</v>
      </c>
      <c r="M176" s="11">
        <v>0.93158659221334761</v>
      </c>
    </row>
    <row r="177" spans="1:13" x14ac:dyDescent="0.3">
      <c r="A177" s="13">
        <v>43028</v>
      </c>
      <c r="B177" s="11">
        <v>6.6266500346587209E-2</v>
      </c>
      <c r="C177" s="11">
        <v>3.3810269288746036E-5</v>
      </c>
      <c r="D177" s="11">
        <v>0.1510945829706542</v>
      </c>
      <c r="E177" s="11">
        <v>6.913404015558329E-2</v>
      </c>
      <c r="F177" s="11">
        <v>7.8146530944513029E-2</v>
      </c>
      <c r="G177" s="11">
        <v>0.25456292763394167</v>
      </c>
      <c r="H177" s="11">
        <v>9.3280822971978025E-2</v>
      </c>
      <c r="I177" s="11">
        <v>0.20023476414716132</v>
      </c>
      <c r="J177" s="11">
        <v>1.8499929464502915E-5</v>
      </c>
      <c r="K177" s="11">
        <v>8.7150232906086811E-2</v>
      </c>
      <c r="L177" s="11">
        <v>7.7287724741200722E-5</v>
      </c>
      <c r="M177" s="11">
        <v>0.93251016646504648</v>
      </c>
    </row>
    <row r="178" spans="1:13" x14ac:dyDescent="0.3">
      <c r="A178" s="13">
        <v>43035</v>
      </c>
      <c r="B178" s="11">
        <v>6.8007783590590593E-2</v>
      </c>
      <c r="C178" s="11">
        <v>3.8226840874447501E-5</v>
      </c>
      <c r="D178" s="11">
        <v>0.14814921676826409</v>
      </c>
      <c r="E178" s="11">
        <v>6.5086302984672231E-2</v>
      </c>
      <c r="F178" s="11">
        <v>8.0053457665616737E-2</v>
      </c>
      <c r="G178" s="11">
        <v>0.25377692144989228</v>
      </c>
      <c r="H178" s="11">
        <v>9.395255076273501E-2</v>
      </c>
      <c r="I178" s="11">
        <v>0.20222585002285753</v>
      </c>
      <c r="J178" s="11">
        <v>2.0586256494143977E-5</v>
      </c>
      <c r="K178" s="11">
        <v>8.861102941805446E-2</v>
      </c>
      <c r="L178" s="11">
        <v>7.8074239948504017E-5</v>
      </c>
      <c r="M178" s="11">
        <v>0.9324943762448995</v>
      </c>
    </row>
    <row r="179" spans="1:13" x14ac:dyDescent="0.3">
      <c r="A179" s="13">
        <v>43042</v>
      </c>
      <c r="B179" s="11">
        <v>6.9250298405306152E-2</v>
      </c>
      <c r="C179" s="11">
        <v>2.4941756709088569E-5</v>
      </c>
      <c r="D179" s="11">
        <v>0.15478754199831296</v>
      </c>
      <c r="E179" s="11">
        <v>5.9187115839347548E-2</v>
      </c>
      <c r="F179" s="11">
        <v>7.6166092160026636E-2</v>
      </c>
      <c r="G179" s="11">
        <v>0.24495876530912955</v>
      </c>
      <c r="H179" s="11">
        <v>8.5410788299493196E-2</v>
      </c>
      <c r="I179" s="11">
        <v>0.21090201277830828</v>
      </c>
      <c r="J179" s="11">
        <v>1.5072026559350867E-5</v>
      </c>
      <c r="K179" s="11">
        <v>9.9222298538881024E-2</v>
      </c>
      <c r="L179" s="11">
        <v>7.507288792622124E-5</v>
      </c>
      <c r="M179" s="11">
        <v>0.93867509401771665</v>
      </c>
    </row>
    <row r="180" spans="1:13" x14ac:dyDescent="0.3">
      <c r="A180" s="13">
        <v>43049</v>
      </c>
      <c r="B180" s="11">
        <v>7.6288451517923211E-2</v>
      </c>
      <c r="C180" s="11">
        <v>6.3519706701018383E-5</v>
      </c>
      <c r="D180" s="11">
        <v>7.2054363691301776E-2</v>
      </c>
      <c r="E180" s="11">
        <v>8.8567491082285316E-2</v>
      </c>
      <c r="F180" s="11">
        <v>0.10075346876900274</v>
      </c>
      <c r="G180" s="11">
        <v>0.22504066901567255</v>
      </c>
      <c r="H180" s="11">
        <v>0.13837264881839073</v>
      </c>
      <c r="I180" s="11">
        <v>0.19105219812920254</v>
      </c>
      <c r="J180" s="11">
        <v>3.2365260291386914E-5</v>
      </c>
      <c r="K180" s="11">
        <v>0.10772313553858792</v>
      </c>
      <c r="L180" s="11">
        <v>5.1688470640843128E-5</v>
      </c>
      <c r="M180" s="11">
        <v>0.93524851217436145</v>
      </c>
    </row>
    <row r="181" spans="1:13" x14ac:dyDescent="0.3">
      <c r="A181" s="13">
        <v>43055</v>
      </c>
      <c r="B181" s="11">
        <v>5.8431447178206183E-2</v>
      </c>
      <c r="C181" s="11">
        <v>6.7032975702105527E-5</v>
      </c>
      <c r="D181" s="11">
        <v>0.10066800949191651</v>
      </c>
      <c r="E181" s="11">
        <v>6.5673737854672357E-2</v>
      </c>
      <c r="F181" s="11">
        <v>9.8633161213569881E-2</v>
      </c>
      <c r="G181" s="11">
        <v>0.17960994861595431</v>
      </c>
      <c r="H181" s="11">
        <v>0.16275718026139538</v>
      </c>
      <c r="I181" s="11">
        <v>0.22561827537124213</v>
      </c>
      <c r="J181" s="11">
        <v>3.4119758588988754E-5</v>
      </c>
      <c r="K181" s="11">
        <v>0.1084555290997164</v>
      </c>
      <c r="L181" s="11">
        <v>5.155817903584455E-5</v>
      </c>
      <c r="M181" s="11">
        <v>0.93530968722260877</v>
      </c>
    </row>
    <row r="182" spans="1:13" x14ac:dyDescent="0.3">
      <c r="A182" s="13">
        <v>43063</v>
      </c>
      <c r="B182" s="11">
        <v>5.7621165500088348E-2</v>
      </c>
      <c r="C182" s="11">
        <v>6.5116451433830494E-5</v>
      </c>
      <c r="D182" s="11">
        <v>9.8523261304541823E-2</v>
      </c>
      <c r="E182" s="11">
        <v>6.7365515965423187E-2</v>
      </c>
      <c r="F182" s="11">
        <v>9.7853416907843146E-2</v>
      </c>
      <c r="G182" s="11">
        <v>0.17965968747179833</v>
      </c>
      <c r="H182" s="11">
        <v>0.16442479171322766</v>
      </c>
      <c r="I182" s="11">
        <v>0.22574625944096413</v>
      </c>
      <c r="J182" s="11">
        <v>3.2744294672366508E-5</v>
      </c>
      <c r="K182" s="11">
        <v>0.10865964825022266</v>
      </c>
      <c r="L182" s="11">
        <v>4.8392699784488067E-5</v>
      </c>
      <c r="M182" s="11">
        <v>0.93495894178133832</v>
      </c>
    </row>
    <row r="183" spans="1:13" x14ac:dyDescent="0.3">
      <c r="A183" s="13">
        <v>43070</v>
      </c>
      <c r="B183" s="11">
        <v>5.7887682952792313E-2</v>
      </c>
      <c r="C183" s="11">
        <v>6.4311434370813164E-5</v>
      </c>
      <c r="D183" s="11">
        <v>9.827952199838931E-2</v>
      </c>
      <c r="E183" s="11">
        <v>7.2740952859199098E-2</v>
      </c>
      <c r="F183" s="11">
        <v>9.5930700050674486E-2</v>
      </c>
      <c r="G183" s="11">
        <v>0.17809330314736105</v>
      </c>
      <c r="H183" s="11">
        <v>0.16303428582895396</v>
      </c>
      <c r="I183" s="11">
        <v>0.22346690926300736</v>
      </c>
      <c r="J183" s="11">
        <v>3.2637643457132154E-5</v>
      </c>
      <c r="K183" s="11">
        <v>0.11042396657750984</v>
      </c>
      <c r="L183" s="11">
        <v>4.572824428462691E-5</v>
      </c>
      <c r="M183" s="11">
        <v>0.93678190663108984</v>
      </c>
    </row>
    <row r="184" spans="1:13" x14ac:dyDescent="0.3">
      <c r="A184" s="13">
        <v>43077</v>
      </c>
      <c r="B184" s="11">
        <v>3.9478914182146628E-2</v>
      </c>
      <c r="C184" s="11">
        <v>7.1522607357923012E-5</v>
      </c>
      <c r="D184" s="11">
        <v>0.11426727189696605</v>
      </c>
      <c r="E184" s="11">
        <v>4.9919643022949038E-2</v>
      </c>
      <c r="F184" s="11">
        <v>0.12143449968242435</v>
      </c>
      <c r="G184" s="11">
        <v>0.18103884788984145</v>
      </c>
      <c r="H184" s="11">
        <v>0.14458266623734908</v>
      </c>
      <c r="I184" s="11">
        <v>0.24797879143926724</v>
      </c>
      <c r="J184" s="11">
        <v>4.071548065121757E-5</v>
      </c>
      <c r="K184" s="11">
        <v>0.10111975648596289</v>
      </c>
      <c r="L184" s="11">
        <v>6.7371075084177634E-5</v>
      </c>
      <c r="M184" s="11">
        <v>0.93856621541053786</v>
      </c>
    </row>
    <row r="185" spans="1:13" x14ac:dyDescent="0.3">
      <c r="A185" s="13">
        <v>43084</v>
      </c>
      <c r="B185" s="11">
        <v>3.6509048325084663E-2</v>
      </c>
      <c r="C185" s="11">
        <v>4.3955751640630794E-5</v>
      </c>
      <c r="D185" s="11">
        <v>0.14469828166155776</v>
      </c>
      <c r="E185" s="11">
        <v>3.0053827585174726E-2</v>
      </c>
      <c r="F185" s="11">
        <v>0.12045053661272848</v>
      </c>
      <c r="G185" s="11">
        <v>0.16863727971529416</v>
      </c>
      <c r="H185" s="11">
        <v>0.16191156755170966</v>
      </c>
      <c r="I185" s="11">
        <v>0.24295596475353087</v>
      </c>
      <c r="J185" s="11">
        <v>2.4239365775174082E-5</v>
      </c>
      <c r="K185" s="11">
        <v>9.4679657379575385E-2</v>
      </c>
      <c r="L185" s="11">
        <v>3.5641297928526047E-5</v>
      </c>
      <c r="M185" s="11">
        <v>0.94083096437755454</v>
      </c>
    </row>
    <row r="186" spans="1:13" x14ac:dyDescent="0.3">
      <c r="A186" s="13">
        <v>43091</v>
      </c>
      <c r="B186" s="11">
        <v>4.4898146771208507E-2</v>
      </c>
      <c r="C186" s="11">
        <v>4.8559108483337805E-5</v>
      </c>
      <c r="D186" s="11">
        <v>0.1373507681864802</v>
      </c>
      <c r="E186" s="11">
        <v>3.8480046698537683E-2</v>
      </c>
      <c r="F186" s="11">
        <v>0.1261884996417694</v>
      </c>
      <c r="G186" s="11">
        <v>0.16558060168750235</v>
      </c>
      <c r="H186" s="11">
        <v>0.1617789285661671</v>
      </c>
      <c r="I186" s="11">
        <v>0.23135775794759542</v>
      </c>
      <c r="J186" s="11">
        <v>2.9285313581481645E-5</v>
      </c>
      <c r="K186" s="11">
        <v>9.4235826952137447E-2</v>
      </c>
      <c r="L186" s="11">
        <v>5.1579126537014301E-5</v>
      </c>
      <c r="M186" s="11">
        <v>0.94097171701822424</v>
      </c>
    </row>
    <row r="187" spans="1:13" x14ac:dyDescent="0.3">
      <c r="A187" s="13">
        <v>43098</v>
      </c>
      <c r="B187" s="11">
        <v>8.5484343049663999E-2</v>
      </c>
      <c r="C187" s="11">
        <v>5.0067988836667686E-5</v>
      </c>
      <c r="D187" s="11">
        <v>6.5577178575403156E-2</v>
      </c>
      <c r="E187" s="11">
        <v>0.17730285871475904</v>
      </c>
      <c r="F187" s="11">
        <v>0.11768174406303547</v>
      </c>
      <c r="G187" s="11">
        <v>0.18266870437979019</v>
      </c>
      <c r="H187" s="11">
        <v>0.1440120484848903</v>
      </c>
      <c r="I187" s="11">
        <v>0.13434791776604318</v>
      </c>
      <c r="J187" s="11">
        <v>2.8821110796167638E-5</v>
      </c>
      <c r="K187" s="11">
        <v>9.276643992619088E-2</v>
      </c>
      <c r="L187" s="11">
        <v>7.9875940590983861E-5</v>
      </c>
      <c r="M187" s="11">
        <v>0.93785798251990504</v>
      </c>
    </row>
    <row r="188" spans="1:13" x14ac:dyDescent="0.3">
      <c r="A188" s="13">
        <v>43105</v>
      </c>
      <c r="B188" s="11">
        <v>8.5259965381567063E-2</v>
      </c>
      <c r="C188" s="11">
        <v>4.8279748134149957E-5</v>
      </c>
      <c r="D188" s="11">
        <v>6.7749586965432498E-2</v>
      </c>
      <c r="E188" s="11">
        <v>0.18554537710047939</v>
      </c>
      <c r="F188" s="11">
        <v>0.10788738557368924</v>
      </c>
      <c r="G188" s="11">
        <v>0.17846359996655842</v>
      </c>
      <c r="H188" s="11">
        <v>0.15239375146535122</v>
      </c>
      <c r="I188" s="11">
        <v>0.1273101491355054</v>
      </c>
      <c r="J188" s="11">
        <v>3.0537380701126794E-5</v>
      </c>
      <c r="K188" s="11">
        <v>9.5238711561731179E-2</v>
      </c>
      <c r="L188" s="11">
        <v>7.2655720850263271E-5</v>
      </c>
      <c r="M188" s="11">
        <v>0.9382724301081744</v>
      </c>
    </row>
    <row r="189" spans="1:13" x14ac:dyDescent="0.3">
      <c r="A189" s="13">
        <v>43112</v>
      </c>
      <c r="B189" s="11">
        <v>8.896982532763173E-2</v>
      </c>
      <c r="C189" s="11">
        <v>4.7882198100503442E-5</v>
      </c>
      <c r="D189" s="11">
        <v>7.1081986455497459E-2</v>
      </c>
      <c r="E189" s="11">
        <v>0.17166317312605206</v>
      </c>
      <c r="F189" s="11">
        <v>0.12555134728053685</v>
      </c>
      <c r="G189" s="11">
        <v>0.18524733205720015</v>
      </c>
      <c r="H189" s="11">
        <v>0.1371373584036843</v>
      </c>
      <c r="I189" s="11">
        <v>0.12976111979902932</v>
      </c>
      <c r="J189" s="11">
        <v>3.1822374718297544E-5</v>
      </c>
      <c r="K189" s="11">
        <v>9.0425405478278625E-2</v>
      </c>
      <c r="L189" s="11">
        <v>8.2747499270690965E-5</v>
      </c>
      <c r="M189" s="11">
        <v>0.93900598708134175</v>
      </c>
    </row>
    <row r="190" spans="1:13" x14ac:dyDescent="0.3">
      <c r="A190" s="13">
        <v>43119</v>
      </c>
      <c r="B190" s="11">
        <v>8.2166739412339707E-2</v>
      </c>
      <c r="C190" s="11">
        <v>3.6392138499885842E-5</v>
      </c>
      <c r="D190" s="11">
        <v>4.920773097779519E-2</v>
      </c>
      <c r="E190" s="11">
        <v>0.1943497964689801</v>
      </c>
      <c r="F190" s="11">
        <v>0.12616456978214532</v>
      </c>
      <c r="G190" s="11">
        <v>0.19778530585139992</v>
      </c>
      <c r="H190" s="11">
        <v>0.14643003572172023</v>
      </c>
      <c r="I190" s="11">
        <v>0.11787019081864238</v>
      </c>
      <c r="J190" s="11">
        <v>2.566495464216596E-5</v>
      </c>
      <c r="K190" s="11">
        <v>8.5879908170787736E-2</v>
      </c>
      <c r="L190" s="11">
        <v>8.3665703047326986E-5</v>
      </c>
      <c r="M190" s="11">
        <v>0.93818229291539978</v>
      </c>
    </row>
    <row r="191" spans="1:13" x14ac:dyDescent="0.3">
      <c r="A191" s="13">
        <v>43126</v>
      </c>
      <c r="B191" s="11">
        <v>0.10097413479466869</v>
      </c>
      <c r="C191" s="11">
        <v>9.7817989918065019E-6</v>
      </c>
      <c r="D191" s="11">
        <v>9.8260633217885765E-2</v>
      </c>
      <c r="E191" s="11">
        <v>0.17511087410960621</v>
      </c>
      <c r="F191" s="11">
        <v>0.13570300487985759</v>
      </c>
      <c r="G191" s="11">
        <v>0.17810230974781166</v>
      </c>
      <c r="H191" s="11">
        <v>0.13847153975565923</v>
      </c>
      <c r="I191" s="11">
        <v>0.11217638071533263</v>
      </c>
      <c r="J191" s="11">
        <v>8.4297944384801818E-6</v>
      </c>
      <c r="K191" s="11">
        <v>6.1096139928060081E-2</v>
      </c>
      <c r="L191" s="11">
        <v>8.6771257687835466E-5</v>
      </c>
      <c r="M191" s="11">
        <v>0.9357403692287789</v>
      </c>
    </row>
    <row r="192" spans="1:13" x14ac:dyDescent="0.3">
      <c r="A192" s="13">
        <v>43133</v>
      </c>
      <c r="B192" s="11">
        <v>8.1068931534237595E-2</v>
      </c>
      <c r="C192" s="11">
        <v>6.0415108095685991E-5</v>
      </c>
      <c r="D192" s="11">
        <v>0.10086121631227647</v>
      </c>
      <c r="E192" s="11">
        <v>0.17581574139425346</v>
      </c>
      <c r="F192" s="11">
        <v>0.10710761264692309</v>
      </c>
      <c r="G192" s="11">
        <v>0.17443888022047335</v>
      </c>
      <c r="H192" s="11">
        <v>0.20004025449398222</v>
      </c>
      <c r="I192" s="11">
        <v>0.11695727766383197</v>
      </c>
      <c r="J192" s="11">
        <v>3.3789042716007921E-5</v>
      </c>
      <c r="K192" s="11">
        <v>2.612354472179701E-2</v>
      </c>
      <c r="L192" s="11">
        <v>1.7492336861413164E-2</v>
      </c>
      <c r="M192" s="11">
        <v>0.92803464317061113</v>
      </c>
    </row>
    <row r="193" spans="1:13" x14ac:dyDescent="0.3">
      <c r="A193" s="13">
        <v>43140</v>
      </c>
      <c r="B193" s="11">
        <v>7.9401508209581237E-2</v>
      </c>
      <c r="C193" s="11">
        <v>5.3911089145999657E-5</v>
      </c>
      <c r="D193" s="11">
        <v>9.4066339925800838E-2</v>
      </c>
      <c r="E193" s="11">
        <v>0.16372091747147413</v>
      </c>
      <c r="F193" s="11">
        <v>0.1144249189677902</v>
      </c>
      <c r="G193" s="11">
        <v>0.16906369331506366</v>
      </c>
      <c r="H193" s="11">
        <v>0.20374323025909441</v>
      </c>
      <c r="I193" s="11">
        <v>0.13173765265494664</v>
      </c>
      <c r="J193" s="11">
        <v>3.4710520924046918E-5</v>
      </c>
      <c r="K193" s="11">
        <v>2.5346669738807778E-2</v>
      </c>
      <c r="L193" s="11">
        <v>1.8406447847371107E-2</v>
      </c>
      <c r="M193" s="11">
        <v>0.92894585348524661</v>
      </c>
    </row>
    <row r="194" spans="1:13" x14ac:dyDescent="0.3">
      <c r="A194" s="13">
        <v>43147</v>
      </c>
      <c r="B194" s="11">
        <v>8.0262344927460094E-2</v>
      </c>
      <c r="C194" s="11">
        <v>5.663386600183195E-5</v>
      </c>
      <c r="D194" s="11">
        <v>9.1722918949709104E-2</v>
      </c>
      <c r="E194" s="11">
        <v>0.15472071802949189</v>
      </c>
      <c r="F194" s="11">
        <v>0.10902526460524362</v>
      </c>
      <c r="G194" s="11">
        <v>0.17253375908932331</v>
      </c>
      <c r="H194" s="11">
        <v>0.19418569078314721</v>
      </c>
      <c r="I194" s="11">
        <v>0.13157336723512403</v>
      </c>
      <c r="J194" s="11">
        <v>3.9820813576530955E-5</v>
      </c>
      <c r="K194" s="11">
        <v>4.0192519994421146E-2</v>
      </c>
      <c r="L194" s="11">
        <v>2.5686961706501296E-2</v>
      </c>
      <c r="M194" s="11">
        <v>0.93296147720267175</v>
      </c>
    </row>
    <row r="195" spans="1:13" x14ac:dyDescent="0.3">
      <c r="A195" s="13">
        <v>43157.5</v>
      </c>
      <c r="B195" s="11">
        <v>9.2195117512131275E-2</v>
      </c>
      <c r="C195" s="11">
        <v>2.1677422929450781E-5</v>
      </c>
      <c r="D195" s="11">
        <v>5.8501798990409172E-2</v>
      </c>
      <c r="E195" s="11">
        <v>0.2060204612235487</v>
      </c>
      <c r="F195" s="11">
        <v>0.11509131503955262</v>
      </c>
      <c r="G195" s="11">
        <v>0.18324390057755469</v>
      </c>
      <c r="H195" s="11">
        <v>0.21328596001367359</v>
      </c>
      <c r="I195" s="11">
        <v>0.10083103856210586</v>
      </c>
      <c r="J195" s="11">
        <v>1.6937357531963658E-5</v>
      </c>
      <c r="K195" s="11">
        <v>1.8260898286025649E-2</v>
      </c>
      <c r="L195" s="11">
        <v>1.2530895014537047E-2</v>
      </c>
      <c r="M195" s="11">
        <v>0.93909638305325682</v>
      </c>
    </row>
    <row r="196" spans="1:13" x14ac:dyDescent="0.3">
      <c r="A196" s="13">
        <v>43164.5</v>
      </c>
      <c r="B196" s="11">
        <v>0.10660498715522868</v>
      </c>
      <c r="C196" s="11">
        <v>9.4955838046985518E-6</v>
      </c>
      <c r="D196" s="11">
        <v>6.4001853256598365E-2</v>
      </c>
      <c r="E196" s="11">
        <v>0.18987477395941452</v>
      </c>
      <c r="F196" s="11">
        <v>0.13388353923756396</v>
      </c>
      <c r="G196" s="11">
        <v>0.18672742890667349</v>
      </c>
      <c r="H196" s="11">
        <v>0.21138126471175689</v>
      </c>
      <c r="I196" s="11">
        <v>9.2395393338231727E-2</v>
      </c>
      <c r="J196" s="11">
        <v>1.0033638431377492E-5</v>
      </c>
      <c r="K196" s="11">
        <v>8.46411924035303E-3</v>
      </c>
      <c r="L196" s="11">
        <v>6.6471109719432988E-3</v>
      </c>
      <c r="M196" s="11">
        <v>0.93934483767176613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6"/>
  <sheetViews>
    <sheetView workbookViewId="0">
      <selection activeCell="P180" sqref="P180"/>
    </sheetView>
  </sheetViews>
  <sheetFormatPr defaultRowHeight="13.5" x14ac:dyDescent="0.3"/>
  <sheetData>
    <row r="1" spans="1:13" x14ac:dyDescent="0.3">
      <c r="A1" s="13" t="s">
        <v>87</v>
      </c>
      <c r="B1" s="11" t="s">
        <v>62</v>
      </c>
      <c r="C1" s="11" t="s">
        <v>54</v>
      </c>
      <c r="D1" s="11" t="s">
        <v>56</v>
      </c>
      <c r="E1" s="11" t="s">
        <v>52</v>
      </c>
      <c r="F1" s="11" t="s">
        <v>64</v>
      </c>
      <c r="G1" s="11" t="s">
        <v>58</v>
      </c>
      <c r="H1" s="11" t="s">
        <v>60</v>
      </c>
      <c r="I1" s="11" t="s">
        <v>50</v>
      </c>
      <c r="J1" s="11" t="s">
        <v>68</v>
      </c>
      <c r="K1" s="11" t="s">
        <v>66</v>
      </c>
      <c r="L1" s="11" t="s">
        <v>88</v>
      </c>
      <c r="M1" s="11" t="s">
        <v>89</v>
      </c>
    </row>
    <row r="2" spans="1:13" x14ac:dyDescent="0.3">
      <c r="A2" s="13">
        <v>41785.5</v>
      </c>
      <c r="B2" s="11">
        <v>0.12320242990483234</v>
      </c>
      <c r="C2" s="11">
        <v>8.8277083073709094E-5</v>
      </c>
      <c r="D2" s="11">
        <v>0.18923338512025098</v>
      </c>
      <c r="E2" s="11">
        <v>5.2212483960308795E-2</v>
      </c>
      <c r="F2" s="11">
        <v>0.19691881356708615</v>
      </c>
      <c r="G2" s="11">
        <v>0.11256411061763713</v>
      </c>
      <c r="H2" s="11">
        <v>1.8241804129288998E-5</v>
      </c>
      <c r="I2" s="11">
        <v>8.4887136974737944E-6</v>
      </c>
      <c r="J2" s="11">
        <v>0.16727307907404829</v>
      </c>
      <c r="K2" s="11">
        <v>2.136835246451001E-2</v>
      </c>
      <c r="L2" s="11">
        <v>0.13711233769042588</v>
      </c>
      <c r="M2" s="11">
        <v>0.96195732935628853</v>
      </c>
    </row>
    <row r="3" spans="1:13" x14ac:dyDescent="0.3">
      <c r="A3" s="13">
        <v>41792.5</v>
      </c>
      <c r="B3" s="11">
        <v>0.10387336109401887</v>
      </c>
      <c r="C3" s="11">
        <v>5.9072383498096871E-5</v>
      </c>
      <c r="D3" s="11">
        <v>0.18286497822360628</v>
      </c>
      <c r="E3" s="11">
        <v>0.10077189720539725</v>
      </c>
      <c r="F3" s="11">
        <v>0.1980156873243166</v>
      </c>
      <c r="G3" s="11">
        <v>0.10587860891126327</v>
      </c>
      <c r="H3" s="11">
        <v>1.681426822809908E-5</v>
      </c>
      <c r="I3" s="11">
        <v>6.0390149796125153E-6</v>
      </c>
      <c r="J3" s="11">
        <v>0.187684001712767</v>
      </c>
      <c r="K3" s="11">
        <v>8.4693785804372578E-5</v>
      </c>
      <c r="L3" s="11">
        <v>0.12074484607612054</v>
      </c>
      <c r="M3" s="11">
        <v>0.96317009713200508</v>
      </c>
    </row>
    <row r="4" spans="1:13" x14ac:dyDescent="0.3">
      <c r="A4" s="13">
        <v>41799.5</v>
      </c>
      <c r="B4" s="11">
        <v>0.11365708008791824</v>
      </c>
      <c r="C4" s="11">
        <v>8.514899522490244E-5</v>
      </c>
      <c r="D4" s="11">
        <v>0.18560961322185035</v>
      </c>
      <c r="E4" s="11">
        <v>8.2409426618874293E-2</v>
      </c>
      <c r="F4" s="11">
        <v>0.18563934627875547</v>
      </c>
      <c r="G4" s="11">
        <v>0.11401999088603693</v>
      </c>
      <c r="H4" s="11">
        <v>1.295093101499541E-5</v>
      </c>
      <c r="I4" s="11">
        <v>4.9145040030792835E-6</v>
      </c>
      <c r="J4" s="11">
        <v>0.19683562740606339</v>
      </c>
      <c r="K4" s="11">
        <v>5.4617392095728488E-3</v>
      </c>
      <c r="L4" s="11">
        <v>0.11626416186068558</v>
      </c>
      <c r="M4" s="11">
        <v>0.96767770714806223</v>
      </c>
    </row>
    <row r="5" spans="1:13" x14ac:dyDescent="0.3">
      <c r="A5" s="13">
        <v>41806</v>
      </c>
      <c r="B5" s="11">
        <v>0.11853667736020841</v>
      </c>
      <c r="C5" s="11">
        <v>8.3024373368269079E-5</v>
      </c>
      <c r="D5" s="11">
        <v>0.13780033278286982</v>
      </c>
      <c r="E5" s="11">
        <v>9.7865078931640093E-2</v>
      </c>
      <c r="F5" s="11">
        <v>0.17463211223031808</v>
      </c>
      <c r="G5" s="11">
        <v>0.1284001733900185</v>
      </c>
      <c r="H5" s="11">
        <v>8.7579477918183387E-6</v>
      </c>
      <c r="I5" s="11">
        <v>1.4424373387591953E-6</v>
      </c>
      <c r="J5" s="11">
        <v>0.18642709678708583</v>
      </c>
      <c r="K5" s="11">
        <v>2.5926483782764301E-2</v>
      </c>
      <c r="L5" s="11">
        <v>0.13031881997659611</v>
      </c>
      <c r="M5" s="11">
        <v>0.96893175839889001</v>
      </c>
    </row>
    <row r="6" spans="1:13" x14ac:dyDescent="0.3">
      <c r="A6" s="13">
        <v>41813.5</v>
      </c>
      <c r="B6" s="11">
        <v>0.11772639801792111</v>
      </c>
      <c r="C6" s="11">
        <v>1.31358390705949E-2</v>
      </c>
      <c r="D6" s="11">
        <v>0.10817813530031946</v>
      </c>
      <c r="E6" s="11">
        <v>9.6935920109165949E-2</v>
      </c>
      <c r="F6" s="11">
        <v>0.16852821259039424</v>
      </c>
      <c r="G6" s="11">
        <v>0.15747029839258672</v>
      </c>
      <c r="H6" s="11">
        <v>1.0248152567915449E-5</v>
      </c>
      <c r="I6" s="11">
        <v>5.0752842043439786E-6</v>
      </c>
      <c r="J6" s="11">
        <v>0.1841159655581463</v>
      </c>
      <c r="K6" s="11">
        <v>2.7888847515346038E-2</v>
      </c>
      <c r="L6" s="11">
        <v>0.12600506000875308</v>
      </c>
      <c r="M6" s="11">
        <v>0.97143336707690675</v>
      </c>
    </row>
    <row r="7" spans="1:13" x14ac:dyDescent="0.3">
      <c r="A7" s="13">
        <v>41820.5</v>
      </c>
      <c r="B7" s="11">
        <v>0.11319311968817244</v>
      </c>
      <c r="C7" s="11">
        <v>2.3427887078397082E-2</v>
      </c>
      <c r="D7" s="11">
        <v>0.10992369076879834</v>
      </c>
      <c r="E7" s="11">
        <v>9.5774928452596567E-2</v>
      </c>
      <c r="F7" s="11">
        <v>0.17179857133245957</v>
      </c>
      <c r="G7" s="11">
        <v>0.15347308897639733</v>
      </c>
      <c r="H7" s="11">
        <v>3.6034079617246092E-5</v>
      </c>
      <c r="I7" s="11">
        <v>1.4943990501243338E-5</v>
      </c>
      <c r="J7" s="11">
        <v>0.18198458503582751</v>
      </c>
      <c r="K7" s="11">
        <v>2.1038172739602106E-2</v>
      </c>
      <c r="L7" s="11">
        <v>0.1293349778576306</v>
      </c>
      <c r="M7" s="11">
        <v>0.97134709325849422</v>
      </c>
    </row>
    <row r="8" spans="1:13" x14ac:dyDescent="0.3">
      <c r="A8" s="13">
        <v>41827.5</v>
      </c>
      <c r="B8" s="11">
        <v>9.9100103505034523E-2</v>
      </c>
      <c r="C8" s="11">
        <v>8.434561333014727E-2</v>
      </c>
      <c r="D8" s="11">
        <v>0.11199812272683773</v>
      </c>
      <c r="E8" s="11">
        <v>0.11652647641504268</v>
      </c>
      <c r="F8" s="11">
        <v>0.16315555883563027</v>
      </c>
      <c r="G8" s="11">
        <v>0.15683106170585037</v>
      </c>
      <c r="H8" s="11">
        <v>6.4991047178941419E-5</v>
      </c>
      <c r="I8" s="11">
        <v>1.1413979495856125E-5</v>
      </c>
      <c r="J8" s="11">
        <v>0.15426658011432254</v>
      </c>
      <c r="K8" s="11">
        <v>8.3765452158982031E-5</v>
      </c>
      <c r="L8" s="11">
        <v>0.11361631288830087</v>
      </c>
      <c r="M8" s="11">
        <v>0.97269532199854591</v>
      </c>
    </row>
    <row r="9" spans="1:13" x14ac:dyDescent="0.3">
      <c r="A9" s="13">
        <v>41834.5</v>
      </c>
      <c r="B9" s="11">
        <v>0.22174849010398021</v>
      </c>
      <c r="C9" s="11">
        <v>0.1658720432261572</v>
      </c>
      <c r="D9" s="11">
        <v>7.350635045562371E-3</v>
      </c>
      <c r="E9" s="11">
        <v>9.6247232743757488E-2</v>
      </c>
      <c r="F9" s="11">
        <v>0.22315501849034514</v>
      </c>
      <c r="G9" s="11">
        <v>0.12099133141590984</v>
      </c>
      <c r="H9" s="11">
        <v>5.9235262113944673E-7</v>
      </c>
      <c r="I9" s="11">
        <v>1.4143116003579033E-7</v>
      </c>
      <c r="J9" s="11">
        <v>7.4471926870021368E-2</v>
      </c>
      <c r="K9" s="11">
        <v>3.1573748540555144E-4</v>
      </c>
      <c r="L9" s="11">
        <v>8.9846850835079664E-2</v>
      </c>
      <c r="M9" s="11">
        <v>0.97079669702942417</v>
      </c>
    </row>
    <row r="10" spans="1:13" x14ac:dyDescent="0.3">
      <c r="A10" s="13">
        <v>41841.5</v>
      </c>
      <c r="B10" s="11">
        <v>0.24336513237001195</v>
      </c>
      <c r="C10" s="11">
        <v>0.12755878234546061</v>
      </c>
      <c r="D10" s="11">
        <v>3.4220412473258723E-2</v>
      </c>
      <c r="E10" s="11">
        <v>7.5552148276422038E-2</v>
      </c>
      <c r="F10" s="11">
        <v>0.20595887439186572</v>
      </c>
      <c r="G10" s="11">
        <v>0.12060490108101027</v>
      </c>
      <c r="H10" s="11">
        <v>2.8091347877433643E-5</v>
      </c>
      <c r="I10" s="11">
        <v>7.4717248344861402E-6</v>
      </c>
      <c r="J10" s="11">
        <v>8.4119475068447677E-2</v>
      </c>
      <c r="K10" s="11">
        <v>2.9025698321198921E-2</v>
      </c>
      <c r="L10" s="11">
        <v>7.9559012599612219E-2</v>
      </c>
      <c r="M10" s="11">
        <v>0.97278677870592067</v>
      </c>
    </row>
    <row r="11" spans="1:13" x14ac:dyDescent="0.3">
      <c r="A11" s="13">
        <v>41848.5</v>
      </c>
      <c r="B11" s="11">
        <v>0.26435849903942699</v>
      </c>
      <c r="C11" s="11">
        <v>1.7835942837509111E-2</v>
      </c>
      <c r="D11" s="11">
        <v>5.2183502172989164E-2</v>
      </c>
      <c r="E11" s="11">
        <v>0.11562636640695911</v>
      </c>
      <c r="F11" s="11">
        <v>0.24130989919927584</v>
      </c>
      <c r="G11" s="11">
        <v>8.9471358808539278E-2</v>
      </c>
      <c r="H11" s="11">
        <v>8.7522021400457666E-5</v>
      </c>
      <c r="I11" s="11">
        <v>1.2668494964619051E-6</v>
      </c>
      <c r="J11" s="11">
        <v>7.552464743661326E-2</v>
      </c>
      <c r="K11" s="11">
        <v>4.4723946768344243E-2</v>
      </c>
      <c r="L11" s="11">
        <v>9.8877048459446115E-2</v>
      </c>
      <c r="M11" s="11">
        <v>0.96984384128615808</v>
      </c>
    </row>
    <row r="12" spans="1:13" x14ac:dyDescent="0.3">
      <c r="A12" s="13">
        <v>41855.5</v>
      </c>
      <c r="B12" s="11">
        <v>0.26728412106841137</v>
      </c>
      <c r="C12" s="11">
        <v>8.4692224797757999E-5</v>
      </c>
      <c r="D12" s="11">
        <v>0.13805492487722507</v>
      </c>
      <c r="E12" s="11">
        <v>0.12330198945376392</v>
      </c>
      <c r="F12" s="11">
        <v>0.19830602041178591</v>
      </c>
      <c r="G12" s="11">
        <v>5.7869581926540667E-2</v>
      </c>
      <c r="H12" s="11">
        <v>1.3025827568445336E-5</v>
      </c>
      <c r="I12" s="11">
        <v>5.0475540415859361E-6</v>
      </c>
      <c r="J12" s="11">
        <v>4.7341023448233342E-2</v>
      </c>
      <c r="K12" s="11">
        <v>7.8966152482140645E-2</v>
      </c>
      <c r="L12" s="11">
        <v>8.877342072549127E-2</v>
      </c>
      <c r="M12" s="11">
        <v>0.97195547797729809</v>
      </c>
    </row>
    <row r="13" spans="1:13" x14ac:dyDescent="0.3">
      <c r="A13" s="13">
        <v>41862.5</v>
      </c>
      <c r="B13" s="11">
        <v>0.27304384708071</v>
      </c>
      <c r="C13" s="11">
        <v>8.7509281553600088E-5</v>
      </c>
      <c r="D13" s="11">
        <v>0.12228290196808442</v>
      </c>
      <c r="E13" s="11">
        <v>0.15233136976254075</v>
      </c>
      <c r="F13" s="11">
        <v>0.1762363056061895</v>
      </c>
      <c r="G13" s="11">
        <v>4.2528434554713473E-2</v>
      </c>
      <c r="H13" s="11">
        <v>2.9067470285634835E-5</v>
      </c>
      <c r="I13" s="11">
        <v>1.282232988928704E-5</v>
      </c>
      <c r="J13" s="11">
        <v>3.7007616666591837E-2</v>
      </c>
      <c r="K13" s="11">
        <v>0.10985162673342311</v>
      </c>
      <c r="L13" s="11">
        <v>8.6588498546018342E-2</v>
      </c>
      <c r="M13" s="11">
        <v>0.97594055823797365</v>
      </c>
    </row>
    <row r="14" spans="1:13" x14ac:dyDescent="0.3">
      <c r="A14" s="13">
        <v>41868.5</v>
      </c>
      <c r="B14" s="11">
        <v>0.29402756555809245</v>
      </c>
      <c r="C14" s="11">
        <v>1.3439238330996929E-2</v>
      </c>
      <c r="D14" s="11">
        <v>0.16388073416889312</v>
      </c>
      <c r="E14" s="11">
        <v>0.16630010569404549</v>
      </c>
      <c r="F14" s="11">
        <v>0.12918259717892835</v>
      </c>
      <c r="G14" s="11">
        <v>5.9873020723969104E-3</v>
      </c>
      <c r="H14" s="11">
        <v>1.207086629012585E-2</v>
      </c>
      <c r="I14" s="11">
        <v>3.168797774675268E-6</v>
      </c>
      <c r="J14" s="11">
        <v>1.8117118599103539E-2</v>
      </c>
      <c r="K14" s="11">
        <v>9.2246677311242239E-2</v>
      </c>
      <c r="L14" s="11">
        <v>0.10474462599840037</v>
      </c>
      <c r="M14" s="11">
        <v>0.96386244397287135</v>
      </c>
    </row>
    <row r="15" spans="1:13" x14ac:dyDescent="0.3">
      <c r="A15" s="13">
        <v>41876.5</v>
      </c>
      <c r="B15" s="11">
        <v>0.29455578496336537</v>
      </c>
      <c r="C15" s="11">
        <v>2.4472672191041867E-2</v>
      </c>
      <c r="D15" s="11">
        <v>0.20242473831669036</v>
      </c>
      <c r="E15" s="11">
        <v>0.1537080018459524</v>
      </c>
      <c r="F15" s="11">
        <v>0.122940280011772</v>
      </c>
      <c r="G15" s="11">
        <v>9.6752477145344568E-5</v>
      </c>
      <c r="H15" s="11">
        <v>9.0398735528595363E-3</v>
      </c>
      <c r="I15" s="11">
        <v>6.7529963166497354E-7</v>
      </c>
      <c r="J15" s="11">
        <v>4.6984403565900387E-3</v>
      </c>
      <c r="K15" s="11">
        <v>8.3246235227165927E-2</v>
      </c>
      <c r="L15" s="11">
        <v>0.10481654575778544</v>
      </c>
      <c r="M15" s="11">
        <v>0.96340298763393417</v>
      </c>
    </row>
    <row r="16" spans="1:13" x14ac:dyDescent="0.3">
      <c r="A16" s="13">
        <v>41883.5</v>
      </c>
      <c r="B16" s="11">
        <v>0.29702100428484834</v>
      </c>
      <c r="C16" s="11">
        <v>3.3820725612891893E-2</v>
      </c>
      <c r="D16" s="11">
        <v>0.21561268890085791</v>
      </c>
      <c r="E16" s="11">
        <v>0.12540211026186598</v>
      </c>
      <c r="F16" s="11">
        <v>0.12670280104019935</v>
      </c>
      <c r="G16" s="11">
        <v>9.621148236178963E-3</v>
      </c>
      <c r="H16" s="11">
        <v>1.0242155069344507E-2</v>
      </c>
      <c r="I16" s="11">
        <v>1.4600830489673196E-6</v>
      </c>
      <c r="J16" s="11">
        <v>1.8741031809619804E-3</v>
      </c>
      <c r="K16" s="11">
        <v>8.0378493596948611E-2</v>
      </c>
      <c r="L16" s="11">
        <v>9.9323309732853512E-2</v>
      </c>
      <c r="M16" s="11">
        <v>0.96409052827868813</v>
      </c>
    </row>
    <row r="17" spans="1:13" x14ac:dyDescent="0.3">
      <c r="A17" s="13">
        <v>41890.5</v>
      </c>
      <c r="B17" s="11">
        <v>0.29602291472060543</v>
      </c>
      <c r="C17" s="11">
        <v>2.9762539963750667E-2</v>
      </c>
      <c r="D17" s="11">
        <v>0.20552757383418122</v>
      </c>
      <c r="E17" s="11">
        <v>0.10575655725934739</v>
      </c>
      <c r="F17" s="11">
        <v>0.12849138931042081</v>
      </c>
      <c r="G17" s="11">
        <v>2.4256835388535434E-2</v>
      </c>
      <c r="H17" s="11">
        <v>8.4447903752773586E-5</v>
      </c>
      <c r="I17" s="11">
        <v>5.4799350715326487E-6</v>
      </c>
      <c r="J17" s="11">
        <v>9.4020477253464151E-3</v>
      </c>
      <c r="K17" s="11">
        <v>9.8846717244356827E-2</v>
      </c>
      <c r="L17" s="11">
        <v>0.1018434967146314</v>
      </c>
      <c r="M17" s="11">
        <v>0.96474501856496242</v>
      </c>
    </row>
    <row r="18" spans="1:13" x14ac:dyDescent="0.3">
      <c r="A18" s="13">
        <v>41896.5</v>
      </c>
      <c r="B18" s="11">
        <v>0.28916817699878145</v>
      </c>
      <c r="C18" s="11">
        <v>7.7156611842310778E-3</v>
      </c>
      <c r="D18" s="11">
        <v>0.19850101312251181</v>
      </c>
      <c r="E18" s="11">
        <v>0.11781136032648948</v>
      </c>
      <c r="F18" s="11">
        <v>0.13924096764747784</v>
      </c>
      <c r="G18" s="11">
        <v>2.957386467640925E-2</v>
      </c>
      <c r="H18" s="11">
        <v>8.6340966567511186E-5</v>
      </c>
      <c r="I18" s="11">
        <v>2.2499467477749362E-6</v>
      </c>
      <c r="J18" s="11">
        <v>2.7789267216889894E-2</v>
      </c>
      <c r="K18" s="11">
        <v>9.7359370331094069E-2</v>
      </c>
      <c r="L18" s="11">
        <v>9.2751727582799814E-2</v>
      </c>
      <c r="M18" s="11">
        <v>0.96122807449072289</v>
      </c>
    </row>
    <row r="19" spans="1:13" x14ac:dyDescent="0.3">
      <c r="A19" s="13">
        <v>41904.5</v>
      </c>
      <c r="B19" s="11">
        <v>0.28574701858371043</v>
      </c>
      <c r="C19" s="11">
        <v>3.0176883708947599E-3</v>
      </c>
      <c r="D19" s="11">
        <v>0.17979682864263127</v>
      </c>
      <c r="E19" s="11">
        <v>0.12435602891730291</v>
      </c>
      <c r="F19" s="11">
        <v>0.12115543314996695</v>
      </c>
      <c r="G19" s="11">
        <v>2.5413019382938801E-2</v>
      </c>
      <c r="H19" s="11">
        <v>3.4177604255976046E-2</v>
      </c>
      <c r="I19" s="11">
        <v>2.3111270444809852E-6</v>
      </c>
      <c r="J19" s="11">
        <v>4.9812341368834966E-2</v>
      </c>
      <c r="K19" s="11">
        <v>0.10060842226948823</v>
      </c>
      <c r="L19" s="11">
        <v>7.5913303931211262E-2</v>
      </c>
      <c r="M19" s="11">
        <v>0.96122794955594915</v>
      </c>
    </row>
    <row r="20" spans="1:13" x14ac:dyDescent="0.3">
      <c r="A20" s="13">
        <v>41911.5</v>
      </c>
      <c r="B20" s="11">
        <v>0.28598693214357768</v>
      </c>
      <c r="C20" s="11">
        <v>3.0089743158777911E-3</v>
      </c>
      <c r="D20" s="11">
        <v>0.17922766390683328</v>
      </c>
      <c r="E20" s="11">
        <v>0.13293221061660299</v>
      </c>
      <c r="F20" s="11">
        <v>0.11830062444981918</v>
      </c>
      <c r="G20" s="11">
        <v>1.5843028411041803E-2</v>
      </c>
      <c r="H20" s="11">
        <v>3.6302235092048205E-2</v>
      </c>
      <c r="I20" s="11">
        <v>2.7227513849671624E-6</v>
      </c>
      <c r="J20" s="11">
        <v>4.8205541944909856E-2</v>
      </c>
      <c r="K20" s="11">
        <v>9.7497863511239014E-2</v>
      </c>
      <c r="L20" s="11">
        <v>8.2692202856665301E-2</v>
      </c>
      <c r="M20" s="11">
        <v>0.9620161333968289</v>
      </c>
    </row>
    <row r="21" spans="1:13" x14ac:dyDescent="0.3">
      <c r="A21" s="13">
        <v>41917</v>
      </c>
      <c r="B21" s="11">
        <v>0.28728094444255514</v>
      </c>
      <c r="C21" s="11">
        <v>1.2622907341729515E-3</v>
      </c>
      <c r="D21" s="11">
        <v>0.20138989925863554</v>
      </c>
      <c r="E21" s="11">
        <v>0.12466965780761136</v>
      </c>
      <c r="F21" s="11">
        <v>0.11075453521933286</v>
      </c>
      <c r="G21" s="11">
        <v>1.0450000108359996E-2</v>
      </c>
      <c r="H21" s="11">
        <v>3.3594984237424699E-2</v>
      </c>
      <c r="I21" s="11">
        <v>9.8695520112200308E-7</v>
      </c>
      <c r="J21" s="11">
        <v>4.6980022931124292E-2</v>
      </c>
      <c r="K21" s="11">
        <v>0.10264716887044531</v>
      </c>
      <c r="L21" s="11">
        <v>8.0969509435136741E-2</v>
      </c>
      <c r="M21" s="11">
        <v>0.96181195374557371</v>
      </c>
    </row>
    <row r="22" spans="1:13" x14ac:dyDescent="0.3">
      <c r="A22" s="13">
        <v>41925.5</v>
      </c>
      <c r="B22" s="11">
        <v>0.28939427587569971</v>
      </c>
      <c r="C22" s="11">
        <v>6.8385096066987634E-5</v>
      </c>
      <c r="D22" s="11">
        <v>0.2217199242753877</v>
      </c>
      <c r="E22" s="11">
        <v>0.1121165692176813</v>
      </c>
      <c r="F22" s="11">
        <v>0.10652794919768833</v>
      </c>
      <c r="G22" s="11">
        <v>5.055522293456528E-3</v>
      </c>
      <c r="H22" s="11">
        <v>3.5628046000043302E-2</v>
      </c>
      <c r="I22" s="11">
        <v>4.3343728719639276E-6</v>
      </c>
      <c r="J22" s="11">
        <v>4.517499320403031E-2</v>
      </c>
      <c r="K22" s="11">
        <v>0.10113799162348984</v>
      </c>
      <c r="L22" s="11">
        <v>8.3172008843583986E-2</v>
      </c>
      <c r="M22" s="11">
        <v>0.96134565822359086</v>
      </c>
    </row>
    <row r="23" spans="1:13" x14ac:dyDescent="0.3">
      <c r="A23" s="13">
        <v>41932.5</v>
      </c>
      <c r="B23" s="11">
        <v>0.27935451438118114</v>
      </c>
      <c r="C23" s="11">
        <v>2.8459412670917593E-5</v>
      </c>
      <c r="D23" s="11">
        <v>0.17432210412149851</v>
      </c>
      <c r="E23" s="11">
        <v>0.18610388155102295</v>
      </c>
      <c r="F23" s="11">
        <v>0.13080956454270645</v>
      </c>
      <c r="G23" s="11">
        <v>8.8106252012747882E-5</v>
      </c>
      <c r="H23" s="11">
        <v>6.5707151250610926E-2</v>
      </c>
      <c r="I23" s="11">
        <v>2.3549911708930822E-6</v>
      </c>
      <c r="J23" s="11">
        <v>3.8348659749418847E-2</v>
      </c>
      <c r="K23" s="11">
        <v>5.4145291533249512E-2</v>
      </c>
      <c r="L23" s="11">
        <v>7.1089912214456999E-2</v>
      </c>
      <c r="M23" s="11">
        <v>0.95613648587922717</v>
      </c>
    </row>
    <row r="24" spans="1:13" x14ac:dyDescent="0.3">
      <c r="A24" s="13">
        <v>41939.5</v>
      </c>
      <c r="B24" s="11">
        <v>0.27989703170599339</v>
      </c>
      <c r="C24" s="11">
        <v>8.740763735059118E-5</v>
      </c>
      <c r="D24" s="11">
        <v>0.17821552353180306</v>
      </c>
      <c r="E24" s="11">
        <v>0.17454580775863462</v>
      </c>
      <c r="F24" s="11">
        <v>0.13606253674205257</v>
      </c>
      <c r="G24" s="11">
        <v>1.2325611163702061E-2</v>
      </c>
      <c r="H24" s="11">
        <v>6.0162786344635261E-2</v>
      </c>
      <c r="I24" s="11">
        <v>7.5501364683454104E-6</v>
      </c>
      <c r="J24" s="11">
        <v>3.9233766258133483E-2</v>
      </c>
      <c r="K24" s="11">
        <v>5.5105210711523994E-2</v>
      </c>
      <c r="L24" s="11">
        <v>6.4356768009702664E-2</v>
      </c>
      <c r="M24" s="11">
        <v>0.95778070647610913</v>
      </c>
    </row>
    <row r="25" spans="1:13" x14ac:dyDescent="0.3">
      <c r="A25" s="13">
        <v>41946.5</v>
      </c>
      <c r="B25" s="11">
        <v>0.28101919658440655</v>
      </c>
      <c r="C25" s="11">
        <v>8.5895063333260962E-5</v>
      </c>
      <c r="D25" s="11">
        <v>0.19192090287091765</v>
      </c>
      <c r="E25" s="11">
        <v>0.17276279940406086</v>
      </c>
      <c r="F25" s="11">
        <v>0.13343854078503392</v>
      </c>
      <c r="G25" s="11">
        <v>9.7040263055528219E-3</v>
      </c>
      <c r="H25" s="11">
        <v>5.8485456067374923E-2</v>
      </c>
      <c r="I25" s="11">
        <v>3.3943596444737716E-6</v>
      </c>
      <c r="J25" s="11">
        <v>3.6796868703416939E-2</v>
      </c>
      <c r="K25" s="11">
        <v>5.3999052926176024E-2</v>
      </c>
      <c r="L25" s="11">
        <v>6.1783866930082608E-2</v>
      </c>
      <c r="M25" s="11">
        <v>0.96598231492392017</v>
      </c>
    </row>
    <row r="26" spans="1:13" x14ac:dyDescent="0.3">
      <c r="A26" s="13">
        <v>41953.5</v>
      </c>
      <c r="B26" s="11">
        <v>0.28099053223554366</v>
      </c>
      <c r="C26" s="11">
        <v>8.8305015282875946E-5</v>
      </c>
      <c r="D26" s="11">
        <v>0.20176770297243715</v>
      </c>
      <c r="E26" s="11">
        <v>0.16451848399720206</v>
      </c>
      <c r="F26" s="11">
        <v>0.13054078377122874</v>
      </c>
      <c r="G26" s="11">
        <v>1.1586230145202733E-2</v>
      </c>
      <c r="H26" s="11">
        <v>6.0645740438648683E-2</v>
      </c>
      <c r="I26" s="11">
        <v>3.0530614564834246E-6</v>
      </c>
      <c r="J26" s="11">
        <v>3.7510132274988214E-2</v>
      </c>
      <c r="K26" s="11">
        <v>5.3815675794080753E-2</v>
      </c>
      <c r="L26" s="11">
        <v>5.8533360293928735E-2</v>
      </c>
      <c r="M26" s="11">
        <v>0.96436891656013146</v>
      </c>
    </row>
    <row r="27" spans="1:13" x14ac:dyDescent="0.3">
      <c r="A27" s="13">
        <v>41960.5</v>
      </c>
      <c r="B27" s="11">
        <v>0.28250501620759716</v>
      </c>
      <c r="C27" s="11">
        <v>9.5149380915762386E-5</v>
      </c>
      <c r="D27" s="11">
        <v>0.20742048743121891</v>
      </c>
      <c r="E27" s="11">
        <v>0.16323352051144535</v>
      </c>
      <c r="F27" s="11">
        <v>0.13407382431075238</v>
      </c>
      <c r="G27" s="11">
        <v>1.2668120260194018E-5</v>
      </c>
      <c r="H27" s="11">
        <v>7.3531012844767443E-2</v>
      </c>
      <c r="I27" s="11">
        <v>4.4279759436390836E-7</v>
      </c>
      <c r="J27" s="11">
        <v>4.3408498256925027E-2</v>
      </c>
      <c r="K27" s="11">
        <v>3.8443428337539574E-2</v>
      </c>
      <c r="L27" s="11">
        <v>5.7275951800983813E-2</v>
      </c>
      <c r="M27" s="11">
        <v>0.9685349338453928</v>
      </c>
    </row>
    <row r="28" spans="1:13" x14ac:dyDescent="0.3">
      <c r="A28" s="13">
        <v>41967.5</v>
      </c>
      <c r="B28" s="11">
        <v>0.28357070589584826</v>
      </c>
      <c r="C28" s="11">
        <v>4.9681328939367424E-3</v>
      </c>
      <c r="D28" s="11">
        <v>0.1732787972859621</v>
      </c>
      <c r="E28" s="11">
        <v>0.15906949656529054</v>
      </c>
      <c r="F28" s="11">
        <v>0.13939204795778939</v>
      </c>
      <c r="G28" s="11">
        <v>9.6331276931895873E-3</v>
      </c>
      <c r="H28" s="11">
        <v>9.3974655158353321E-2</v>
      </c>
      <c r="I28" s="11">
        <v>2.3533585888729686E-6</v>
      </c>
      <c r="J28" s="11">
        <v>4.4507389759122322E-2</v>
      </c>
      <c r="K28" s="11">
        <v>4.0825442571887707E-2</v>
      </c>
      <c r="L28" s="11">
        <v>5.0777850860031101E-2</v>
      </c>
      <c r="M28" s="11">
        <v>0.96879307873735965</v>
      </c>
    </row>
    <row r="29" spans="1:13" x14ac:dyDescent="0.3">
      <c r="A29" s="13">
        <v>41974.5</v>
      </c>
      <c r="B29" s="11">
        <v>0.28046712626360137</v>
      </c>
      <c r="C29" s="11">
        <v>3.6350087580656013E-2</v>
      </c>
      <c r="D29" s="11">
        <v>0.16321262954220131</v>
      </c>
      <c r="E29" s="11">
        <v>0.119980551209512</v>
      </c>
      <c r="F29" s="11">
        <v>0.14723746247487077</v>
      </c>
      <c r="G29" s="11">
        <v>2.7037643271422135E-2</v>
      </c>
      <c r="H29" s="11">
        <v>0.10673275358613513</v>
      </c>
      <c r="I29" s="11">
        <v>3.0612252560122546E-5</v>
      </c>
      <c r="J29" s="11">
        <v>4.5962045743071299E-2</v>
      </c>
      <c r="K29" s="11">
        <v>2.3152196746686688E-2</v>
      </c>
      <c r="L29" s="11">
        <v>4.9836891329283144E-2</v>
      </c>
      <c r="M29" s="11">
        <v>0.96820674599655665</v>
      </c>
    </row>
    <row r="30" spans="1:13" x14ac:dyDescent="0.3">
      <c r="A30" s="13">
        <v>41981.5</v>
      </c>
      <c r="B30" s="11">
        <v>0.28380078950157345</v>
      </c>
      <c r="C30" s="11">
        <v>3.3346278460779893E-2</v>
      </c>
      <c r="D30" s="11">
        <v>0.16695660897902309</v>
      </c>
      <c r="E30" s="11">
        <v>0.10625252299867627</v>
      </c>
      <c r="F30" s="11">
        <v>0.14020748099991145</v>
      </c>
      <c r="G30" s="11">
        <v>8.3845408148417076E-5</v>
      </c>
      <c r="H30" s="11">
        <v>0.12259215626361888</v>
      </c>
      <c r="I30" s="11">
        <v>4.8438286312124331E-5</v>
      </c>
      <c r="J30" s="11">
        <v>4.7643622620885714E-2</v>
      </c>
      <c r="K30" s="11">
        <v>4.9118583022418116E-2</v>
      </c>
      <c r="L30" s="11">
        <v>4.9949673458652671E-2</v>
      </c>
      <c r="M30" s="11">
        <v>0.97216618250428566</v>
      </c>
    </row>
    <row r="31" spans="1:13" x14ac:dyDescent="0.3">
      <c r="A31" s="13">
        <v>41988</v>
      </c>
      <c r="B31" s="11">
        <v>0.28261647588122291</v>
      </c>
      <c r="C31" s="11">
        <v>3.1534680245714833E-2</v>
      </c>
      <c r="D31" s="11">
        <v>0.15893914092990793</v>
      </c>
      <c r="E31" s="11">
        <v>0.10432968160973329</v>
      </c>
      <c r="F31" s="11">
        <v>0.15177779809702407</v>
      </c>
      <c r="G31" s="11">
        <v>8.0749628286890649E-5</v>
      </c>
      <c r="H31" s="11">
        <v>0.12384371567948436</v>
      </c>
      <c r="I31" s="11">
        <v>5.6887782427440674E-5</v>
      </c>
      <c r="J31" s="11">
        <v>5.6459360357043201E-2</v>
      </c>
      <c r="K31" s="11">
        <v>4.0141063876778148E-2</v>
      </c>
      <c r="L31" s="11">
        <v>5.0220445912376947E-2</v>
      </c>
      <c r="M31" s="11">
        <v>0.97188921865080846</v>
      </c>
    </row>
    <row r="32" spans="1:13" x14ac:dyDescent="0.3">
      <c r="A32" s="13">
        <v>41995.5</v>
      </c>
      <c r="B32" s="11">
        <v>0.27862734316660537</v>
      </c>
      <c r="C32" s="11">
        <v>4.0472611935466168E-2</v>
      </c>
      <c r="D32" s="11">
        <v>0.17547440364562994</v>
      </c>
      <c r="E32" s="11">
        <v>0.12742402531874739</v>
      </c>
      <c r="F32" s="11">
        <v>0.13917840130601616</v>
      </c>
      <c r="G32" s="11">
        <v>2.1563784791033378E-5</v>
      </c>
      <c r="H32" s="11">
        <v>0.13275600741448559</v>
      </c>
      <c r="I32" s="11">
        <v>2.2140566762995122E-2</v>
      </c>
      <c r="J32" s="11">
        <v>4.1741206734266061E-2</v>
      </c>
      <c r="K32" s="11">
        <v>1.1060335783534218E-2</v>
      </c>
      <c r="L32" s="11">
        <v>3.1103534147462968E-2</v>
      </c>
      <c r="M32" s="11">
        <v>0.97597216660169528</v>
      </c>
    </row>
    <row r="33" spans="1:13" x14ac:dyDescent="0.3">
      <c r="A33" s="13">
        <v>42002.5</v>
      </c>
      <c r="B33" s="11">
        <v>0.27562539256869001</v>
      </c>
      <c r="C33" s="11">
        <v>1.911608368387669E-2</v>
      </c>
      <c r="D33" s="11">
        <v>0.1054095590733246</v>
      </c>
      <c r="E33" s="11">
        <v>0.18320682571298869</v>
      </c>
      <c r="F33" s="11">
        <v>0.15221550229576672</v>
      </c>
      <c r="G33" s="11">
        <v>8.8852691485169169E-5</v>
      </c>
      <c r="H33" s="11">
        <v>0.14536029505613351</v>
      </c>
      <c r="I33" s="11">
        <v>7.2514439599843036E-3</v>
      </c>
      <c r="J33" s="11">
        <v>5.8210796996565214E-2</v>
      </c>
      <c r="K33" s="11">
        <v>3.7239302127747669E-2</v>
      </c>
      <c r="L33" s="11">
        <v>1.6275945833437493E-2</v>
      </c>
      <c r="M33" s="11">
        <v>0.97335277089722683</v>
      </c>
    </row>
    <row r="34" spans="1:13" x14ac:dyDescent="0.3">
      <c r="A34" s="13">
        <v>42009.5</v>
      </c>
      <c r="B34" s="11">
        <v>0.27657557121940979</v>
      </c>
      <c r="C34" s="11">
        <v>1.030920585587051E-2</v>
      </c>
      <c r="D34" s="11">
        <v>0.11187466718376017</v>
      </c>
      <c r="E34" s="11">
        <v>0.16875466166099001</v>
      </c>
      <c r="F34" s="11">
        <v>0.14036517567793275</v>
      </c>
      <c r="G34" s="11">
        <v>8.9672959483765322E-6</v>
      </c>
      <c r="H34" s="11">
        <v>0.17515815117830713</v>
      </c>
      <c r="I34" s="11">
        <v>8.0230805828841231E-3</v>
      </c>
      <c r="J34" s="11">
        <v>6.243906179905373E-2</v>
      </c>
      <c r="K34" s="11">
        <v>4.6411152786370556E-2</v>
      </c>
      <c r="L34" s="11">
        <v>8.0304759472848091E-5</v>
      </c>
      <c r="M34" s="11">
        <v>0.97872615011086073</v>
      </c>
    </row>
    <row r="35" spans="1:13" x14ac:dyDescent="0.3">
      <c r="A35" s="13">
        <v>42016.5</v>
      </c>
      <c r="B35" s="11">
        <v>0.27422173898102503</v>
      </c>
      <c r="C35" s="11">
        <v>1.0875394882752375E-6</v>
      </c>
      <c r="D35" s="11">
        <v>1.0243697508214093E-4</v>
      </c>
      <c r="E35" s="11">
        <v>0.22136638591869562</v>
      </c>
      <c r="F35" s="11">
        <v>0.12960650888178446</v>
      </c>
      <c r="G35" s="11">
        <v>1.0460831500957261E-6</v>
      </c>
      <c r="H35" s="11">
        <v>0.18005022881025573</v>
      </c>
      <c r="I35" s="11">
        <v>8.7122705131387199E-6</v>
      </c>
      <c r="J35" s="11">
        <v>6.1743302136420819E-2</v>
      </c>
      <c r="K35" s="11">
        <v>0.12854950743268467</v>
      </c>
      <c r="L35" s="11">
        <v>4.3490449708999887E-3</v>
      </c>
      <c r="M35" s="11">
        <v>0.97333679137488816</v>
      </c>
    </row>
    <row r="36" spans="1:13" x14ac:dyDescent="0.3">
      <c r="A36" s="13">
        <v>42023.5</v>
      </c>
      <c r="B36" s="11">
        <v>0.27463987282915797</v>
      </c>
      <c r="C36" s="11">
        <v>6.0938796326836542E-5</v>
      </c>
      <c r="D36" s="11">
        <v>1.0523113689671742E-2</v>
      </c>
      <c r="E36" s="11">
        <v>0.21054220088664616</v>
      </c>
      <c r="F36" s="11">
        <v>0.12902122797807034</v>
      </c>
      <c r="G36" s="11">
        <v>1.7377116727698843E-5</v>
      </c>
      <c r="H36" s="11">
        <v>0.18401900617748734</v>
      </c>
      <c r="I36" s="11">
        <v>1.3569660641613563E-5</v>
      </c>
      <c r="J36" s="11">
        <v>5.9342418959874313E-2</v>
      </c>
      <c r="K36" s="11">
        <v>0.12330701727666608</v>
      </c>
      <c r="L36" s="11">
        <v>8.5132566287299261E-3</v>
      </c>
      <c r="M36" s="11">
        <v>0.97623882738548418</v>
      </c>
    </row>
    <row r="37" spans="1:13" x14ac:dyDescent="0.3">
      <c r="A37" s="13">
        <v>42030.5</v>
      </c>
      <c r="B37" s="11">
        <v>0.27523550690275378</v>
      </c>
      <c r="C37" s="11">
        <v>4.6450708771980903E-5</v>
      </c>
      <c r="D37" s="11">
        <v>5.5944447325827693E-2</v>
      </c>
      <c r="E37" s="11">
        <v>0.18856185837132561</v>
      </c>
      <c r="F37" s="11">
        <v>0.11168865429162407</v>
      </c>
      <c r="G37" s="11">
        <v>8.1970919595247162E-5</v>
      </c>
      <c r="H37" s="11">
        <v>0.18351616483021416</v>
      </c>
      <c r="I37" s="11">
        <v>3.6764802966690828E-5</v>
      </c>
      <c r="J37" s="11">
        <v>5.7731721380200135E-2</v>
      </c>
      <c r="K37" s="11">
        <v>0.12261337857054429</v>
      </c>
      <c r="L37" s="11">
        <v>4.5430818961763554E-3</v>
      </c>
      <c r="M37" s="11">
        <v>0.97551471128214506</v>
      </c>
    </row>
    <row r="38" spans="1:13" x14ac:dyDescent="0.3">
      <c r="A38" s="13">
        <v>42037.5</v>
      </c>
      <c r="B38" s="11">
        <v>0.2692370742402892</v>
      </c>
      <c r="C38" s="11">
        <v>7.9700535054391241E-5</v>
      </c>
      <c r="D38" s="11">
        <v>8.1654844168558768E-2</v>
      </c>
      <c r="E38" s="11">
        <v>0.18647694772856277</v>
      </c>
      <c r="F38" s="11">
        <v>0.11131804443066291</v>
      </c>
      <c r="G38" s="11">
        <v>5.6573879416880011E-5</v>
      </c>
      <c r="H38" s="11">
        <v>0.15627859567885244</v>
      </c>
      <c r="I38" s="11">
        <v>8.7449651356320913E-5</v>
      </c>
      <c r="J38" s="11">
        <v>6.2471588033912985E-2</v>
      </c>
      <c r="K38" s="11">
        <v>0.10940148952876255</v>
      </c>
      <c r="L38" s="11">
        <v>2.2937692124570763E-2</v>
      </c>
      <c r="M38" s="11">
        <v>0.98285144890342802</v>
      </c>
    </row>
    <row r="39" spans="1:13" x14ac:dyDescent="0.3">
      <c r="A39" s="13">
        <v>42044.5</v>
      </c>
      <c r="B39" s="11">
        <v>0.26157181900002757</v>
      </c>
      <c r="C39" s="11">
        <v>7.7926906325068847E-6</v>
      </c>
      <c r="D39" s="11">
        <v>5.0123820168018189E-2</v>
      </c>
      <c r="E39" s="11">
        <v>0.16076937281642384</v>
      </c>
      <c r="F39" s="11">
        <v>0.1130995332467338</v>
      </c>
      <c r="G39" s="11">
        <v>5.8281360022460276E-5</v>
      </c>
      <c r="H39" s="11">
        <v>0.18117412823822021</v>
      </c>
      <c r="I39" s="11">
        <v>2.2367692249281412E-3</v>
      </c>
      <c r="J39" s="11">
        <v>9.323593868416423E-2</v>
      </c>
      <c r="K39" s="11">
        <v>0.10308807720901661</v>
      </c>
      <c r="L39" s="11">
        <v>3.4634467361812506E-2</v>
      </c>
      <c r="M39" s="11">
        <v>0.9826109770535093</v>
      </c>
    </row>
    <row r="40" spans="1:13" x14ac:dyDescent="0.3">
      <c r="A40" s="13">
        <v>42050</v>
      </c>
      <c r="B40" s="11">
        <v>0.25427971034099828</v>
      </c>
      <c r="C40" s="11">
        <v>4.5143356746573786E-6</v>
      </c>
      <c r="D40" s="11">
        <v>3.476520683592399E-2</v>
      </c>
      <c r="E40" s="11">
        <v>0.1876223690702252</v>
      </c>
      <c r="F40" s="11">
        <v>0.12178896825521103</v>
      </c>
      <c r="G40" s="11">
        <v>3.4962808421842573E-3</v>
      </c>
      <c r="H40" s="11">
        <v>0.16476534776226923</v>
      </c>
      <c r="I40" s="11">
        <v>4.9594267111472161E-3</v>
      </c>
      <c r="J40" s="11">
        <v>0.10051955362403379</v>
      </c>
      <c r="K40" s="11">
        <v>0.10037312391544728</v>
      </c>
      <c r="L40" s="11">
        <v>2.7425498306885052E-2</v>
      </c>
      <c r="M40" s="11">
        <v>0.98739251923928251</v>
      </c>
    </row>
    <row r="41" spans="1:13" x14ac:dyDescent="0.3">
      <c r="A41" s="13">
        <v>42058.5</v>
      </c>
      <c r="B41" s="11">
        <v>0.23513445755647039</v>
      </c>
      <c r="C41" s="11">
        <v>2.0738855862115337E-5</v>
      </c>
      <c r="D41" s="11">
        <v>8.3464971502353891E-5</v>
      </c>
      <c r="E41" s="11">
        <v>0.18604504036806638</v>
      </c>
      <c r="F41" s="11">
        <v>0.12689289081505958</v>
      </c>
      <c r="G41" s="11">
        <v>4.8251281089769065E-5</v>
      </c>
      <c r="H41" s="11">
        <v>0.13382686173318423</v>
      </c>
      <c r="I41" s="11">
        <v>1.9035160150044056E-2</v>
      </c>
      <c r="J41" s="11">
        <v>9.0196209557850057E-2</v>
      </c>
      <c r="K41" s="11">
        <v>0.16806003161469482</v>
      </c>
      <c r="L41" s="11">
        <v>4.0656893096176316E-2</v>
      </c>
      <c r="M41" s="11">
        <v>0.98336554759045303</v>
      </c>
    </row>
    <row r="42" spans="1:13" x14ac:dyDescent="0.3">
      <c r="A42" s="13">
        <v>42065.5</v>
      </c>
      <c r="B42" s="11">
        <v>0.23307459406764788</v>
      </c>
      <c r="C42" s="11">
        <v>3.1335810568006938E-5</v>
      </c>
      <c r="D42" s="11">
        <v>5.4338075193850658E-5</v>
      </c>
      <c r="E42" s="11">
        <v>8.0144284148324973E-2</v>
      </c>
      <c r="F42" s="11">
        <v>8.3475088765761679E-2</v>
      </c>
      <c r="G42" s="11">
        <v>4.3185587446048166E-5</v>
      </c>
      <c r="H42" s="11">
        <v>0.22494562541103524</v>
      </c>
      <c r="I42" s="11">
        <v>8.7873679843582529E-5</v>
      </c>
      <c r="J42" s="11">
        <v>0.11375812097510606</v>
      </c>
      <c r="K42" s="11">
        <v>0.23925617781719019</v>
      </c>
      <c r="L42" s="11">
        <v>2.512937566188252E-2</v>
      </c>
      <c r="M42" s="11">
        <v>0.98154153197858174</v>
      </c>
    </row>
    <row r="43" spans="1:13" x14ac:dyDescent="0.3">
      <c r="A43" s="13">
        <v>42072.5</v>
      </c>
      <c r="B43" s="11">
        <v>0.23745019910482282</v>
      </c>
      <c r="C43" s="11">
        <v>3.4791100857400122E-5</v>
      </c>
      <c r="D43" s="11">
        <v>5.6653153630818964E-5</v>
      </c>
      <c r="E43" s="11">
        <v>7.7697543040178368E-2</v>
      </c>
      <c r="F43" s="11">
        <v>6.5201914897578719E-2</v>
      </c>
      <c r="G43" s="11">
        <v>5.0207626538320542E-5</v>
      </c>
      <c r="H43" s="11">
        <v>0.20287101384353307</v>
      </c>
      <c r="I43" s="11">
        <v>8.498613682763073E-5</v>
      </c>
      <c r="J43" s="11">
        <v>0.10226688034799991</v>
      </c>
      <c r="K43" s="11">
        <v>0.28512453104065055</v>
      </c>
      <c r="L43" s="11">
        <v>2.9161279707382495E-2</v>
      </c>
      <c r="M43" s="11">
        <v>0.98155495496620215</v>
      </c>
    </row>
    <row r="44" spans="1:13" x14ac:dyDescent="0.3">
      <c r="A44" s="13">
        <v>42079.5</v>
      </c>
      <c r="B44" s="11">
        <v>0.22756171015932997</v>
      </c>
      <c r="C44" s="11">
        <v>3.1679430727132326E-5</v>
      </c>
      <c r="D44" s="11">
        <v>7.5104256457330623E-5</v>
      </c>
      <c r="E44" s="11">
        <v>7.3352519790632023E-2</v>
      </c>
      <c r="F44" s="11">
        <v>6.7318578084607672E-2</v>
      </c>
      <c r="G44" s="11">
        <v>6.3457835457424039E-5</v>
      </c>
      <c r="H44" s="11">
        <v>0.20339823134368251</v>
      </c>
      <c r="I44" s="11">
        <v>3.095019898501978E-5</v>
      </c>
      <c r="J44" s="11">
        <v>0.11823935078267324</v>
      </c>
      <c r="K44" s="11">
        <v>0.26997371519279018</v>
      </c>
      <c r="L44" s="11">
        <v>3.9954702924657484E-2</v>
      </c>
      <c r="M44" s="11">
        <v>0.98139179742778793</v>
      </c>
    </row>
    <row r="45" spans="1:13" x14ac:dyDescent="0.3">
      <c r="A45" s="13">
        <v>42086.5</v>
      </c>
      <c r="B45" s="11">
        <v>0.22752101775225608</v>
      </c>
      <c r="C45" s="11">
        <v>3.1029116038098838E-5</v>
      </c>
      <c r="D45" s="11">
        <v>7.8155878381748074E-5</v>
      </c>
      <c r="E45" s="11">
        <v>7.0437802378783346E-2</v>
      </c>
      <c r="F45" s="11">
        <v>6.9347626263903936E-2</v>
      </c>
      <c r="G45" s="11">
        <v>6.2429826957933319E-5</v>
      </c>
      <c r="H45" s="11">
        <v>0.20283557064159138</v>
      </c>
      <c r="I45" s="11">
        <v>3.0845686119191519E-5</v>
      </c>
      <c r="J45" s="11">
        <v>0.12098558050235969</v>
      </c>
      <c r="K45" s="11">
        <v>0.26886775273001473</v>
      </c>
      <c r="L45" s="11">
        <v>3.9802189223593895E-2</v>
      </c>
      <c r="M45" s="11">
        <v>0.98128224996692792</v>
      </c>
    </row>
    <row r="46" spans="1:13" x14ac:dyDescent="0.3">
      <c r="A46" s="13">
        <v>42093.5</v>
      </c>
      <c r="B46" s="11">
        <v>0.2316669908709946</v>
      </c>
      <c r="C46" s="11">
        <v>3.0411767929033908E-5</v>
      </c>
      <c r="D46" s="11">
        <v>5.1036631369557185E-5</v>
      </c>
      <c r="E46" s="11">
        <v>6.6199245813682986E-2</v>
      </c>
      <c r="F46" s="11">
        <v>5.6423097436362035E-2</v>
      </c>
      <c r="G46" s="11">
        <v>6.4039710457296199E-5</v>
      </c>
      <c r="H46" s="11">
        <v>0.21616997405947658</v>
      </c>
      <c r="I46" s="11">
        <v>2.5239075803863346E-5</v>
      </c>
      <c r="J46" s="11">
        <v>0.10762172746667295</v>
      </c>
      <c r="K46" s="11">
        <v>0.28055568118330437</v>
      </c>
      <c r="L46" s="11">
        <v>4.1192555983946812E-2</v>
      </c>
      <c r="M46" s="11">
        <v>0.98121168377645129</v>
      </c>
    </row>
    <row r="47" spans="1:13" x14ac:dyDescent="0.3">
      <c r="A47" s="13">
        <v>42100.5</v>
      </c>
      <c r="B47" s="11">
        <v>0.22581021714795724</v>
      </c>
      <c r="C47" s="11">
        <v>3.6062109106082955E-5</v>
      </c>
      <c r="D47" s="11">
        <v>4.144916146353427E-5</v>
      </c>
      <c r="E47" s="11">
        <v>7.0445926958187938E-2</v>
      </c>
      <c r="F47" s="11">
        <v>5.4998538114620438E-2</v>
      </c>
      <c r="G47" s="11">
        <v>4.9313591165472959E-5</v>
      </c>
      <c r="H47" s="11">
        <v>0.20369314779178227</v>
      </c>
      <c r="I47" s="11">
        <v>2.220422483636399E-5</v>
      </c>
      <c r="J47" s="11">
        <v>0.10396955292614432</v>
      </c>
      <c r="K47" s="11">
        <v>0.28714964734612747</v>
      </c>
      <c r="L47" s="11">
        <v>5.3783940628608896E-2</v>
      </c>
      <c r="M47" s="11">
        <v>0.98237954130782479</v>
      </c>
    </row>
    <row r="48" spans="1:13" x14ac:dyDescent="0.3">
      <c r="A48" s="13">
        <v>42107.5</v>
      </c>
      <c r="B48" s="11">
        <v>0.22653860194840411</v>
      </c>
      <c r="C48" s="11">
        <v>3.2705930867142679E-6</v>
      </c>
      <c r="D48" s="11">
        <v>2.3399622520859491E-5</v>
      </c>
      <c r="E48" s="11">
        <v>8.4850519020186424E-5</v>
      </c>
      <c r="F48" s="11">
        <v>1.7573782514423871E-2</v>
      </c>
      <c r="G48" s="11">
        <v>1.3351233366502353E-5</v>
      </c>
      <c r="H48" s="11">
        <v>0.26742380496833545</v>
      </c>
      <c r="I48" s="11">
        <v>1.0907550519616932E-6</v>
      </c>
      <c r="J48" s="11">
        <v>0.11922290954453871</v>
      </c>
      <c r="K48" s="11">
        <v>0.30890507619292168</v>
      </c>
      <c r="L48" s="11">
        <v>6.0209862108329945E-2</v>
      </c>
      <c r="M48" s="11">
        <v>0.9791892740315169</v>
      </c>
    </row>
    <row r="49" spans="1:13" x14ac:dyDescent="0.3">
      <c r="A49" s="13">
        <v>42113.5</v>
      </c>
      <c r="B49" s="11">
        <v>0.19818320639952586</v>
      </c>
      <c r="C49" s="11">
        <v>4.3119276437657057E-6</v>
      </c>
      <c r="D49" s="11">
        <v>2.5211279190175159E-5</v>
      </c>
      <c r="E49" s="11">
        <v>9.9192881248576613E-6</v>
      </c>
      <c r="F49" s="11">
        <v>8.4919423518982489E-5</v>
      </c>
      <c r="G49" s="11">
        <v>4.6203066431237726E-5</v>
      </c>
      <c r="H49" s="11">
        <v>0.3025220367604784</v>
      </c>
      <c r="I49" s="11">
        <v>2.8509264078361239E-6</v>
      </c>
      <c r="J49" s="11">
        <v>0.13243899868672995</v>
      </c>
      <c r="K49" s="11">
        <v>0.29870471792916797</v>
      </c>
      <c r="L49" s="11">
        <v>6.7977624312780982E-2</v>
      </c>
      <c r="M49" s="11">
        <v>0.98202800987222516</v>
      </c>
    </row>
    <row r="50" spans="1:13" x14ac:dyDescent="0.3">
      <c r="A50" s="13">
        <v>42121.5</v>
      </c>
      <c r="B50" s="11">
        <v>0.16011041481005489</v>
      </c>
      <c r="C50" s="11">
        <v>1.4630724710104108E-5</v>
      </c>
      <c r="D50" s="11">
        <v>3.7341361494894871E-5</v>
      </c>
      <c r="E50" s="11">
        <v>1.976006645942376E-5</v>
      </c>
      <c r="F50" s="11">
        <v>1.6979793208999429E-2</v>
      </c>
      <c r="G50" s="11">
        <v>4.6447007024068126E-5</v>
      </c>
      <c r="H50" s="11">
        <v>0.33761828004262956</v>
      </c>
      <c r="I50" s="11">
        <v>6.8332009457309373E-6</v>
      </c>
      <c r="J50" s="11">
        <v>0.15472519993436304</v>
      </c>
      <c r="K50" s="11">
        <v>0.25443552689685622</v>
      </c>
      <c r="L50" s="11">
        <v>7.6005772746462738E-2</v>
      </c>
      <c r="M50" s="11">
        <v>0.98320172796394967</v>
      </c>
    </row>
    <row r="51" spans="1:13" x14ac:dyDescent="0.3">
      <c r="A51" s="13">
        <v>42128.5</v>
      </c>
      <c r="B51" s="11">
        <v>0.15360597870345929</v>
      </c>
      <c r="C51" s="11">
        <v>1.4081444685807115E-5</v>
      </c>
      <c r="D51" s="11">
        <v>1.0065989834207425E-5</v>
      </c>
      <c r="E51" s="11">
        <v>4.0074639177365015E-6</v>
      </c>
      <c r="F51" s="11">
        <v>2.8984025372940921E-2</v>
      </c>
      <c r="G51" s="11">
        <v>5.4155854867344094E-3</v>
      </c>
      <c r="H51" s="11">
        <v>0.32294294484315067</v>
      </c>
      <c r="I51" s="11">
        <v>1.523546366152046E-6</v>
      </c>
      <c r="J51" s="11">
        <v>0.16500390260344602</v>
      </c>
      <c r="K51" s="11">
        <v>0.24227768031479488</v>
      </c>
      <c r="L51" s="11">
        <v>8.1740204230669827E-2</v>
      </c>
      <c r="M51" s="11">
        <v>0.98197132651126362</v>
      </c>
    </row>
    <row r="52" spans="1:13" x14ac:dyDescent="0.3">
      <c r="A52" s="13">
        <v>42135.5</v>
      </c>
      <c r="B52" s="11">
        <v>0.14668093069182347</v>
      </c>
      <c r="C52" s="11">
        <v>2.7509472128875993E-5</v>
      </c>
      <c r="D52" s="11">
        <v>5.075936896884199E-5</v>
      </c>
      <c r="E52" s="11">
        <v>1.4978628534309804E-5</v>
      </c>
      <c r="F52" s="11">
        <v>1.8170880373796799E-2</v>
      </c>
      <c r="G52" s="11">
        <v>2.7054145932855662E-2</v>
      </c>
      <c r="H52" s="11">
        <v>0.33235467216136572</v>
      </c>
      <c r="I52" s="11">
        <v>5.3925578907583996E-6</v>
      </c>
      <c r="J52" s="11">
        <v>0.14791913089529757</v>
      </c>
      <c r="K52" s="11">
        <v>0.24628402402106991</v>
      </c>
      <c r="L52" s="11">
        <v>8.14375758962681E-2</v>
      </c>
      <c r="M52" s="11">
        <v>0.98222924604228556</v>
      </c>
    </row>
    <row r="53" spans="1:13" x14ac:dyDescent="0.3">
      <c r="A53" s="13">
        <v>42140.5</v>
      </c>
      <c r="B53" s="11">
        <v>0.14558027734471546</v>
      </c>
      <c r="C53" s="11">
        <v>3.3576034478075063E-5</v>
      </c>
      <c r="D53" s="11">
        <v>4.2378297426275035E-5</v>
      </c>
      <c r="E53" s="11">
        <v>1.1142197277322576E-5</v>
      </c>
      <c r="F53" s="11">
        <v>1.7592336502204559E-2</v>
      </c>
      <c r="G53" s="11">
        <v>2.0105647823273225E-2</v>
      </c>
      <c r="H53" s="11">
        <v>0.34053216325755198</v>
      </c>
      <c r="I53" s="11">
        <v>4.17050429581763E-6</v>
      </c>
      <c r="J53" s="11">
        <v>0.14375332019452922</v>
      </c>
      <c r="K53" s="11">
        <v>0.24920096469537492</v>
      </c>
      <c r="L53" s="11">
        <v>8.3144023148873245E-2</v>
      </c>
      <c r="M53" s="11">
        <v>0.98234419195952627</v>
      </c>
    </row>
    <row r="54" spans="1:13" x14ac:dyDescent="0.3">
      <c r="A54" s="13">
        <v>42149.5</v>
      </c>
      <c r="B54" s="11">
        <v>0.11253577767177886</v>
      </c>
      <c r="C54" s="11">
        <v>5.969125174087069E-3</v>
      </c>
      <c r="D54" s="11">
        <v>9.7976853615543702E-3</v>
      </c>
      <c r="E54" s="11">
        <v>3.2264601607049409E-6</v>
      </c>
      <c r="F54" s="11">
        <v>4.5166977051021372E-2</v>
      </c>
      <c r="G54" s="11">
        <v>4.5691167837580732E-2</v>
      </c>
      <c r="H54" s="11">
        <v>0.29823701237600464</v>
      </c>
      <c r="I54" s="11">
        <v>2.1424337495996811E-6</v>
      </c>
      <c r="J54" s="11">
        <v>0.1510811354558714</v>
      </c>
      <c r="K54" s="11">
        <v>0.23182721275015461</v>
      </c>
      <c r="L54" s="11">
        <v>9.9688537428036669E-2</v>
      </c>
      <c r="M54" s="11">
        <v>0.98537981637792249</v>
      </c>
    </row>
    <row r="55" spans="1:13" x14ac:dyDescent="0.3">
      <c r="A55" s="13">
        <v>42156.5</v>
      </c>
      <c r="B55" s="11">
        <v>0.11243701943061948</v>
      </c>
      <c r="C55" s="11">
        <v>1.9435958125069801E-2</v>
      </c>
      <c r="D55" s="11">
        <v>2.0335518043382112E-3</v>
      </c>
      <c r="E55" s="11">
        <v>6.1467956915571559E-7</v>
      </c>
      <c r="F55" s="11">
        <v>6.3526897553597778E-2</v>
      </c>
      <c r="G55" s="11">
        <v>5.7244793499509936E-2</v>
      </c>
      <c r="H55" s="11">
        <v>0.27080722784196609</v>
      </c>
      <c r="I55" s="11">
        <v>3.8831503662301144E-7</v>
      </c>
      <c r="J55" s="11">
        <v>0.14821205540406093</v>
      </c>
      <c r="K55" s="11">
        <v>0.22567704464822658</v>
      </c>
      <c r="L55" s="11">
        <v>0.10062444869800544</v>
      </c>
      <c r="M55" s="11">
        <v>0.9855835032174689</v>
      </c>
    </row>
    <row r="56" spans="1:13" x14ac:dyDescent="0.3">
      <c r="A56" s="13">
        <v>42163.5</v>
      </c>
      <c r="B56" s="11">
        <v>9.137595794741353E-2</v>
      </c>
      <c r="C56" s="11">
        <v>7.9365473012189963E-2</v>
      </c>
      <c r="D56" s="11">
        <v>5.0321515210520421E-3</v>
      </c>
      <c r="E56" s="11">
        <v>3.1559608548923454E-6</v>
      </c>
      <c r="F56" s="11">
        <v>8.5691042269316148E-2</v>
      </c>
      <c r="G56" s="11">
        <v>0.15245892772529798</v>
      </c>
      <c r="H56" s="11">
        <v>0.1449352173299199</v>
      </c>
      <c r="I56" s="11">
        <v>1.2031975197326676E-6</v>
      </c>
      <c r="J56" s="11">
        <v>0.11776726977975245</v>
      </c>
      <c r="K56" s="11">
        <v>0.20936024693696662</v>
      </c>
      <c r="L56" s="11">
        <v>0.11400935431971675</v>
      </c>
      <c r="M56" s="11">
        <v>0.9841905244714465</v>
      </c>
    </row>
    <row r="57" spans="1:13" x14ac:dyDescent="0.3">
      <c r="A57" s="13">
        <v>42170.5</v>
      </c>
      <c r="B57" s="11">
        <v>8.5668401639804395E-2</v>
      </c>
      <c r="C57" s="11">
        <v>0.11533056930259936</v>
      </c>
      <c r="D57" s="11">
        <v>2.7556173099967416E-2</v>
      </c>
      <c r="E57" s="11">
        <v>3.7047628827050367E-5</v>
      </c>
      <c r="F57" s="11">
        <v>8.413026976151422E-2</v>
      </c>
      <c r="G57" s="11">
        <v>0.15638410165212829</v>
      </c>
      <c r="H57" s="11">
        <v>0.12055102135407754</v>
      </c>
      <c r="I57" s="11">
        <v>8.8336341762926447E-6</v>
      </c>
      <c r="J57" s="11">
        <v>8.1401991339262195E-2</v>
      </c>
      <c r="K57" s="11">
        <v>0.20745079229434116</v>
      </c>
      <c r="L57" s="11">
        <v>0.12148079829330204</v>
      </c>
      <c r="M57" s="11">
        <v>0.98401253944951406</v>
      </c>
    </row>
    <row r="58" spans="1:13" x14ac:dyDescent="0.3">
      <c r="A58" s="13">
        <v>42177.5</v>
      </c>
      <c r="B58" s="11">
        <v>9.2284020750060286E-2</v>
      </c>
      <c r="C58" s="11">
        <v>9.7142290949053092E-2</v>
      </c>
      <c r="D58" s="11">
        <v>3.1517919769708892E-2</v>
      </c>
      <c r="E58" s="11">
        <v>4.9700423859838627E-5</v>
      </c>
      <c r="F58" s="11">
        <v>9.5606485427268642E-2</v>
      </c>
      <c r="G58" s="11">
        <v>0.15816837270181355</v>
      </c>
      <c r="H58" s="11">
        <v>0.10577353704750013</v>
      </c>
      <c r="I58" s="11">
        <v>9.0101560968690953E-6</v>
      </c>
      <c r="J58" s="11">
        <v>9.2795861664738272E-2</v>
      </c>
      <c r="K58" s="11">
        <v>0.20957912971233791</v>
      </c>
      <c r="L58" s="11">
        <v>0.1170736713975626</v>
      </c>
      <c r="M58" s="11">
        <v>0.98398707730675927</v>
      </c>
    </row>
    <row r="59" spans="1:13" x14ac:dyDescent="0.3">
      <c r="A59" s="13">
        <v>42184.5</v>
      </c>
      <c r="B59" s="11">
        <v>9.3284956888261869E-2</v>
      </c>
      <c r="C59" s="11">
        <v>9.9940998012462395E-2</v>
      </c>
      <c r="D59" s="11">
        <v>3.6520645188659114E-2</v>
      </c>
      <c r="E59" s="11">
        <v>6.7835002512654801E-5</v>
      </c>
      <c r="F59" s="11">
        <v>9.8894930567590147E-2</v>
      </c>
      <c r="G59" s="11">
        <v>0.1554307950792754</v>
      </c>
      <c r="H59" s="11">
        <v>9.9771379156008227E-2</v>
      </c>
      <c r="I59" s="11">
        <v>1.2417933814595618E-5</v>
      </c>
      <c r="J59" s="11">
        <v>8.6102097275121137E-2</v>
      </c>
      <c r="K59" s="11">
        <v>0.21076060992029139</v>
      </c>
      <c r="L59" s="11">
        <v>0.11921333497600317</v>
      </c>
      <c r="M59" s="11">
        <v>0.98390802407730493</v>
      </c>
    </row>
    <row r="60" spans="1:13" x14ac:dyDescent="0.3">
      <c r="A60" s="13">
        <v>42190</v>
      </c>
      <c r="B60" s="11">
        <v>9.5658721486168538E-2</v>
      </c>
      <c r="C60" s="11">
        <v>0.1007341885826426</v>
      </c>
      <c r="D60" s="11">
        <v>3.4714684218314078E-2</v>
      </c>
      <c r="E60" s="11">
        <v>6.1074027159913741E-5</v>
      </c>
      <c r="F60" s="11">
        <v>9.8850655019914829E-2</v>
      </c>
      <c r="G60" s="11">
        <v>0.16227589662147515</v>
      </c>
      <c r="H60" s="11">
        <v>9.0341346811183817E-2</v>
      </c>
      <c r="I60" s="11">
        <v>1.0802240211907632E-5</v>
      </c>
      <c r="J60" s="11">
        <v>8.0023807004457326E-2</v>
      </c>
      <c r="K60" s="11">
        <v>0.21819460263581994</v>
      </c>
      <c r="L60" s="11">
        <v>0.11913422135265196</v>
      </c>
      <c r="M60" s="11">
        <v>0.98382602322707158</v>
      </c>
    </row>
    <row r="61" spans="1:13" x14ac:dyDescent="0.3">
      <c r="A61" s="13">
        <v>42198.5</v>
      </c>
      <c r="B61" s="11">
        <v>9.3405888817298083E-2</v>
      </c>
      <c r="C61" s="11">
        <v>9.252013683180936E-2</v>
      </c>
      <c r="D61" s="11">
        <v>2.3383511631528804E-2</v>
      </c>
      <c r="E61" s="11">
        <v>3.6403729519026226E-5</v>
      </c>
      <c r="F61" s="11">
        <v>0.10052987796081948</v>
      </c>
      <c r="G61" s="11">
        <v>0.18040210833077369</v>
      </c>
      <c r="H61" s="11">
        <v>8.7047747545026019E-2</v>
      </c>
      <c r="I61" s="11">
        <v>5.0829563860691198E-6</v>
      </c>
      <c r="J61" s="11">
        <v>8.1914691175522858E-2</v>
      </c>
      <c r="K61" s="11">
        <v>0.22151767217928278</v>
      </c>
      <c r="L61" s="11">
        <v>0.11923687884203384</v>
      </c>
      <c r="M61" s="11">
        <v>0.98402641218819997</v>
      </c>
    </row>
    <row r="62" spans="1:13" x14ac:dyDescent="0.3">
      <c r="A62" s="13">
        <v>42205.5</v>
      </c>
      <c r="B62" s="11">
        <v>9.2948043358174484E-2</v>
      </c>
      <c r="C62" s="11">
        <v>8.0037207915659478E-2</v>
      </c>
      <c r="D62" s="11">
        <v>1.2897125476192355E-2</v>
      </c>
      <c r="E62" s="11">
        <v>2.8709765788451046E-5</v>
      </c>
      <c r="F62" s="11">
        <v>0.10550644716586392</v>
      </c>
      <c r="G62" s="11">
        <v>0.19195261041275014</v>
      </c>
      <c r="H62" s="11">
        <v>9.4387098407901576E-2</v>
      </c>
      <c r="I62" s="11">
        <v>2.1638842521229686E-6</v>
      </c>
      <c r="J62" s="11">
        <v>9.8355981859558558E-2</v>
      </c>
      <c r="K62" s="11">
        <v>0.21151888946849229</v>
      </c>
      <c r="L62" s="11">
        <v>0.11236572228536668</v>
      </c>
      <c r="M62" s="11">
        <v>0.9840622071925248</v>
      </c>
    </row>
    <row r="63" spans="1:13" x14ac:dyDescent="0.3">
      <c r="A63" s="13">
        <v>42212.5</v>
      </c>
      <c r="B63" s="11">
        <v>0.10810678673450549</v>
      </c>
      <c r="C63" s="11">
        <v>6.4670775951019138E-2</v>
      </c>
      <c r="D63" s="11">
        <v>5.0125305687984531E-3</v>
      </c>
      <c r="E63" s="11">
        <v>3.9816686367486489E-6</v>
      </c>
      <c r="F63" s="11">
        <v>0.10210177958904784</v>
      </c>
      <c r="G63" s="11">
        <v>0.18559803932025806</v>
      </c>
      <c r="H63" s="11">
        <v>7.6512082208499227E-2</v>
      </c>
      <c r="I63" s="11">
        <v>6.2242162940497129E-7</v>
      </c>
      <c r="J63" s="11">
        <v>0.10503157483699609</v>
      </c>
      <c r="K63" s="11">
        <v>0.24042226933127075</v>
      </c>
      <c r="L63" s="11">
        <v>0.11253955736933884</v>
      </c>
      <c r="M63" s="11">
        <v>0.98446165086359205</v>
      </c>
    </row>
    <row r="64" spans="1:13" x14ac:dyDescent="0.3">
      <c r="A64" s="13">
        <v>42219.5</v>
      </c>
      <c r="B64" s="11">
        <v>0.10040416298422274</v>
      </c>
      <c r="C64" s="11">
        <v>7.5866174248714113E-2</v>
      </c>
      <c r="D64" s="11">
        <v>2.8247603479077091E-3</v>
      </c>
      <c r="E64" s="11">
        <v>5.4121427939632797E-6</v>
      </c>
      <c r="F64" s="11">
        <v>9.2504019776888824E-2</v>
      </c>
      <c r="G64" s="11">
        <v>0.18150252458872815</v>
      </c>
      <c r="H64" s="11">
        <v>8.8214300014859109E-2</v>
      </c>
      <c r="I64" s="11">
        <v>3.8294457682249418E-7</v>
      </c>
      <c r="J64" s="11">
        <v>0.10189589716272748</v>
      </c>
      <c r="K64" s="11">
        <v>0.23966635248328605</v>
      </c>
      <c r="L64" s="11">
        <v>0.11711601330529514</v>
      </c>
      <c r="M64" s="11">
        <v>0.98503518781622557</v>
      </c>
    </row>
    <row r="65" spans="1:13" x14ac:dyDescent="0.3">
      <c r="A65" s="13">
        <v>42226.5</v>
      </c>
      <c r="B65" s="11">
        <v>9.2978711134264869E-2</v>
      </c>
      <c r="C65" s="11">
        <v>7.1218766343323331E-2</v>
      </c>
      <c r="D65" s="11">
        <v>3.5471630257030914E-2</v>
      </c>
      <c r="E65" s="11">
        <v>8.521939332579347E-5</v>
      </c>
      <c r="F65" s="11">
        <v>6.0314951883758898E-2</v>
      </c>
      <c r="G65" s="11">
        <v>0.19437372208050988</v>
      </c>
      <c r="H65" s="11">
        <v>9.8899382495973714E-2</v>
      </c>
      <c r="I65" s="11">
        <v>3.9275968162690793E-6</v>
      </c>
      <c r="J65" s="11">
        <v>8.3460104635951576E-2</v>
      </c>
      <c r="K65" s="11">
        <v>0.24600384893020763</v>
      </c>
      <c r="L65" s="11">
        <v>0.11718973524883713</v>
      </c>
      <c r="M65" s="11">
        <v>0.98471044709321198</v>
      </c>
    </row>
    <row r="66" spans="1:13" x14ac:dyDescent="0.3">
      <c r="A66" s="13">
        <v>42233</v>
      </c>
      <c r="B66" s="11">
        <v>8.4626382040032505E-2</v>
      </c>
      <c r="C66" s="11">
        <v>9.871479218099137E-2</v>
      </c>
      <c r="D66" s="11">
        <v>5.8512036801100398E-2</v>
      </c>
      <c r="E66" s="11">
        <v>8.6776311244452951E-5</v>
      </c>
      <c r="F66" s="11">
        <v>5.7938654028494171E-2</v>
      </c>
      <c r="G66" s="11">
        <v>0.19492066210506956</v>
      </c>
      <c r="H66" s="11">
        <v>9.9540585299142226E-2</v>
      </c>
      <c r="I66" s="11">
        <v>3.0247212379837283E-6</v>
      </c>
      <c r="J66" s="11">
        <v>6.2969763369136567E-2</v>
      </c>
      <c r="K66" s="11">
        <v>0.22534355577875989</v>
      </c>
      <c r="L66" s="11">
        <v>0.11734376736479094</v>
      </c>
      <c r="M66" s="11">
        <v>0.98482611840106193</v>
      </c>
    </row>
    <row r="67" spans="1:13" x14ac:dyDescent="0.3">
      <c r="A67" s="13">
        <v>42240.5</v>
      </c>
      <c r="B67" s="11">
        <v>9.0113235300971803E-2</v>
      </c>
      <c r="C67" s="11">
        <v>5.0987127982915423E-2</v>
      </c>
      <c r="D67" s="11">
        <v>3.2470479071826432E-5</v>
      </c>
      <c r="E67" s="11">
        <v>8.5993732742522313E-5</v>
      </c>
      <c r="F67" s="11">
        <v>5.7985349574051714E-2</v>
      </c>
      <c r="G67" s="11">
        <v>0.24585588767390171</v>
      </c>
      <c r="H67" s="11">
        <v>6.4715462987645855E-2</v>
      </c>
      <c r="I67" s="11">
        <v>1.0922819925792994E-6</v>
      </c>
      <c r="J67" s="11">
        <v>9.0928771710985706E-2</v>
      </c>
      <c r="K67" s="11">
        <v>0.27510515827366033</v>
      </c>
      <c r="L67" s="11">
        <v>0.12418945000206061</v>
      </c>
      <c r="M67" s="11">
        <v>0.98644760909129836</v>
      </c>
    </row>
    <row r="68" spans="1:13" x14ac:dyDescent="0.3">
      <c r="A68" s="13">
        <v>42247.5</v>
      </c>
      <c r="B68" s="11">
        <v>6.5554173589517692E-2</v>
      </c>
      <c r="C68" s="11">
        <v>6.6228500411230601E-2</v>
      </c>
      <c r="D68" s="11">
        <v>3.0788918664445782E-3</v>
      </c>
      <c r="E68" s="11">
        <v>4.5647803475703173E-6</v>
      </c>
      <c r="F68" s="11">
        <v>0.10033619703226489</v>
      </c>
      <c r="G68" s="11">
        <v>0.22309840115934279</v>
      </c>
      <c r="H68" s="11">
        <v>7.8477636777356835E-2</v>
      </c>
      <c r="I68" s="11">
        <v>6.048109422299074E-7</v>
      </c>
      <c r="J68" s="11">
        <v>0.10715817761986672</v>
      </c>
      <c r="K68" s="11">
        <v>0.21509623471734499</v>
      </c>
      <c r="L68" s="11">
        <v>0.1409666172353411</v>
      </c>
      <c r="M68" s="11">
        <v>0.98539508184213687</v>
      </c>
    </row>
    <row r="69" spans="1:13" x14ac:dyDescent="0.3">
      <c r="A69" s="13">
        <v>42254.5</v>
      </c>
      <c r="B69" s="11">
        <v>5.5104171144050751E-2</v>
      </c>
      <c r="C69" s="11">
        <v>0.14195313006593244</v>
      </c>
      <c r="D69" s="11">
        <v>8.2632418238437052E-5</v>
      </c>
      <c r="E69" s="11">
        <v>8.1774997303233232E-6</v>
      </c>
      <c r="F69" s="11">
        <v>7.0609319784949373E-2</v>
      </c>
      <c r="G69" s="11">
        <v>0.19902553921510086</v>
      </c>
      <c r="H69" s="11">
        <v>9.5990600325189232E-2</v>
      </c>
      <c r="I69" s="11">
        <v>2.5385454556638762E-6</v>
      </c>
      <c r="J69" s="11">
        <v>9.18299550022975E-2</v>
      </c>
      <c r="K69" s="11">
        <v>0.20048096659728215</v>
      </c>
      <c r="L69" s="11">
        <v>0.14491296940177331</v>
      </c>
      <c r="M69" s="11">
        <v>0.98588855219734994</v>
      </c>
    </row>
    <row r="70" spans="1:13" x14ac:dyDescent="0.3">
      <c r="A70" s="13">
        <v>42260.5</v>
      </c>
      <c r="B70" s="11">
        <v>2.712822360397376E-2</v>
      </c>
      <c r="C70" s="11">
        <v>3.6119156339282872E-2</v>
      </c>
      <c r="D70" s="11">
        <v>6.1261784401336617E-5</v>
      </c>
      <c r="E70" s="11">
        <v>3.0540135989408396E-5</v>
      </c>
      <c r="F70" s="11">
        <v>9.7400541035128171E-2</v>
      </c>
      <c r="G70" s="11">
        <v>0.31617950509896364</v>
      </c>
      <c r="H70" s="11">
        <v>5.0202829266684873E-2</v>
      </c>
      <c r="I70" s="11">
        <v>4.2096193649660572E-2</v>
      </c>
      <c r="J70" s="11">
        <v>6.1196292079348374E-2</v>
      </c>
      <c r="K70" s="11">
        <v>0.21701929702820996</v>
      </c>
      <c r="L70" s="11">
        <v>0.15256615997835704</v>
      </c>
      <c r="M70" s="11">
        <v>0.97904062871578779</v>
      </c>
    </row>
    <row r="71" spans="1:13" x14ac:dyDescent="0.3">
      <c r="A71" s="13">
        <v>42268.5</v>
      </c>
      <c r="B71" s="11">
        <v>3.8617104893062118E-3</v>
      </c>
      <c r="C71" s="11">
        <v>5.8749853194383174E-2</v>
      </c>
      <c r="D71" s="11">
        <v>6.1381963687135178E-5</v>
      </c>
      <c r="E71" s="11">
        <v>3.3151441700136991E-5</v>
      </c>
      <c r="F71" s="11">
        <v>8.9964935701027038E-2</v>
      </c>
      <c r="G71" s="11">
        <v>0.35859499543503376</v>
      </c>
      <c r="H71" s="11">
        <v>6.6892480325106085E-2</v>
      </c>
      <c r="I71" s="11">
        <v>5.477062222966219E-2</v>
      </c>
      <c r="J71" s="11">
        <v>2.5129741503583596E-2</v>
      </c>
      <c r="K71" s="11">
        <v>0.19226396742968477</v>
      </c>
      <c r="L71" s="11">
        <v>0.14967716028682587</v>
      </c>
      <c r="M71" s="11">
        <v>0.97941391424779578</v>
      </c>
    </row>
    <row r="72" spans="1:13" x14ac:dyDescent="0.3">
      <c r="A72" s="13">
        <v>42279</v>
      </c>
      <c r="B72" s="11">
        <v>1.4191922776668444E-2</v>
      </c>
      <c r="C72" s="11">
        <v>3.7028844991486597E-5</v>
      </c>
      <c r="D72" s="11">
        <v>4.2603316729998388E-5</v>
      </c>
      <c r="E72" s="11">
        <v>2.0685024738897342E-5</v>
      </c>
      <c r="F72" s="11">
        <v>0.14375813314156313</v>
      </c>
      <c r="G72" s="11">
        <v>0.38615229235499149</v>
      </c>
      <c r="H72" s="11">
        <v>3.3538810078158496E-2</v>
      </c>
      <c r="I72" s="11">
        <v>3.4884806319347643E-2</v>
      </c>
      <c r="J72" s="11">
        <v>3.8497203845761788E-2</v>
      </c>
      <c r="K72" s="11">
        <v>0.19665152997164265</v>
      </c>
      <c r="L72" s="11">
        <v>0.15222498432540596</v>
      </c>
      <c r="M72" s="11">
        <v>0.98105718081522164</v>
      </c>
    </row>
    <row r="73" spans="1:13" x14ac:dyDescent="0.3">
      <c r="A73" s="13">
        <v>42286</v>
      </c>
      <c r="B73" s="11">
        <v>1.4368359576549396E-2</v>
      </c>
      <c r="C73" s="11">
        <v>3.7273564257355013E-5</v>
      </c>
      <c r="D73" s="11">
        <v>4.3827214483880844E-5</v>
      </c>
      <c r="E73" s="11">
        <v>2.0401682709989256E-5</v>
      </c>
      <c r="F73" s="11">
        <v>0.14149696822898722</v>
      </c>
      <c r="G73" s="11">
        <v>0.3833023666075957</v>
      </c>
      <c r="H73" s="11">
        <v>3.6708945590038906E-2</v>
      </c>
      <c r="I73" s="11">
        <v>4.029461269990825E-2</v>
      </c>
      <c r="J73" s="11">
        <v>3.5849875281460719E-2</v>
      </c>
      <c r="K73" s="11">
        <v>0.19584954308398142</v>
      </c>
      <c r="L73" s="11">
        <v>0.15202782647002722</v>
      </c>
      <c r="M73" s="11">
        <v>0.98090083737631828</v>
      </c>
    </row>
    <row r="74" spans="1:13" x14ac:dyDescent="0.3">
      <c r="A74" s="13">
        <v>42293</v>
      </c>
      <c r="B74" s="11">
        <v>2.8342230246622843E-2</v>
      </c>
      <c r="C74" s="11">
        <v>2.2672880693588859E-6</v>
      </c>
      <c r="D74" s="11">
        <v>2.5316384752580981E-6</v>
      </c>
      <c r="E74" s="11">
        <v>2.0107534450233881E-6</v>
      </c>
      <c r="F74" s="11">
        <v>0.14588241771060709</v>
      </c>
      <c r="G74" s="11">
        <v>0.37761483295933845</v>
      </c>
      <c r="H74" s="11">
        <v>1.4178417412437376E-3</v>
      </c>
      <c r="I74" s="11">
        <v>3.2696114298460442E-2</v>
      </c>
      <c r="J74" s="11">
        <v>4.4725952216518504E-2</v>
      </c>
      <c r="K74" s="11">
        <v>0.21004581173603318</v>
      </c>
      <c r="L74" s="11">
        <v>0.15926798941118608</v>
      </c>
      <c r="M74" s="11">
        <v>0.97984836380232387</v>
      </c>
    </row>
    <row r="75" spans="1:13" x14ac:dyDescent="0.3">
      <c r="A75" s="13">
        <v>42300</v>
      </c>
      <c r="B75" s="11">
        <v>2.4744736453018244E-2</v>
      </c>
      <c r="C75" s="11">
        <v>6.0363744514270639E-6</v>
      </c>
      <c r="D75" s="11">
        <v>6.7641160324006651E-6</v>
      </c>
      <c r="E75" s="11">
        <v>6.2552649828659382E-6</v>
      </c>
      <c r="F75" s="11">
        <v>0.15706547311111008</v>
      </c>
      <c r="G75" s="11">
        <v>0.38456106809849461</v>
      </c>
      <c r="H75" s="11">
        <v>3.376391879086945E-3</v>
      </c>
      <c r="I75" s="11">
        <v>4.7442077143384755E-2</v>
      </c>
      <c r="J75" s="11">
        <v>3.7905408080507685E-2</v>
      </c>
      <c r="K75" s="11">
        <v>0.18981231524692124</v>
      </c>
      <c r="L75" s="11">
        <v>0.15507347423200979</v>
      </c>
      <c r="M75" s="11">
        <v>0.97948294875276842</v>
      </c>
    </row>
    <row r="76" spans="1:13" x14ac:dyDescent="0.3">
      <c r="A76" s="13">
        <v>42307</v>
      </c>
      <c r="B76" s="11">
        <v>5.0230929891420042E-3</v>
      </c>
      <c r="C76" s="11">
        <v>2.6226526142103619E-5</v>
      </c>
      <c r="D76" s="11">
        <v>5.9281024384575958E-6</v>
      </c>
      <c r="E76" s="11">
        <v>4.5058186613198218E-6</v>
      </c>
      <c r="F76" s="11">
        <v>0.20994301251470135</v>
      </c>
      <c r="G76" s="11">
        <v>0.44712890325254639</v>
      </c>
      <c r="H76" s="11">
        <v>1.4890988381363592E-5</v>
      </c>
      <c r="I76" s="11">
        <v>4.0507058490066673E-2</v>
      </c>
      <c r="J76" s="11">
        <v>6.8571907573347412E-5</v>
      </c>
      <c r="K76" s="11">
        <v>0.1350651551776349</v>
      </c>
      <c r="L76" s="11">
        <v>0.16221265423271208</v>
      </c>
      <c r="M76" s="11">
        <v>0.98062471815753549</v>
      </c>
    </row>
    <row r="77" spans="1:13" x14ac:dyDescent="0.3">
      <c r="A77" s="13">
        <v>42314</v>
      </c>
      <c r="B77" s="11">
        <v>5.4282563334158386E-3</v>
      </c>
      <c r="C77" s="11">
        <v>3.2718422816591747E-6</v>
      </c>
      <c r="D77" s="11">
        <v>1.793602975902154E-6</v>
      </c>
      <c r="E77" s="11">
        <v>1.5175494511197103E-6</v>
      </c>
      <c r="F77" s="11">
        <v>0.20190443554785995</v>
      </c>
      <c r="G77" s="11">
        <v>0.42794953795105672</v>
      </c>
      <c r="H77" s="11">
        <v>9.1003392531640113E-3</v>
      </c>
      <c r="I77" s="11">
        <v>5.1371608608093873E-2</v>
      </c>
      <c r="J77" s="11">
        <v>3.7401436140273406E-4</v>
      </c>
      <c r="K77" s="11">
        <v>0.14110884627650669</v>
      </c>
      <c r="L77" s="11">
        <v>0.16275637867379156</v>
      </c>
      <c r="M77" s="11">
        <v>0.97994097506511102</v>
      </c>
    </row>
    <row r="78" spans="1:13" x14ac:dyDescent="0.3">
      <c r="A78" s="13">
        <v>42321</v>
      </c>
      <c r="B78" s="11">
        <v>4.8815849461707325E-3</v>
      </c>
      <c r="C78" s="11">
        <v>1.2468400938717532E-5</v>
      </c>
      <c r="D78" s="11">
        <v>7.5073989610311253E-6</v>
      </c>
      <c r="E78" s="11">
        <v>7.0105703483386258E-6</v>
      </c>
      <c r="F78" s="11">
        <v>0.20034847540122958</v>
      </c>
      <c r="G78" s="11">
        <v>0.42135851114767275</v>
      </c>
      <c r="H78" s="11">
        <v>9.1093139916744777E-3</v>
      </c>
      <c r="I78" s="11">
        <v>5.2797961177852293E-2</v>
      </c>
      <c r="J78" s="11">
        <v>3.5847261194504728E-3</v>
      </c>
      <c r="K78" s="11">
        <v>0.14341380163335252</v>
      </c>
      <c r="L78" s="11">
        <v>0.16447863921234906</v>
      </c>
      <c r="M78" s="11">
        <v>0.97752854364674313</v>
      </c>
    </row>
    <row r="79" spans="1:13" x14ac:dyDescent="0.3">
      <c r="A79" s="13">
        <v>42328</v>
      </c>
      <c r="B79" s="11">
        <v>3.1603199294320764E-3</v>
      </c>
      <c r="C79" s="11">
        <v>1.3878426255953814E-5</v>
      </c>
      <c r="D79" s="11">
        <v>7.331704006846778E-6</v>
      </c>
      <c r="E79" s="11">
        <v>6.7803547197728584E-6</v>
      </c>
      <c r="F79" s="11">
        <v>0.19888075129917157</v>
      </c>
      <c r="G79" s="11">
        <v>0.42368354264368596</v>
      </c>
      <c r="H79" s="11">
        <v>6.5485816419011142E-3</v>
      </c>
      <c r="I79" s="11">
        <v>5.2608336674579557E-2</v>
      </c>
      <c r="J79" s="11">
        <v>6.3941320049656749E-3</v>
      </c>
      <c r="K79" s="11">
        <v>0.14333132382013344</v>
      </c>
      <c r="L79" s="11">
        <v>0.16536502150114804</v>
      </c>
      <c r="M79" s="11">
        <v>0.97666730468654972</v>
      </c>
    </row>
    <row r="80" spans="1:13" x14ac:dyDescent="0.3">
      <c r="A80" s="13">
        <v>42335</v>
      </c>
      <c r="B80" s="11">
        <v>3.6263668811020451E-2</v>
      </c>
      <c r="C80" s="11">
        <v>2.3545553651980631E-5</v>
      </c>
      <c r="D80" s="11">
        <v>4.4047170775245135E-5</v>
      </c>
      <c r="E80" s="11">
        <v>2.1115983400435022E-5</v>
      </c>
      <c r="F80" s="11">
        <v>0.22264749492469918</v>
      </c>
      <c r="G80" s="11">
        <v>0.31395737889406017</v>
      </c>
      <c r="H80" s="11">
        <v>4.946866014399505E-2</v>
      </c>
      <c r="I80" s="11">
        <v>5.9565895086743828E-2</v>
      </c>
      <c r="J80" s="11">
        <v>1.3978462585040755E-5</v>
      </c>
      <c r="K80" s="11">
        <v>0.12718849166813298</v>
      </c>
      <c r="L80" s="11">
        <v>0.19080572330093556</v>
      </c>
      <c r="M80" s="11">
        <v>0.97422279797159084</v>
      </c>
    </row>
    <row r="81" spans="1:13" x14ac:dyDescent="0.3">
      <c r="A81" s="13">
        <v>42342</v>
      </c>
      <c r="B81" s="11">
        <v>6.082106375702992E-2</v>
      </c>
      <c r="C81" s="11">
        <v>3.3632317681261369E-5</v>
      </c>
      <c r="D81" s="11">
        <v>3.3227051012863136E-5</v>
      </c>
      <c r="E81" s="11">
        <v>1.8080821817722364E-5</v>
      </c>
      <c r="F81" s="11">
        <v>0.2117599119625892</v>
      </c>
      <c r="G81" s="11">
        <v>0.33207585492166086</v>
      </c>
      <c r="H81" s="11">
        <v>4.7569843232791446E-2</v>
      </c>
      <c r="I81" s="11">
        <v>4.4803673663215832E-2</v>
      </c>
      <c r="J81" s="11">
        <v>1.3194724292719365E-5</v>
      </c>
      <c r="K81" s="11">
        <v>0.12470823347333758</v>
      </c>
      <c r="L81" s="11">
        <v>0.17816328407457066</v>
      </c>
      <c r="M81" s="11">
        <v>0.97569999645614469</v>
      </c>
    </row>
    <row r="82" spans="1:13" x14ac:dyDescent="0.3">
      <c r="A82" s="13">
        <v>42349</v>
      </c>
      <c r="B82" s="11">
        <v>0.11933377511478971</v>
      </c>
      <c r="C82" s="11">
        <v>2.9047072302337714E-6</v>
      </c>
      <c r="D82" s="11">
        <v>8.8710485159606279E-5</v>
      </c>
      <c r="E82" s="11">
        <v>2.0614747097276192E-6</v>
      </c>
      <c r="F82" s="11">
        <v>0.25384919973140813</v>
      </c>
      <c r="G82" s="11">
        <v>0.27975876803861421</v>
      </c>
      <c r="H82" s="11">
        <v>5.1728481926230293E-6</v>
      </c>
      <c r="I82" s="11">
        <v>6.1269751869660216E-2</v>
      </c>
      <c r="J82" s="11">
        <v>8.55845686017234E-7</v>
      </c>
      <c r="K82" s="11">
        <v>9.9053282272254545E-2</v>
      </c>
      <c r="L82" s="11">
        <v>0.1866355176122951</v>
      </c>
      <c r="M82" s="11">
        <v>0.97986645697637154</v>
      </c>
    </row>
    <row r="83" spans="1:13" x14ac:dyDescent="0.3">
      <c r="A83" s="13">
        <v>42356</v>
      </c>
      <c r="B83" s="11">
        <v>0.15797781182219006</v>
      </c>
      <c r="C83" s="11">
        <v>1.5903437307797921E-5</v>
      </c>
      <c r="D83" s="11">
        <v>3.0745308438590274E-2</v>
      </c>
      <c r="E83" s="11">
        <v>2.7665383393506098E-5</v>
      </c>
      <c r="F83" s="11">
        <v>0.31020318356715038</v>
      </c>
      <c r="G83" s="11">
        <v>0.22569563814273869</v>
      </c>
      <c r="H83" s="11">
        <v>1.6733897564943343E-2</v>
      </c>
      <c r="I83" s="11">
        <v>6.9645335364770175E-2</v>
      </c>
      <c r="J83" s="11">
        <v>6.0953013493156744E-6</v>
      </c>
      <c r="K83" s="11">
        <v>2.3518986235970187E-5</v>
      </c>
      <c r="L83" s="11">
        <v>0.1889256419913305</v>
      </c>
      <c r="M83" s="11">
        <v>0.98411972521868929</v>
      </c>
    </row>
    <row r="84" spans="1:13" x14ac:dyDescent="0.3">
      <c r="A84" s="13">
        <v>42363</v>
      </c>
      <c r="B84" s="11">
        <v>0.15582720989430091</v>
      </c>
      <c r="C84" s="11">
        <v>8.9553089328940147E-6</v>
      </c>
      <c r="D84" s="11">
        <v>5.4493738385785896E-2</v>
      </c>
      <c r="E84" s="11">
        <v>1.6132173528750648E-5</v>
      </c>
      <c r="F84" s="11">
        <v>0.30292930575124871</v>
      </c>
      <c r="G84" s="11">
        <v>0.21880578307127607</v>
      </c>
      <c r="H84" s="11">
        <v>8.935809684482366E-3</v>
      </c>
      <c r="I84" s="11">
        <v>6.6083227513024492E-2</v>
      </c>
      <c r="J84" s="11">
        <v>3.2759165194793729E-6</v>
      </c>
      <c r="K84" s="11">
        <v>1.2422603857339726E-5</v>
      </c>
      <c r="L84" s="11">
        <v>0.19288413969704318</v>
      </c>
      <c r="M84" s="11">
        <v>0.98281311344256517</v>
      </c>
    </row>
    <row r="85" spans="1:13" x14ac:dyDescent="0.3">
      <c r="A85" s="13">
        <v>42370</v>
      </c>
      <c r="B85" s="11">
        <v>0.15464806573398024</v>
      </c>
      <c r="C85" s="11">
        <v>6.7929973189078895E-6</v>
      </c>
      <c r="D85" s="11">
        <v>7.5119293352643043E-2</v>
      </c>
      <c r="E85" s="11">
        <v>8.353981544464196E-6</v>
      </c>
      <c r="F85" s="11">
        <v>0.29066665659353741</v>
      </c>
      <c r="G85" s="11">
        <v>0.22725420970272645</v>
      </c>
      <c r="H85" s="11">
        <v>8.5643159167998124E-5</v>
      </c>
      <c r="I85" s="11">
        <v>5.9060259596594493E-2</v>
      </c>
      <c r="J85" s="11">
        <v>2.5360108186143301E-6</v>
      </c>
      <c r="K85" s="11">
        <v>1.3325309998002141E-5</v>
      </c>
      <c r="L85" s="11">
        <v>0.19313486356167045</v>
      </c>
      <c r="M85" s="11">
        <v>0.98260876086974025</v>
      </c>
    </row>
    <row r="86" spans="1:13" x14ac:dyDescent="0.3">
      <c r="A86" s="13">
        <v>42377</v>
      </c>
      <c r="B86" s="11">
        <v>0.16307776370407268</v>
      </c>
      <c r="C86" s="11">
        <v>3.5498691073215345E-6</v>
      </c>
      <c r="D86" s="11">
        <v>5.53169153748082E-2</v>
      </c>
      <c r="E86" s="11">
        <v>4.6132052888960785E-6</v>
      </c>
      <c r="F86" s="11">
        <v>0.30509758766213918</v>
      </c>
      <c r="G86" s="11">
        <v>0.22344075201272268</v>
      </c>
      <c r="H86" s="11">
        <v>8.6107404559077489E-5</v>
      </c>
      <c r="I86" s="11">
        <v>5.650393036487103E-2</v>
      </c>
      <c r="J86" s="11">
        <v>1.2937498334153598E-6</v>
      </c>
      <c r="K86" s="11">
        <v>7.7512608759256413E-6</v>
      </c>
      <c r="L86" s="11">
        <v>0.1964597353917216</v>
      </c>
      <c r="M86" s="11">
        <v>0.98186205021537387</v>
      </c>
    </row>
    <row r="87" spans="1:13" x14ac:dyDescent="0.3">
      <c r="A87" s="13">
        <v>42384</v>
      </c>
      <c r="B87" s="11">
        <v>0.16158808180749837</v>
      </c>
      <c r="C87" s="11">
        <v>3.6769396634088329E-7</v>
      </c>
      <c r="D87" s="11">
        <v>9.1616746764392798E-2</v>
      </c>
      <c r="E87" s="11">
        <v>5.2613126408793869E-7</v>
      </c>
      <c r="F87" s="11">
        <v>0.29318606534246311</v>
      </c>
      <c r="G87" s="11">
        <v>0.18926682566797354</v>
      </c>
      <c r="H87" s="11">
        <v>3.501941237014206E-4</v>
      </c>
      <c r="I87" s="11">
        <v>5.4955628100472081E-2</v>
      </c>
      <c r="J87" s="11">
        <v>1.2009014645728758E-7</v>
      </c>
      <c r="K87" s="11">
        <v>9.8260186986692639E-7</v>
      </c>
      <c r="L87" s="11">
        <v>0.20903446167625198</v>
      </c>
      <c r="M87" s="11">
        <v>0.97923890296556937</v>
      </c>
    </row>
    <row r="88" spans="1:13" x14ac:dyDescent="0.3">
      <c r="A88" s="13">
        <v>42389</v>
      </c>
      <c r="B88" s="11">
        <v>0.15336468310807114</v>
      </c>
      <c r="C88" s="11">
        <v>8.35327425752708E-6</v>
      </c>
      <c r="D88" s="11">
        <v>8.3887820179934607E-5</v>
      </c>
      <c r="E88" s="11">
        <v>1.6780888082516718E-5</v>
      </c>
      <c r="F88" s="11">
        <v>0.34049564175903618</v>
      </c>
      <c r="G88" s="11">
        <v>0.19348537290049475</v>
      </c>
      <c r="H88" s="11">
        <v>1.6071357256411279E-2</v>
      </c>
      <c r="I88" s="11">
        <v>0.10092291548494756</v>
      </c>
      <c r="J88" s="11">
        <v>3.5270725691644603E-6</v>
      </c>
      <c r="K88" s="11">
        <v>1.5229579000959483E-5</v>
      </c>
      <c r="L88" s="11">
        <v>0.19553225085694906</v>
      </c>
      <c r="M88" s="11">
        <v>0.98120122305405355</v>
      </c>
    </row>
    <row r="89" spans="1:13" x14ac:dyDescent="0.3">
      <c r="A89" s="13">
        <v>42398</v>
      </c>
      <c r="B89" s="11">
        <v>0.1381539021207594</v>
      </c>
      <c r="C89" s="11">
        <v>8.6890882911351411E-6</v>
      </c>
      <c r="D89" s="11">
        <v>4.0063524657823309E-5</v>
      </c>
      <c r="E89" s="11">
        <v>6.1183047100950459E-5</v>
      </c>
      <c r="F89" s="11">
        <v>0.33598697028982905</v>
      </c>
      <c r="G89" s="11">
        <v>0.22363729741942934</v>
      </c>
      <c r="H89" s="11">
        <v>1.0673550676634827E-2</v>
      </c>
      <c r="I89" s="11">
        <v>9.7378060460280219E-2</v>
      </c>
      <c r="J89" s="11">
        <v>3.7048235179250025E-6</v>
      </c>
      <c r="K89" s="11">
        <v>2.5388505003997714E-5</v>
      </c>
      <c r="L89" s="11">
        <v>0.19403119004449543</v>
      </c>
      <c r="M89" s="11">
        <v>0.97896215160589817</v>
      </c>
    </row>
    <row r="90" spans="1:13" x14ac:dyDescent="0.3">
      <c r="A90" s="13">
        <v>42405</v>
      </c>
      <c r="B90" s="11">
        <v>0.15148964486989597</v>
      </c>
      <c r="C90" s="11">
        <v>9.8975440826581625E-6</v>
      </c>
      <c r="D90" s="11">
        <v>6.4837556104086922E-5</v>
      </c>
      <c r="E90" s="11">
        <v>4.9776123557256399E-5</v>
      </c>
      <c r="F90" s="11">
        <v>0.32331443073410931</v>
      </c>
      <c r="G90" s="11">
        <v>0.23455193780677117</v>
      </c>
      <c r="H90" s="11">
        <v>9.7912881917063977E-3</v>
      </c>
      <c r="I90" s="11">
        <v>8.9805239303066248E-2</v>
      </c>
      <c r="J90" s="11">
        <v>3.6791252159369253E-6</v>
      </c>
      <c r="K90" s="11">
        <v>2.3810391513578499E-5</v>
      </c>
      <c r="L90" s="11">
        <v>0.19089545835397739</v>
      </c>
      <c r="M90" s="11">
        <v>0.97882709766345566</v>
      </c>
    </row>
    <row r="91" spans="1:13" x14ac:dyDescent="0.3">
      <c r="A91" s="13">
        <v>42412</v>
      </c>
      <c r="B91" s="11">
        <v>0.14693451830830637</v>
      </c>
      <c r="C91" s="11">
        <v>9.4668186879767123E-6</v>
      </c>
      <c r="D91" s="11">
        <v>7.8386383545176364E-5</v>
      </c>
      <c r="E91" s="11">
        <v>6.1529836522525091E-5</v>
      </c>
      <c r="F91" s="11">
        <v>0.32054544647033339</v>
      </c>
      <c r="G91" s="11">
        <v>0.23735569272428378</v>
      </c>
      <c r="H91" s="11">
        <v>1.4520998066375367E-2</v>
      </c>
      <c r="I91" s="11">
        <v>9.2251785557510152E-2</v>
      </c>
      <c r="J91" s="11">
        <v>3.7468003554526717E-6</v>
      </c>
      <c r="K91" s="11">
        <v>2.141970835333423E-5</v>
      </c>
      <c r="L91" s="11">
        <v>0.18821700932572655</v>
      </c>
      <c r="M91" s="11">
        <v>0.97862722388482459</v>
      </c>
    </row>
    <row r="92" spans="1:13" x14ac:dyDescent="0.3">
      <c r="A92" s="13">
        <v>42418</v>
      </c>
      <c r="B92" s="11">
        <v>9.8347790968003793E-2</v>
      </c>
      <c r="C92" s="11">
        <v>1.9534418956083496E-5</v>
      </c>
      <c r="D92" s="11">
        <v>4.5997460698428713E-5</v>
      </c>
      <c r="E92" s="11">
        <v>3.9069556643810344E-2</v>
      </c>
      <c r="F92" s="11">
        <v>0.28476475741213403</v>
      </c>
      <c r="G92" s="11">
        <v>0.27988699631065861</v>
      </c>
      <c r="H92" s="11">
        <v>2.5917187897187211E-2</v>
      </c>
      <c r="I92" s="11">
        <v>9.2688203894824656E-2</v>
      </c>
      <c r="J92" s="11">
        <v>8.138424912651074E-6</v>
      </c>
      <c r="K92" s="11">
        <v>2.7009683536076595E-5</v>
      </c>
      <c r="L92" s="11">
        <v>0.17922482688527816</v>
      </c>
      <c r="M92" s="11">
        <v>0.97600544887939789</v>
      </c>
    </row>
    <row r="93" spans="1:13" x14ac:dyDescent="0.3">
      <c r="A93" s="13">
        <v>42426</v>
      </c>
      <c r="B93" s="11">
        <v>9.3298676693833904E-2</v>
      </c>
      <c r="C93" s="11">
        <v>1.7099575361524111E-5</v>
      </c>
      <c r="D93" s="11">
        <v>4.5982891824239235E-5</v>
      </c>
      <c r="E93" s="11">
        <v>2.6313041823448145E-2</v>
      </c>
      <c r="F93" s="11">
        <v>0.28339355425678453</v>
      </c>
      <c r="G93" s="11">
        <v>0.28664837101430135</v>
      </c>
      <c r="H93" s="11">
        <v>3.1329447438651924E-2</v>
      </c>
      <c r="I93" s="11">
        <v>0.10409413831442418</v>
      </c>
      <c r="J93" s="11">
        <v>7.3520884061471465E-6</v>
      </c>
      <c r="K93" s="11">
        <v>2.561384169067464E-5</v>
      </c>
      <c r="L93" s="11">
        <v>0.17482672206127345</v>
      </c>
      <c r="M93" s="11">
        <v>0.97605008585444353</v>
      </c>
    </row>
    <row r="94" spans="1:13" x14ac:dyDescent="0.3">
      <c r="A94" s="13">
        <v>42433</v>
      </c>
      <c r="B94" s="11">
        <v>9.1188161349953542E-2</v>
      </c>
      <c r="C94" s="11">
        <v>1.7776170334204116E-5</v>
      </c>
      <c r="D94" s="11">
        <v>4.0899799599596166E-5</v>
      </c>
      <c r="E94" s="11">
        <v>2.9505130260258122E-2</v>
      </c>
      <c r="F94" s="11">
        <v>0.27980121525472673</v>
      </c>
      <c r="G94" s="11">
        <v>0.28753698803365291</v>
      </c>
      <c r="H94" s="11">
        <v>3.5031636391784748E-2</v>
      </c>
      <c r="I94" s="11">
        <v>0.1058855250202569</v>
      </c>
      <c r="J94" s="11">
        <v>8.0720162010765114E-6</v>
      </c>
      <c r="K94" s="11">
        <v>2.6568011911869712E-5</v>
      </c>
      <c r="L94" s="11">
        <v>0.17095802769132043</v>
      </c>
      <c r="M94" s="11">
        <v>0.97575975627273881</v>
      </c>
    </row>
    <row r="95" spans="1:13" x14ac:dyDescent="0.3">
      <c r="A95" s="13">
        <v>42440</v>
      </c>
      <c r="B95" s="11">
        <v>9.3451576262236768E-2</v>
      </c>
      <c r="C95" s="11">
        <v>1.5741168325159221E-5</v>
      </c>
      <c r="D95" s="11">
        <v>3.6156352594123329E-5</v>
      </c>
      <c r="E95" s="11">
        <v>2.515765295367843E-2</v>
      </c>
      <c r="F95" s="11">
        <v>0.25287872689761343</v>
      </c>
      <c r="G95" s="11">
        <v>0.28719890281989341</v>
      </c>
      <c r="H95" s="11">
        <v>7.0996982556546101E-2</v>
      </c>
      <c r="I95" s="11">
        <v>0.10016489840623478</v>
      </c>
      <c r="J95" s="11">
        <v>6.8258107302824471E-6</v>
      </c>
      <c r="K95" s="11">
        <v>2.024221476591132E-5</v>
      </c>
      <c r="L95" s="11">
        <v>0.17007229455738157</v>
      </c>
      <c r="M95" s="11">
        <v>0.97336955095246802</v>
      </c>
    </row>
    <row r="96" spans="1:13" x14ac:dyDescent="0.3">
      <c r="A96" s="13">
        <v>42447</v>
      </c>
      <c r="B96" s="11">
        <v>0.10672733588880921</v>
      </c>
      <c r="C96" s="11">
        <v>2.2840222055691788E-5</v>
      </c>
      <c r="D96" s="11">
        <v>4.6595258996656204E-5</v>
      </c>
      <c r="E96" s="11">
        <v>3.8220786444443093E-2</v>
      </c>
      <c r="F96" s="11">
        <v>0.2395903561954866</v>
      </c>
      <c r="G96" s="11">
        <v>0.25810614875058202</v>
      </c>
      <c r="H96" s="11">
        <v>9.6226287118722081E-2</v>
      </c>
      <c r="I96" s="11">
        <v>9.0307448574337187E-2</v>
      </c>
      <c r="J96" s="11">
        <v>9.7920855276813138E-6</v>
      </c>
      <c r="K96" s="11">
        <v>3.9378639547891535E-5</v>
      </c>
      <c r="L96" s="11">
        <v>0.17070303082149191</v>
      </c>
      <c r="M96" s="11">
        <v>0.97309425778410596</v>
      </c>
    </row>
    <row r="97" spans="1:13" x14ac:dyDescent="0.3">
      <c r="A97" s="13">
        <v>42454</v>
      </c>
      <c r="B97" s="11">
        <v>0.10529771935670129</v>
      </c>
      <c r="C97" s="11">
        <v>2.0808013189107004E-5</v>
      </c>
      <c r="D97" s="11">
        <v>4.0245816083019424E-5</v>
      </c>
      <c r="E97" s="11">
        <v>4.1384325247702462E-2</v>
      </c>
      <c r="F97" s="11">
        <v>0.21496178778286612</v>
      </c>
      <c r="G97" s="11">
        <v>0.22572646515108388</v>
      </c>
      <c r="H97" s="11">
        <v>0.14989621506256384</v>
      </c>
      <c r="I97" s="11">
        <v>9.4541648065718617E-2</v>
      </c>
      <c r="J97" s="11">
        <v>9.1071249805294803E-6</v>
      </c>
      <c r="K97" s="11">
        <v>5.1578785977626583E-5</v>
      </c>
      <c r="L97" s="11">
        <v>0.16807009959313349</v>
      </c>
      <c r="M97" s="11">
        <v>0.97425046422399775</v>
      </c>
    </row>
    <row r="98" spans="1:13" x14ac:dyDescent="0.3">
      <c r="A98" s="13">
        <v>42461</v>
      </c>
      <c r="B98" s="11">
        <v>3.7797597459331519E-2</v>
      </c>
      <c r="C98" s="11">
        <v>2.1769123269799615E-5</v>
      </c>
      <c r="D98" s="11">
        <v>4.1372173197336487E-5</v>
      </c>
      <c r="E98" s="11">
        <v>6.0314556638264474E-2</v>
      </c>
      <c r="F98" s="11">
        <v>0.17841807080927047</v>
      </c>
      <c r="G98" s="11">
        <v>0.22191804948126168</v>
      </c>
      <c r="H98" s="11">
        <v>0.21200415059399574</v>
      </c>
      <c r="I98" s="11">
        <v>0.10460051202928568</v>
      </c>
      <c r="J98" s="11">
        <v>8.2209902985782642E-6</v>
      </c>
      <c r="K98" s="11">
        <v>5.9711632443288107E-5</v>
      </c>
      <c r="L98" s="11">
        <v>0.18481598906938151</v>
      </c>
      <c r="M98" s="11">
        <v>0.97629346042545329</v>
      </c>
    </row>
    <row r="99" spans="1:13" x14ac:dyDescent="0.3">
      <c r="A99" s="13">
        <v>42468</v>
      </c>
      <c r="B99" s="11">
        <v>3.9859974813571418E-2</v>
      </c>
      <c r="C99" s="11">
        <v>2.1499622922398226E-5</v>
      </c>
      <c r="D99" s="11">
        <v>4.1764474005502995E-5</v>
      </c>
      <c r="E99" s="11">
        <v>4.4627470377745476E-2</v>
      </c>
      <c r="F99" s="11">
        <v>0.18983320558530875</v>
      </c>
      <c r="G99" s="11">
        <v>0.23869041820568576</v>
      </c>
      <c r="H99" s="11">
        <v>0.19376990810813569</v>
      </c>
      <c r="I99" s="11">
        <v>0.11126044992593943</v>
      </c>
      <c r="J99" s="11">
        <v>7.4907288419614908E-6</v>
      </c>
      <c r="K99" s="11">
        <v>4.8011241912995127E-5</v>
      </c>
      <c r="L99" s="11">
        <v>0.18183980691593063</v>
      </c>
      <c r="M99" s="11">
        <v>0.97631209751768244</v>
      </c>
    </row>
    <row r="100" spans="1:13" x14ac:dyDescent="0.3">
      <c r="A100" s="13">
        <v>42475</v>
      </c>
      <c r="B100" s="11">
        <v>4.9562625877545827E-2</v>
      </c>
      <c r="C100" s="11">
        <v>3.2580371843760796E-5</v>
      </c>
      <c r="D100" s="11">
        <v>7.0488318906540532E-5</v>
      </c>
      <c r="E100" s="11">
        <v>4.1433107065517297E-2</v>
      </c>
      <c r="F100" s="11">
        <v>0.15774904244493104</v>
      </c>
      <c r="G100" s="11">
        <v>0.20498358010181811</v>
      </c>
      <c r="H100" s="11">
        <v>0.25579184897213836</v>
      </c>
      <c r="I100" s="11">
        <v>0.10923930171749438</v>
      </c>
      <c r="J100" s="11">
        <v>1.2013828955046365E-5</v>
      </c>
      <c r="K100" s="11">
        <v>3.5046331714120747E-5</v>
      </c>
      <c r="L100" s="11">
        <v>0.18109036496913566</v>
      </c>
      <c r="M100" s="11">
        <v>0.97786397177056505</v>
      </c>
    </row>
    <row r="101" spans="1:13" x14ac:dyDescent="0.3">
      <c r="A101" s="13">
        <v>42482</v>
      </c>
      <c r="B101" s="11">
        <v>4.4970334398601264E-2</v>
      </c>
      <c r="C101" s="11">
        <v>3.4525446639249347E-5</v>
      </c>
      <c r="D101" s="11">
        <v>8.2246822110479829E-5</v>
      </c>
      <c r="E101" s="11">
        <v>5.274399303997495E-2</v>
      </c>
      <c r="F101" s="11">
        <v>0.15320601926328073</v>
      </c>
      <c r="G101" s="11">
        <v>0.19852997142373288</v>
      </c>
      <c r="H101" s="11">
        <v>0.2592081065105446</v>
      </c>
      <c r="I101" s="11">
        <v>0.10838573385892053</v>
      </c>
      <c r="J101" s="11">
        <v>1.195378793305165E-5</v>
      </c>
      <c r="K101" s="11">
        <v>4.0743918911307709E-5</v>
      </c>
      <c r="L101" s="11">
        <v>0.18278637152935096</v>
      </c>
      <c r="M101" s="11">
        <v>0.9767028348185689</v>
      </c>
    </row>
    <row r="102" spans="1:13" x14ac:dyDescent="0.3">
      <c r="A102" s="13">
        <v>42488</v>
      </c>
      <c r="B102" s="11">
        <v>3.1344248143302215E-2</v>
      </c>
      <c r="C102" s="11">
        <v>2.9650551844836892E-5</v>
      </c>
      <c r="D102" s="11">
        <v>5.8802732432344826E-5</v>
      </c>
      <c r="E102" s="11">
        <v>4.3775065234153303E-2</v>
      </c>
      <c r="F102" s="11">
        <v>0.16273855832491463</v>
      </c>
      <c r="G102" s="11">
        <v>0.20871882401971723</v>
      </c>
      <c r="H102" s="11">
        <v>0.25012898887743268</v>
      </c>
      <c r="I102" s="11">
        <v>0.11999142418192785</v>
      </c>
      <c r="J102" s="11">
        <v>8.4135954574379306E-6</v>
      </c>
      <c r="K102" s="11">
        <v>3.9661277401534352E-5</v>
      </c>
      <c r="L102" s="11">
        <v>0.18316636306141598</v>
      </c>
      <c r="M102" s="11">
        <v>0.97657114647818399</v>
      </c>
    </row>
    <row r="103" spans="1:13" x14ac:dyDescent="0.3">
      <c r="A103" s="13">
        <v>42496</v>
      </c>
      <c r="B103" s="11">
        <v>2.7354468394202996E-2</v>
      </c>
      <c r="C103" s="11">
        <v>3.6681427921562012E-5</v>
      </c>
      <c r="D103" s="11">
        <v>5.1104071007634692E-5</v>
      </c>
      <c r="E103" s="11">
        <v>3.2144804226742089E-2</v>
      </c>
      <c r="F103" s="11">
        <v>0.16192576447449464</v>
      </c>
      <c r="G103" s="11">
        <v>0.21487375368718303</v>
      </c>
      <c r="H103" s="11">
        <v>0.25436027077073503</v>
      </c>
      <c r="I103" s="11">
        <v>0.13128795831614662</v>
      </c>
      <c r="J103" s="11">
        <v>8.7833548981514776E-6</v>
      </c>
      <c r="K103" s="11">
        <v>3.0774189065039903E-5</v>
      </c>
      <c r="L103" s="11">
        <v>0.17792563708760317</v>
      </c>
      <c r="M103" s="11">
        <v>0.97672855729639652</v>
      </c>
    </row>
    <row r="104" spans="1:13" x14ac:dyDescent="0.3">
      <c r="A104" s="13">
        <v>42503</v>
      </c>
      <c r="B104" s="11">
        <v>2.4379843104827249E-2</v>
      </c>
      <c r="C104" s="11">
        <v>3.7192417892371009E-5</v>
      </c>
      <c r="D104" s="11">
        <v>5.3801685824582931E-5</v>
      </c>
      <c r="E104" s="11">
        <v>3.8565315377382288E-2</v>
      </c>
      <c r="F104" s="11">
        <v>0.16276203550907553</v>
      </c>
      <c r="G104" s="11">
        <v>0.21021327588523386</v>
      </c>
      <c r="H104" s="11">
        <v>0.25163997315042291</v>
      </c>
      <c r="I104" s="11">
        <v>0.12785338316079664</v>
      </c>
      <c r="J104" s="11">
        <v>9.1960677242856891E-6</v>
      </c>
      <c r="K104" s="11">
        <v>2.6961002204644522E-5</v>
      </c>
      <c r="L104" s="11">
        <v>0.18445902263861572</v>
      </c>
      <c r="M104" s="11">
        <v>0.97568475534118515</v>
      </c>
    </row>
    <row r="105" spans="1:13" x14ac:dyDescent="0.3">
      <c r="A105" s="13">
        <v>42513</v>
      </c>
      <c r="B105" s="11">
        <v>1.9303791258642979E-2</v>
      </c>
      <c r="C105" s="11">
        <v>4.1660926035164367E-5</v>
      </c>
      <c r="D105" s="11">
        <v>4.9433945186253659E-5</v>
      </c>
      <c r="E105" s="11">
        <v>3.9915001029464811E-2</v>
      </c>
      <c r="F105" s="11">
        <v>0.16864968195686619</v>
      </c>
      <c r="G105" s="11">
        <v>0.2119711495587078</v>
      </c>
      <c r="H105" s="11">
        <v>0.24302182983803647</v>
      </c>
      <c r="I105" s="11">
        <v>0.12988493838495485</v>
      </c>
      <c r="J105" s="11">
        <v>9.5940936048449715E-6</v>
      </c>
      <c r="K105" s="11">
        <v>2.9522968933726777E-5</v>
      </c>
      <c r="L105" s="11">
        <v>0.18712339603956696</v>
      </c>
      <c r="M105" s="11">
        <v>0.97586429829293941</v>
      </c>
    </row>
    <row r="106" spans="1:13" x14ac:dyDescent="0.3">
      <c r="A106" s="13">
        <v>42520.5</v>
      </c>
      <c r="B106" s="11">
        <v>1.0315684826484778E-2</v>
      </c>
      <c r="C106" s="11">
        <v>3.2138684852058848E-5</v>
      </c>
      <c r="D106" s="11">
        <v>3.3514153980959234E-5</v>
      </c>
      <c r="E106" s="11">
        <v>4.1196681934857107E-2</v>
      </c>
      <c r="F106" s="11">
        <v>0.17706865415332346</v>
      </c>
      <c r="G106" s="11">
        <v>0.22158073880546686</v>
      </c>
      <c r="H106" s="11">
        <v>0.2265555197503184</v>
      </c>
      <c r="I106" s="11">
        <v>0.13231839285625452</v>
      </c>
      <c r="J106" s="11">
        <v>6.3987980559723302E-6</v>
      </c>
      <c r="K106" s="11">
        <v>1.9974834978283881E-5</v>
      </c>
      <c r="L106" s="11">
        <v>0.19087230120142756</v>
      </c>
      <c r="M106" s="11">
        <v>0.97573500572323779</v>
      </c>
    </row>
    <row r="107" spans="1:13" x14ac:dyDescent="0.3">
      <c r="A107" s="13">
        <v>42527.5</v>
      </c>
      <c r="B107" s="11">
        <v>8.6042442745489089E-5</v>
      </c>
      <c r="C107" s="11">
        <v>6.9860393704487291E-5</v>
      </c>
      <c r="D107" s="11">
        <v>5.6252274283451796E-5</v>
      </c>
      <c r="E107" s="11">
        <v>7.1146685099352597E-2</v>
      </c>
      <c r="F107" s="11">
        <v>0.16802788359769413</v>
      </c>
      <c r="G107" s="11">
        <v>0.18790501207890448</v>
      </c>
      <c r="H107" s="11">
        <v>0.21147137022829571</v>
      </c>
      <c r="I107" s="11">
        <v>0.14509546627367156</v>
      </c>
      <c r="J107" s="11">
        <v>1.095630989484103E-5</v>
      </c>
      <c r="K107" s="11">
        <v>3.7656991269935425E-5</v>
      </c>
      <c r="L107" s="11">
        <v>0.21609281431018326</v>
      </c>
      <c r="M107" s="11">
        <v>0.96706933346046386</v>
      </c>
    </row>
    <row r="108" spans="1:13" x14ac:dyDescent="0.3">
      <c r="A108" s="13">
        <v>42534.5</v>
      </c>
      <c r="B108" s="11">
        <v>5.8503271239019267E-5</v>
      </c>
      <c r="C108" s="11">
        <v>6.5736502376999954E-5</v>
      </c>
      <c r="D108" s="11">
        <v>5.4547695952700666E-5</v>
      </c>
      <c r="E108" s="11">
        <v>7.76870888507631E-2</v>
      </c>
      <c r="F108" s="11">
        <v>0.1633050104792225</v>
      </c>
      <c r="G108" s="11">
        <v>0.18847004880582036</v>
      </c>
      <c r="H108" s="11">
        <v>0.21264695678995896</v>
      </c>
      <c r="I108" s="11">
        <v>0.15167194323825109</v>
      </c>
      <c r="J108" s="11">
        <v>8.9989856866641049E-6</v>
      </c>
      <c r="K108" s="11">
        <v>4.6206945564960177E-5</v>
      </c>
      <c r="L108" s="11">
        <v>0.20598495843516368</v>
      </c>
      <c r="M108" s="11">
        <v>0.95923561448908878</v>
      </c>
    </row>
    <row r="109" spans="1:13" x14ac:dyDescent="0.3">
      <c r="A109" s="13">
        <v>42541</v>
      </c>
      <c r="B109" s="11">
        <v>8.1677860709097254E-5</v>
      </c>
      <c r="C109" s="11">
        <v>5.0069624604482018E-5</v>
      </c>
      <c r="D109" s="11">
        <v>6.4680787368744217E-5</v>
      </c>
      <c r="E109" s="11">
        <v>8.0851315313405059E-2</v>
      </c>
      <c r="F109" s="11">
        <v>0.16091077131708995</v>
      </c>
      <c r="G109" s="11">
        <v>0.18831099295958248</v>
      </c>
      <c r="H109" s="11">
        <v>0.21212245072129177</v>
      </c>
      <c r="I109" s="11">
        <v>0.1501894673341837</v>
      </c>
      <c r="J109" s="11">
        <v>9.1998760475095943E-6</v>
      </c>
      <c r="K109" s="11">
        <v>3.6325638412439519E-5</v>
      </c>
      <c r="L109" s="11">
        <v>0.20737304856730474</v>
      </c>
      <c r="M109" s="11">
        <v>0.95976965207087506</v>
      </c>
    </row>
    <row r="110" spans="1:13" x14ac:dyDescent="0.3">
      <c r="A110" s="13">
        <v>42548.5</v>
      </c>
      <c r="B110" s="11">
        <v>6.3229678452467922E-2</v>
      </c>
      <c r="C110" s="11">
        <v>8.7064077511780108E-5</v>
      </c>
      <c r="D110" s="11">
        <v>8.4145514994735285E-2</v>
      </c>
      <c r="E110" s="11">
        <v>0.20861896049148571</v>
      </c>
      <c r="F110" s="11">
        <v>5.5879935228254012E-2</v>
      </c>
      <c r="G110" s="11">
        <v>0.14610514275408526</v>
      </c>
      <c r="H110" s="11">
        <v>0.25145809408168518</v>
      </c>
      <c r="I110" s="11">
        <v>4.0086815533134812E-2</v>
      </c>
      <c r="J110" s="11">
        <v>2.7758071114136621E-5</v>
      </c>
      <c r="K110" s="11">
        <v>2.519430327167909E-2</v>
      </c>
      <c r="L110" s="11">
        <v>0.12516673304384685</v>
      </c>
      <c r="M110" s="11">
        <v>0.98382008682883748</v>
      </c>
    </row>
    <row r="111" spans="1:13" x14ac:dyDescent="0.3">
      <c r="A111" s="13">
        <v>42559</v>
      </c>
      <c r="B111" s="11">
        <v>7.3741174892988717E-2</v>
      </c>
      <c r="C111" s="11">
        <v>8.8226311855535812E-5</v>
      </c>
      <c r="D111" s="11">
        <v>9.163931142950868E-2</v>
      </c>
      <c r="E111" s="11">
        <v>0.19144657868134823</v>
      </c>
      <c r="F111" s="11">
        <v>5.3831507122651369E-2</v>
      </c>
      <c r="G111" s="11">
        <v>0.14814789693086822</v>
      </c>
      <c r="H111" s="11">
        <v>0.24324394762808815</v>
      </c>
      <c r="I111" s="11">
        <v>4.7330940754582565E-2</v>
      </c>
      <c r="J111" s="11">
        <v>1.074482975282896E-5</v>
      </c>
      <c r="K111" s="11">
        <v>3.0887220813670239E-2</v>
      </c>
      <c r="L111" s="11">
        <v>0.11963245060468541</v>
      </c>
      <c r="M111" s="11">
        <v>0.98305896099981593</v>
      </c>
    </row>
    <row r="112" spans="1:13" x14ac:dyDescent="0.3">
      <c r="A112" s="13">
        <v>42566</v>
      </c>
      <c r="B112" s="11">
        <v>7.0443165527206961E-2</v>
      </c>
      <c r="C112" s="11">
        <v>9.1295830711695707E-5</v>
      </c>
      <c r="D112" s="11">
        <v>8.7552384523671783E-2</v>
      </c>
      <c r="E112" s="11">
        <v>0.19130273727048042</v>
      </c>
      <c r="F112" s="11">
        <v>6.04300171213236E-2</v>
      </c>
      <c r="G112" s="11">
        <v>0.15080923299433766</v>
      </c>
      <c r="H112" s="11">
        <v>0.23999218133438563</v>
      </c>
      <c r="I112" s="11">
        <v>5.1823232224617266E-2</v>
      </c>
      <c r="J112" s="11">
        <v>6.7315472261560275E-6</v>
      </c>
      <c r="K112" s="11">
        <v>2.9773834493315127E-2</v>
      </c>
      <c r="L112" s="11">
        <v>0.11777518713272377</v>
      </c>
      <c r="M112" s="11">
        <v>0.98225108447936238</v>
      </c>
    </row>
    <row r="113" spans="1:13" x14ac:dyDescent="0.3">
      <c r="A113" s="13">
        <v>42573</v>
      </c>
      <c r="B113" s="11">
        <v>5.1790242221060906E-2</v>
      </c>
      <c r="C113" s="11">
        <v>6.4348178768678451E-4</v>
      </c>
      <c r="D113" s="11">
        <v>9.2057074218177021E-2</v>
      </c>
      <c r="E113" s="11">
        <v>0.19156855492734184</v>
      </c>
      <c r="F113" s="11">
        <v>6.6838600554370894E-2</v>
      </c>
      <c r="G113" s="11">
        <v>0.15041423021364753</v>
      </c>
      <c r="H113" s="11">
        <v>0.22701185500901658</v>
      </c>
      <c r="I113" s="11">
        <v>7.485999413241147E-2</v>
      </c>
      <c r="J113" s="11">
        <v>4.5678573443322596E-4</v>
      </c>
      <c r="K113" s="11">
        <v>1.4171150914577187E-2</v>
      </c>
      <c r="L113" s="11">
        <v>0.1301880302872766</v>
      </c>
      <c r="M113" s="11">
        <v>0.98042969693031301</v>
      </c>
    </row>
    <row r="114" spans="1:13" x14ac:dyDescent="0.3">
      <c r="A114" s="13">
        <v>42580</v>
      </c>
      <c r="B114" s="11">
        <v>8.8969035559055637E-2</v>
      </c>
      <c r="C114" s="11">
        <v>8.7573959498457978E-5</v>
      </c>
      <c r="D114" s="11">
        <v>8.4127831942548803E-2</v>
      </c>
      <c r="E114" s="11">
        <v>0.20126803379502425</v>
      </c>
      <c r="F114" s="11">
        <v>5.9051994395841245E-2</v>
      </c>
      <c r="G114" s="11">
        <v>0.13206661790530386</v>
      </c>
      <c r="H114" s="11">
        <v>0.25589665435266762</v>
      </c>
      <c r="I114" s="11">
        <v>4.6433337979340891E-2</v>
      </c>
      <c r="J114" s="11">
        <v>8.3791139056115633E-5</v>
      </c>
      <c r="K114" s="11">
        <v>1.7983293142766109E-2</v>
      </c>
      <c r="L114" s="11">
        <v>0.11403183582889696</v>
      </c>
      <c r="M114" s="11">
        <v>0.98047880148109168</v>
      </c>
    </row>
    <row r="115" spans="1:13" x14ac:dyDescent="0.3">
      <c r="A115" s="13">
        <v>42587</v>
      </c>
      <c r="B115" s="11">
        <v>7.846058769236558E-2</v>
      </c>
      <c r="C115" s="11">
        <v>8.546633125836469E-5</v>
      </c>
      <c r="D115" s="11">
        <v>9.1627036350663896E-2</v>
      </c>
      <c r="E115" s="11">
        <v>0.19652192360269621</v>
      </c>
      <c r="F115" s="11">
        <v>5.3151851716770497E-2</v>
      </c>
      <c r="G115" s="11">
        <v>0.1268325966304851</v>
      </c>
      <c r="H115" s="11">
        <v>0.26448784090805777</v>
      </c>
      <c r="I115" s="11">
        <v>4.1575326685489383E-2</v>
      </c>
      <c r="J115" s="11">
        <v>2.7109333896290351E-5</v>
      </c>
      <c r="K115" s="11">
        <v>2.7121284759027905E-2</v>
      </c>
      <c r="L115" s="11">
        <v>0.12010897598928909</v>
      </c>
      <c r="M115" s="11">
        <v>0.98014894520714524</v>
      </c>
    </row>
    <row r="116" spans="1:13" x14ac:dyDescent="0.3">
      <c r="A116" s="13">
        <v>42594</v>
      </c>
      <c r="B116" s="11">
        <v>8.9932988472425673E-2</v>
      </c>
      <c r="C116" s="11">
        <v>3.1443599269070893E-2</v>
      </c>
      <c r="D116" s="11">
        <v>4.5083299979607021E-2</v>
      </c>
      <c r="E116" s="11">
        <v>0.18629988499381939</v>
      </c>
      <c r="F116" s="11">
        <v>3.7244846674332303E-2</v>
      </c>
      <c r="G116" s="11">
        <v>0.14854089302163803</v>
      </c>
      <c r="H116" s="11">
        <v>0.23383209677489383</v>
      </c>
      <c r="I116" s="11">
        <v>5.3124128818015676E-2</v>
      </c>
      <c r="J116" s="11">
        <v>6.9897000439055827E-5</v>
      </c>
      <c r="K116" s="11">
        <v>3.8588200993380756E-2</v>
      </c>
      <c r="L116" s="11">
        <v>0.13584016400237742</v>
      </c>
      <c r="M116" s="11">
        <v>0.97570193813227946</v>
      </c>
    </row>
    <row r="117" spans="1:13" x14ac:dyDescent="0.3">
      <c r="A117" s="13">
        <v>42601</v>
      </c>
      <c r="B117" s="11">
        <v>8.2535225676378249E-2</v>
      </c>
      <c r="C117" s="11">
        <v>4.8187398725834794E-2</v>
      </c>
      <c r="D117" s="11">
        <v>3.1304013506873604E-2</v>
      </c>
      <c r="E117" s="11">
        <v>0.17554282361924892</v>
      </c>
      <c r="F117" s="11">
        <v>4.4736003676318643E-2</v>
      </c>
      <c r="G117" s="11">
        <v>0.15899922027959049</v>
      </c>
      <c r="H117" s="11">
        <v>0.21959800827413484</v>
      </c>
      <c r="I117" s="11">
        <v>6.7917577401238188E-2</v>
      </c>
      <c r="J117" s="11">
        <v>3.9946681676124097E-5</v>
      </c>
      <c r="K117" s="11">
        <v>3.447150032529054E-2</v>
      </c>
      <c r="L117" s="11">
        <v>0.13666828183341564</v>
      </c>
      <c r="M117" s="11">
        <v>0.9754713524531321</v>
      </c>
    </row>
    <row r="118" spans="1:13" x14ac:dyDescent="0.3">
      <c r="A118" s="13">
        <v>42608</v>
      </c>
      <c r="B118" s="11">
        <v>8.4791285035115807E-2</v>
      </c>
      <c r="C118" s="11">
        <v>4.9686890529828248E-2</v>
      </c>
      <c r="D118" s="11">
        <v>3.7139328649326515E-2</v>
      </c>
      <c r="E118" s="11">
        <v>0.17193188250917046</v>
      </c>
      <c r="F118" s="11">
        <v>4.7550777252291877E-2</v>
      </c>
      <c r="G118" s="11">
        <v>0.1570961492812562</v>
      </c>
      <c r="H118" s="11">
        <v>0.22085132273020205</v>
      </c>
      <c r="I118" s="11">
        <v>6.3714046066189967E-2</v>
      </c>
      <c r="J118" s="11">
        <v>4.9703524572756139E-5</v>
      </c>
      <c r="K118" s="11">
        <v>2.8694029386717036E-2</v>
      </c>
      <c r="L118" s="11">
        <v>0.13849458503532908</v>
      </c>
      <c r="M118" s="11">
        <v>0.97678672519663112</v>
      </c>
    </row>
    <row r="119" spans="1:13" x14ac:dyDescent="0.3">
      <c r="A119" s="13">
        <v>42615</v>
      </c>
      <c r="B119" s="11">
        <v>8.4124213181508325E-2</v>
      </c>
      <c r="C119" s="11">
        <v>5.2003436262873938E-2</v>
      </c>
      <c r="D119" s="11">
        <v>4.0310971430756515E-2</v>
      </c>
      <c r="E119" s="11">
        <v>0.16668617238437863</v>
      </c>
      <c r="F119" s="11">
        <v>5.3363221657415007E-2</v>
      </c>
      <c r="G119" s="11">
        <v>0.16289939509392729</v>
      </c>
      <c r="H119" s="11">
        <v>0.21647804338470414</v>
      </c>
      <c r="I119" s="11">
        <v>6.6288311202451475E-2</v>
      </c>
      <c r="J119" s="11">
        <v>5.5243665661264417E-5</v>
      </c>
      <c r="K119" s="11">
        <v>1.8872634193175062E-2</v>
      </c>
      <c r="L119" s="11">
        <v>0.13891835754314838</v>
      </c>
      <c r="M119" s="11">
        <v>0.97595641944080513</v>
      </c>
    </row>
    <row r="120" spans="1:13" x14ac:dyDescent="0.3">
      <c r="A120" s="13">
        <v>42621.5</v>
      </c>
      <c r="B120" s="11">
        <v>8.4629731021563265E-2</v>
      </c>
      <c r="C120" s="11">
        <v>6.3426678952399951E-2</v>
      </c>
      <c r="D120" s="11">
        <v>3.5223178092734453E-2</v>
      </c>
      <c r="E120" s="11">
        <v>0.15396864730865079</v>
      </c>
      <c r="F120" s="11">
        <v>5.9003875575363476E-2</v>
      </c>
      <c r="G120" s="11">
        <v>0.17248796672769751</v>
      </c>
      <c r="H120" s="11">
        <v>0.20653238870854843</v>
      </c>
      <c r="I120" s="11">
        <v>6.5834630199092012E-2</v>
      </c>
      <c r="J120" s="11">
        <v>3.3943722670632392E-5</v>
      </c>
      <c r="K120" s="11">
        <v>1.8721056557518771E-2</v>
      </c>
      <c r="L120" s="11">
        <v>0.14013790313376071</v>
      </c>
      <c r="M120" s="11">
        <v>0.97406183429198112</v>
      </c>
    </row>
    <row r="121" spans="1:13" x14ac:dyDescent="0.3">
      <c r="A121" s="13">
        <v>42629</v>
      </c>
      <c r="B121" s="11">
        <v>8.4555363905943537E-2</v>
      </c>
      <c r="C121" s="11">
        <v>6.4999963065850694E-2</v>
      </c>
      <c r="D121" s="11">
        <v>3.379729259866552E-2</v>
      </c>
      <c r="E121" s="11">
        <v>0.15196498083520707</v>
      </c>
      <c r="F121" s="11">
        <v>6.1123941468615231E-2</v>
      </c>
      <c r="G121" s="11">
        <v>0.17305277032406707</v>
      </c>
      <c r="H121" s="11">
        <v>0.20717492959885347</v>
      </c>
      <c r="I121" s="11">
        <v>6.6966721227395387E-2</v>
      </c>
      <c r="J121" s="11">
        <v>3.0923718939992027E-5</v>
      </c>
      <c r="K121" s="11">
        <v>1.7804468327300014E-2</v>
      </c>
      <c r="L121" s="11">
        <v>0.13852864492916203</v>
      </c>
      <c r="M121" s="11">
        <v>0.96940912724052386</v>
      </c>
    </row>
    <row r="122" spans="1:13" x14ac:dyDescent="0.3">
      <c r="A122" s="13">
        <v>42636</v>
      </c>
      <c r="B122" s="11">
        <v>0.10069599271944706</v>
      </c>
      <c r="C122" s="11">
        <v>8.4147512847578695E-2</v>
      </c>
      <c r="D122" s="11">
        <v>7.4411508905415352E-3</v>
      </c>
      <c r="E122" s="11">
        <v>0.16478093962443657</v>
      </c>
      <c r="F122" s="11">
        <v>5.33459750182163E-2</v>
      </c>
      <c r="G122" s="11">
        <v>0.15512602754996305</v>
      </c>
      <c r="H122" s="11">
        <v>0.21763965423382395</v>
      </c>
      <c r="I122" s="11">
        <v>6.2927348352081469E-2</v>
      </c>
      <c r="J122" s="11">
        <v>4.2308795181607813E-6</v>
      </c>
      <c r="K122" s="11">
        <v>1.777498645922667E-2</v>
      </c>
      <c r="L122" s="11">
        <v>0.13611618142516652</v>
      </c>
      <c r="M122" s="11">
        <v>0.97237830169958295</v>
      </c>
    </row>
    <row r="123" spans="1:13" x14ac:dyDescent="0.3">
      <c r="A123" s="13">
        <v>42643</v>
      </c>
      <c r="B123" s="11">
        <v>0.10001000655080636</v>
      </c>
      <c r="C123" s="11">
        <v>8.4073928284041172E-2</v>
      </c>
      <c r="D123" s="11">
        <v>1.7618318458518478E-2</v>
      </c>
      <c r="E123" s="11">
        <v>0.16604569307523576</v>
      </c>
      <c r="F123" s="11">
        <v>5.2205618624787883E-2</v>
      </c>
      <c r="G123" s="11">
        <v>0.15883693997252654</v>
      </c>
      <c r="H123" s="11">
        <v>0.21259047091048644</v>
      </c>
      <c r="I123" s="11">
        <v>5.4849444149022472E-2</v>
      </c>
      <c r="J123" s="11">
        <v>1.3792568887659681E-5</v>
      </c>
      <c r="K123" s="11">
        <v>1.708934194196458E-2</v>
      </c>
      <c r="L123" s="11">
        <v>0.13666644546372272</v>
      </c>
      <c r="M123" s="11">
        <v>0.97227391913232009</v>
      </c>
    </row>
    <row r="124" spans="1:13" x14ac:dyDescent="0.3">
      <c r="A124" s="13">
        <v>42650</v>
      </c>
      <c r="B124" s="11">
        <v>9.5638767472968636E-2</v>
      </c>
      <c r="C124" s="11">
        <v>8.7170619018216156E-2</v>
      </c>
      <c r="D124" s="11">
        <v>2.1438233576216621E-2</v>
      </c>
      <c r="E124" s="11">
        <v>0.17104637159489766</v>
      </c>
      <c r="F124" s="11">
        <v>5.3332032984582597E-2</v>
      </c>
      <c r="G124" s="11">
        <v>0.14689750627146636</v>
      </c>
      <c r="H124" s="11">
        <v>0.21146246452936637</v>
      </c>
      <c r="I124" s="11">
        <v>6.3140330799201796E-2</v>
      </c>
      <c r="J124" s="11">
        <v>1.8303547267175215E-5</v>
      </c>
      <c r="K124" s="11">
        <v>1.0663466425644532E-2</v>
      </c>
      <c r="L124" s="11">
        <v>0.13919190378017207</v>
      </c>
      <c r="M124" s="11">
        <v>0.97065455585641225</v>
      </c>
    </row>
    <row r="125" spans="1:13" x14ac:dyDescent="0.3">
      <c r="A125" s="13">
        <v>42657</v>
      </c>
      <c r="B125" s="11">
        <v>8.5835067019342348E-2</v>
      </c>
      <c r="C125" s="11">
        <v>6.1134113199926718E-2</v>
      </c>
      <c r="D125" s="11">
        <v>3.5568979736814998E-2</v>
      </c>
      <c r="E125" s="11">
        <v>0.19054135031686739</v>
      </c>
      <c r="F125" s="11">
        <v>7.363469415529908E-2</v>
      </c>
      <c r="G125" s="11">
        <v>0.12854081966359465</v>
      </c>
      <c r="H125" s="11">
        <v>0.21334783004286373</v>
      </c>
      <c r="I125" s="11">
        <v>6.3334173176883807E-2</v>
      </c>
      <c r="J125" s="11">
        <v>4.5339557060826562E-6</v>
      </c>
      <c r="K125" s="11">
        <v>1.4505348118812125E-3</v>
      </c>
      <c r="L125" s="11">
        <v>0.14660790392081999</v>
      </c>
      <c r="M125" s="11">
        <v>0.9707871465868162</v>
      </c>
    </row>
    <row r="126" spans="1:13" x14ac:dyDescent="0.3">
      <c r="A126" s="13">
        <v>42664</v>
      </c>
      <c r="B126" s="11">
        <v>0.1028175722207383</v>
      </c>
      <c r="C126" s="11">
        <v>8.1592507107070888E-2</v>
      </c>
      <c r="D126" s="11">
        <v>1.0615537694924488E-4</v>
      </c>
      <c r="E126" s="11">
        <v>0.18062767796558932</v>
      </c>
      <c r="F126" s="11">
        <v>5.6616868709171507E-2</v>
      </c>
      <c r="G126" s="11">
        <v>0.14695838293670394</v>
      </c>
      <c r="H126" s="11">
        <v>0.22691282991849854</v>
      </c>
      <c r="I126" s="11">
        <v>5.55645663831629E-2</v>
      </c>
      <c r="J126" s="11">
        <v>5.215541669591713E-7</v>
      </c>
      <c r="K126" s="11">
        <v>9.1386466097188035E-3</v>
      </c>
      <c r="L126" s="11">
        <v>0.13966427121822958</v>
      </c>
      <c r="M126" s="11">
        <v>0.97636991532865303</v>
      </c>
    </row>
    <row r="127" spans="1:13" x14ac:dyDescent="0.3">
      <c r="A127" s="13">
        <v>42670</v>
      </c>
      <c r="B127" s="11">
        <v>0.10739373606230367</v>
      </c>
      <c r="C127" s="11">
        <v>6.459969984864436E-2</v>
      </c>
      <c r="D127" s="11">
        <v>8.8416938301160363E-5</v>
      </c>
      <c r="E127" s="11">
        <v>0.17889610262690703</v>
      </c>
      <c r="F127" s="11">
        <v>8.6031638425120099E-2</v>
      </c>
      <c r="G127" s="11">
        <v>0.18025840062238385</v>
      </c>
      <c r="H127" s="11">
        <v>0.20730479534374432</v>
      </c>
      <c r="I127" s="11">
        <v>4.4427372780330987E-2</v>
      </c>
      <c r="J127" s="11">
        <v>1.6400501248590851E-5</v>
      </c>
      <c r="K127" s="11">
        <v>1.0775701268756056E-2</v>
      </c>
      <c r="L127" s="11">
        <v>0.12020773558225996</v>
      </c>
      <c r="M127" s="11">
        <v>0.97372961154119342</v>
      </c>
    </row>
    <row r="128" spans="1:13" x14ac:dyDescent="0.3">
      <c r="A128" s="13">
        <v>42678</v>
      </c>
      <c r="B128" s="11">
        <v>0.10363331847425973</v>
      </c>
      <c r="C128" s="11">
        <v>7.0677214746940054E-2</v>
      </c>
      <c r="D128" s="11">
        <v>8.6747972433843493E-5</v>
      </c>
      <c r="E128" s="11">
        <v>0.1714795485206769</v>
      </c>
      <c r="F128" s="11">
        <v>8.7187302019087434E-2</v>
      </c>
      <c r="G128" s="11">
        <v>0.18436419495898945</v>
      </c>
      <c r="H128" s="11">
        <v>0.20919985710424807</v>
      </c>
      <c r="I128" s="11">
        <v>4.5707400336590008E-2</v>
      </c>
      <c r="J128" s="11">
        <v>1.4975521771549227E-5</v>
      </c>
      <c r="K128" s="11">
        <v>8.4807375413577836E-3</v>
      </c>
      <c r="L128" s="11">
        <v>0.11916870280364525</v>
      </c>
      <c r="M128" s="11">
        <v>0.97383637120024225</v>
      </c>
    </row>
    <row r="129" spans="1:13" x14ac:dyDescent="0.3">
      <c r="A129" s="13">
        <v>42685</v>
      </c>
      <c r="B129" s="11">
        <v>0.10140854931912792</v>
      </c>
      <c r="C129" s="11">
        <v>8.4451277341742764E-2</v>
      </c>
      <c r="D129" s="11">
        <v>9.1871897026794101E-5</v>
      </c>
      <c r="E129" s="11">
        <v>0.15357393466504712</v>
      </c>
      <c r="F129" s="11">
        <v>8.9002318973093797E-2</v>
      </c>
      <c r="G129" s="11">
        <v>0.16992061404655398</v>
      </c>
      <c r="H129" s="11">
        <v>0.21313172840504285</v>
      </c>
      <c r="I129" s="11">
        <v>6.4467778141590659E-2</v>
      </c>
      <c r="J129" s="11">
        <v>7.9415569713816817E-6</v>
      </c>
      <c r="K129" s="11">
        <v>1.7225911175398145E-5</v>
      </c>
      <c r="L129" s="11">
        <v>0.12392675974262728</v>
      </c>
      <c r="M129" s="11">
        <v>0.97431044698264291</v>
      </c>
    </row>
    <row r="130" spans="1:13" x14ac:dyDescent="0.3">
      <c r="A130" s="13">
        <v>42692</v>
      </c>
      <c r="B130" s="11">
        <v>9.3649552690775448E-2</v>
      </c>
      <c r="C130" s="11">
        <v>9.4601742415618015E-2</v>
      </c>
      <c r="D130" s="11">
        <v>4.6351617213674673E-2</v>
      </c>
      <c r="E130" s="11">
        <v>0.18904578106142594</v>
      </c>
      <c r="F130" s="11">
        <v>5.212764169796745E-2</v>
      </c>
      <c r="G130" s="11">
        <v>0.18574130382293028</v>
      </c>
      <c r="H130" s="11">
        <v>0.17281911570483693</v>
      </c>
      <c r="I130" s="11">
        <v>2.3692741754386872E-2</v>
      </c>
      <c r="J130" s="11">
        <v>3.8213573733601534E-2</v>
      </c>
      <c r="K130" s="11">
        <v>2.8268134837821736E-5</v>
      </c>
      <c r="L130" s="11">
        <v>0.10372866176994509</v>
      </c>
      <c r="M130" s="11">
        <v>0.97551592943327325</v>
      </c>
    </row>
    <row r="131" spans="1:13" x14ac:dyDescent="0.3">
      <c r="A131" s="13">
        <v>42699</v>
      </c>
      <c r="B131" s="11">
        <v>8.7721174781402761E-2</v>
      </c>
      <c r="C131" s="11">
        <v>7.8847673618332795E-2</v>
      </c>
      <c r="D131" s="11">
        <v>4.704923654191176E-2</v>
      </c>
      <c r="E131" s="11">
        <v>0.19797767554850762</v>
      </c>
      <c r="F131" s="11">
        <v>5.1122057274305285E-2</v>
      </c>
      <c r="G131" s="11">
        <v>0.18424115244768186</v>
      </c>
      <c r="H131" s="11">
        <v>0.17188662040961766</v>
      </c>
      <c r="I131" s="11">
        <v>1.6863823406870468E-2</v>
      </c>
      <c r="J131" s="11">
        <v>6.9158293163943743E-2</v>
      </c>
      <c r="K131" s="11">
        <v>3.4761785419223035E-5</v>
      </c>
      <c r="L131" s="11">
        <v>9.5097531022006854E-2</v>
      </c>
      <c r="M131" s="11">
        <v>0.97332594893607316</v>
      </c>
    </row>
    <row r="132" spans="1:13" x14ac:dyDescent="0.3">
      <c r="A132" s="13">
        <v>42706</v>
      </c>
      <c r="B132" s="11">
        <v>0.11450044859730903</v>
      </c>
      <c r="C132" s="11">
        <v>0.12277587295071193</v>
      </c>
      <c r="D132" s="11">
        <v>7.9716419571936856E-2</v>
      </c>
      <c r="E132" s="11">
        <v>0.12369011402087821</v>
      </c>
      <c r="F132" s="11">
        <v>4.8899075883638253E-2</v>
      </c>
      <c r="G132" s="11">
        <v>0.18662248057080946</v>
      </c>
      <c r="H132" s="11">
        <v>0.15936779789102939</v>
      </c>
      <c r="I132" s="11">
        <v>1.7697758410026607E-2</v>
      </c>
      <c r="J132" s="11">
        <v>2.6107833534067874E-2</v>
      </c>
      <c r="K132" s="11">
        <v>2.2214798359466506E-5</v>
      </c>
      <c r="L132" s="11">
        <v>0.12059998377123288</v>
      </c>
      <c r="M132" s="11">
        <v>0.97026081065366865</v>
      </c>
    </row>
    <row r="133" spans="1:13" x14ac:dyDescent="0.3">
      <c r="A133" s="13">
        <v>42713</v>
      </c>
      <c r="B133" s="11">
        <v>0.12661502131746835</v>
      </c>
      <c r="C133" s="11">
        <v>0.11324019663029013</v>
      </c>
      <c r="D133" s="11">
        <v>3.3907125565524887E-2</v>
      </c>
      <c r="E133" s="11">
        <v>0.12039191068546687</v>
      </c>
      <c r="F133" s="11">
        <v>8.6353993823395855E-2</v>
      </c>
      <c r="G133" s="11">
        <v>0.19261677328791074</v>
      </c>
      <c r="H133" s="11">
        <v>0.14986492354535716</v>
      </c>
      <c r="I133" s="11">
        <v>1.8289745058181848E-2</v>
      </c>
      <c r="J133" s="11">
        <v>3.1015748268637545E-2</v>
      </c>
      <c r="K133" s="11">
        <v>8.4358644795119886E-6</v>
      </c>
      <c r="L133" s="11">
        <v>0.12769612595328711</v>
      </c>
      <c r="M133" s="11">
        <v>0.96732837123482396</v>
      </c>
    </row>
    <row r="134" spans="1:13" x14ac:dyDescent="0.3">
      <c r="A134" s="13">
        <v>42720</v>
      </c>
      <c r="B134" s="11">
        <v>0.12626295168454094</v>
      </c>
      <c r="C134" s="11">
        <v>0.11336245661669873</v>
      </c>
      <c r="D134" s="11">
        <v>3.0072172218193811E-2</v>
      </c>
      <c r="E134" s="11">
        <v>0.11447348557011278</v>
      </c>
      <c r="F134" s="11">
        <v>9.1953268697293922E-2</v>
      </c>
      <c r="G134" s="11">
        <v>0.18577201609281613</v>
      </c>
      <c r="H134" s="11">
        <v>0.15408845037597935</v>
      </c>
      <c r="I134" s="11">
        <v>2.3735603922259377E-2</v>
      </c>
      <c r="J134" s="11">
        <v>3.1610581692009712E-2</v>
      </c>
      <c r="K134" s="11">
        <v>7.9373348386688568E-6</v>
      </c>
      <c r="L134" s="11">
        <v>0.12866107579525657</v>
      </c>
      <c r="M134" s="11">
        <v>0.96773743435134407</v>
      </c>
    </row>
    <row r="135" spans="1:13" x14ac:dyDescent="0.3">
      <c r="A135" s="13">
        <v>42727</v>
      </c>
      <c r="B135" s="11">
        <v>0.18857611781590206</v>
      </c>
      <c r="C135" s="11">
        <v>9.9229815651590822E-2</v>
      </c>
      <c r="D135" s="11">
        <v>3.2890031995178037E-5</v>
      </c>
      <c r="E135" s="11">
        <v>8.2418050867798825E-2</v>
      </c>
      <c r="F135" s="11">
        <v>0.10686281932799099</v>
      </c>
      <c r="G135" s="11">
        <v>0.14994041170396732</v>
      </c>
      <c r="H135" s="11">
        <v>0.17490448198869318</v>
      </c>
      <c r="I135" s="11">
        <v>4.8885710438678127E-2</v>
      </c>
      <c r="J135" s="11">
        <v>1.0190676612895045E-2</v>
      </c>
      <c r="K135" s="11">
        <v>4.3946586063517089E-5</v>
      </c>
      <c r="L135" s="11">
        <v>0.13891507897442498</v>
      </c>
      <c r="M135" s="11">
        <v>0.95346489396907219</v>
      </c>
    </row>
    <row r="136" spans="1:13" x14ac:dyDescent="0.3">
      <c r="A136" s="13">
        <v>42734</v>
      </c>
      <c r="B136" s="11">
        <v>0.21390495146894503</v>
      </c>
      <c r="C136" s="11">
        <v>0.13957402792751916</v>
      </c>
      <c r="D136" s="11">
        <v>9.0512552211075711E-5</v>
      </c>
      <c r="E136" s="11">
        <v>9.5395992262833462E-2</v>
      </c>
      <c r="F136" s="11">
        <v>7.2430038465513519E-2</v>
      </c>
      <c r="G136" s="11">
        <v>0.14782640539473826</v>
      </c>
      <c r="H136" s="11">
        <v>0.16902459176151821</v>
      </c>
      <c r="I136" s="11">
        <v>1.1751966423069658E-2</v>
      </c>
      <c r="J136" s="11">
        <v>4.8880670824246486E-6</v>
      </c>
      <c r="K136" s="11">
        <v>2.1005552729375974E-5</v>
      </c>
      <c r="L136" s="11">
        <v>0.1499756201238398</v>
      </c>
      <c r="M136" s="11">
        <v>0.9510499632080831</v>
      </c>
    </row>
    <row r="137" spans="1:13" x14ac:dyDescent="0.3">
      <c r="A137" s="13">
        <v>42741</v>
      </c>
      <c r="B137" s="11">
        <v>0.24867059878235348</v>
      </c>
      <c r="C137" s="11">
        <v>0.14674898685890417</v>
      </c>
      <c r="D137" s="11">
        <v>6.5846864006372557E-5</v>
      </c>
      <c r="E137" s="11">
        <v>6.5742113454341347E-2</v>
      </c>
      <c r="F137" s="11">
        <v>4.8337355151116645E-2</v>
      </c>
      <c r="G137" s="11">
        <v>0.13794089143717286</v>
      </c>
      <c r="H137" s="11">
        <v>0.18587315887754155</v>
      </c>
      <c r="I137" s="11">
        <v>3.4221868646847974E-2</v>
      </c>
      <c r="J137" s="11">
        <v>5.1174163118352845E-5</v>
      </c>
      <c r="K137" s="11">
        <v>1.2657976772586916E-2</v>
      </c>
      <c r="L137" s="11">
        <v>0.11969002899201028</v>
      </c>
      <c r="M137" s="11">
        <v>0.95669005140772456</v>
      </c>
    </row>
    <row r="138" spans="1:13" x14ac:dyDescent="0.3">
      <c r="A138" s="13">
        <v>42748</v>
      </c>
      <c r="B138" s="11">
        <v>0.25573437847942876</v>
      </c>
      <c r="C138" s="11">
        <v>0.17393650443795203</v>
      </c>
      <c r="D138" s="11">
        <v>8.120410085460504E-5</v>
      </c>
      <c r="E138" s="11">
        <v>4.662339680436027E-2</v>
      </c>
      <c r="F138" s="11">
        <v>5.6849662956450026E-2</v>
      </c>
      <c r="G138" s="11">
        <v>0.12626425761140292</v>
      </c>
      <c r="H138" s="11">
        <v>0.19122885923888441</v>
      </c>
      <c r="I138" s="11">
        <v>3.4064140158243966E-2</v>
      </c>
      <c r="J138" s="11">
        <v>2.6272548940888305E-5</v>
      </c>
      <c r="K138" s="11">
        <v>4.9516298440419083E-3</v>
      </c>
      <c r="L138" s="11">
        <v>0.11023969381944022</v>
      </c>
      <c r="M138" s="11">
        <v>0.9561172523722673</v>
      </c>
    </row>
    <row r="139" spans="1:13" x14ac:dyDescent="0.3">
      <c r="A139" s="13">
        <v>42755</v>
      </c>
      <c r="B139" s="11">
        <v>0.26056760245481941</v>
      </c>
      <c r="C139" s="11">
        <v>0.18136674194396599</v>
      </c>
      <c r="D139" s="11">
        <v>1.3062988796285551E-2</v>
      </c>
      <c r="E139" s="11">
        <v>3.828355575245939E-2</v>
      </c>
      <c r="F139" s="11">
        <v>6.8006095709526274E-2</v>
      </c>
      <c r="G139" s="11">
        <v>0.14728497658856393</v>
      </c>
      <c r="H139" s="11">
        <v>0.16137655616978624</v>
      </c>
      <c r="I139" s="11">
        <v>2.6214286510563997E-2</v>
      </c>
      <c r="J139" s="11">
        <v>1.0858220401067304E-5</v>
      </c>
      <c r="K139" s="11">
        <v>1.4995428362565408E-3</v>
      </c>
      <c r="L139" s="11">
        <v>0.10232679501737167</v>
      </c>
      <c r="M139" s="11">
        <v>0.96024077297365096</v>
      </c>
    </row>
    <row r="140" spans="1:13" x14ac:dyDescent="0.3">
      <c r="A140" s="13">
        <v>42762</v>
      </c>
      <c r="B140" s="11">
        <v>0.26456689845723241</v>
      </c>
      <c r="C140" s="11">
        <v>0.19252860453552023</v>
      </c>
      <c r="D140" s="11">
        <v>4.5623553883306293E-2</v>
      </c>
      <c r="E140" s="11">
        <v>1.3843394719188549E-2</v>
      </c>
      <c r="F140" s="11">
        <v>6.3711596072963006E-2</v>
      </c>
      <c r="G140" s="11">
        <v>0.14252948632027759</v>
      </c>
      <c r="H140" s="11">
        <v>0.14444338884283114</v>
      </c>
      <c r="I140" s="11">
        <v>3.363981154825995E-2</v>
      </c>
      <c r="J140" s="11">
        <v>4.9834232824355929E-5</v>
      </c>
      <c r="K140" s="11">
        <v>4.6527647888355985E-5</v>
      </c>
      <c r="L140" s="11">
        <v>9.9016903739708076E-2</v>
      </c>
      <c r="M140" s="11">
        <v>0.96118035248810241</v>
      </c>
    </row>
    <row r="141" spans="1:13" x14ac:dyDescent="0.3">
      <c r="A141" s="13">
        <v>42768</v>
      </c>
      <c r="B141" s="11">
        <v>0.28215949003619906</v>
      </c>
      <c r="C141" s="11">
        <v>0.19522645986941736</v>
      </c>
      <c r="D141" s="11">
        <v>1.3921179820311219E-2</v>
      </c>
      <c r="E141" s="11">
        <v>1.7078713780402502E-2</v>
      </c>
      <c r="F141" s="11">
        <v>7.5173807067145035E-2</v>
      </c>
      <c r="G141" s="11">
        <v>0.17339616492238574</v>
      </c>
      <c r="H141" s="11">
        <v>0.12759353488878311</v>
      </c>
      <c r="I141" s="11">
        <v>1.7211197960919966E-2</v>
      </c>
      <c r="J141" s="11">
        <v>7.5445729180176303E-5</v>
      </c>
      <c r="K141" s="11">
        <v>9.9482099801059859E-6</v>
      </c>
      <c r="L141" s="11">
        <v>9.8154057715275689E-2</v>
      </c>
      <c r="M141" s="11">
        <v>0.96341728394852666</v>
      </c>
    </row>
    <row r="142" spans="1:13" x14ac:dyDescent="0.3">
      <c r="A142" s="13">
        <v>42776</v>
      </c>
      <c r="B142" s="11">
        <v>0.28045817430006287</v>
      </c>
      <c r="C142" s="11">
        <v>0.17341148965783471</v>
      </c>
      <c r="D142" s="11">
        <v>8.5788461370703007E-5</v>
      </c>
      <c r="E142" s="11">
        <v>4.0136173366879579E-2</v>
      </c>
      <c r="F142" s="11">
        <v>7.1633634870730781E-2</v>
      </c>
      <c r="G142" s="11">
        <v>0.17064874443650732</v>
      </c>
      <c r="H142" s="11">
        <v>0.15189635824995404</v>
      </c>
      <c r="I142" s="11">
        <v>1.6319454264517804E-2</v>
      </c>
      <c r="J142" s="11">
        <v>3.5793109923235893E-5</v>
      </c>
      <c r="K142" s="11">
        <v>2.2239709703928307E-5</v>
      </c>
      <c r="L142" s="11">
        <v>9.5352149572514949E-2</v>
      </c>
      <c r="M142" s="11">
        <v>0.95820331284786009</v>
      </c>
    </row>
    <row r="143" spans="1:13" x14ac:dyDescent="0.3">
      <c r="A143" s="13">
        <v>42783</v>
      </c>
      <c r="B143" s="11">
        <v>0.27856695248373547</v>
      </c>
      <c r="C143" s="11">
        <v>0.14955681546143362</v>
      </c>
      <c r="D143" s="11">
        <v>5.3357146601038659E-5</v>
      </c>
      <c r="E143" s="11">
        <v>7.9528385890436329E-2</v>
      </c>
      <c r="F143" s="11">
        <v>7.5982662883794502E-2</v>
      </c>
      <c r="G143" s="11">
        <v>0.14959923280155452</v>
      </c>
      <c r="H143" s="11">
        <v>0.1373996810836916</v>
      </c>
      <c r="I143" s="11">
        <v>2.29155439001314E-2</v>
      </c>
      <c r="J143" s="11">
        <v>1.8862744828695875E-5</v>
      </c>
      <c r="K143" s="11">
        <v>4.9553377329612592E-3</v>
      </c>
      <c r="L143" s="11">
        <v>0.10142316787083154</v>
      </c>
      <c r="M143" s="11">
        <v>0.95302427164831149</v>
      </c>
    </row>
    <row r="144" spans="1:13" x14ac:dyDescent="0.3">
      <c r="A144" s="13">
        <v>42793.5</v>
      </c>
      <c r="B144" s="11">
        <v>0.28852191831354945</v>
      </c>
      <c r="C144" s="11">
        <v>0.16366483612873059</v>
      </c>
      <c r="D144" s="11">
        <v>9.6430967648208306E-6</v>
      </c>
      <c r="E144" s="11">
        <v>9.154008201043809E-2</v>
      </c>
      <c r="F144" s="11">
        <v>6.5714943416851315E-2</v>
      </c>
      <c r="G144" s="11">
        <v>0.1610119425586525</v>
      </c>
      <c r="H144" s="11">
        <v>0.12434877721631118</v>
      </c>
      <c r="I144" s="11">
        <v>4.1184710995899468E-3</v>
      </c>
      <c r="J144" s="11">
        <v>7.4499648879569152E-6</v>
      </c>
      <c r="K144" s="11">
        <v>8.9417358399052787E-5</v>
      </c>
      <c r="L144" s="11">
        <v>0.10097251883582506</v>
      </c>
      <c r="M144" s="11">
        <v>0.95320015054936191</v>
      </c>
    </row>
    <row r="145" spans="1:13" x14ac:dyDescent="0.3">
      <c r="A145" s="13">
        <v>42800.5</v>
      </c>
      <c r="B145" s="11">
        <v>0.28490043309732321</v>
      </c>
      <c r="C145" s="11">
        <v>0.1404374757798067</v>
      </c>
      <c r="D145" s="11">
        <v>3.6152874321938256E-5</v>
      </c>
      <c r="E145" s="11">
        <v>0.11815666224642986</v>
      </c>
      <c r="F145" s="11">
        <v>5.1362457271931186E-2</v>
      </c>
      <c r="G145" s="11">
        <v>0.17520976029698798</v>
      </c>
      <c r="H145" s="11">
        <v>0.10847729173293497</v>
      </c>
      <c r="I145" s="11">
        <v>1.2155131420597832E-2</v>
      </c>
      <c r="J145" s="11">
        <v>2.6485679701812027E-5</v>
      </c>
      <c r="K145" s="11">
        <v>8.5249762533922923E-5</v>
      </c>
      <c r="L145" s="11">
        <v>0.10915289983743073</v>
      </c>
      <c r="M145" s="11">
        <v>0.94742898130673048</v>
      </c>
    </row>
    <row r="146" spans="1:13" x14ac:dyDescent="0.3">
      <c r="A146" s="13">
        <v>42807.5</v>
      </c>
      <c r="B146" s="11">
        <v>0.28382556515805579</v>
      </c>
      <c r="C146" s="11">
        <v>0.14319724100996295</v>
      </c>
      <c r="D146" s="11">
        <v>4.5320916776577299E-6</v>
      </c>
      <c r="E146" s="11">
        <v>0.11086551860366299</v>
      </c>
      <c r="F146" s="11">
        <v>3.2786541635265225E-2</v>
      </c>
      <c r="G146" s="11">
        <v>0.15465781681314902</v>
      </c>
      <c r="H146" s="11">
        <v>0.14326577516520433</v>
      </c>
      <c r="I146" s="11">
        <v>2.7772614911931892E-2</v>
      </c>
      <c r="J146" s="11">
        <v>7.2955288386794465E-7</v>
      </c>
      <c r="K146" s="11">
        <v>1.7090056552469324E-4</v>
      </c>
      <c r="L146" s="11">
        <v>0.10345276449268162</v>
      </c>
      <c r="M146" s="11">
        <v>0.94547448765021169</v>
      </c>
    </row>
    <row r="147" spans="1:13" x14ac:dyDescent="0.3">
      <c r="A147" s="13">
        <v>42814.5</v>
      </c>
      <c r="B147" s="11">
        <v>0.28278270862562221</v>
      </c>
      <c r="C147" s="11">
        <v>0.13665012167835455</v>
      </c>
      <c r="D147" s="11">
        <v>5.1232480466070528E-5</v>
      </c>
      <c r="E147" s="11">
        <v>0.10614629198393723</v>
      </c>
      <c r="F147" s="11">
        <v>3.3976123388383447E-2</v>
      </c>
      <c r="G147" s="11">
        <v>0.17045292725591585</v>
      </c>
      <c r="H147" s="11">
        <v>0.13169220689293429</v>
      </c>
      <c r="I147" s="11">
        <v>3.6414514687304042E-2</v>
      </c>
      <c r="J147" s="11">
        <v>1.2116534820004349E-5</v>
      </c>
      <c r="K147" s="11">
        <v>9.0255227185793204E-5</v>
      </c>
      <c r="L147" s="11">
        <v>0.10173150124507661</v>
      </c>
      <c r="M147" s="11">
        <v>0.94645227464631299</v>
      </c>
    </row>
    <row r="148" spans="1:13" x14ac:dyDescent="0.3">
      <c r="A148" s="13">
        <v>42821.5</v>
      </c>
      <c r="B148" s="11">
        <v>0.29187694458704561</v>
      </c>
      <c r="C148" s="11">
        <v>0.13988363989072117</v>
      </c>
      <c r="D148" s="11">
        <v>2.893248326594967E-2</v>
      </c>
      <c r="E148" s="11">
        <v>0.11328877674484449</v>
      </c>
      <c r="F148" s="11">
        <v>2.8138996626765209E-2</v>
      </c>
      <c r="G148" s="11">
        <v>0.14368601694306068</v>
      </c>
      <c r="H148" s="11">
        <v>0.12246790283379691</v>
      </c>
      <c r="I148" s="11">
        <v>3.4212838814554968E-2</v>
      </c>
      <c r="J148" s="11">
        <v>1.3746309166800778E-5</v>
      </c>
      <c r="K148" s="11">
        <v>8.6208211427423677E-5</v>
      </c>
      <c r="L148" s="11">
        <v>9.7412445772667056E-2</v>
      </c>
      <c r="M148" s="11">
        <v>0.9460174819539714</v>
      </c>
    </row>
    <row r="149" spans="1:13" x14ac:dyDescent="0.3">
      <c r="A149" s="13">
        <v>42828.5</v>
      </c>
      <c r="B149" s="11">
        <v>0.3066817758725916</v>
      </c>
      <c r="C149" s="11">
        <v>0.15733618058001594</v>
      </c>
      <c r="D149" s="11">
        <v>5.9118558885001807E-5</v>
      </c>
      <c r="E149" s="11">
        <v>0.11456062119547364</v>
      </c>
      <c r="F149" s="11">
        <v>4.7749341851571883E-2</v>
      </c>
      <c r="G149" s="11">
        <v>0.15306657447414099</v>
      </c>
      <c r="H149" s="11">
        <v>9.9429847282391223E-2</v>
      </c>
      <c r="I149" s="11">
        <v>3.3084971611728388E-2</v>
      </c>
      <c r="J149" s="11">
        <v>1.2081809365937127E-5</v>
      </c>
      <c r="K149" s="11">
        <v>7.0451592158129479E-3</v>
      </c>
      <c r="L149" s="11">
        <v>8.0974327548022473E-2</v>
      </c>
      <c r="M149" s="11">
        <v>0.95278902258081788</v>
      </c>
    </row>
    <row r="150" spans="1:13" x14ac:dyDescent="0.3">
      <c r="A150" s="13">
        <v>42835.5</v>
      </c>
      <c r="B150" s="11">
        <v>0.31276527779090924</v>
      </c>
      <c r="C150" s="11">
        <v>0.16962937921846949</v>
      </c>
      <c r="D150" s="11">
        <v>8.2306272919395492E-5</v>
      </c>
      <c r="E150" s="11">
        <v>0.10711088608627305</v>
      </c>
      <c r="F150" s="11">
        <v>3.1900015719122828E-2</v>
      </c>
      <c r="G150" s="11">
        <v>0.13979238429689222</v>
      </c>
      <c r="H150" s="11">
        <v>0.10050241558704605</v>
      </c>
      <c r="I150" s="11">
        <v>3.0070098832168407E-2</v>
      </c>
      <c r="J150" s="11">
        <v>2.1813384106379372E-5</v>
      </c>
      <c r="K150" s="11">
        <v>3.05892510033021E-2</v>
      </c>
      <c r="L150" s="11">
        <v>7.7536171808790924E-2</v>
      </c>
      <c r="M150" s="11">
        <v>0.95577280347231874</v>
      </c>
    </row>
    <row r="151" spans="1:13" x14ac:dyDescent="0.3">
      <c r="A151" s="13">
        <v>42842.5</v>
      </c>
      <c r="B151" s="11">
        <v>0.3183183771048263</v>
      </c>
      <c r="C151" s="11">
        <v>0.16303083025063775</v>
      </c>
      <c r="D151" s="11">
        <v>4.7383749590417295E-5</v>
      </c>
      <c r="E151" s="11">
        <v>9.9923779500381713E-2</v>
      </c>
      <c r="F151" s="11">
        <v>5.2798528749059576E-2</v>
      </c>
      <c r="G151" s="11">
        <v>0.15767463245649854</v>
      </c>
      <c r="H151" s="11">
        <v>8.9011384101940899E-2</v>
      </c>
      <c r="I151" s="11">
        <v>5.2992502963575425E-2</v>
      </c>
      <c r="J151" s="11">
        <v>1.2138669698907725E-5</v>
      </c>
      <c r="K151" s="11">
        <v>6.562406605018274E-3</v>
      </c>
      <c r="L151" s="11">
        <v>5.9628035848772222E-2</v>
      </c>
      <c r="M151" s="11">
        <v>0.95705754352791106</v>
      </c>
    </row>
    <row r="152" spans="1:13" x14ac:dyDescent="0.3">
      <c r="A152" s="13">
        <v>42849.5</v>
      </c>
      <c r="B152" s="11">
        <v>0.31754193599749009</v>
      </c>
      <c r="C152" s="11">
        <v>0.16745075244656277</v>
      </c>
      <c r="D152" s="11">
        <v>8.0243350476721603E-5</v>
      </c>
      <c r="E152" s="11">
        <v>9.3869223233251198E-2</v>
      </c>
      <c r="F152" s="11">
        <v>4.7416346643231487E-2</v>
      </c>
      <c r="G152" s="11">
        <v>0.16548539480782332</v>
      </c>
      <c r="H152" s="11">
        <v>7.1807665474443685E-2</v>
      </c>
      <c r="I152" s="11">
        <v>5.385266168188841E-2</v>
      </c>
      <c r="J152" s="11">
        <v>3.0760659789542117E-5</v>
      </c>
      <c r="K152" s="11">
        <v>1.915897081201735E-2</v>
      </c>
      <c r="L152" s="11">
        <v>6.3306044893025451E-2</v>
      </c>
      <c r="M152" s="11">
        <v>0.95577657654273296</v>
      </c>
    </row>
    <row r="153" spans="1:13" x14ac:dyDescent="0.3">
      <c r="A153" s="13">
        <v>42856.5</v>
      </c>
      <c r="B153" s="11">
        <v>0.31717779079997105</v>
      </c>
      <c r="C153" s="11">
        <v>0.16133812941140038</v>
      </c>
      <c r="D153" s="11">
        <v>7.1387776199753058E-5</v>
      </c>
      <c r="E153" s="11">
        <v>9.112686052221676E-2</v>
      </c>
      <c r="F153" s="11">
        <v>5.0232519281784516E-2</v>
      </c>
      <c r="G153" s="11">
        <v>0.15478089974592035</v>
      </c>
      <c r="H153" s="11">
        <v>8.1634747354846535E-2</v>
      </c>
      <c r="I153" s="11">
        <v>6.0332812274641268E-2</v>
      </c>
      <c r="J153" s="11">
        <v>3.8317574867140645E-5</v>
      </c>
      <c r="K153" s="11">
        <v>2.0575531818737901E-2</v>
      </c>
      <c r="L153" s="11">
        <v>6.2691003439414444E-2</v>
      </c>
      <c r="M153" s="11">
        <v>0.95538127151290064</v>
      </c>
    </row>
    <row r="154" spans="1:13" x14ac:dyDescent="0.3">
      <c r="A154" s="13">
        <v>42863.5</v>
      </c>
      <c r="B154" s="11">
        <v>0.31265283297841201</v>
      </c>
      <c r="C154" s="11">
        <v>0.15368575003120416</v>
      </c>
      <c r="D154" s="11">
        <v>8.7258354932669122E-5</v>
      </c>
      <c r="E154" s="11">
        <v>8.8490630432836004E-2</v>
      </c>
      <c r="F154" s="11">
        <v>4.4479587976896294E-2</v>
      </c>
      <c r="G154" s="11">
        <v>0.15972312293998786</v>
      </c>
      <c r="H154" s="11">
        <v>6.7577140844790815E-2</v>
      </c>
      <c r="I154" s="11">
        <v>6.3487908986830377E-2</v>
      </c>
      <c r="J154" s="11">
        <v>4.6138806185205471E-5</v>
      </c>
      <c r="K154" s="11">
        <v>3.8423034292441385E-2</v>
      </c>
      <c r="L154" s="11">
        <v>7.1346594355483239E-2</v>
      </c>
      <c r="M154" s="11">
        <v>0.94468895112752449</v>
      </c>
    </row>
    <row r="155" spans="1:13" x14ac:dyDescent="0.3">
      <c r="A155" s="13">
        <v>42870.5</v>
      </c>
      <c r="B155" s="11">
        <v>0.31315227223253178</v>
      </c>
      <c r="C155" s="11">
        <v>0.10350575648756939</v>
      </c>
      <c r="D155" s="11">
        <v>6.6229075848248451E-5</v>
      </c>
      <c r="E155" s="11">
        <v>0.11370607837393128</v>
      </c>
      <c r="F155" s="11">
        <v>4.5623071893797641E-2</v>
      </c>
      <c r="G155" s="11">
        <v>0.17648888698116499</v>
      </c>
      <c r="H155" s="11">
        <v>6.6432368214643184E-2</v>
      </c>
      <c r="I155" s="11">
        <v>5.5533919602960162E-2</v>
      </c>
      <c r="J155" s="11">
        <v>7.0761214872533295E-5</v>
      </c>
      <c r="K155" s="11">
        <v>5.7620409027642025E-2</v>
      </c>
      <c r="L155" s="11">
        <v>6.7800246895038802E-2</v>
      </c>
      <c r="M155" s="11">
        <v>0.94178159997894439</v>
      </c>
    </row>
    <row r="156" spans="1:13" x14ac:dyDescent="0.3">
      <c r="A156" s="13">
        <v>42881</v>
      </c>
      <c r="B156" s="11">
        <v>0.3114338900863704</v>
      </c>
      <c r="C156" s="11">
        <v>0.10639146352820943</v>
      </c>
      <c r="D156" s="11">
        <v>7.8377954695591E-5</v>
      </c>
      <c r="E156" s="11">
        <v>0.1075088179125331</v>
      </c>
      <c r="F156" s="11">
        <v>4.7720450685182103E-2</v>
      </c>
      <c r="G156" s="11">
        <v>0.17525744330915352</v>
      </c>
      <c r="H156" s="11">
        <v>6.0414058119770901E-2</v>
      </c>
      <c r="I156" s="11">
        <v>6.0400520249393463E-2</v>
      </c>
      <c r="J156" s="11">
        <v>6.6996850528684801E-5</v>
      </c>
      <c r="K156" s="11">
        <v>6.0456733264152941E-2</v>
      </c>
      <c r="L156" s="11">
        <v>7.0271248040009851E-2</v>
      </c>
      <c r="M156" s="11">
        <v>0.94425022151946492</v>
      </c>
    </row>
    <row r="157" spans="1:13" x14ac:dyDescent="0.3">
      <c r="A157" s="13">
        <v>42888</v>
      </c>
      <c r="B157" s="11">
        <v>0.31398370443174001</v>
      </c>
      <c r="C157" s="11">
        <v>9.6579992205340026E-2</v>
      </c>
      <c r="D157" s="11">
        <v>7.5129995783619087E-5</v>
      </c>
      <c r="E157" s="11">
        <v>0.12359907288722692</v>
      </c>
      <c r="F157" s="11">
        <v>4.0763359974588867E-2</v>
      </c>
      <c r="G157" s="11">
        <v>0.17317289142487663</v>
      </c>
      <c r="H157" s="11">
        <v>8.277324424529614E-2</v>
      </c>
      <c r="I157" s="11">
        <v>4.7015624113587527E-2</v>
      </c>
      <c r="J157" s="11">
        <v>7.659794065360038E-5</v>
      </c>
      <c r="K157" s="11">
        <v>5.1337672956303662E-2</v>
      </c>
      <c r="L157" s="11">
        <v>7.0622709824602989E-2</v>
      </c>
      <c r="M157" s="11">
        <v>0.94245125470266189</v>
      </c>
    </row>
    <row r="158" spans="1:13" x14ac:dyDescent="0.3">
      <c r="A158" s="13">
        <v>42895</v>
      </c>
      <c r="B158" s="11">
        <v>0.31773243945689467</v>
      </c>
      <c r="C158" s="11">
        <v>9.2785897773055723E-2</v>
      </c>
      <c r="D158" s="11">
        <v>6.3664087871479413E-5</v>
      </c>
      <c r="E158" s="11">
        <v>0.12358393662526738</v>
      </c>
      <c r="F158" s="11">
        <v>4.5806819712264343E-2</v>
      </c>
      <c r="G158" s="11">
        <v>0.17438863642173155</v>
      </c>
      <c r="H158" s="11">
        <v>8.0092389739492648E-2</v>
      </c>
      <c r="I158" s="11">
        <v>4.490525438822883E-2</v>
      </c>
      <c r="J158" s="11">
        <v>8.312414658688205E-5</v>
      </c>
      <c r="K158" s="11">
        <v>4.354790085606778E-2</v>
      </c>
      <c r="L158" s="11">
        <v>7.7009936792538786E-2</v>
      </c>
      <c r="M158" s="11">
        <v>0.93981716718357344</v>
      </c>
    </row>
    <row r="159" spans="1:13" x14ac:dyDescent="0.3">
      <c r="A159" s="13">
        <v>42901.5</v>
      </c>
      <c r="B159" s="11">
        <v>0.31986684053905895</v>
      </c>
      <c r="C159" s="11">
        <v>9.1013953986181451E-2</v>
      </c>
      <c r="D159" s="11">
        <v>7.2329488509841823E-5</v>
      </c>
      <c r="E159" s="11">
        <v>0.13464425205607686</v>
      </c>
      <c r="F159" s="11">
        <v>4.0226586272792964E-2</v>
      </c>
      <c r="G159" s="11">
        <v>0.16825542809474106</v>
      </c>
      <c r="H159" s="11">
        <v>9.2835420258769702E-2</v>
      </c>
      <c r="I159" s="11">
        <v>3.9818229266903336E-2</v>
      </c>
      <c r="J159" s="11">
        <v>7.8915203209081465E-5</v>
      </c>
      <c r="K159" s="11">
        <v>4.3431692491505434E-2</v>
      </c>
      <c r="L159" s="11">
        <v>6.9756352342251346E-2</v>
      </c>
      <c r="M159" s="11">
        <v>0.94396657426034059</v>
      </c>
    </row>
    <row r="160" spans="1:13" x14ac:dyDescent="0.3">
      <c r="A160" s="13">
        <v>42909</v>
      </c>
      <c r="B160" s="11">
        <v>0.32673748648302914</v>
      </c>
      <c r="C160" s="11">
        <v>6.284787789492248E-2</v>
      </c>
      <c r="D160" s="11">
        <v>8.7492034574382923E-6</v>
      </c>
      <c r="E160" s="11">
        <v>0.14087975568532757</v>
      </c>
      <c r="F160" s="11">
        <v>3.6041066832679866E-2</v>
      </c>
      <c r="G160" s="11">
        <v>0.16725333093349601</v>
      </c>
      <c r="H160" s="11">
        <v>9.8959387507749449E-2</v>
      </c>
      <c r="I160" s="11">
        <v>4.115937859646069E-2</v>
      </c>
      <c r="J160" s="11">
        <v>3.6165188898595543E-4</v>
      </c>
      <c r="K160" s="11">
        <v>7.9545604093727088E-2</v>
      </c>
      <c r="L160" s="11">
        <v>4.6205710880164313E-2</v>
      </c>
      <c r="M160" s="11">
        <v>0.94504955125395929</v>
      </c>
    </row>
    <row r="161" spans="1:13" x14ac:dyDescent="0.3">
      <c r="A161" s="13">
        <v>42916</v>
      </c>
      <c r="B161" s="11">
        <v>0.32317118936225903</v>
      </c>
      <c r="C161" s="11">
        <v>6.7065300270860759E-2</v>
      </c>
      <c r="D161" s="11">
        <v>5.3737332400343035E-3</v>
      </c>
      <c r="E161" s="11">
        <v>0.1358888575593292</v>
      </c>
      <c r="F161" s="11">
        <v>3.9681506585171007E-2</v>
      </c>
      <c r="G161" s="11">
        <v>0.16744292119134624</v>
      </c>
      <c r="H161" s="11">
        <v>9.3908705644094453E-2</v>
      </c>
      <c r="I161" s="11">
        <v>4.583816037571109E-2</v>
      </c>
      <c r="J161" s="11">
        <v>8.6020482318546545E-5</v>
      </c>
      <c r="K161" s="11">
        <v>7.6073246872104386E-2</v>
      </c>
      <c r="L161" s="11">
        <v>4.5470358416771058E-2</v>
      </c>
      <c r="M161" s="11">
        <v>0.94622495373169191</v>
      </c>
    </row>
    <row r="162" spans="1:13" x14ac:dyDescent="0.3">
      <c r="A162" s="13">
        <v>42923</v>
      </c>
      <c r="B162" s="11">
        <v>0.31933035349923261</v>
      </c>
      <c r="C162" s="11">
        <v>6.4318510522390071E-2</v>
      </c>
      <c r="D162" s="11">
        <v>5.7471073459919291E-3</v>
      </c>
      <c r="E162" s="11">
        <v>0.13440301824550377</v>
      </c>
      <c r="F162" s="11">
        <v>5.5519018460329465E-2</v>
      </c>
      <c r="G162" s="11">
        <v>0.18973716886186312</v>
      </c>
      <c r="H162" s="11">
        <v>8.4024555541676343E-2</v>
      </c>
      <c r="I162" s="11">
        <v>4.4979913256173489E-2</v>
      </c>
      <c r="J162" s="11">
        <v>3.9521028299025453E-5</v>
      </c>
      <c r="K162" s="11">
        <v>5.6341636218722756E-2</v>
      </c>
      <c r="L162" s="11">
        <v>4.5559197019817352E-2</v>
      </c>
      <c r="M162" s="11">
        <v>0.94473698533755901</v>
      </c>
    </row>
    <row r="163" spans="1:13" x14ac:dyDescent="0.3">
      <c r="A163" s="13">
        <v>42930</v>
      </c>
      <c r="B163" s="11">
        <v>0.31673556811141035</v>
      </c>
      <c r="C163" s="11">
        <v>5.6408498464080116E-2</v>
      </c>
      <c r="D163" s="11">
        <v>4.7011922460002391E-3</v>
      </c>
      <c r="E163" s="11">
        <v>0.1438939052489942</v>
      </c>
      <c r="F163" s="11">
        <v>5.944448143932831E-2</v>
      </c>
      <c r="G163" s="11">
        <v>0.18683632626319946</v>
      </c>
      <c r="H163" s="11">
        <v>8.8610400451647711E-2</v>
      </c>
      <c r="I163" s="11">
        <v>4.0774261006246378E-2</v>
      </c>
      <c r="J163" s="11">
        <v>3.0220037601404539E-5</v>
      </c>
      <c r="K163" s="11">
        <v>5.2265240903306899E-2</v>
      </c>
      <c r="L163" s="11">
        <v>5.0299905828184929E-2</v>
      </c>
      <c r="M163" s="11">
        <v>0.94610646240242968</v>
      </c>
    </row>
    <row r="164" spans="1:13" x14ac:dyDescent="0.3">
      <c r="A164" s="13">
        <v>42937</v>
      </c>
      <c r="B164" s="11">
        <v>0.31464098749894459</v>
      </c>
      <c r="C164" s="11">
        <v>5.0760016370159672E-2</v>
      </c>
      <c r="D164" s="11">
        <v>1.609735845891587E-2</v>
      </c>
      <c r="E164" s="11">
        <v>0.15065498222333223</v>
      </c>
      <c r="F164" s="11">
        <v>4.8840927528490868E-2</v>
      </c>
      <c r="G164" s="11">
        <v>0.17485042800723322</v>
      </c>
      <c r="H164" s="11">
        <v>0.10364128187429116</v>
      </c>
      <c r="I164" s="11">
        <v>4.2163407814407819E-2</v>
      </c>
      <c r="J164" s="11">
        <v>8.6119450887575357E-5</v>
      </c>
      <c r="K164" s="11">
        <v>5.5189259462467312E-2</v>
      </c>
      <c r="L164" s="11">
        <v>4.3075231310869717E-2</v>
      </c>
      <c r="M164" s="11">
        <v>0.94371028727377804</v>
      </c>
    </row>
    <row r="165" spans="1:13" x14ac:dyDescent="0.3">
      <c r="A165" s="13">
        <v>42944</v>
      </c>
      <c r="B165" s="11">
        <v>0.32357559302743816</v>
      </c>
      <c r="C165" s="11">
        <v>6.8498899041187847E-2</v>
      </c>
      <c r="D165" s="11">
        <v>7.6959351768738778E-5</v>
      </c>
      <c r="E165" s="11">
        <v>0.13491504244535052</v>
      </c>
      <c r="F165" s="11">
        <v>4.1363127764439622E-2</v>
      </c>
      <c r="G165" s="11">
        <v>0.17821254938581688</v>
      </c>
      <c r="H165" s="11">
        <v>0.11997482842859991</v>
      </c>
      <c r="I165" s="11">
        <v>5.8209928368691793E-2</v>
      </c>
      <c r="J165" s="11">
        <v>6.9312055405135927E-5</v>
      </c>
      <c r="K165" s="11">
        <v>5.4375963804146235E-2</v>
      </c>
      <c r="L165" s="11">
        <v>2.0727796327155261E-2</v>
      </c>
      <c r="M165" s="11">
        <v>0.94931572795593067</v>
      </c>
    </row>
    <row r="166" spans="1:13" x14ac:dyDescent="0.3">
      <c r="A166" s="13">
        <v>42951</v>
      </c>
      <c r="B166" s="11">
        <v>0.32094396514862744</v>
      </c>
      <c r="C166" s="11">
        <v>7.1623536599304177E-2</v>
      </c>
      <c r="D166" s="11">
        <v>8.9927930599607351E-5</v>
      </c>
      <c r="E166" s="11">
        <v>0.11557060139329725</v>
      </c>
      <c r="F166" s="11">
        <v>3.2567760857638371E-2</v>
      </c>
      <c r="G166" s="11">
        <v>0.19400687854389947</v>
      </c>
      <c r="H166" s="11">
        <v>0.12051787624264144</v>
      </c>
      <c r="I166" s="11">
        <v>8.7618005288187015E-2</v>
      </c>
      <c r="J166" s="11">
        <v>4.840562427065517E-5</v>
      </c>
      <c r="K166" s="11">
        <v>4.9704097679552181E-2</v>
      </c>
      <c r="L166" s="11">
        <v>7.3089446919824682E-3</v>
      </c>
      <c r="M166" s="11">
        <v>0.94813420182613017</v>
      </c>
    </row>
    <row r="167" spans="1:13" x14ac:dyDescent="0.3">
      <c r="A167" s="13">
        <v>42958</v>
      </c>
      <c r="B167" s="11">
        <v>0.32116564166640788</v>
      </c>
      <c r="C167" s="11">
        <v>7.1829739264005266E-2</v>
      </c>
      <c r="D167" s="11">
        <v>7.428181411975016E-5</v>
      </c>
      <c r="E167" s="11">
        <v>0.11632249844592757</v>
      </c>
      <c r="F167" s="11">
        <v>3.1231920854007424E-2</v>
      </c>
      <c r="G167" s="11">
        <v>0.19314156119829057</v>
      </c>
      <c r="H167" s="11">
        <v>0.1224036827997136</v>
      </c>
      <c r="I167" s="11">
        <v>8.7247193964156297E-2</v>
      </c>
      <c r="J167" s="11">
        <v>4.8537213391126058E-5</v>
      </c>
      <c r="K167" s="11">
        <v>5.0469693854302201E-2</v>
      </c>
      <c r="L167" s="11">
        <v>6.0652489256783106E-3</v>
      </c>
      <c r="M167" s="11">
        <v>0.94846260141542771</v>
      </c>
    </row>
    <row r="168" spans="1:13" x14ac:dyDescent="0.3">
      <c r="A168" s="13">
        <v>42965</v>
      </c>
      <c r="B168" s="11">
        <v>0.3202215343033884</v>
      </c>
      <c r="C168" s="11">
        <v>3.023788781346376E-2</v>
      </c>
      <c r="D168" s="11">
        <v>5.2117311318993033E-6</v>
      </c>
      <c r="E168" s="11">
        <v>0.15402219210055904</v>
      </c>
      <c r="F168" s="11">
        <v>6.1494184506608922E-2</v>
      </c>
      <c r="G168" s="11">
        <v>0.17464693747638865</v>
      </c>
      <c r="H168" s="11">
        <v>0.10494981742201119</v>
      </c>
      <c r="I168" s="11">
        <v>3.398404434562291E-2</v>
      </c>
      <c r="J168" s="11">
        <v>6.6470770184453958E-4</v>
      </c>
      <c r="K168" s="11">
        <v>5.8812037394383197E-2</v>
      </c>
      <c r="L168" s="11">
        <v>6.0961445204597439E-2</v>
      </c>
      <c r="M168" s="11">
        <v>0.94127222926900544</v>
      </c>
    </row>
    <row r="169" spans="1:13" x14ac:dyDescent="0.3">
      <c r="A169" s="13">
        <v>42972</v>
      </c>
      <c r="B169" s="11">
        <v>0.3138933046539561</v>
      </c>
      <c r="C169" s="11">
        <v>3.8457793298291798E-2</v>
      </c>
      <c r="D169" s="11">
        <v>4.3810070085160849E-5</v>
      </c>
      <c r="E169" s="11">
        <v>0.16257358420104481</v>
      </c>
      <c r="F169" s="11">
        <v>3.37695824740235E-2</v>
      </c>
      <c r="G169" s="11">
        <v>0.15654797051813255</v>
      </c>
      <c r="H169" s="11">
        <v>0.11811214052498685</v>
      </c>
      <c r="I169" s="11">
        <v>2.189059294377238E-2</v>
      </c>
      <c r="J169" s="11">
        <v>1.2483295596730528E-2</v>
      </c>
      <c r="K169" s="11">
        <v>8.6793627423336808E-2</v>
      </c>
      <c r="L169" s="11">
        <v>5.5434298295639478E-2</v>
      </c>
      <c r="M169" s="11">
        <v>0.93599087589643792</v>
      </c>
    </row>
    <row r="170" spans="1:13" x14ac:dyDescent="0.3">
      <c r="A170" s="13">
        <v>42979</v>
      </c>
      <c r="B170" s="11">
        <v>0.30804477674763225</v>
      </c>
      <c r="C170" s="11">
        <v>3.4672263892467748E-4</v>
      </c>
      <c r="D170" s="11">
        <v>2.8205958602285798E-6</v>
      </c>
      <c r="E170" s="11">
        <v>0.16892451595152833</v>
      </c>
      <c r="F170" s="11">
        <v>4.2577234012659899E-2</v>
      </c>
      <c r="G170" s="11">
        <v>0.15681528446652626</v>
      </c>
      <c r="H170" s="11">
        <v>0.12532252376750136</v>
      </c>
      <c r="I170" s="11">
        <v>2.5609624818053067E-2</v>
      </c>
      <c r="J170" s="11">
        <v>2.5766695445367533E-5</v>
      </c>
      <c r="K170" s="11">
        <v>9.0693194991098708E-2</v>
      </c>
      <c r="L170" s="11">
        <v>8.1637535314769916E-2</v>
      </c>
      <c r="M170" s="11">
        <v>0.94005477986989561</v>
      </c>
    </row>
    <row r="171" spans="1:13" x14ac:dyDescent="0.3">
      <c r="A171" s="13">
        <v>42986</v>
      </c>
      <c r="B171" s="11">
        <v>0.30656072391885553</v>
      </c>
      <c r="C171" s="11">
        <v>9.0389247893351101E-5</v>
      </c>
      <c r="D171" s="11">
        <v>4.0842261361599082E-2</v>
      </c>
      <c r="E171" s="11">
        <v>0.14296929907573375</v>
      </c>
      <c r="F171" s="11">
        <v>5.9117911370134786E-2</v>
      </c>
      <c r="G171" s="11">
        <v>0.15223237937564901</v>
      </c>
      <c r="H171" s="11">
        <v>0.10771734035165237</v>
      </c>
      <c r="I171" s="11">
        <v>4.7604514894804155E-2</v>
      </c>
      <c r="J171" s="11">
        <v>1.0153275267357586E-5</v>
      </c>
      <c r="K171" s="11">
        <v>7.2187502828748237E-2</v>
      </c>
      <c r="L171" s="11">
        <v>7.0667524299662429E-2</v>
      </c>
      <c r="M171" s="11">
        <v>0.94070097359063831</v>
      </c>
    </row>
    <row r="172" spans="1:13" x14ac:dyDescent="0.3">
      <c r="A172" s="13">
        <v>42993</v>
      </c>
      <c r="B172" s="11">
        <v>0.26059552350345716</v>
      </c>
      <c r="C172" s="11">
        <v>1.2173694157415702E-5</v>
      </c>
      <c r="D172" s="11">
        <v>0.11407797895268625</v>
      </c>
      <c r="E172" s="11">
        <v>7.4988333096204937E-2</v>
      </c>
      <c r="F172" s="11">
        <v>5.122613619466862E-2</v>
      </c>
      <c r="G172" s="11">
        <v>0.15776065618515656</v>
      </c>
      <c r="H172" s="11">
        <v>1.352428257768608E-2</v>
      </c>
      <c r="I172" s="11">
        <v>0.14186335133466565</v>
      </c>
      <c r="J172" s="11">
        <v>7.0750309758068127E-6</v>
      </c>
      <c r="K172" s="11">
        <v>3.1041882156962013E-2</v>
      </c>
      <c r="L172" s="11">
        <v>0.15490260727337954</v>
      </c>
      <c r="M172" s="11">
        <v>0.91066281326570464</v>
      </c>
    </row>
    <row r="173" spans="1:13" x14ac:dyDescent="0.3">
      <c r="A173" s="13">
        <v>43000</v>
      </c>
      <c r="B173" s="11">
        <v>0.27769920481691307</v>
      </c>
      <c r="C173" s="11">
        <v>8.4181632156427586E-5</v>
      </c>
      <c r="D173" s="11">
        <v>0.11471162371020302</v>
      </c>
      <c r="E173" s="11">
        <v>7.5829983236112425E-2</v>
      </c>
      <c r="F173" s="11">
        <v>3.0326269798791553E-2</v>
      </c>
      <c r="G173" s="11">
        <v>0.14863149032038003</v>
      </c>
      <c r="H173" s="11">
        <v>6.4292723460521395E-2</v>
      </c>
      <c r="I173" s="11">
        <v>0.1641545208834293</v>
      </c>
      <c r="J173" s="11">
        <v>3.1058681938433463E-5</v>
      </c>
      <c r="K173" s="11">
        <v>3.017421524561998E-2</v>
      </c>
      <c r="L173" s="11">
        <v>9.4064728213934301E-2</v>
      </c>
      <c r="M173" s="11">
        <v>0.96034306503938627</v>
      </c>
    </row>
    <row r="174" spans="1:13" x14ac:dyDescent="0.3">
      <c r="A174" s="13">
        <v>43006</v>
      </c>
      <c r="B174" s="11">
        <v>0.2804552084399094</v>
      </c>
      <c r="C174" s="11">
        <v>1.5256756515578978E-6</v>
      </c>
      <c r="D174" s="11">
        <v>0.11453187340313113</v>
      </c>
      <c r="E174" s="11">
        <v>0.10573875649993007</v>
      </c>
      <c r="F174" s="11">
        <v>9.7657200578274263E-5</v>
      </c>
      <c r="G174" s="11">
        <v>0.13677864715412388</v>
      </c>
      <c r="H174" s="11">
        <v>0.11093009624277002</v>
      </c>
      <c r="I174" s="11">
        <v>0.14664203737965614</v>
      </c>
      <c r="J174" s="11">
        <v>1.0348950382755451E-6</v>
      </c>
      <c r="K174" s="11">
        <v>4.0603120013960083E-2</v>
      </c>
      <c r="L174" s="11">
        <v>6.4220043095251075E-2</v>
      </c>
      <c r="M174" s="11">
        <v>0.95977670099961054</v>
      </c>
    </row>
    <row r="175" spans="1:13" x14ac:dyDescent="0.3">
      <c r="A175" s="13">
        <v>43014</v>
      </c>
      <c r="B175" s="11">
        <v>0.27852098102207834</v>
      </c>
      <c r="C175" s="11">
        <v>1.0244663010347049E-5</v>
      </c>
      <c r="D175" s="11">
        <v>0.10934993238891323</v>
      </c>
      <c r="E175" s="11">
        <v>0.11819203635246951</v>
      </c>
      <c r="F175" s="11">
        <v>8.6361586831870988E-5</v>
      </c>
      <c r="G175" s="11">
        <v>0.14371404534025439</v>
      </c>
      <c r="H175" s="11">
        <v>0.10782459610207727</v>
      </c>
      <c r="I175" s="11">
        <v>0.14245435532920214</v>
      </c>
      <c r="J175" s="11">
        <v>5.8319259945191423E-6</v>
      </c>
      <c r="K175" s="11">
        <v>4.0873997119385191E-2</v>
      </c>
      <c r="L175" s="11">
        <v>5.8967618169783194E-2</v>
      </c>
      <c r="M175" s="11">
        <v>0.96075008467238709</v>
      </c>
    </row>
    <row r="176" spans="1:13" x14ac:dyDescent="0.3">
      <c r="A176" s="13">
        <v>43021</v>
      </c>
      <c r="B176" s="11">
        <v>0.26629903000819927</v>
      </c>
      <c r="C176" s="11">
        <v>5.7669775779758636E-6</v>
      </c>
      <c r="D176" s="11">
        <v>9.3945107916029974E-2</v>
      </c>
      <c r="E176" s="11">
        <v>0.10122225284906158</v>
      </c>
      <c r="F176" s="11">
        <v>9.1724335354365796E-5</v>
      </c>
      <c r="G176" s="11">
        <v>0.14852880394823631</v>
      </c>
      <c r="H176" s="11">
        <v>0.12512894987242135</v>
      </c>
      <c r="I176" s="11">
        <v>0.16500737900151791</v>
      </c>
      <c r="J176" s="11">
        <v>4.6255487060076541E-6</v>
      </c>
      <c r="K176" s="11">
        <v>4.7543960793165259E-2</v>
      </c>
      <c r="L176" s="11">
        <v>5.2222398749730024E-2</v>
      </c>
      <c r="M176" s="11">
        <v>0.96388185824727468</v>
      </c>
    </row>
    <row r="177" spans="1:13" x14ac:dyDescent="0.3">
      <c r="A177" s="13">
        <v>43028</v>
      </c>
      <c r="B177" s="11">
        <v>0.27283965122746373</v>
      </c>
      <c r="C177" s="11">
        <v>5.5061048759669649E-7</v>
      </c>
      <c r="D177" s="11">
        <v>9.9716368406544575E-2</v>
      </c>
      <c r="E177" s="11">
        <v>9.9086054798247808E-2</v>
      </c>
      <c r="F177" s="11">
        <v>1.4336813329481805E-4</v>
      </c>
      <c r="G177" s="11">
        <v>0.15691795911970377</v>
      </c>
      <c r="H177" s="11">
        <v>9.952182240402975E-2</v>
      </c>
      <c r="I177" s="11">
        <v>0.16386239909574257</v>
      </c>
      <c r="J177" s="11">
        <v>4.2029235862099547E-7</v>
      </c>
      <c r="K177" s="11">
        <v>4.8889177647635416E-2</v>
      </c>
      <c r="L177" s="11">
        <v>5.9022228264491342E-2</v>
      </c>
      <c r="M177" s="11">
        <v>0.9647515349782716</v>
      </c>
    </row>
    <row r="178" spans="1:13" x14ac:dyDescent="0.3">
      <c r="A178" s="13">
        <v>43035</v>
      </c>
      <c r="B178" s="11">
        <v>0.27756386572783892</v>
      </c>
      <c r="C178" s="11">
        <v>1.2234691895563394E-5</v>
      </c>
      <c r="D178" s="11">
        <v>8.5276968672217193E-2</v>
      </c>
      <c r="E178" s="11">
        <v>9.4663535771518301E-2</v>
      </c>
      <c r="F178" s="11">
        <v>6.7721652167577881E-3</v>
      </c>
      <c r="G178" s="11">
        <v>0.15745336108421304</v>
      </c>
      <c r="H178" s="11">
        <v>0.10268406094062768</v>
      </c>
      <c r="I178" s="11">
        <v>0.16754761951889999</v>
      </c>
      <c r="J178" s="11">
        <v>8.5212359784478201E-6</v>
      </c>
      <c r="K178" s="11">
        <v>5.2636488333008206E-2</v>
      </c>
      <c r="L178" s="11">
        <v>5.5381178807044885E-2</v>
      </c>
      <c r="M178" s="11">
        <v>0.96477860850183517</v>
      </c>
    </row>
    <row r="179" spans="1:13" x14ac:dyDescent="0.3">
      <c r="A179" s="13">
        <v>43042</v>
      </c>
      <c r="B179" s="11">
        <v>0.2782088637319039</v>
      </c>
      <c r="C179" s="11">
        <v>1.0736364783711826E-5</v>
      </c>
      <c r="D179" s="11">
        <v>9.0876281163642755E-2</v>
      </c>
      <c r="E179" s="11">
        <v>9.250568567697616E-2</v>
      </c>
      <c r="F179" s="11">
        <v>6.0837491609369238E-3</v>
      </c>
      <c r="G179" s="11">
        <v>0.15396592848294188</v>
      </c>
      <c r="H179" s="11">
        <v>9.2679720699448895E-2</v>
      </c>
      <c r="I179" s="11">
        <v>0.17093285609468536</v>
      </c>
      <c r="J179" s="11">
        <v>8.1943095035765778E-6</v>
      </c>
      <c r="K179" s="11">
        <v>5.8521936025642998E-2</v>
      </c>
      <c r="L179" s="11">
        <v>5.6206048289533857E-2</v>
      </c>
      <c r="M179" s="11">
        <v>0.96762837614469677</v>
      </c>
    </row>
    <row r="180" spans="1:13" x14ac:dyDescent="0.3">
      <c r="A180" s="13">
        <v>43049</v>
      </c>
      <c r="B180" s="11">
        <v>0.27947397227945808</v>
      </c>
      <c r="C180" s="11">
        <v>1.910261568721449E-6</v>
      </c>
      <c r="D180" s="11">
        <v>4.0338087168682785E-2</v>
      </c>
      <c r="E180" s="11">
        <v>0.12550664053609378</v>
      </c>
      <c r="F180" s="11">
        <v>8.9869878494325533E-5</v>
      </c>
      <c r="G180" s="11">
        <v>0.13713866824667689</v>
      </c>
      <c r="H180" s="11">
        <v>0.14676404332326695</v>
      </c>
      <c r="I180" s="11">
        <v>0.15512347706254376</v>
      </c>
      <c r="J180" s="11">
        <v>1.2730727876891725E-6</v>
      </c>
      <c r="K180" s="11">
        <v>7.5719440681564387E-2</v>
      </c>
      <c r="L180" s="11">
        <v>3.9842617488862551E-2</v>
      </c>
      <c r="M180" s="11">
        <v>0.96606819931477317</v>
      </c>
    </row>
    <row r="181" spans="1:13" x14ac:dyDescent="0.3">
      <c r="A181" s="13">
        <v>43055</v>
      </c>
      <c r="B181" s="11">
        <v>0.27669448847229544</v>
      </c>
      <c r="C181" s="11">
        <v>4.1463936563404311E-7</v>
      </c>
      <c r="D181" s="11">
        <v>3.6422217944081493E-2</v>
      </c>
      <c r="E181" s="11">
        <v>0.12554066893148863</v>
      </c>
      <c r="F181" s="11">
        <v>1.9867678158455134E-4</v>
      </c>
      <c r="G181" s="11">
        <v>0.13931423605741089</v>
      </c>
      <c r="H181" s="11">
        <v>0.14840119115677264</v>
      </c>
      <c r="I181" s="11">
        <v>0.15698758764986082</v>
      </c>
      <c r="J181" s="11">
        <v>2.6364980709759571E-7</v>
      </c>
      <c r="K181" s="11">
        <v>7.5361692957967796E-2</v>
      </c>
      <c r="L181" s="11">
        <v>4.1078561759365008E-2</v>
      </c>
      <c r="M181" s="11">
        <v>0.96602619756557973</v>
      </c>
    </row>
    <row r="182" spans="1:13" x14ac:dyDescent="0.3">
      <c r="A182" s="13">
        <v>43063</v>
      </c>
      <c r="B182" s="11">
        <v>0.28061301482959139</v>
      </c>
      <c r="C182" s="11">
        <v>6.7253560664175962E-6</v>
      </c>
      <c r="D182" s="11">
        <v>3.6337805591866494E-2</v>
      </c>
      <c r="E182" s="11">
        <v>0.12411918732286646</v>
      </c>
      <c r="F182" s="11">
        <v>5.2060617825635935E-3</v>
      </c>
      <c r="G182" s="11">
        <v>0.13585105110596429</v>
      </c>
      <c r="H182" s="11">
        <v>0.14385158478706594</v>
      </c>
      <c r="I182" s="11">
        <v>0.15684234685850817</v>
      </c>
      <c r="J182" s="11">
        <v>4.4941996120171049E-6</v>
      </c>
      <c r="K182" s="11">
        <v>7.4179664936476139E-2</v>
      </c>
      <c r="L182" s="11">
        <v>4.2988063229419053E-2</v>
      </c>
      <c r="M182" s="11">
        <v>0.96521491984776264</v>
      </c>
    </row>
    <row r="183" spans="1:13" x14ac:dyDescent="0.3">
      <c r="A183" s="13">
        <v>43070</v>
      </c>
      <c r="B183" s="11">
        <v>0.27970190545424362</v>
      </c>
      <c r="C183" s="11">
        <v>1.7527420769018945E-5</v>
      </c>
      <c r="D183" s="11">
        <v>3.1902884933593043E-2</v>
      </c>
      <c r="E183" s="11">
        <v>0.12259459750005573</v>
      </c>
      <c r="F183" s="11">
        <v>1.0442142903513479E-2</v>
      </c>
      <c r="G183" s="11">
        <v>0.13864463238188141</v>
      </c>
      <c r="H183" s="11">
        <v>0.14035371044380945</v>
      </c>
      <c r="I183" s="11">
        <v>0.15892698903042457</v>
      </c>
      <c r="J183" s="11">
        <v>1.122018395307514E-5</v>
      </c>
      <c r="K183" s="11">
        <v>7.1700770888473681E-2</v>
      </c>
      <c r="L183" s="11">
        <v>4.5703618859282938E-2</v>
      </c>
      <c r="M183" s="11">
        <v>0.96622548014214271</v>
      </c>
    </row>
    <row r="184" spans="1:13" x14ac:dyDescent="0.3">
      <c r="A184" s="13">
        <v>43077</v>
      </c>
      <c r="B184" s="11">
        <v>0.26829206844634579</v>
      </c>
      <c r="C184" s="11">
        <v>1.58783223458945E-5</v>
      </c>
      <c r="D184" s="11">
        <v>3.7466354578978615E-2</v>
      </c>
      <c r="E184" s="11">
        <v>0.1124207338818221</v>
      </c>
      <c r="F184" s="11">
        <v>7.7126908651370353E-3</v>
      </c>
      <c r="G184" s="11">
        <v>0.13363965853536386</v>
      </c>
      <c r="H184" s="11">
        <v>0.14911345028331427</v>
      </c>
      <c r="I184" s="11">
        <v>0.17188620078429506</v>
      </c>
      <c r="J184" s="11">
        <v>1.0658639251118746E-5</v>
      </c>
      <c r="K184" s="11">
        <v>7.4721118873684808E-2</v>
      </c>
      <c r="L184" s="11">
        <v>4.4721186789461485E-2</v>
      </c>
      <c r="M184" s="11">
        <v>0.96676240077601561</v>
      </c>
    </row>
    <row r="185" spans="1:13" x14ac:dyDescent="0.3">
      <c r="A185" s="13">
        <v>43084</v>
      </c>
      <c r="B185" s="11">
        <v>0.26578526361641708</v>
      </c>
      <c r="C185" s="11">
        <v>5.2395729938428236E-6</v>
      </c>
      <c r="D185" s="11">
        <v>3.5507594624316539E-2</v>
      </c>
      <c r="E185" s="11">
        <v>0.11744907796963931</v>
      </c>
      <c r="F185" s="11">
        <v>3.1962258865974387E-3</v>
      </c>
      <c r="G185" s="11">
        <v>0.13591307778144179</v>
      </c>
      <c r="H185" s="11">
        <v>0.15400118722024381</v>
      </c>
      <c r="I185" s="11">
        <v>0.17083377082436846</v>
      </c>
      <c r="J185" s="11">
        <v>3.8395809335828711E-6</v>
      </c>
      <c r="K185" s="11">
        <v>7.4514604886986774E-2</v>
      </c>
      <c r="L185" s="11">
        <v>4.2790118036061295E-2</v>
      </c>
      <c r="M185" s="11">
        <v>0.96655541483052976</v>
      </c>
    </row>
    <row r="186" spans="1:13" x14ac:dyDescent="0.3">
      <c r="A186" s="13">
        <v>43091</v>
      </c>
      <c r="B186" s="11">
        <v>0.27610173676240435</v>
      </c>
      <c r="C186" s="11">
        <v>3.7139400759386598E-5</v>
      </c>
      <c r="D186" s="11">
        <v>2.8480859016248108E-2</v>
      </c>
      <c r="E186" s="11">
        <v>0.12077752815729992</v>
      </c>
      <c r="F186" s="11">
        <v>1.4833961403475241E-2</v>
      </c>
      <c r="G186" s="11">
        <v>0.12231000103202343</v>
      </c>
      <c r="H186" s="11">
        <v>0.1504624073079173</v>
      </c>
      <c r="I186" s="11">
        <v>0.15654362991291787</v>
      </c>
      <c r="J186" s="11">
        <v>3.1527231184278059E-5</v>
      </c>
      <c r="K186" s="11">
        <v>7.4460000342377361E-2</v>
      </c>
      <c r="L186" s="11">
        <v>5.5961209433392792E-2</v>
      </c>
      <c r="M186" s="11">
        <v>0.96165959124135814</v>
      </c>
    </row>
    <row r="187" spans="1:13" x14ac:dyDescent="0.3">
      <c r="A187" s="13">
        <v>43098</v>
      </c>
      <c r="B187" s="11">
        <v>0.29728986006155028</v>
      </c>
      <c r="C187" s="11">
        <v>9.4742772623223062E-6</v>
      </c>
      <c r="D187" s="11">
        <v>1.0547018541349755E-2</v>
      </c>
      <c r="E187" s="11">
        <v>0.16987207748547828</v>
      </c>
      <c r="F187" s="11">
        <v>1.757876970660863E-2</v>
      </c>
      <c r="G187" s="11">
        <v>0.12643971680223029</v>
      </c>
      <c r="H187" s="11">
        <v>0.13392184744068225</v>
      </c>
      <c r="I187" s="11">
        <v>0.11198088346086214</v>
      </c>
      <c r="J187" s="11">
        <v>6.8259818941733336E-6</v>
      </c>
      <c r="K187" s="11">
        <v>7.2134925630452748E-2</v>
      </c>
      <c r="L187" s="11">
        <v>6.0218600611629196E-2</v>
      </c>
      <c r="M187" s="11">
        <v>0.95873285535827213</v>
      </c>
    </row>
    <row r="188" spans="1:13" x14ac:dyDescent="0.3">
      <c r="A188" s="13">
        <v>43105</v>
      </c>
      <c r="B188" s="11">
        <v>0.29139363046808037</v>
      </c>
      <c r="C188" s="11">
        <v>7.2330361707901739E-6</v>
      </c>
      <c r="D188" s="11">
        <v>8.2536589380151903E-3</v>
      </c>
      <c r="E188" s="11">
        <v>0.17443987099682554</v>
      </c>
      <c r="F188" s="11">
        <v>5.8397953526667986E-3</v>
      </c>
      <c r="G188" s="11">
        <v>0.12781426228559262</v>
      </c>
      <c r="H188" s="11">
        <v>0.14882308310031672</v>
      </c>
      <c r="I188" s="11">
        <v>0.10693469278227911</v>
      </c>
      <c r="J188" s="11">
        <v>6.148455714855016E-6</v>
      </c>
      <c r="K188" s="11">
        <v>7.6719298979924286E-2</v>
      </c>
      <c r="L188" s="11">
        <v>5.9768325604413718E-2</v>
      </c>
      <c r="M188" s="11">
        <v>0.95867260726685666</v>
      </c>
    </row>
    <row r="189" spans="1:13" x14ac:dyDescent="0.3">
      <c r="A189" s="13">
        <v>43112</v>
      </c>
      <c r="B189" s="11">
        <v>0.28216435917159988</v>
      </c>
      <c r="C189" s="11">
        <v>1.9403828617314422E-5</v>
      </c>
      <c r="D189" s="11">
        <v>2.4528904456004773E-2</v>
      </c>
      <c r="E189" s="11">
        <v>0.17117813885221903</v>
      </c>
      <c r="F189" s="11">
        <v>8.6681777373882353E-5</v>
      </c>
      <c r="G189" s="11">
        <v>0.13979848166781061</v>
      </c>
      <c r="H189" s="11">
        <v>0.13508070819957249</v>
      </c>
      <c r="I189" s="11">
        <v>0.10497008518854413</v>
      </c>
      <c r="J189" s="11">
        <v>1.8944786735918546E-5</v>
      </c>
      <c r="K189" s="11">
        <v>7.1492134818880726E-2</v>
      </c>
      <c r="L189" s="11">
        <v>7.0662157252641314E-2</v>
      </c>
      <c r="M189" s="11">
        <v>0.95843769521111855</v>
      </c>
    </row>
    <row r="190" spans="1:13" x14ac:dyDescent="0.3">
      <c r="A190" s="13">
        <v>43119</v>
      </c>
      <c r="B190" s="11">
        <v>0.28285752940690534</v>
      </c>
      <c r="C190" s="11">
        <v>2.6522889378360596E-6</v>
      </c>
      <c r="D190" s="11">
        <v>8.3394474886463291E-5</v>
      </c>
      <c r="E190" s="11">
        <v>0.20406364362976276</v>
      </c>
      <c r="F190" s="11">
        <v>1.7752672048880581E-5</v>
      </c>
      <c r="G190" s="11">
        <v>0.15238182415241447</v>
      </c>
      <c r="H190" s="11">
        <v>0.14477264577382454</v>
      </c>
      <c r="I190" s="11">
        <v>8.2234995373446793E-2</v>
      </c>
      <c r="J190" s="11">
        <v>2.5351371146056758E-6</v>
      </c>
      <c r="K190" s="11">
        <v>6.4764003369980075E-2</v>
      </c>
      <c r="L190" s="11">
        <v>6.8819023720678205E-2</v>
      </c>
      <c r="M190" s="11">
        <v>0.95268535534759624</v>
      </c>
    </row>
    <row r="191" spans="1:13" x14ac:dyDescent="0.3">
      <c r="A191" s="13">
        <v>43126</v>
      </c>
      <c r="B191" s="11">
        <v>0.2940912987132519</v>
      </c>
      <c r="C191" s="11">
        <v>9.5193717488445252E-6</v>
      </c>
      <c r="D191" s="11">
        <v>1.624496054767699E-2</v>
      </c>
      <c r="E191" s="11">
        <v>0.20491238587746263</v>
      </c>
      <c r="F191" s="11">
        <v>7.865864401176122E-3</v>
      </c>
      <c r="G191" s="11">
        <v>0.14495439230741489</v>
      </c>
      <c r="H191" s="11">
        <v>0.13453726958780396</v>
      </c>
      <c r="I191" s="11">
        <v>7.6808662598930363E-2</v>
      </c>
      <c r="J191" s="11">
        <v>1.1498052189087017E-5</v>
      </c>
      <c r="K191" s="11">
        <v>4.4592637853103412E-2</v>
      </c>
      <c r="L191" s="11">
        <v>7.5971510689241725E-2</v>
      </c>
      <c r="M191" s="11">
        <v>0.94940816819268314</v>
      </c>
    </row>
    <row r="192" spans="1:13" x14ac:dyDescent="0.3">
      <c r="A192" s="13">
        <v>43133</v>
      </c>
      <c r="B192" s="11">
        <v>0.28810021116359408</v>
      </c>
      <c r="C192" s="11">
        <v>9.3867323014006801E-7</v>
      </c>
      <c r="D192" s="11">
        <v>2.0223698324524454E-2</v>
      </c>
      <c r="E192" s="11">
        <v>0.20408551315113763</v>
      </c>
      <c r="F192" s="11">
        <v>9.1978904766119683E-5</v>
      </c>
      <c r="G192" s="11">
        <v>0.14049952086712661</v>
      </c>
      <c r="H192" s="11">
        <v>0.15463126279878031</v>
      </c>
      <c r="I192" s="11">
        <v>7.7911068955573856E-2</v>
      </c>
      <c r="J192" s="11">
        <v>8.9369239347193187E-7</v>
      </c>
      <c r="K192" s="11">
        <v>3.2664325830638961E-2</v>
      </c>
      <c r="L192" s="11">
        <v>8.1790587638234352E-2</v>
      </c>
      <c r="M192" s="11">
        <v>0.95079712209943812</v>
      </c>
    </row>
    <row r="193" spans="1:13" x14ac:dyDescent="0.3">
      <c r="A193" s="13">
        <v>43140</v>
      </c>
      <c r="B193" s="11">
        <v>0.28762013656417262</v>
      </c>
      <c r="C193" s="11">
        <v>4.4196620773254256E-7</v>
      </c>
      <c r="D193" s="11">
        <v>1.9550643168205484E-2</v>
      </c>
      <c r="E193" s="11">
        <v>0.20202431891996561</v>
      </c>
      <c r="F193" s="11">
        <v>4.1408564494299481E-4</v>
      </c>
      <c r="G193" s="11">
        <v>0.13920894701221323</v>
      </c>
      <c r="H193" s="11">
        <v>0.15566556034199497</v>
      </c>
      <c r="I193" s="11">
        <v>8.0623233186184098E-2</v>
      </c>
      <c r="J193" s="11">
        <v>4.310024956456131E-7</v>
      </c>
      <c r="K193" s="11">
        <v>3.3005636528928579E-2</v>
      </c>
      <c r="L193" s="11">
        <v>8.1886565664689021E-2</v>
      </c>
      <c r="M193" s="11">
        <v>0.9514293527496116</v>
      </c>
    </row>
    <row r="194" spans="1:13" x14ac:dyDescent="0.3">
      <c r="A194" s="13">
        <v>43147</v>
      </c>
      <c r="B194" s="11">
        <v>0.29126496246978228</v>
      </c>
      <c r="C194" s="11">
        <v>2.3613104955349959E-7</v>
      </c>
      <c r="D194" s="11">
        <v>7.0119208756597965E-4</v>
      </c>
      <c r="E194" s="11">
        <v>0.2127842528384177</v>
      </c>
      <c r="F194" s="11">
        <v>8.1843953193628579E-3</v>
      </c>
      <c r="G194" s="11">
        <v>0.14623750809275857</v>
      </c>
      <c r="H194" s="11">
        <v>0.1508072339269462</v>
      </c>
      <c r="I194" s="11">
        <v>7.4331735312217401E-2</v>
      </c>
      <c r="J194" s="11">
        <v>2.5901710282338423E-7</v>
      </c>
      <c r="K194" s="11">
        <v>2.9196354973616823E-2</v>
      </c>
      <c r="L194" s="11">
        <v>8.6491869831179805E-2</v>
      </c>
      <c r="M194" s="11">
        <v>0.95391622933217424</v>
      </c>
    </row>
    <row r="195" spans="1:13" x14ac:dyDescent="0.3">
      <c r="A195" s="13">
        <v>43157.5</v>
      </c>
      <c r="B195" s="11">
        <v>0.3000725439499024</v>
      </c>
      <c r="C195" s="11">
        <v>1.5300455142376864E-6</v>
      </c>
      <c r="D195" s="11">
        <v>8.4577147852556709E-5</v>
      </c>
      <c r="E195" s="11">
        <v>0.23121973981565541</v>
      </c>
      <c r="F195" s="11">
        <v>1.330582582452795E-2</v>
      </c>
      <c r="G195" s="11">
        <v>0.14286054230019146</v>
      </c>
      <c r="H195" s="11">
        <v>0.15937974461056639</v>
      </c>
      <c r="I195" s="11">
        <v>5.9572302528329471E-2</v>
      </c>
      <c r="J195" s="11">
        <v>1.7600522006933182E-6</v>
      </c>
      <c r="K195" s="11">
        <v>1.3040166920267104E-2</v>
      </c>
      <c r="L195" s="11">
        <v>8.046126680499234E-2</v>
      </c>
      <c r="M195" s="11">
        <v>0.95875914929885264</v>
      </c>
    </row>
    <row r="196" spans="1:13" x14ac:dyDescent="0.3">
      <c r="A196" s="13">
        <v>43164.5</v>
      </c>
      <c r="B196" s="11">
        <v>0.30081567679610083</v>
      </c>
      <c r="C196" s="11">
        <v>3.8829763746621443E-6</v>
      </c>
      <c r="D196" s="11">
        <v>8.8355241369486589E-5</v>
      </c>
      <c r="E196" s="11">
        <v>0.23049570049643375</v>
      </c>
      <c r="F196" s="11">
        <v>1.1322154410666361E-2</v>
      </c>
      <c r="G196" s="11">
        <v>0.14149212735983085</v>
      </c>
      <c r="H196" s="11">
        <v>0.15567734027624897</v>
      </c>
      <c r="I196" s="11">
        <v>6.0778933213071394E-2</v>
      </c>
      <c r="J196" s="11">
        <v>4.8490264889270369E-6</v>
      </c>
      <c r="K196" s="11">
        <v>1.7774896804091854E-2</v>
      </c>
      <c r="L196" s="11">
        <v>8.1546083399323011E-2</v>
      </c>
      <c r="M196" s="11">
        <v>0.95811249764914252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K123"/>
  <sheetViews>
    <sheetView topLeftCell="D1" workbookViewId="0">
      <selection activeCell="M1" sqref="M1"/>
    </sheetView>
  </sheetViews>
  <sheetFormatPr defaultRowHeight="13.5" x14ac:dyDescent="0.3"/>
  <cols>
    <col min="1" max="1" width="12.86328125" customWidth="1"/>
    <col min="2" max="2" width="19.46484375" customWidth="1"/>
    <col min="3" max="3" width="16.3984375" customWidth="1"/>
    <col min="4" max="4" width="14.73046875" customWidth="1"/>
    <col min="5" max="5" width="14.3984375" customWidth="1"/>
    <col min="6" max="6" width="13.265625" customWidth="1"/>
    <col min="8" max="8" width="11.3984375" customWidth="1"/>
    <col min="9" max="9" width="12.3984375" customWidth="1"/>
  </cols>
  <sheetData>
    <row r="1" spans="1:37" x14ac:dyDescent="0.3">
      <c r="A1" s="2">
        <v>1</v>
      </c>
      <c r="B1" s="1">
        <f>A1+1</f>
        <v>2</v>
      </c>
      <c r="C1" s="1">
        <f t="shared" ref="C1:AK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8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</row>
    <row r="2" spans="1:37" x14ac:dyDescent="0.3">
      <c r="B2" s="1"/>
      <c r="C2" s="7"/>
      <c r="D2" s="7"/>
      <c r="E2" s="7"/>
      <c r="F2" s="10"/>
      <c r="G2" s="7"/>
    </row>
    <row r="3" spans="1:37" x14ac:dyDescent="0.3">
      <c r="A3" s="1"/>
      <c r="B3" s="1"/>
    </row>
    <row r="4" spans="1:37" x14ac:dyDescent="0.3">
      <c r="A4" s="4"/>
      <c r="B4" s="6"/>
      <c r="C4" s="9"/>
      <c r="D4" s="9"/>
      <c r="E4" s="9"/>
      <c r="I4" s="9"/>
    </row>
    <row r="5" spans="1:37" x14ac:dyDescent="0.3">
      <c r="A5" s="4"/>
      <c r="B5" s="6"/>
      <c r="C5" s="9"/>
      <c r="D5" s="9"/>
      <c r="E5" s="9"/>
      <c r="I5" s="9"/>
    </row>
    <row r="6" spans="1:37" x14ac:dyDescent="0.3">
      <c r="A6" s="4"/>
      <c r="B6" s="6"/>
      <c r="C6" s="9"/>
      <c r="D6" s="9"/>
      <c r="E6" s="9"/>
      <c r="I6" s="9"/>
    </row>
    <row r="7" spans="1:37" x14ac:dyDescent="0.3">
      <c r="A7" s="4"/>
      <c r="B7" s="6"/>
      <c r="C7" s="9"/>
      <c r="D7" s="9"/>
      <c r="E7" s="9"/>
      <c r="I7" s="9"/>
    </row>
    <row r="8" spans="1:37" x14ac:dyDescent="0.3">
      <c r="A8" s="4"/>
      <c r="B8" s="6"/>
      <c r="C8" s="9"/>
      <c r="D8" s="9"/>
      <c r="E8" s="9"/>
      <c r="I8" s="9"/>
    </row>
    <row r="9" spans="1:37" x14ac:dyDescent="0.3">
      <c r="A9" s="4"/>
      <c r="B9" s="6"/>
      <c r="C9" s="9"/>
      <c r="D9" s="9"/>
      <c r="E9" s="9"/>
      <c r="I9" s="9"/>
    </row>
    <row r="10" spans="1:37" x14ac:dyDescent="0.3">
      <c r="A10" s="4"/>
      <c r="B10" s="6"/>
      <c r="C10" s="5"/>
      <c r="D10" s="5"/>
      <c r="E10" s="5"/>
      <c r="I10" s="9"/>
    </row>
    <row r="11" spans="1:37" x14ac:dyDescent="0.3">
      <c r="A11" s="4"/>
      <c r="B11" s="6"/>
      <c r="C11" s="5"/>
      <c r="D11" s="5"/>
      <c r="E11" s="5"/>
      <c r="I11" s="9"/>
    </row>
    <row r="12" spans="1:37" x14ac:dyDescent="0.3">
      <c r="A12" s="4"/>
      <c r="B12" s="6"/>
      <c r="C12" s="5"/>
      <c r="D12" s="5"/>
      <c r="E12" s="5"/>
      <c r="I12" s="9"/>
    </row>
    <row r="13" spans="1:37" x14ac:dyDescent="0.3">
      <c r="A13" s="4"/>
      <c r="B13" s="6"/>
      <c r="C13" s="5"/>
      <c r="D13" s="5"/>
      <c r="E13" s="5"/>
      <c r="I13" s="9"/>
    </row>
    <row r="14" spans="1:37" x14ac:dyDescent="0.3">
      <c r="A14" s="4"/>
      <c r="B14" s="6"/>
      <c r="C14" s="5"/>
      <c r="D14" s="5"/>
      <c r="E14" s="5"/>
      <c r="I14" s="9"/>
    </row>
    <row r="15" spans="1:37" x14ac:dyDescent="0.3">
      <c r="A15" s="4"/>
      <c r="B15" s="6"/>
      <c r="C15" s="5"/>
      <c r="D15" s="5"/>
      <c r="E15" s="5"/>
      <c r="I15" s="9"/>
    </row>
    <row r="16" spans="1:37" x14ac:dyDescent="0.3">
      <c r="A16" s="4"/>
      <c r="B16" s="6"/>
      <c r="C16" s="5"/>
      <c r="D16" s="5"/>
      <c r="E16" s="5"/>
      <c r="I16" s="9"/>
    </row>
    <row r="17" spans="1:9" x14ac:dyDescent="0.3">
      <c r="A17" s="4"/>
      <c r="B17" s="6"/>
      <c r="C17" s="5"/>
      <c r="D17" s="5"/>
      <c r="E17" s="5"/>
      <c r="I17" s="9"/>
    </row>
    <row r="18" spans="1:9" x14ac:dyDescent="0.3">
      <c r="A18" s="4"/>
      <c r="B18" s="6"/>
      <c r="C18" s="5"/>
      <c r="D18" s="5"/>
      <c r="E18" s="5"/>
      <c r="I18" s="9"/>
    </row>
    <row r="19" spans="1:9" x14ac:dyDescent="0.3">
      <c r="A19" s="4"/>
      <c r="B19" s="6"/>
      <c r="C19" s="5"/>
      <c r="D19" s="5"/>
      <c r="E19" s="5"/>
      <c r="I19" s="9"/>
    </row>
    <row r="20" spans="1:9" x14ac:dyDescent="0.3">
      <c r="A20" s="4"/>
      <c r="B20" s="6"/>
      <c r="C20" s="5"/>
      <c r="D20" s="5"/>
      <c r="E20" s="5"/>
      <c r="I20" s="9"/>
    </row>
    <row r="21" spans="1:9" x14ac:dyDescent="0.3">
      <c r="A21" s="4"/>
      <c r="B21" s="6"/>
      <c r="C21" s="5"/>
      <c r="D21" s="5"/>
      <c r="E21" s="5"/>
      <c r="I21" s="9"/>
    </row>
    <row r="22" spans="1:9" x14ac:dyDescent="0.3">
      <c r="A22" s="4"/>
      <c r="B22" s="6"/>
      <c r="C22" s="5"/>
      <c r="D22" s="5"/>
      <c r="E22" s="5"/>
      <c r="I22" s="9"/>
    </row>
    <row r="23" spans="1:9" x14ac:dyDescent="0.3">
      <c r="A23" s="4"/>
      <c r="B23" s="6"/>
      <c r="C23" s="5"/>
      <c r="D23" s="5"/>
      <c r="E23" s="5"/>
      <c r="I23" s="9"/>
    </row>
    <row r="24" spans="1:9" x14ac:dyDescent="0.3">
      <c r="A24" s="4"/>
      <c r="B24" s="6"/>
      <c r="C24" s="5"/>
      <c r="D24" s="5"/>
      <c r="E24" s="5"/>
      <c r="I24" s="9"/>
    </row>
    <row r="25" spans="1:9" x14ac:dyDescent="0.3">
      <c r="A25" s="4"/>
      <c r="B25" s="6"/>
      <c r="C25" s="5"/>
      <c r="D25" s="5"/>
      <c r="E25" s="5"/>
      <c r="I25" s="9"/>
    </row>
    <row r="26" spans="1:9" x14ac:dyDescent="0.3">
      <c r="A26" s="4"/>
      <c r="B26" s="6"/>
      <c r="C26" s="5"/>
      <c r="D26" s="5"/>
      <c r="E26" s="5"/>
      <c r="I26" s="9"/>
    </row>
    <row r="27" spans="1:9" x14ac:dyDescent="0.3">
      <c r="A27" s="4"/>
      <c r="B27" s="6"/>
      <c r="C27" s="5"/>
      <c r="D27" s="5"/>
      <c r="E27" s="5"/>
      <c r="I27" s="9"/>
    </row>
    <row r="28" spans="1:9" x14ac:dyDescent="0.3">
      <c r="A28" s="4"/>
      <c r="B28" s="6"/>
      <c r="C28" s="5"/>
      <c r="D28" s="5"/>
      <c r="E28" s="5"/>
      <c r="I28" s="9"/>
    </row>
    <row r="29" spans="1:9" x14ac:dyDescent="0.3">
      <c r="A29" s="4"/>
      <c r="B29" s="6"/>
      <c r="C29" s="5"/>
      <c r="D29" s="5"/>
      <c r="E29" s="5"/>
      <c r="I29" s="9"/>
    </row>
    <row r="30" spans="1:9" x14ac:dyDescent="0.3">
      <c r="A30" s="4"/>
      <c r="B30" s="6"/>
      <c r="C30" s="9"/>
      <c r="D30" s="9"/>
      <c r="E30" s="9"/>
      <c r="I30" s="9"/>
    </row>
    <row r="31" spans="1:9" x14ac:dyDescent="0.3">
      <c r="A31" s="4"/>
      <c r="B31" s="6"/>
      <c r="C31" s="9"/>
      <c r="D31" s="9"/>
      <c r="E31" s="9"/>
      <c r="I31" s="9"/>
    </row>
    <row r="32" spans="1:9" x14ac:dyDescent="0.3">
      <c r="A32" s="4"/>
      <c r="B32" s="6"/>
      <c r="C32" s="9"/>
      <c r="D32" s="9"/>
      <c r="E32" s="9"/>
      <c r="I32" s="9"/>
    </row>
    <row r="33" spans="1:9" x14ac:dyDescent="0.3">
      <c r="A33" s="4"/>
      <c r="B33" s="6"/>
      <c r="C33" s="9"/>
      <c r="D33" s="9"/>
      <c r="E33" s="9"/>
      <c r="I33" s="9"/>
    </row>
    <row r="34" spans="1:9" x14ac:dyDescent="0.3">
      <c r="A34" s="4"/>
      <c r="B34" s="6"/>
      <c r="C34" s="9"/>
      <c r="D34" s="9"/>
      <c r="E34" s="9"/>
      <c r="I34" s="9"/>
    </row>
    <row r="35" spans="1:9" x14ac:dyDescent="0.3">
      <c r="A35" s="4"/>
      <c r="B35" s="6"/>
      <c r="C35" s="9"/>
      <c r="D35" s="9"/>
      <c r="E35" s="9"/>
      <c r="I35" s="9"/>
    </row>
    <row r="36" spans="1:9" x14ac:dyDescent="0.3">
      <c r="A36" s="4"/>
      <c r="B36" s="6"/>
      <c r="C36" s="9"/>
      <c r="D36" s="9"/>
      <c r="E36" s="9"/>
      <c r="I36" s="9"/>
    </row>
    <row r="37" spans="1:9" x14ac:dyDescent="0.3">
      <c r="A37" s="4"/>
      <c r="B37" s="6"/>
      <c r="C37" s="6"/>
      <c r="D37" s="6"/>
      <c r="E37" s="6"/>
      <c r="H37" s="9"/>
    </row>
    <row r="38" spans="1:9" x14ac:dyDescent="0.3">
      <c r="A38" s="4"/>
      <c r="B38" s="6"/>
      <c r="C38" s="6"/>
      <c r="D38" s="6"/>
      <c r="E38" s="6"/>
      <c r="H38" s="9"/>
    </row>
    <row r="39" spans="1:9" x14ac:dyDescent="0.3">
      <c r="A39" s="4"/>
      <c r="B39" s="6"/>
      <c r="C39" s="6"/>
      <c r="D39" s="6"/>
      <c r="E39" s="6"/>
      <c r="H39" s="9"/>
    </row>
    <row r="40" spans="1:9" x14ac:dyDescent="0.3">
      <c r="A40" s="4"/>
      <c r="B40" s="6"/>
      <c r="C40" s="6"/>
      <c r="D40" s="6"/>
      <c r="E40" s="6"/>
      <c r="H40" s="9"/>
    </row>
    <row r="41" spans="1:9" x14ac:dyDescent="0.3">
      <c r="A41" s="4"/>
      <c r="B41" s="6"/>
      <c r="C41" s="6"/>
      <c r="D41" s="6"/>
      <c r="E41" s="6"/>
      <c r="H41" s="9"/>
    </row>
    <row r="42" spans="1:9" x14ac:dyDescent="0.3">
      <c r="A42" s="4"/>
      <c r="B42" s="6"/>
      <c r="C42" s="6"/>
      <c r="D42" s="6"/>
      <c r="E42" s="6"/>
      <c r="H42" s="9"/>
    </row>
    <row r="43" spans="1:9" x14ac:dyDescent="0.3">
      <c r="A43" s="4"/>
      <c r="B43" s="6"/>
      <c r="C43" s="6"/>
      <c r="D43" s="6"/>
      <c r="E43" s="6"/>
      <c r="H43" s="9"/>
    </row>
    <row r="44" spans="1:9" x14ac:dyDescent="0.3">
      <c r="A44" s="4"/>
      <c r="B44" s="6"/>
      <c r="C44" s="6"/>
      <c r="D44" s="6"/>
      <c r="E44" s="6"/>
      <c r="H44" s="9"/>
    </row>
    <row r="45" spans="1:9" x14ac:dyDescent="0.3">
      <c r="A45" s="4"/>
      <c r="B45" s="6"/>
      <c r="C45" s="6"/>
      <c r="D45" s="6"/>
      <c r="E45" s="6"/>
      <c r="H45" s="9"/>
    </row>
    <row r="46" spans="1:9" x14ac:dyDescent="0.3">
      <c r="A46" s="4"/>
      <c r="B46" s="6"/>
      <c r="C46" s="6"/>
      <c r="D46" s="6"/>
      <c r="E46" s="6"/>
      <c r="H46" s="9"/>
    </row>
    <row r="47" spans="1:9" x14ac:dyDescent="0.3">
      <c r="A47" s="4"/>
      <c r="B47" s="6"/>
      <c r="C47" s="6"/>
      <c r="D47" s="6"/>
      <c r="E47" s="6"/>
      <c r="H47" s="9"/>
    </row>
    <row r="48" spans="1:9" x14ac:dyDescent="0.3">
      <c r="A48" s="4"/>
      <c r="B48" s="6"/>
      <c r="C48" s="6"/>
      <c r="D48" s="6"/>
      <c r="E48" s="6"/>
      <c r="H48" s="9"/>
    </row>
    <row r="49" spans="1:9" x14ac:dyDescent="0.3">
      <c r="A49" s="4"/>
      <c r="B49" s="6"/>
      <c r="C49" s="6"/>
      <c r="D49" s="6"/>
      <c r="E49" s="6"/>
      <c r="H49" s="9"/>
    </row>
    <row r="50" spans="1:9" x14ac:dyDescent="0.3">
      <c r="A50" s="4"/>
      <c r="B50" s="6"/>
      <c r="C50" s="6"/>
      <c r="D50" s="6"/>
      <c r="E50" s="6"/>
      <c r="H50" s="9"/>
    </row>
    <row r="51" spans="1:9" x14ac:dyDescent="0.3">
      <c r="A51" s="4"/>
      <c r="B51" s="6"/>
      <c r="C51" s="6"/>
      <c r="D51" s="6"/>
      <c r="E51" s="6"/>
      <c r="H51" s="9"/>
    </row>
    <row r="52" spans="1:9" x14ac:dyDescent="0.3">
      <c r="A52" s="4"/>
      <c r="B52" s="6"/>
      <c r="C52" s="6"/>
      <c r="D52" s="6"/>
      <c r="E52" s="6"/>
      <c r="H52" s="9"/>
    </row>
    <row r="53" spans="1:9" x14ac:dyDescent="0.3">
      <c r="A53" s="4"/>
      <c r="B53" s="6"/>
      <c r="C53" s="6"/>
      <c r="D53" s="6"/>
      <c r="E53" s="6"/>
      <c r="H53" s="9"/>
    </row>
    <row r="54" spans="1:9" x14ac:dyDescent="0.3">
      <c r="A54" s="4"/>
      <c r="B54" s="6"/>
      <c r="C54" s="6"/>
      <c r="D54" s="6"/>
      <c r="E54" s="6"/>
      <c r="H54" s="9"/>
    </row>
    <row r="55" spans="1:9" x14ac:dyDescent="0.3">
      <c r="A55" s="4"/>
      <c r="B55" s="6"/>
      <c r="C55" s="6"/>
      <c r="D55" s="6"/>
      <c r="E55" s="6"/>
      <c r="H55" s="9"/>
    </row>
    <row r="56" spans="1:9" x14ac:dyDescent="0.3">
      <c r="A56" s="4"/>
      <c r="B56" s="6"/>
      <c r="C56" s="6"/>
      <c r="D56" s="6"/>
      <c r="E56" s="6"/>
      <c r="H56" s="9"/>
    </row>
    <row r="57" spans="1:9" x14ac:dyDescent="0.3">
      <c r="A57" s="4"/>
      <c r="B57" s="6"/>
      <c r="C57" s="6"/>
      <c r="D57" s="6"/>
      <c r="E57" s="6"/>
      <c r="H57" s="9"/>
    </row>
    <row r="58" spans="1:9" x14ac:dyDescent="0.3">
      <c r="A58" s="4"/>
      <c r="B58" s="6"/>
      <c r="C58" s="6"/>
      <c r="D58" s="6"/>
      <c r="E58" s="6"/>
      <c r="H58" s="9"/>
    </row>
    <row r="59" spans="1:9" x14ac:dyDescent="0.3">
      <c r="A59" s="4"/>
      <c r="B59" s="6"/>
      <c r="C59" s="6"/>
      <c r="D59" s="6"/>
      <c r="E59" s="6"/>
      <c r="H59" s="9"/>
    </row>
    <row r="60" spans="1:9" x14ac:dyDescent="0.3">
      <c r="A60" s="4"/>
      <c r="B60" s="6"/>
      <c r="C60" s="6"/>
      <c r="D60" s="6"/>
      <c r="E60" s="6"/>
      <c r="H60" s="9"/>
    </row>
    <row r="61" spans="1:9" x14ac:dyDescent="0.3">
      <c r="A61" s="4"/>
      <c r="B61" s="6"/>
      <c r="C61" s="6"/>
      <c r="D61" s="6"/>
      <c r="E61" s="6"/>
      <c r="H61" s="9"/>
    </row>
    <row r="62" spans="1:9" x14ac:dyDescent="0.3">
      <c r="A62" s="4"/>
      <c r="B62" s="6"/>
      <c r="C62" s="9"/>
      <c r="D62" s="9"/>
      <c r="E62" s="9"/>
      <c r="I62" s="9"/>
    </row>
    <row r="63" spans="1:9" x14ac:dyDescent="0.3">
      <c r="A63" s="4"/>
      <c r="B63" s="6"/>
      <c r="C63" s="9"/>
      <c r="D63" s="9"/>
      <c r="E63" s="9"/>
      <c r="I63" s="9"/>
    </row>
    <row r="64" spans="1:9" x14ac:dyDescent="0.3">
      <c r="A64" s="4"/>
      <c r="B64" s="6"/>
      <c r="C64" s="9"/>
      <c r="D64" s="9"/>
      <c r="E64" s="9"/>
    </row>
    <row r="65" spans="1:5" x14ac:dyDescent="0.3">
      <c r="A65" s="4"/>
      <c r="B65" s="6"/>
      <c r="C65" s="9"/>
      <c r="D65" s="9"/>
      <c r="E65" s="9"/>
    </row>
    <row r="66" spans="1:5" x14ac:dyDescent="0.3">
      <c r="A66" s="4"/>
      <c r="B66" s="6"/>
      <c r="C66" s="9"/>
      <c r="D66" s="9"/>
      <c r="E66" s="9"/>
    </row>
    <row r="67" spans="1:5" x14ac:dyDescent="0.3">
      <c r="A67" s="4"/>
      <c r="B67" s="6"/>
      <c r="C67" s="9"/>
      <c r="D67" s="9"/>
      <c r="E67" s="9"/>
    </row>
    <row r="68" spans="1:5" x14ac:dyDescent="0.3">
      <c r="A68" s="4"/>
      <c r="B68" s="6"/>
      <c r="C68" s="9"/>
      <c r="D68" s="9"/>
      <c r="E68" s="9"/>
    </row>
    <row r="69" spans="1:5" x14ac:dyDescent="0.3">
      <c r="A69" s="4"/>
      <c r="B69" s="6"/>
      <c r="C69" s="9"/>
      <c r="D69" s="9"/>
      <c r="E69" s="9"/>
    </row>
    <row r="70" spans="1:5" x14ac:dyDescent="0.3">
      <c r="A70" s="4"/>
      <c r="B70" s="6"/>
      <c r="C70" s="9"/>
      <c r="D70" s="9"/>
      <c r="E70" s="9"/>
    </row>
    <row r="71" spans="1:5" x14ac:dyDescent="0.3">
      <c r="A71" s="4"/>
      <c r="B71" s="6"/>
      <c r="C71" s="9"/>
      <c r="D71" s="9"/>
      <c r="E71" s="9"/>
    </row>
    <row r="72" spans="1:5" x14ac:dyDescent="0.3">
      <c r="A72" s="4"/>
      <c r="B72" s="6"/>
      <c r="C72" s="9"/>
      <c r="D72" s="9"/>
      <c r="E72" s="9"/>
    </row>
    <row r="73" spans="1:5" x14ac:dyDescent="0.3">
      <c r="A73" s="4"/>
      <c r="B73" s="6"/>
      <c r="C73" s="9"/>
      <c r="D73" s="9"/>
      <c r="E73" s="9"/>
    </row>
    <row r="74" spans="1:5" x14ac:dyDescent="0.3">
      <c r="A74" s="4"/>
      <c r="B74" s="6"/>
      <c r="C74" s="9"/>
      <c r="D74" s="9"/>
      <c r="E74" s="9"/>
    </row>
    <row r="75" spans="1:5" x14ac:dyDescent="0.3">
      <c r="A75" s="4"/>
      <c r="B75" s="6"/>
      <c r="C75" s="9"/>
      <c r="D75" s="9"/>
      <c r="E75" s="9"/>
    </row>
    <row r="76" spans="1:5" x14ac:dyDescent="0.3">
      <c r="A76" s="4"/>
      <c r="B76" s="6"/>
      <c r="C76" s="9"/>
      <c r="D76" s="9"/>
      <c r="E76" s="9"/>
    </row>
    <row r="77" spans="1:5" x14ac:dyDescent="0.3">
      <c r="A77" s="4"/>
      <c r="B77" s="6"/>
      <c r="C77" s="9"/>
      <c r="D77" s="9"/>
      <c r="E77" s="9"/>
    </row>
    <row r="78" spans="1:5" x14ac:dyDescent="0.3">
      <c r="A78" s="4"/>
      <c r="B78" s="6"/>
      <c r="C78" s="9"/>
      <c r="D78" s="9"/>
      <c r="E78" s="9"/>
    </row>
    <row r="79" spans="1:5" x14ac:dyDescent="0.3">
      <c r="A79" s="4"/>
      <c r="B79" s="6"/>
      <c r="C79" s="9"/>
      <c r="D79" s="9"/>
      <c r="E79" s="9"/>
    </row>
    <row r="80" spans="1:5" x14ac:dyDescent="0.3">
      <c r="A80" s="4"/>
      <c r="B80" s="6"/>
      <c r="C80" s="9"/>
      <c r="D80" s="9"/>
      <c r="E80" s="9"/>
    </row>
    <row r="81" spans="1:5" x14ac:dyDescent="0.3">
      <c r="A81" s="4"/>
      <c r="B81" s="6"/>
      <c r="C81" s="9"/>
      <c r="D81" s="9"/>
      <c r="E81" s="9"/>
    </row>
    <row r="82" spans="1:5" x14ac:dyDescent="0.3">
      <c r="A82" s="4"/>
      <c r="B82" s="6"/>
      <c r="C82" s="9"/>
      <c r="D82" s="9"/>
      <c r="E82" s="9"/>
    </row>
    <row r="83" spans="1:5" x14ac:dyDescent="0.3">
      <c r="A83" s="4"/>
      <c r="B83" s="6"/>
      <c r="C83" s="9"/>
      <c r="D83" s="9"/>
      <c r="E83" s="9"/>
    </row>
    <row r="84" spans="1:5" x14ac:dyDescent="0.3">
      <c r="A84" s="4"/>
      <c r="B84" s="6"/>
      <c r="C84" s="9"/>
      <c r="D84" s="9"/>
      <c r="E84" s="9"/>
    </row>
    <row r="85" spans="1:5" x14ac:dyDescent="0.3">
      <c r="A85" s="4"/>
      <c r="B85" s="6"/>
      <c r="C85" s="9"/>
      <c r="D85" s="9"/>
      <c r="E85" s="9"/>
    </row>
    <row r="86" spans="1:5" x14ac:dyDescent="0.3">
      <c r="A86" s="4"/>
      <c r="B86" s="6"/>
      <c r="C86" s="9"/>
      <c r="D86" s="9"/>
      <c r="E86" s="9"/>
    </row>
    <row r="87" spans="1:5" x14ac:dyDescent="0.3">
      <c r="A87" s="4"/>
      <c r="B87" s="6"/>
      <c r="C87" s="9"/>
      <c r="D87" s="9"/>
      <c r="E87" s="9"/>
    </row>
    <row r="88" spans="1:5" x14ac:dyDescent="0.3">
      <c r="A88" s="4"/>
      <c r="B88" s="6"/>
      <c r="C88" s="9"/>
      <c r="D88" s="9"/>
      <c r="E88" s="9"/>
    </row>
    <row r="89" spans="1:5" x14ac:dyDescent="0.3">
      <c r="A89" s="4"/>
      <c r="B89" s="6"/>
      <c r="C89" s="9"/>
      <c r="D89" s="9"/>
      <c r="E89" s="9"/>
    </row>
    <row r="90" spans="1:5" x14ac:dyDescent="0.3">
      <c r="A90" s="4"/>
      <c r="B90" s="6"/>
      <c r="C90" s="9"/>
      <c r="D90" s="9"/>
      <c r="E90" s="9"/>
    </row>
    <row r="91" spans="1:5" x14ac:dyDescent="0.3">
      <c r="A91" s="4"/>
      <c r="B91" s="6"/>
      <c r="C91" s="9"/>
      <c r="D91" s="9"/>
      <c r="E91" s="9"/>
    </row>
    <row r="92" spans="1:5" x14ac:dyDescent="0.3">
      <c r="A92" s="4"/>
      <c r="B92" s="6"/>
      <c r="C92" s="9"/>
      <c r="D92" s="9"/>
      <c r="E92" s="9"/>
    </row>
    <row r="93" spans="1:5" x14ac:dyDescent="0.3">
      <c r="A93" s="4"/>
      <c r="B93" s="6"/>
      <c r="C93" s="9"/>
      <c r="D93" s="9"/>
      <c r="E93" s="9"/>
    </row>
    <row r="94" spans="1:5" x14ac:dyDescent="0.3">
      <c r="A94" s="4"/>
      <c r="B94" s="6"/>
      <c r="C94" s="9"/>
      <c r="D94" s="9"/>
      <c r="E94" s="9"/>
    </row>
    <row r="95" spans="1:5" x14ac:dyDescent="0.3">
      <c r="A95" s="4"/>
      <c r="B95" s="6"/>
      <c r="C95" s="9"/>
      <c r="D95" s="9"/>
      <c r="E95" s="9"/>
    </row>
    <row r="96" spans="1:5" x14ac:dyDescent="0.3">
      <c r="A96" s="4"/>
      <c r="B96" s="6"/>
      <c r="C96" s="9"/>
      <c r="D96" s="9"/>
      <c r="E96" s="9"/>
    </row>
    <row r="97" spans="1:5" x14ac:dyDescent="0.3">
      <c r="A97" s="4"/>
      <c r="B97" s="6"/>
      <c r="C97" s="9"/>
      <c r="D97" s="9"/>
      <c r="E97" s="9"/>
    </row>
    <row r="98" spans="1:5" x14ac:dyDescent="0.3">
      <c r="A98" s="4"/>
      <c r="B98" s="6"/>
      <c r="C98" s="9"/>
      <c r="D98" s="9"/>
      <c r="E98" s="9"/>
    </row>
    <row r="99" spans="1:5" x14ac:dyDescent="0.3">
      <c r="A99" s="4"/>
      <c r="B99" s="6"/>
      <c r="C99" s="9"/>
      <c r="D99" s="9"/>
      <c r="E99" s="9"/>
    </row>
    <row r="100" spans="1:5" x14ac:dyDescent="0.3">
      <c r="A100" s="4"/>
      <c r="B100" s="6"/>
      <c r="C100" s="9"/>
      <c r="D100" s="9"/>
      <c r="E100" s="9"/>
    </row>
    <row r="101" spans="1:5" x14ac:dyDescent="0.3">
      <c r="A101" s="4"/>
      <c r="B101" s="6"/>
      <c r="C101" s="9"/>
      <c r="D101" s="9"/>
      <c r="E101" s="9"/>
    </row>
    <row r="102" spans="1:5" x14ac:dyDescent="0.3">
      <c r="A102" s="4"/>
      <c r="B102" s="6"/>
      <c r="C102" s="9"/>
      <c r="D102" s="9"/>
      <c r="E102" s="9"/>
    </row>
    <row r="103" spans="1:5" x14ac:dyDescent="0.3">
      <c r="A103" s="4"/>
      <c r="B103" s="6"/>
      <c r="C103" s="9"/>
      <c r="D103" s="9"/>
      <c r="E103" s="9"/>
    </row>
    <row r="104" spans="1:5" x14ac:dyDescent="0.3">
      <c r="A104" s="4"/>
      <c r="B104" s="6"/>
      <c r="C104" s="9"/>
      <c r="D104" s="9"/>
      <c r="E104" s="9"/>
    </row>
    <row r="105" spans="1:5" x14ac:dyDescent="0.3">
      <c r="A105" s="4"/>
      <c r="B105" s="6"/>
      <c r="C105" s="9"/>
      <c r="D105" s="9"/>
      <c r="E105" s="9"/>
    </row>
    <row r="106" spans="1:5" x14ac:dyDescent="0.3">
      <c r="A106" s="4"/>
      <c r="B106" s="6"/>
      <c r="C106" s="9"/>
      <c r="D106" s="9"/>
      <c r="E106" s="9"/>
    </row>
    <row r="107" spans="1:5" x14ac:dyDescent="0.3">
      <c r="A107" s="4"/>
      <c r="B107" s="6"/>
      <c r="C107" s="9"/>
      <c r="D107" s="9"/>
      <c r="E107" s="9"/>
    </row>
    <row r="108" spans="1:5" x14ac:dyDescent="0.3">
      <c r="A108" s="4"/>
      <c r="B108" s="6"/>
      <c r="C108" s="9"/>
      <c r="D108" s="9"/>
      <c r="E108" s="9"/>
    </row>
    <row r="109" spans="1:5" x14ac:dyDescent="0.3">
      <c r="A109" s="4"/>
      <c r="B109" s="6"/>
      <c r="C109" s="9"/>
      <c r="D109" s="9"/>
      <c r="E109" s="9"/>
    </row>
    <row r="110" spans="1:5" x14ac:dyDescent="0.3">
      <c r="A110" s="4"/>
      <c r="B110" s="6"/>
      <c r="C110" s="9"/>
      <c r="D110" s="9"/>
      <c r="E110" s="9"/>
    </row>
    <row r="111" spans="1:5" x14ac:dyDescent="0.3">
      <c r="A111" s="4"/>
      <c r="B111" s="6"/>
      <c r="C111" s="9"/>
      <c r="D111" s="9"/>
      <c r="E111" s="9"/>
    </row>
    <row r="112" spans="1:5" x14ac:dyDescent="0.3">
      <c r="A112" s="4"/>
      <c r="B112" s="6"/>
      <c r="C112" s="9"/>
      <c r="D112" s="9"/>
      <c r="E112" s="9"/>
    </row>
    <row r="113" spans="1:5" x14ac:dyDescent="0.3">
      <c r="A113" s="4"/>
      <c r="B113" s="6"/>
      <c r="C113" s="9"/>
      <c r="D113" s="9"/>
      <c r="E113" s="9"/>
    </row>
    <row r="114" spans="1:5" x14ac:dyDescent="0.3">
      <c r="A114" s="4"/>
      <c r="B114" s="6"/>
      <c r="C114" s="9"/>
      <c r="D114" s="9"/>
      <c r="E114" s="9"/>
    </row>
    <row r="115" spans="1:5" x14ac:dyDescent="0.3">
      <c r="A115" s="4"/>
      <c r="B115" s="6"/>
      <c r="C115" s="9"/>
      <c r="D115" s="9"/>
      <c r="E115" s="9"/>
    </row>
    <row r="116" spans="1:5" x14ac:dyDescent="0.3">
      <c r="A116" s="4"/>
      <c r="B116" s="6"/>
      <c r="C116" s="9"/>
      <c r="D116" s="9"/>
      <c r="E116" s="9"/>
    </row>
    <row r="117" spans="1:5" x14ac:dyDescent="0.3">
      <c r="A117" s="4"/>
      <c r="B117" s="6"/>
      <c r="C117" s="9"/>
      <c r="D117" s="9"/>
      <c r="E117" s="9"/>
    </row>
    <row r="118" spans="1:5" x14ac:dyDescent="0.3">
      <c r="A118" s="4"/>
      <c r="B118" s="6"/>
      <c r="C118" s="9"/>
      <c r="D118" s="9"/>
      <c r="E118" s="9"/>
    </row>
    <row r="119" spans="1:5" x14ac:dyDescent="0.3">
      <c r="A119" s="4"/>
      <c r="B119" s="6"/>
      <c r="C119" s="9"/>
      <c r="D119" s="9"/>
      <c r="E119" s="9"/>
    </row>
    <row r="120" spans="1:5" x14ac:dyDescent="0.3">
      <c r="A120" s="4"/>
      <c r="B120" s="6"/>
      <c r="C120" s="9"/>
      <c r="D120" s="9"/>
      <c r="E120" s="9"/>
    </row>
    <row r="121" spans="1:5" x14ac:dyDescent="0.3">
      <c r="A121" s="4"/>
      <c r="B121" s="6"/>
      <c r="C121" s="9"/>
      <c r="D121" s="9"/>
      <c r="E121" s="9"/>
    </row>
    <row r="122" spans="1:5" x14ac:dyDescent="0.3">
      <c r="A122" s="4"/>
      <c r="B122" s="6"/>
      <c r="C122" s="9"/>
      <c r="D122" s="9"/>
      <c r="E122" s="9"/>
    </row>
    <row r="123" spans="1:5" x14ac:dyDescent="0.3">
      <c r="A123" s="4"/>
      <c r="B123" s="6"/>
      <c r="C123" s="9"/>
      <c r="D123" s="9"/>
      <c r="E123" s="9"/>
    </row>
  </sheetData>
  <phoneticPr fontId="2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D3"/>
  <sheetViews>
    <sheetView topLeftCell="B1" workbookViewId="0">
      <selection activeCell="F19" sqref="F19"/>
    </sheetView>
  </sheetViews>
  <sheetFormatPr defaultRowHeight="13.5" x14ac:dyDescent="0.3"/>
  <sheetData>
    <row r="2" spans="4:4" x14ac:dyDescent="0.3">
      <c r="D2" t="s">
        <v>40</v>
      </c>
    </row>
    <row r="3" spans="4:4" x14ac:dyDescent="0.3">
      <c r="D3" t="s">
        <v>41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data</vt:lpstr>
      <vt:lpstr>Sheet1</vt:lpstr>
      <vt:lpstr>figure</vt:lpstr>
      <vt:lpstr>熊市组合</vt:lpstr>
      <vt:lpstr>震荡市组合</vt:lpstr>
      <vt:lpstr>牛市组合</vt:lpstr>
      <vt:lpstr>强势组合</vt:lpstr>
      <vt:lpstr>Sheet2</vt:lpstr>
      <vt:lpstr>说明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2018-08-05T08:10:21Z</dcterms:modified>
</cp:coreProperties>
</file>