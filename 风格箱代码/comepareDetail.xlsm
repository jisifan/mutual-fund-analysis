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"/>
    </mc:Choice>
  </mc:AlternateContent>
  <bookViews>
    <workbookView xWindow="0" yWindow="0" windowWidth="17835" windowHeight="6510" activeTab="1"/>
  </bookViews>
  <sheets>
    <sheet name="Sheet1" sheetId="1" r:id="rId1"/>
    <sheet name="Sheet2" sheetId="5" r:id="rId2"/>
    <sheet name="Sheet3" sheetId="3" r:id="rId3"/>
    <sheet name="category" sheetId="2" r:id="rId4"/>
    <sheet name="category2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O2" i="1" l="1"/>
  <c r="P2" i="1"/>
  <c r="N2" i="1"/>
  <c r="T5" i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<sst xmlns="http://schemas.openxmlformats.org/spreadsheetml/2006/main" count="312" uniqueCount="229">
  <si>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</si>
  <si>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</si>
  <si>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</si>
  <si>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</si>
  <si>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</si>
  <si>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</si>
  <si>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</si>
  <si>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</si>
  <si>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</si>
  <si>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</si>
  <si>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</si>
  <si>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</si>
  <si>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</si>
  <si>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</si>
  <si>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</si>
  <si>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</si>
  <si>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</si>
  <si>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</si>
  <si>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</si>
  <si>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</si>
  <si>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</si>
  <si>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</si>
  <si>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</si>
  <si>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</si>
  <si>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</si>
  <si>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</si>
  <si>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</si>
  <si>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</si>
  <si>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</si>
  <si>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</si>
  <si>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</si>
  <si>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</si>
  <si>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</si>
  <si>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</si>
  <si>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</si>
  <si>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</si>
  <si>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熊市经历平均排名(1:x&lt;30,     2: 30=&lt;x&lt;50,    3:50=&lt;x)</t>
    <phoneticPr fontId="1" type="noConversion"/>
  </si>
  <si>
    <t>熊强震荡强牛强</t>
  </si>
  <si>
    <t>偏股混合型基金</t>
  </si>
  <si>
    <t>450009.OF</t>
  </si>
  <si>
    <t>国富中小盘</t>
  </si>
  <si>
    <t>普通股票型基金</t>
  </si>
  <si>
    <t>519069.OF</t>
  </si>
  <si>
    <t>汇添富价值精选A</t>
  </si>
  <si>
    <t>570005.OF</t>
  </si>
  <si>
    <t>诺德成长优势</t>
  </si>
  <si>
    <t>熊强震荡强牛中</t>
  </si>
  <si>
    <t>320011.OF</t>
  </si>
  <si>
    <t>诺安中小盘精选</t>
  </si>
  <si>
    <t>熊强震荡中牛强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</si>
  <si>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</si>
  <si>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</si>
  <si>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</si>
  <si>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</si>
  <si>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</si>
  <si>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</si>
  <si>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</si>
  <si>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481013.OF</t>
  </si>
  <si>
    <t>工银瑞信消费服务</t>
  </si>
  <si>
    <t>熊中震荡强牛强</t>
  </si>
  <si>
    <t>233001.OF</t>
  </si>
  <si>
    <t>大摩基础行业混合</t>
  </si>
  <si>
    <t>340007.OF</t>
  </si>
  <si>
    <t>兴全社会责任</t>
  </si>
  <si>
    <t>450002.OF</t>
  </si>
  <si>
    <t>国富弹性市值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</si>
  <si>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</si>
  <si>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</si>
  <si>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</si>
  <si>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</si>
  <si>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</si>
  <si>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</si>
  <si>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</si>
  <si>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</si>
  <si>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</si>
  <si>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</si>
  <si>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</si>
  <si>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</si>
  <si>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</si>
  <si>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</si>
  <si>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</si>
  <si>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熊中震荡强牛中</t>
  </si>
  <si>
    <t>110013.OF</t>
  </si>
  <si>
    <t>易方达科翔</t>
  </si>
  <si>
    <t>160613.OF</t>
  </si>
  <si>
    <t>鹏华盛世创新</t>
  </si>
  <si>
    <t>161903.OF</t>
  </si>
  <si>
    <t>万家行业优选</t>
  </si>
  <si>
    <t>540002.OF</t>
  </si>
  <si>
    <t>汇丰晋信龙腾</t>
  </si>
  <si>
    <t>660015.OF</t>
  </si>
  <si>
    <t>农银汇理行业轮动</t>
  </si>
  <si>
    <t>熊强震荡中牛中</t>
  </si>
  <si>
    <t>166009.OF</t>
  </si>
  <si>
    <t>中欧新动力A</t>
  </si>
  <si>
    <t>360010.OF</t>
  </si>
  <si>
    <t>光大精选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</si>
  <si>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</si>
  <si>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</si>
  <si>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</si>
  <si>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</si>
  <si>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</si>
  <si>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</si>
  <si>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</si>
  <si>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</si>
  <si>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</si>
  <si>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090015.OF</t>
  </si>
  <si>
    <t>大成内需增长A</t>
  </si>
  <si>
    <t>202005.OF</t>
  </si>
  <si>
    <t>南方成份精选</t>
  </si>
  <si>
    <t>519008.OF</t>
  </si>
  <si>
    <t>汇添富优势精选</t>
  </si>
  <si>
    <t>000308.OF</t>
  </si>
  <si>
    <t>建信创新中国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</si>
  <si>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</si>
  <si>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</si>
  <si>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</si>
  <si>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</si>
  <si>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</si>
  <si>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</si>
  <si>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至少两个好一个中</t>
    <phoneticPr fontId="1" type="noConversion"/>
  </si>
  <si>
    <t>基金代码</t>
    <phoneticPr fontId="1" type="noConversion"/>
  </si>
  <si>
    <t>基金名称</t>
    <phoneticPr fontId="1" type="noConversion"/>
  </si>
  <si>
    <t>基金投资类型</t>
    <phoneticPr fontId="1" type="noConversion"/>
  </si>
  <si>
    <t>成立日期</t>
    <phoneticPr fontId="1" type="noConversion"/>
  </si>
  <si>
    <t>熊市经历几次</t>
    <phoneticPr fontId="1" type="noConversion"/>
  </si>
  <si>
    <t>震荡市经历几次</t>
    <phoneticPr fontId="1" type="noConversion"/>
  </si>
  <si>
    <t>牛市经历几次</t>
    <phoneticPr fontId="1" type="noConversion"/>
  </si>
  <si>
    <t>熊市经历总天数</t>
    <phoneticPr fontId="1" type="noConversion"/>
  </si>
  <si>
    <t>震荡市经历总天数</t>
    <phoneticPr fontId="1" type="noConversion"/>
  </si>
  <si>
    <t>牛市经历总天数</t>
    <phoneticPr fontId="1" type="noConversion"/>
  </si>
  <si>
    <t>熊市经历平均排名</t>
    <phoneticPr fontId="1" type="noConversion"/>
  </si>
  <si>
    <t>震荡市经历平均排名</t>
    <phoneticPr fontId="1" type="noConversion"/>
  </si>
  <si>
    <t>牛市平均排名</t>
    <phoneticPr fontId="1" type="noConversion"/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</si>
  <si>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</si>
  <si>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</si>
  <si>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</si>
  <si>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</si>
  <si>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</si>
  <si>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</si>
  <si>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熊市经历平均排名(1:x&lt;30,     2: 30=&lt;x&lt;50,    3:50=&lt;x)</t>
  </si>
  <si>
    <t>000251.OF</t>
  </si>
  <si>
    <t>工银瑞信金融地产</t>
  </si>
  <si>
    <t>160211.OF</t>
  </si>
  <si>
    <t>国泰中小盘成长</t>
  </si>
  <si>
    <t>000172.OF</t>
  </si>
  <si>
    <t>华泰柏瑞量化A</t>
  </si>
  <si>
    <t>519732.OF</t>
  </si>
  <si>
    <t>交银定期支付双息平衡</t>
  </si>
  <si>
    <t>平衡混合型基金</t>
  </si>
  <si>
    <t>519068.OF</t>
  </si>
  <si>
    <t>汇添富成长焦点</t>
  </si>
  <si>
    <t>080005.OF</t>
  </si>
  <si>
    <t>长盛量化红利策略</t>
  </si>
  <si>
    <t>180031.OF</t>
  </si>
  <si>
    <t>银华中小盘精选</t>
  </si>
  <si>
    <t>002021.OF</t>
  </si>
  <si>
    <t>华夏回报2号</t>
  </si>
  <si>
    <t>020009.OF</t>
  </si>
  <si>
    <t>国泰金鹏蓝筹价值</t>
  </si>
  <si>
    <t>180012.OF</t>
  </si>
  <si>
    <t>银华富裕主题</t>
  </si>
  <si>
    <t>040008.OF</t>
  </si>
  <si>
    <t>华安策略优选</t>
  </si>
  <si>
    <t>200008.OF</t>
  </si>
  <si>
    <t>长城品牌优选</t>
  </si>
  <si>
    <t>110022.OF</t>
  </si>
  <si>
    <t>易方达消费行业</t>
  </si>
  <si>
    <t>165310.OF</t>
  </si>
  <si>
    <t>建信双利策略主题</t>
  </si>
  <si>
    <t>160212.OF</t>
  </si>
  <si>
    <t>国泰估值优势</t>
  </si>
  <si>
    <t>660003.OF</t>
  </si>
  <si>
    <t>农银汇理平衡双利</t>
  </si>
  <si>
    <t>519156.OF</t>
  </si>
  <si>
    <t>新华行业轮换配置A</t>
  </si>
  <si>
    <t>233007.OF</t>
  </si>
  <si>
    <t>大摩卓越成长</t>
  </si>
  <si>
    <t>519674.OF</t>
  </si>
  <si>
    <t>银河创新成长</t>
  </si>
  <si>
    <t>481017.OF</t>
  </si>
  <si>
    <t>工银瑞信量化策略</t>
  </si>
  <si>
    <t>000020.OF</t>
  </si>
  <si>
    <t>景顺长城品质投资</t>
  </si>
  <si>
    <t>000011.OF</t>
  </si>
  <si>
    <t>华夏大盘精选</t>
  </si>
  <si>
    <t>160505.OF</t>
  </si>
  <si>
    <t>博时主题行业</t>
  </si>
  <si>
    <t>100022.OF</t>
  </si>
  <si>
    <t>富国天瑞强势精选</t>
  </si>
  <si>
    <t>550002.OF</t>
  </si>
  <si>
    <t>信诚精萃成长</t>
  </si>
  <si>
    <t>519017.OF</t>
  </si>
  <si>
    <t>大成积极成长</t>
  </si>
  <si>
    <t>257030.OF</t>
  </si>
  <si>
    <t>国联安优势</t>
  </si>
  <si>
    <t>570001.OF</t>
  </si>
  <si>
    <t>诺德价值优势</t>
  </si>
  <si>
    <t>481008.OF</t>
  </si>
  <si>
    <t>工银瑞信大盘蓝筹</t>
  </si>
  <si>
    <t>040011.OF</t>
  </si>
  <si>
    <t>华安核心优选</t>
  </si>
  <si>
    <t>020015.OF</t>
  </si>
  <si>
    <t>国泰区位优势</t>
  </si>
  <si>
    <t>166005.OF</t>
  </si>
  <si>
    <t>中欧价值发现A</t>
  </si>
  <si>
    <t>660004.OF</t>
  </si>
  <si>
    <t>农银汇理策略价值</t>
  </si>
  <si>
    <t>166006.OF</t>
  </si>
  <si>
    <t>中欧行业成长A</t>
  </si>
  <si>
    <t>690004.OF</t>
  </si>
  <si>
    <t>民生加银稳健成长</t>
  </si>
  <si>
    <t>161219.OF</t>
  </si>
  <si>
    <t>国投瑞银新兴产业</t>
  </si>
  <si>
    <t>040025.OF</t>
  </si>
  <si>
    <t>华安科技动力</t>
  </si>
  <si>
    <t>233011.OF</t>
  </si>
  <si>
    <t>大摩主题优选</t>
  </si>
  <si>
    <t>270041.OF</t>
  </si>
  <si>
    <t>广发消费品精选</t>
  </si>
  <si>
    <t>070032.OF</t>
  </si>
  <si>
    <t>嘉实优化红利</t>
  </si>
  <si>
    <t>000082.OF</t>
  </si>
  <si>
    <t>嘉实研究阿尔法</t>
  </si>
  <si>
    <t>所有都中且至少一个好</t>
    <phoneticPr fontId="1" type="noConversion"/>
  </si>
  <si>
    <t>求和</t>
  </si>
  <si>
    <t>平均值</t>
    <phoneticPr fontId="1" type="noConversion"/>
  </si>
  <si>
    <t>汇总</t>
    <phoneticPr fontId="1" type="noConversion"/>
  </si>
  <si>
    <t>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</si>
</sst>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33338</xdr:colOff>
          <xdr:row>3</xdr:row>
          <xdr:rowOff>166688</xdr:rowOff>
        </xdr:from>
        <xdr:to>
          <xdr:col>23</xdr:col>
          <xdr:colOff>400050</xdr:colOff>
          <xdr:row>5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workbookViewId="0">
      <selection activeCell="G15" sqref="G15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36</v>
      </c>
      <c r="O1" t="s">
        <v>0</v>
      </c>
      <c r="P1" t="s">
        <v>1</v>
      </c>
    </row>
    <row r="2" spans="1:21" x14ac:dyDescent="0.4">
      <c r="D2" s="1"/>
      <c r="N2">
        <f>IF(AND(K2&gt;0,K2&lt;30),1,IF(AND(K2&gt;=30,K2&lt;50),2,IF(K2&gt;=50,3,0)))</f>
        <v>0</v>
      </c>
      <c r="O2">
        <f t="shared" ref="O2:P2" si="0">IF(AND(L2&gt;0,L2&lt;30),1,IF(AND(L2&gt;=30,L2&lt;50),2,IF(L2&gt;=50,3,0)))</f>
        <v>0</v>
      </c>
      <c r="P2">
        <f t="shared" si="0"/>
        <v>0</v>
      </c>
      <c r="S2" t="s">
        <v>29</v>
      </c>
    </row>
    <row r="3" spans="1:21" x14ac:dyDescent="0.4">
      <c r="D3" s="1"/>
      <c r="N3">
        <f t="shared" ref="N3:N66" si="1">IF(AND(K3&gt;0,K3&lt;30),1,IF(AND(K3&gt;=30,K3&lt;50),2,IF(K3&gt;=50,3,0)))</f>
        <v>0</v>
      </c>
      <c r="O3">
        <f t="shared" ref="O3:O66" si="2">IF(AND(L3&gt;0,L3&lt;30),1,IF(AND(L3&gt;=30,L3&lt;50),2,IF(L3&gt;=50,3,0)))</f>
        <v>0</v>
      </c>
      <c r="P3">
        <f t="shared" ref="P3:P66" si="3">IF(AND(M3&gt;0,M3&lt;30),1,IF(AND(M3&gt;=30,M3&lt;50),2,IF(M3&gt;=50,3,0)))</f>
        <v>0</v>
      </c>
      <c r="S3" s="2" t="s">
        <v>2</v>
      </c>
      <c r="T3" s="3">
        <f>COUNTIFS(N2:N762,"=1",O2:O762,"=1",P2:P762,"=1")</f>
        <v>0</v>
      </c>
      <c r="U3" s="4" t="e">
        <f>T3/$T$30</f>
        <v>#DIV/0!</v>
      </c>
    </row>
    <row r="4" spans="1:21" x14ac:dyDescent="0.4">
      <c r="D4" s="1"/>
      <c r="N4">
        <f t="shared" si="1"/>
        <v>0</v>
      </c>
      <c r="O4">
        <f t="shared" si="2"/>
        <v>0</v>
      </c>
      <c r="P4">
        <f t="shared" si="3"/>
        <v>0</v>
      </c>
      <c r="S4" s="2" t="s">
        <v>3</v>
      </c>
      <c r="T4" s="3">
        <f>COUNTIFS(N2:N762,"=1",O2:O762,"=1",P2:P762,"=2")</f>
        <v>0</v>
      </c>
      <c r="U4" s="4" t="e">
        <f t="shared" ref="U4:U29" si="4">T4/$T$30</f>
        <v>#DIV/0!</v>
      </c>
    </row>
    <row r="5" spans="1:21" x14ac:dyDescent="0.4">
      <c r="D5" s="1"/>
      <c r="N5">
        <f t="shared" si="1"/>
        <v>0</v>
      </c>
      <c r="O5">
        <f t="shared" si="2"/>
        <v>0</v>
      </c>
      <c r="P5">
        <f t="shared" si="3"/>
        <v>0</v>
      </c>
      <c r="S5" t="s">
        <v>4</v>
      </c>
      <c r="T5">
        <f>COUNTIFS(N2:N762,"=1",O2:O762,"=1",P2:P762,"=3")</f>
        <v>0</v>
      </c>
      <c r="U5" s="4" t="e">
        <f t="shared" si="4"/>
        <v>#DIV/0!</v>
      </c>
    </row>
    <row r="6" spans="1:21" x14ac:dyDescent="0.4">
      <c r="D6" s="1"/>
      <c r="N6">
        <f t="shared" si="1"/>
        <v>0</v>
      </c>
      <c r="O6">
        <f t="shared" si="2"/>
        <v>0</v>
      </c>
      <c r="P6">
        <f t="shared" si="3"/>
        <v>0</v>
      </c>
      <c r="S6" s="2" t="s">
        <v>5</v>
      </c>
      <c r="T6" s="3">
        <f>COUNTIFS(N2:N762,"=1",O2:O762,"=2",P2:P762,"=1")</f>
        <v>0</v>
      </c>
      <c r="U6" s="4" t="e">
        <f t="shared" si="4"/>
        <v>#DIV/0!</v>
      </c>
    </row>
    <row r="7" spans="1:21" x14ac:dyDescent="0.4">
      <c r="D7" s="1"/>
      <c r="N7">
        <f t="shared" si="1"/>
        <v>0</v>
      </c>
      <c r="O7">
        <f t="shared" si="2"/>
        <v>0</v>
      </c>
      <c r="P7">
        <f t="shared" si="3"/>
        <v>0</v>
      </c>
      <c r="S7" t="s">
        <v>6</v>
      </c>
      <c r="T7">
        <f>COUNTIFS(N2:N762,"=1",O2:O762,"=2",P2:P762,"=2")</f>
        <v>0</v>
      </c>
      <c r="U7" s="4" t="e">
        <f t="shared" si="4"/>
        <v>#DIV/0!</v>
      </c>
    </row>
    <row r="8" spans="1:21" x14ac:dyDescent="0.4">
      <c r="D8" s="1"/>
      <c r="N8">
        <f t="shared" si="1"/>
        <v>0</v>
      </c>
      <c r="O8">
        <f t="shared" si="2"/>
        <v>0</v>
      </c>
      <c r="P8">
        <f t="shared" si="3"/>
        <v>0</v>
      </c>
      <c r="S8" t="s">
        <v>7</v>
      </c>
      <c r="T8">
        <f>COUNTIFS(N2:N762,"=1",O2:O762,"=2",P2:P762,"=3")</f>
        <v>0</v>
      </c>
      <c r="U8" s="4" t="e">
        <f t="shared" si="4"/>
        <v>#DIV/0!</v>
      </c>
    </row>
    <row r="9" spans="1:21" x14ac:dyDescent="0.4">
      <c r="D9" s="1"/>
      <c r="N9">
        <f t="shared" si="1"/>
        <v>0</v>
      </c>
      <c r="O9">
        <f t="shared" si="2"/>
        <v>0</v>
      </c>
      <c r="P9">
        <f t="shared" si="3"/>
        <v>0</v>
      </c>
      <c r="S9" t="s">
        <v>8</v>
      </c>
      <c r="T9">
        <f>COUNTIFS(N2:N762,"=1",O2:O762,"=3",P2:P762,"=1")</f>
        <v>0</v>
      </c>
      <c r="U9" s="4" t="e">
        <f t="shared" si="4"/>
        <v>#DIV/0!</v>
      </c>
    </row>
    <row r="10" spans="1:21" x14ac:dyDescent="0.4">
      <c r="D10" s="1"/>
      <c r="N10">
        <f t="shared" si="1"/>
        <v>0</v>
      </c>
      <c r="O10">
        <f t="shared" si="2"/>
        <v>0</v>
      </c>
      <c r="P10">
        <f t="shared" si="3"/>
        <v>0</v>
      </c>
      <c r="S10" t="s">
        <v>9</v>
      </c>
      <c r="T10">
        <f>COUNTIFS(N2:N762,"=1",O2:O762,"=3",P2:P762,"=2")</f>
        <v>0</v>
      </c>
      <c r="U10" s="4" t="e">
        <f t="shared" si="4"/>
        <v>#DIV/0!</v>
      </c>
    </row>
    <row r="11" spans="1:21" x14ac:dyDescent="0.4">
      <c r="D11" s="1"/>
      <c r="N11">
        <f t="shared" si="1"/>
        <v>0</v>
      </c>
      <c r="O11">
        <f t="shared" si="2"/>
        <v>0</v>
      </c>
      <c r="P11">
        <f t="shared" si="3"/>
        <v>0</v>
      </c>
      <c r="S11" t="s">
        <v>10</v>
      </c>
      <c r="T11">
        <f>COUNTIFS(N2:N762,"=1",O2:O762,"=3",P2:P762,"=3")</f>
        <v>0</v>
      </c>
      <c r="U11" s="4" t="e">
        <f t="shared" si="4"/>
        <v>#DIV/0!</v>
      </c>
    </row>
    <row r="12" spans="1:21" x14ac:dyDescent="0.4">
      <c r="D12" s="1"/>
      <c r="N12">
        <f t="shared" si="1"/>
        <v>0</v>
      </c>
      <c r="O12">
        <f t="shared" si="2"/>
        <v>0</v>
      </c>
      <c r="P12">
        <f t="shared" si="3"/>
        <v>0</v>
      </c>
      <c r="S12" s="2" t="s">
        <v>11</v>
      </c>
      <c r="T12" s="3">
        <f>COUNTIFS(N2:N762,"=2",O2:O762,"=1",P2:P762,"=1")</f>
        <v>0</v>
      </c>
      <c r="U12" s="4" t="e">
        <f t="shared" si="4"/>
        <v>#DIV/0!</v>
      </c>
    </row>
    <row r="13" spans="1:21" x14ac:dyDescent="0.4">
      <c r="D13" s="1"/>
      <c r="N13">
        <f t="shared" si="1"/>
        <v>0</v>
      </c>
      <c r="O13">
        <f t="shared" si="2"/>
        <v>0</v>
      </c>
      <c r="P13">
        <f t="shared" si="3"/>
        <v>0</v>
      </c>
      <c r="S13" t="s">
        <v>12</v>
      </c>
      <c r="T13">
        <f>COUNTIFS(N2:N762,"=2",O2:O762,"=1",P2:P762,"=2")</f>
        <v>0</v>
      </c>
      <c r="U13" s="4" t="e">
        <f t="shared" si="4"/>
        <v>#DIV/0!</v>
      </c>
    </row>
    <row r="14" spans="1:21" x14ac:dyDescent="0.4">
      <c r="D14" s="1"/>
      <c r="N14">
        <f t="shared" si="1"/>
        <v>0</v>
      </c>
      <c r="O14">
        <f t="shared" si="2"/>
        <v>0</v>
      </c>
      <c r="P14">
        <f t="shared" si="3"/>
        <v>0</v>
      </c>
      <c r="S14" t="s">
        <v>13</v>
      </c>
      <c r="T14">
        <f>COUNTIFS(N2:N762,"=2",O2:O762,"=1",P2:P762,"=3")</f>
        <v>0</v>
      </c>
      <c r="U14" s="4" t="e">
        <f t="shared" si="4"/>
        <v>#DIV/0!</v>
      </c>
    </row>
    <row r="15" spans="1:21" x14ac:dyDescent="0.4">
      <c r="D15" s="1"/>
      <c r="N15">
        <f t="shared" si="1"/>
        <v>0</v>
      </c>
      <c r="O15">
        <f t="shared" si="2"/>
        <v>0</v>
      </c>
      <c r="P15">
        <f t="shared" si="3"/>
        <v>0</v>
      </c>
      <c r="S15" t="s">
        <v>14</v>
      </c>
      <c r="T15">
        <f>COUNTIFS(N2:N762,"=2",O2:O762,"=2",P2:P762,"=1")</f>
        <v>0</v>
      </c>
      <c r="U15" s="4" t="e">
        <f t="shared" si="4"/>
        <v>#DIV/0!</v>
      </c>
    </row>
    <row r="16" spans="1:21" x14ac:dyDescent="0.4">
      <c r="D16" s="1"/>
      <c r="N16">
        <f t="shared" si="1"/>
        <v>0</v>
      </c>
      <c r="O16">
        <f t="shared" si="2"/>
        <v>0</v>
      </c>
      <c r="P16">
        <f t="shared" si="3"/>
        <v>0</v>
      </c>
      <c r="S16" t="s">
        <v>15</v>
      </c>
      <c r="T16">
        <f>COUNTIFS(N2:N762,"=2",O2:O762,"=2",P2:P762,"=2")</f>
        <v>0</v>
      </c>
      <c r="U16" s="4" t="e">
        <f t="shared" si="4"/>
        <v>#DIV/0!</v>
      </c>
    </row>
    <row r="17" spans="4:21" x14ac:dyDescent="0.4">
      <c r="D17" s="1"/>
      <c r="N17">
        <f t="shared" si="1"/>
        <v>0</v>
      </c>
      <c r="O17">
        <f t="shared" si="2"/>
        <v>0</v>
      </c>
      <c r="P17">
        <f t="shared" si="3"/>
        <v>0</v>
      </c>
      <c r="S17" t="s">
        <v>16</v>
      </c>
      <c r="T17">
        <f>COUNTIFS(N2:N762,"=2",O2:O762,"=2",P2:P762,"=3")</f>
        <v>0</v>
      </c>
      <c r="U17" s="4" t="e">
        <f t="shared" si="4"/>
        <v>#DIV/0!</v>
      </c>
    </row>
    <row r="18" spans="4:21" x14ac:dyDescent="0.4">
      <c r="D18" s="1"/>
      <c r="N18">
        <f t="shared" si="1"/>
        <v>0</v>
      </c>
      <c r="O18">
        <f t="shared" si="2"/>
        <v>0</v>
      </c>
      <c r="P18">
        <f t="shared" si="3"/>
        <v>0</v>
      </c>
      <c r="S18" t="s">
        <v>17</v>
      </c>
      <c r="T18">
        <f>COUNTIFS(N2:N762,"=2",O2:O762,"=3",P2:P762,"=1")</f>
        <v>0</v>
      </c>
      <c r="U18" s="4" t="e">
        <f t="shared" si="4"/>
        <v>#DIV/0!</v>
      </c>
    </row>
    <row r="19" spans="4:21" x14ac:dyDescent="0.4">
      <c r="D19" s="1"/>
      <c r="N19">
        <f t="shared" si="1"/>
        <v>0</v>
      </c>
      <c r="O19">
        <f t="shared" si="2"/>
        <v>0</v>
      </c>
      <c r="P19">
        <f t="shared" si="3"/>
        <v>0</v>
      </c>
      <c r="S19" t="s">
        <v>18</v>
      </c>
      <c r="T19">
        <f>COUNTIFS(N2:N762,"=2",O2:O762,"=3",P2:P762,"=2")</f>
        <v>0</v>
      </c>
      <c r="U19" s="4" t="e">
        <f t="shared" si="4"/>
        <v>#DIV/0!</v>
      </c>
    </row>
    <row r="20" spans="4:21" x14ac:dyDescent="0.4">
      <c r="D20" s="1"/>
      <c r="N20">
        <f t="shared" si="1"/>
        <v>0</v>
      </c>
      <c r="O20">
        <f t="shared" si="2"/>
        <v>0</v>
      </c>
      <c r="P20">
        <f t="shared" si="3"/>
        <v>0</v>
      </c>
      <c r="S20" t="s">
        <v>19</v>
      </c>
      <c r="T20">
        <f>COUNTIFS(N2:N762,"=2",O2:O762,"=3",P2:P762,"=3")</f>
        <v>0</v>
      </c>
      <c r="U20" s="4" t="e">
        <f t="shared" si="4"/>
        <v>#DIV/0!</v>
      </c>
    </row>
    <row r="21" spans="4:21" x14ac:dyDescent="0.4">
      <c r="D21" s="1"/>
      <c r="N21">
        <f t="shared" si="1"/>
        <v>0</v>
      </c>
      <c r="O21">
        <f t="shared" si="2"/>
        <v>0</v>
      </c>
      <c r="P21">
        <f t="shared" si="3"/>
        <v>0</v>
      </c>
      <c r="S21" t="s">
        <v>20</v>
      </c>
      <c r="T21">
        <f>COUNTIFS(N2:N762,"=3",O2:O762,"=1",P2:P762,"=1")</f>
        <v>0</v>
      </c>
      <c r="U21" s="4" t="e">
        <f t="shared" si="4"/>
        <v>#DIV/0!</v>
      </c>
    </row>
    <row r="22" spans="4:21" x14ac:dyDescent="0.4">
      <c r="D22" s="1"/>
      <c r="N22">
        <f t="shared" si="1"/>
        <v>0</v>
      </c>
      <c r="O22">
        <f t="shared" si="2"/>
        <v>0</v>
      </c>
      <c r="P22">
        <f t="shared" si="3"/>
        <v>0</v>
      </c>
      <c r="S22" t="s">
        <v>21</v>
      </c>
      <c r="T22">
        <f>COUNTIFS(N2:N762,"=3",O2:O762,"=1",P2:P762,"=2")</f>
        <v>0</v>
      </c>
      <c r="U22" s="4" t="e">
        <f t="shared" si="4"/>
        <v>#DIV/0!</v>
      </c>
    </row>
    <row r="23" spans="4:21" x14ac:dyDescent="0.4">
      <c r="D23" s="1"/>
      <c r="N23">
        <f t="shared" si="1"/>
        <v>0</v>
      </c>
      <c r="O23">
        <f t="shared" si="2"/>
        <v>0</v>
      </c>
      <c r="P23">
        <f t="shared" si="3"/>
        <v>0</v>
      </c>
      <c r="S23" t="s">
        <v>22</v>
      </c>
      <c r="T23">
        <f>COUNTIFS(N2:N762,"=3",O2:O762,"=1",P2:P762,"=3")</f>
        <v>0</v>
      </c>
      <c r="U23" s="4" t="e">
        <f t="shared" si="4"/>
        <v>#DIV/0!</v>
      </c>
    </row>
    <row r="24" spans="4:21" x14ac:dyDescent="0.4">
      <c r="D24" s="1"/>
      <c r="N24">
        <f t="shared" si="1"/>
        <v>0</v>
      </c>
      <c r="O24">
        <f t="shared" si="2"/>
        <v>0</v>
      </c>
      <c r="P24">
        <f t="shared" si="3"/>
        <v>0</v>
      </c>
      <c r="S24" t="s">
        <v>23</v>
      </c>
      <c r="T24">
        <f>COUNTIFS(N2:N762,"=3",O2:O762,"=2",P2:P762,"=1")</f>
        <v>0</v>
      </c>
      <c r="U24" s="4" t="e">
        <f t="shared" si="4"/>
        <v>#DIV/0!</v>
      </c>
    </row>
    <row r="25" spans="4:21" x14ac:dyDescent="0.4">
      <c r="D25" s="1"/>
      <c r="N25">
        <f t="shared" si="1"/>
        <v>0</v>
      </c>
      <c r="O25">
        <f t="shared" si="2"/>
        <v>0</v>
      </c>
      <c r="P25">
        <f t="shared" si="3"/>
        <v>0</v>
      </c>
      <c r="S25" t="s">
        <v>24</v>
      </c>
      <c r="T25">
        <f>COUNTIFS(N2:N762,"=3",O2:O762,"=2",P2:P762,"=2")</f>
        <v>0</v>
      </c>
      <c r="U25" s="4" t="e">
        <f t="shared" si="4"/>
        <v>#DIV/0!</v>
      </c>
    </row>
    <row r="26" spans="4:21" x14ac:dyDescent="0.4">
      <c r="D26" s="1"/>
      <c r="N26">
        <f t="shared" si="1"/>
        <v>0</v>
      </c>
      <c r="O26">
        <f t="shared" si="2"/>
        <v>0</v>
      </c>
      <c r="P26">
        <f t="shared" si="3"/>
        <v>0</v>
      </c>
      <c r="S26" t="s">
        <v>25</v>
      </c>
      <c r="T26">
        <f>COUNTIFS(N2:N762,"=3",O2:O762,"=2",P2:P762,"=3")</f>
        <v>0</v>
      </c>
      <c r="U26" s="4" t="e">
        <f t="shared" si="4"/>
        <v>#DIV/0!</v>
      </c>
    </row>
    <row r="27" spans="4:21" x14ac:dyDescent="0.4">
      <c r="D27" s="1"/>
      <c r="N27">
        <f t="shared" si="1"/>
        <v>0</v>
      </c>
      <c r="O27">
        <f t="shared" si="2"/>
        <v>0</v>
      </c>
      <c r="P27">
        <f t="shared" si="3"/>
        <v>0</v>
      </c>
      <c r="S27" t="s">
        <v>26</v>
      </c>
      <c r="T27">
        <f>COUNTIFS(N2:N762,"=3",O2:O762,"=3",P2:P762,"=1")</f>
        <v>0</v>
      </c>
      <c r="U27" s="4" t="e">
        <f t="shared" si="4"/>
        <v>#DIV/0!</v>
      </c>
    </row>
    <row r="28" spans="4:21" x14ac:dyDescent="0.4">
      <c r="D28" s="1"/>
      <c r="N28">
        <f t="shared" si="1"/>
        <v>0</v>
      </c>
      <c r="O28">
        <f t="shared" si="2"/>
        <v>0</v>
      </c>
      <c r="P28">
        <f t="shared" si="3"/>
        <v>0</v>
      </c>
      <c r="S28" t="s">
        <v>27</v>
      </c>
      <c r="T28">
        <f>COUNTIFS(N2:N762,"=3",O2:O762,"=3",P2:P762,"=2")</f>
        <v>0</v>
      </c>
      <c r="U28" s="4" t="e">
        <f t="shared" si="4"/>
        <v>#DIV/0!</v>
      </c>
    </row>
    <row r="29" spans="4:21" x14ac:dyDescent="0.4">
      <c r="D29" s="1"/>
      <c r="N29">
        <f t="shared" si="1"/>
        <v>0</v>
      </c>
      <c r="O29">
        <f t="shared" si="2"/>
        <v>0</v>
      </c>
      <c r="P29">
        <f t="shared" si="3"/>
        <v>0</v>
      </c>
      <c r="S29" t="s">
        <v>28</v>
      </c>
      <c r="T29">
        <f>COUNTIFS(N2:N762,"=3",O2:O762,"=3",P2:P762,"=3")</f>
        <v>0</v>
      </c>
      <c r="U29" s="4" t="e">
        <f t="shared" si="4"/>
        <v>#DIV/0!</v>
      </c>
    </row>
    <row r="30" spans="4:21" x14ac:dyDescent="0.4">
      <c r="D30" s="1"/>
      <c r="N30">
        <f t="shared" si="1"/>
        <v>0</v>
      </c>
      <c r="O30">
        <f t="shared" si="2"/>
        <v>0</v>
      </c>
      <c r="P30">
        <f t="shared" si="3"/>
        <v>0</v>
      </c>
      <c r="T30">
        <f>SUM(T3:T29)</f>
        <v>0</v>
      </c>
    </row>
    <row r="31" spans="4:21" x14ac:dyDescent="0.4">
      <c r="D31" s="1"/>
      <c r="N31">
        <f t="shared" si="1"/>
        <v>0</v>
      </c>
      <c r="O31">
        <f t="shared" si="2"/>
        <v>0</v>
      </c>
      <c r="P31">
        <f t="shared" si="3"/>
        <v>0</v>
      </c>
    </row>
    <row r="32" spans="4:21" x14ac:dyDescent="0.4">
      <c r="D32" s="1"/>
      <c r="N32">
        <f t="shared" si="1"/>
        <v>0</v>
      </c>
      <c r="O32">
        <f t="shared" si="2"/>
        <v>0</v>
      </c>
      <c r="P32">
        <f t="shared" si="3"/>
        <v>0</v>
      </c>
    </row>
    <row r="33" spans="4:22" x14ac:dyDescent="0.4">
      <c r="D33" s="1"/>
      <c r="N33">
        <f t="shared" si="1"/>
        <v>0</v>
      </c>
      <c r="O33">
        <f t="shared" si="2"/>
        <v>0</v>
      </c>
      <c r="P33">
        <f t="shared" si="3"/>
        <v>0</v>
      </c>
    </row>
    <row r="34" spans="4:22" x14ac:dyDescent="0.4">
      <c r="D34" s="1"/>
      <c r="N34">
        <f t="shared" si="1"/>
        <v>0</v>
      </c>
      <c r="O34">
        <f t="shared" si="2"/>
        <v>0</v>
      </c>
      <c r="P34">
        <f t="shared" si="3"/>
        <v>0</v>
      </c>
      <c r="T34" t="s">
        <v>33</v>
      </c>
      <c r="U34" t="s">
        <v>34</v>
      </c>
      <c r="V34" t="s">
        <v>35</v>
      </c>
    </row>
    <row r="35" spans="4:22" x14ac:dyDescent="0.4">
      <c r="D35" s="1"/>
      <c r="N35">
        <f t="shared" si="1"/>
        <v>0</v>
      </c>
      <c r="O35">
        <f t="shared" si="2"/>
        <v>0</v>
      </c>
      <c r="P35">
        <f t="shared" si="3"/>
        <v>0</v>
      </c>
      <c r="S35" t="s">
        <v>30</v>
      </c>
      <c r="T35">
        <f>COUNTIFS(N2:N762,"=1",O2:O762,"&gt;0",P2:P762,"&gt;0")</f>
        <v>0</v>
      </c>
      <c r="U35">
        <f>COUNTIFS(N2:N762,"&gt;0",O2:O762,"=1",P2:P762,"&gt;0")</f>
        <v>0</v>
      </c>
      <c r="V35">
        <f>COUNTIFS(N2:N762,"&gt;0",O2:O762,"&gt;0",P2:P762,"=1")</f>
        <v>0</v>
      </c>
    </row>
    <row r="36" spans="4:22" x14ac:dyDescent="0.4">
      <c r="D36" s="1"/>
      <c r="N36">
        <f t="shared" si="1"/>
        <v>0</v>
      </c>
      <c r="O36">
        <f t="shared" si="2"/>
        <v>0</v>
      </c>
      <c r="P36">
        <f t="shared" si="3"/>
        <v>0</v>
      </c>
      <c r="S36" t="s">
        <v>31</v>
      </c>
      <c r="T36">
        <f>COUNTIFS(N2:N762,"=2",O2:O762,"&gt;0",P2:P762,"&gt;0")</f>
        <v>0</v>
      </c>
      <c r="U36">
        <f>COUNTIFS(N2:N762,"&gt;0",O2:O762,"=2",P2:P762,"&gt;0")</f>
        <v>0</v>
      </c>
      <c r="V36">
        <f>COUNTIFS(N2:N762,"&gt;0",O2:O762,"&gt;0",P2:P762,"=2")</f>
        <v>0</v>
      </c>
    </row>
    <row r="37" spans="4:22" x14ac:dyDescent="0.4">
      <c r="D37" s="1"/>
      <c r="N37">
        <f t="shared" si="1"/>
        <v>0</v>
      </c>
      <c r="O37">
        <f t="shared" si="2"/>
        <v>0</v>
      </c>
      <c r="P37">
        <f t="shared" si="3"/>
        <v>0</v>
      </c>
      <c r="S37" t="s">
        <v>32</v>
      </c>
      <c r="T37">
        <f>COUNTIFS(N2:N762,"=3",O2:O762,"&gt;0",P2:P762,"&gt;0")</f>
        <v>0</v>
      </c>
      <c r="U37">
        <f>COUNTIFS(N2:N762,"&gt;0",O2:O762,"=3",P2:P762,"&gt;0")</f>
        <v>0</v>
      </c>
      <c r="V37">
        <f>COUNTIFS(N2:N762,"&gt;0",O2:O762,"&gt;0",P2:P762,"=3")</f>
        <v>0</v>
      </c>
    </row>
    <row r="38" spans="4:22" x14ac:dyDescent="0.4">
      <c r="D38" s="1"/>
      <c r="N38">
        <f t="shared" si="1"/>
        <v>0</v>
      </c>
      <c r="O38">
        <f t="shared" si="2"/>
        <v>0</v>
      </c>
      <c r="P38">
        <f t="shared" si="3"/>
        <v>0</v>
      </c>
    </row>
    <row r="39" spans="4:22" x14ac:dyDescent="0.4">
      <c r="D39" s="1"/>
      <c r="N39">
        <f t="shared" si="1"/>
        <v>0</v>
      </c>
      <c r="O39">
        <f t="shared" si="2"/>
        <v>0</v>
      </c>
      <c r="P39">
        <f t="shared" si="3"/>
        <v>0</v>
      </c>
    </row>
    <row r="40" spans="4:22" x14ac:dyDescent="0.4">
      <c r="D40" s="1"/>
      <c r="N40">
        <f t="shared" si="1"/>
        <v>0</v>
      </c>
      <c r="O40">
        <f t="shared" si="2"/>
        <v>0</v>
      </c>
      <c r="P40">
        <f t="shared" si="3"/>
        <v>0</v>
      </c>
      <c r="T40" t="s">
        <v>33</v>
      </c>
      <c r="U40" t="s">
        <v>34</v>
      </c>
      <c r="V40" t="s">
        <v>35</v>
      </c>
    </row>
    <row r="41" spans="4:22" x14ac:dyDescent="0.4">
      <c r="D41" s="1"/>
      <c r="N41">
        <f t="shared" si="1"/>
        <v>0</v>
      </c>
      <c r="O41">
        <f t="shared" si="2"/>
        <v>0</v>
      </c>
      <c r="P41">
        <f t="shared" si="3"/>
        <v>0</v>
      </c>
      <c r="S41" t="s">
        <v>30</v>
      </c>
      <c r="T41" s="4" t="e">
        <f>T35/$T$30</f>
        <v>#DIV/0!</v>
      </c>
      <c r="U41" s="4" t="e">
        <f t="shared" ref="U41:V41" si="5">U35/$T$30</f>
        <v>#DIV/0!</v>
      </c>
      <c r="V41" s="4" t="e">
        <f t="shared" si="5"/>
        <v>#DIV/0!</v>
      </c>
    </row>
    <row r="42" spans="4:22" x14ac:dyDescent="0.4">
      <c r="D42" s="1"/>
      <c r="N42">
        <f t="shared" si="1"/>
        <v>0</v>
      </c>
      <c r="O42">
        <f t="shared" si="2"/>
        <v>0</v>
      </c>
      <c r="P42">
        <f t="shared" si="3"/>
        <v>0</v>
      </c>
      <c r="S42" t="s">
        <v>31</v>
      </c>
      <c r="T42" s="4" t="e">
        <f t="shared" ref="T42:V42" si="6">T36/$T$30</f>
        <v>#DIV/0!</v>
      </c>
      <c r="U42" s="4" t="e">
        <f t="shared" si="6"/>
        <v>#DIV/0!</v>
      </c>
      <c r="V42" s="4" t="e">
        <f t="shared" si="6"/>
        <v>#DIV/0!</v>
      </c>
    </row>
    <row r="43" spans="4:22" x14ac:dyDescent="0.4">
      <c r="D43" s="1"/>
      <c r="N43">
        <f t="shared" si="1"/>
        <v>0</v>
      </c>
      <c r="O43">
        <f t="shared" si="2"/>
        <v>0</v>
      </c>
      <c r="P43">
        <f t="shared" si="3"/>
        <v>0</v>
      </c>
      <c r="S43" t="s">
        <v>32</v>
      </c>
      <c r="T43" s="4" t="e">
        <f t="shared" ref="T43:V43" si="7">T37/$T$30</f>
        <v>#DIV/0!</v>
      </c>
      <c r="U43" s="4" t="e">
        <f t="shared" si="7"/>
        <v>#DIV/0!</v>
      </c>
      <c r="V43" s="4" t="e">
        <f t="shared" si="7"/>
        <v>#DIV/0!</v>
      </c>
    </row>
    <row r="44" spans="4:22" x14ac:dyDescent="0.4">
      <c r="D44" s="1"/>
      <c r="N44">
        <f t="shared" si="1"/>
        <v>0</v>
      </c>
      <c r="O44">
        <f t="shared" si="2"/>
        <v>0</v>
      </c>
      <c r="P44">
        <f t="shared" si="3"/>
        <v>0</v>
      </c>
    </row>
    <row r="45" spans="4:22" x14ac:dyDescent="0.4">
      <c r="D45" s="1"/>
      <c r="N45">
        <f t="shared" si="1"/>
        <v>0</v>
      </c>
      <c r="O45">
        <f t="shared" si="2"/>
        <v>0</v>
      </c>
      <c r="P45">
        <f t="shared" si="3"/>
        <v>0</v>
      </c>
    </row>
    <row r="46" spans="4:22" x14ac:dyDescent="0.4">
      <c r="D46" s="1"/>
      <c r="N46">
        <f t="shared" si="1"/>
        <v>0</v>
      </c>
      <c r="O46">
        <f t="shared" si="2"/>
        <v>0</v>
      </c>
      <c r="P46">
        <f t="shared" si="3"/>
        <v>0</v>
      </c>
    </row>
    <row r="47" spans="4:22" x14ac:dyDescent="0.4">
      <c r="D47" s="1"/>
      <c r="N47">
        <f t="shared" si="1"/>
        <v>0</v>
      </c>
      <c r="O47">
        <f t="shared" si="2"/>
        <v>0</v>
      </c>
      <c r="P47">
        <f t="shared" si="3"/>
        <v>0</v>
      </c>
    </row>
    <row r="48" spans="4:22" x14ac:dyDescent="0.4">
      <c r="D48" s="1"/>
      <c r="N48">
        <f t="shared" si="1"/>
        <v>0</v>
      </c>
      <c r="O48">
        <f t="shared" si="2"/>
        <v>0</v>
      </c>
      <c r="P48">
        <f t="shared" si="3"/>
        <v>0</v>
      </c>
    </row>
    <row r="49" spans="4:16" x14ac:dyDescent="0.4">
      <c r="D49" s="1"/>
      <c r="N49">
        <f t="shared" si="1"/>
        <v>0</v>
      </c>
      <c r="O49">
        <f t="shared" si="2"/>
        <v>0</v>
      </c>
      <c r="P49">
        <f t="shared" si="3"/>
        <v>0</v>
      </c>
    </row>
    <row r="50" spans="4:16" x14ac:dyDescent="0.4">
      <c r="D50" s="1"/>
      <c r="N50">
        <f t="shared" si="1"/>
        <v>0</v>
      </c>
      <c r="O50">
        <f t="shared" si="2"/>
        <v>0</v>
      </c>
      <c r="P50">
        <f t="shared" si="3"/>
        <v>0</v>
      </c>
    </row>
    <row r="51" spans="4:16" x14ac:dyDescent="0.4">
      <c r="D51" s="1"/>
      <c r="N51">
        <f t="shared" si="1"/>
        <v>0</v>
      </c>
      <c r="O51">
        <f t="shared" si="2"/>
        <v>0</v>
      </c>
      <c r="P51">
        <f t="shared" si="3"/>
        <v>0</v>
      </c>
    </row>
    <row r="52" spans="4:16" x14ac:dyDescent="0.4">
      <c r="D52" s="1"/>
      <c r="N52">
        <f t="shared" si="1"/>
        <v>0</v>
      </c>
      <c r="O52">
        <f t="shared" si="2"/>
        <v>0</v>
      </c>
      <c r="P52">
        <f t="shared" si="3"/>
        <v>0</v>
      </c>
    </row>
    <row r="53" spans="4:16" x14ac:dyDescent="0.4">
      <c r="D53" s="1"/>
      <c r="N53">
        <f t="shared" si="1"/>
        <v>0</v>
      </c>
      <c r="O53">
        <f t="shared" si="2"/>
        <v>0</v>
      </c>
      <c r="P53">
        <f t="shared" si="3"/>
        <v>0</v>
      </c>
    </row>
    <row r="54" spans="4:16" x14ac:dyDescent="0.4">
      <c r="D54" s="1"/>
      <c r="N54">
        <f t="shared" si="1"/>
        <v>0</v>
      </c>
      <c r="O54">
        <f t="shared" si="2"/>
        <v>0</v>
      </c>
      <c r="P54">
        <f t="shared" si="3"/>
        <v>0</v>
      </c>
    </row>
    <row r="55" spans="4:16" x14ac:dyDescent="0.4">
      <c r="D55" s="1"/>
      <c r="N55">
        <f t="shared" si="1"/>
        <v>0</v>
      </c>
      <c r="O55">
        <f t="shared" si="2"/>
        <v>0</v>
      </c>
      <c r="P55">
        <f t="shared" si="3"/>
        <v>0</v>
      </c>
    </row>
    <row r="56" spans="4:16" x14ac:dyDescent="0.4">
      <c r="D56" s="1"/>
      <c r="N56">
        <f t="shared" si="1"/>
        <v>0</v>
      </c>
      <c r="O56">
        <f t="shared" si="2"/>
        <v>0</v>
      </c>
      <c r="P56">
        <f t="shared" si="3"/>
        <v>0</v>
      </c>
    </row>
    <row r="57" spans="4:16" x14ac:dyDescent="0.4">
      <c r="D57" s="1"/>
      <c r="N57">
        <f t="shared" si="1"/>
        <v>0</v>
      </c>
      <c r="O57">
        <f t="shared" si="2"/>
        <v>0</v>
      </c>
      <c r="P57">
        <f t="shared" si="3"/>
        <v>0</v>
      </c>
    </row>
    <row r="58" spans="4:16" x14ac:dyDescent="0.4">
      <c r="D58" s="1"/>
      <c r="N58">
        <f t="shared" si="1"/>
        <v>0</v>
      </c>
      <c r="O58">
        <f t="shared" si="2"/>
        <v>0</v>
      </c>
      <c r="P58">
        <f t="shared" si="3"/>
        <v>0</v>
      </c>
    </row>
    <row r="59" spans="4:16" x14ac:dyDescent="0.4">
      <c r="D59" s="1"/>
      <c r="N59">
        <f t="shared" si="1"/>
        <v>0</v>
      </c>
      <c r="O59">
        <f t="shared" si="2"/>
        <v>0</v>
      </c>
      <c r="P59">
        <f t="shared" si="3"/>
        <v>0</v>
      </c>
    </row>
    <row r="60" spans="4:16" x14ac:dyDescent="0.4">
      <c r="D60" s="1"/>
      <c r="N60">
        <f t="shared" si="1"/>
        <v>0</v>
      </c>
      <c r="O60">
        <f t="shared" si="2"/>
        <v>0</v>
      </c>
      <c r="P60">
        <f t="shared" si="3"/>
        <v>0</v>
      </c>
    </row>
    <row r="61" spans="4:16" x14ac:dyDescent="0.4">
      <c r="D61" s="1"/>
      <c r="N61">
        <f t="shared" si="1"/>
        <v>0</v>
      </c>
      <c r="O61">
        <f t="shared" si="2"/>
        <v>0</v>
      </c>
      <c r="P61">
        <f t="shared" si="3"/>
        <v>0</v>
      </c>
    </row>
    <row r="62" spans="4:16" x14ac:dyDescent="0.4">
      <c r="D62" s="1"/>
      <c r="N62">
        <f t="shared" si="1"/>
        <v>0</v>
      </c>
      <c r="O62">
        <f t="shared" si="2"/>
        <v>0</v>
      </c>
      <c r="P62">
        <f t="shared" si="3"/>
        <v>0</v>
      </c>
    </row>
    <row r="63" spans="4:16" x14ac:dyDescent="0.4">
      <c r="D63" s="1"/>
      <c r="N63">
        <f t="shared" si="1"/>
        <v>0</v>
      </c>
      <c r="O63">
        <f t="shared" si="2"/>
        <v>0</v>
      </c>
      <c r="P63">
        <f t="shared" si="3"/>
        <v>0</v>
      </c>
    </row>
    <row r="64" spans="4:16" x14ac:dyDescent="0.4">
      <c r="D64" s="1"/>
      <c r="N64">
        <f t="shared" si="1"/>
        <v>0</v>
      </c>
      <c r="O64">
        <f t="shared" si="2"/>
        <v>0</v>
      </c>
      <c r="P64">
        <f t="shared" si="3"/>
        <v>0</v>
      </c>
    </row>
    <row r="65" spans="4:16" x14ac:dyDescent="0.4">
      <c r="D65" s="1"/>
      <c r="N65">
        <f t="shared" si="1"/>
        <v>0</v>
      </c>
      <c r="O65">
        <f t="shared" si="2"/>
        <v>0</v>
      </c>
      <c r="P65">
        <f t="shared" si="3"/>
        <v>0</v>
      </c>
    </row>
    <row r="66" spans="4:16" x14ac:dyDescent="0.4">
      <c r="D66" s="1"/>
      <c r="N66">
        <f t="shared" si="1"/>
        <v>0</v>
      </c>
      <c r="O66">
        <f t="shared" si="2"/>
        <v>0</v>
      </c>
      <c r="P66">
        <f t="shared" si="3"/>
        <v>0</v>
      </c>
    </row>
    <row r="67" spans="4:16" x14ac:dyDescent="0.4">
      <c r="D67" s="1"/>
      <c r="N67">
        <f t="shared" ref="N67:N130" si="8">IF(AND(K67&gt;0,K67&lt;30),1,IF(AND(K67&gt;=30,K67&lt;50),2,IF(K67&gt;=50,3,0)))</f>
        <v>0</v>
      </c>
      <c r="O67">
        <f t="shared" ref="O67:O130" si="9">IF(AND(L67&gt;0,L67&lt;30),1,IF(AND(L67&gt;=30,L67&lt;50),2,IF(L67&gt;=50,3,0)))</f>
        <v>0</v>
      </c>
      <c r="P67">
        <f t="shared" ref="P67:P130" si="10">IF(AND(M67&gt;0,M67&lt;30),1,IF(AND(M67&gt;=30,M67&lt;50),2,IF(M67&gt;=50,3,0)))</f>
        <v>0</v>
      </c>
    </row>
    <row r="68" spans="4:16" x14ac:dyDescent="0.4">
      <c r="D68" s="1"/>
      <c r="N68">
        <f t="shared" si="8"/>
        <v>0</v>
      </c>
      <c r="O68">
        <f t="shared" si="9"/>
        <v>0</v>
      </c>
      <c r="P68">
        <f t="shared" si="10"/>
        <v>0</v>
      </c>
    </row>
    <row r="69" spans="4:16" x14ac:dyDescent="0.4">
      <c r="D69" s="1"/>
      <c r="N69">
        <f t="shared" si="8"/>
        <v>0</v>
      </c>
      <c r="O69">
        <f t="shared" si="9"/>
        <v>0</v>
      </c>
      <c r="P69">
        <f t="shared" si="10"/>
        <v>0</v>
      </c>
    </row>
    <row r="70" spans="4:16" x14ac:dyDescent="0.4">
      <c r="D70" s="1"/>
      <c r="N70">
        <f t="shared" si="8"/>
        <v>0</v>
      </c>
      <c r="O70">
        <f t="shared" si="9"/>
        <v>0</v>
      </c>
      <c r="P70">
        <f t="shared" si="10"/>
        <v>0</v>
      </c>
    </row>
    <row r="71" spans="4:16" x14ac:dyDescent="0.4">
      <c r="D71" s="1"/>
      <c r="N71">
        <f t="shared" si="8"/>
        <v>0</v>
      </c>
      <c r="O71">
        <f t="shared" si="9"/>
        <v>0</v>
      </c>
      <c r="P71">
        <f t="shared" si="10"/>
        <v>0</v>
      </c>
    </row>
    <row r="72" spans="4:16" x14ac:dyDescent="0.4">
      <c r="D72" s="1"/>
      <c r="N72">
        <f t="shared" si="8"/>
        <v>0</v>
      </c>
      <c r="O72">
        <f t="shared" si="9"/>
        <v>0</v>
      </c>
      <c r="P72">
        <f t="shared" si="10"/>
        <v>0</v>
      </c>
    </row>
    <row r="73" spans="4:16" x14ac:dyDescent="0.4">
      <c r="D73" s="1"/>
      <c r="N73">
        <f t="shared" si="8"/>
        <v>0</v>
      </c>
      <c r="O73">
        <f t="shared" si="9"/>
        <v>0</v>
      </c>
      <c r="P73">
        <f t="shared" si="10"/>
        <v>0</v>
      </c>
    </row>
    <row r="74" spans="4:16" x14ac:dyDescent="0.4">
      <c r="D74" s="1"/>
      <c r="N74">
        <f t="shared" si="8"/>
        <v>0</v>
      </c>
      <c r="O74">
        <f t="shared" si="9"/>
        <v>0</v>
      </c>
      <c r="P74">
        <f t="shared" si="10"/>
        <v>0</v>
      </c>
    </row>
    <row r="75" spans="4:16" x14ac:dyDescent="0.4">
      <c r="D75" s="1"/>
      <c r="N75">
        <f t="shared" si="8"/>
        <v>0</v>
      </c>
      <c r="O75">
        <f t="shared" si="9"/>
        <v>0</v>
      </c>
      <c r="P75">
        <f t="shared" si="10"/>
        <v>0</v>
      </c>
    </row>
    <row r="76" spans="4:16" x14ac:dyDescent="0.4">
      <c r="D76" s="1"/>
      <c r="N76">
        <f t="shared" si="8"/>
        <v>0</v>
      </c>
      <c r="O76">
        <f t="shared" si="9"/>
        <v>0</v>
      </c>
      <c r="P76">
        <f t="shared" si="10"/>
        <v>0</v>
      </c>
    </row>
    <row r="77" spans="4:16" x14ac:dyDescent="0.4">
      <c r="D77" s="1"/>
      <c r="N77">
        <f t="shared" si="8"/>
        <v>0</v>
      </c>
      <c r="O77">
        <f t="shared" si="9"/>
        <v>0</v>
      </c>
      <c r="P77">
        <f t="shared" si="10"/>
        <v>0</v>
      </c>
    </row>
    <row r="78" spans="4:16" x14ac:dyDescent="0.4">
      <c r="D78" s="1"/>
      <c r="N78">
        <f t="shared" si="8"/>
        <v>0</v>
      </c>
      <c r="O78">
        <f t="shared" si="9"/>
        <v>0</v>
      </c>
      <c r="P78">
        <f t="shared" si="10"/>
        <v>0</v>
      </c>
    </row>
    <row r="79" spans="4:16" x14ac:dyDescent="0.4">
      <c r="D79" s="1"/>
      <c r="N79">
        <f t="shared" si="8"/>
        <v>0</v>
      </c>
      <c r="O79">
        <f t="shared" si="9"/>
        <v>0</v>
      </c>
      <c r="P79">
        <f t="shared" si="10"/>
        <v>0</v>
      </c>
    </row>
    <row r="80" spans="4:16" x14ac:dyDescent="0.4">
      <c r="D80" s="1"/>
      <c r="N80">
        <f t="shared" si="8"/>
        <v>0</v>
      </c>
      <c r="O80">
        <f t="shared" si="9"/>
        <v>0</v>
      </c>
      <c r="P80">
        <f t="shared" si="10"/>
        <v>0</v>
      </c>
    </row>
    <row r="81" spans="4:16" x14ac:dyDescent="0.4">
      <c r="D81" s="1"/>
      <c r="N81">
        <f t="shared" si="8"/>
        <v>0</v>
      </c>
      <c r="O81">
        <f t="shared" si="9"/>
        <v>0</v>
      </c>
      <c r="P81">
        <f t="shared" si="10"/>
        <v>0</v>
      </c>
    </row>
    <row r="82" spans="4:16" x14ac:dyDescent="0.4">
      <c r="D82" s="1"/>
      <c r="N82">
        <f t="shared" si="8"/>
        <v>0</v>
      </c>
      <c r="O82">
        <f t="shared" si="9"/>
        <v>0</v>
      </c>
      <c r="P82">
        <f t="shared" si="10"/>
        <v>0</v>
      </c>
    </row>
    <row r="83" spans="4:16" x14ac:dyDescent="0.4">
      <c r="D83" s="1"/>
      <c r="N83">
        <f t="shared" si="8"/>
        <v>0</v>
      </c>
      <c r="O83">
        <f t="shared" si="9"/>
        <v>0</v>
      </c>
      <c r="P83">
        <f t="shared" si="10"/>
        <v>0</v>
      </c>
    </row>
    <row r="84" spans="4:16" x14ac:dyDescent="0.4">
      <c r="D84" s="1"/>
      <c r="N84">
        <f t="shared" si="8"/>
        <v>0</v>
      </c>
      <c r="O84">
        <f t="shared" si="9"/>
        <v>0</v>
      </c>
      <c r="P84">
        <f t="shared" si="10"/>
        <v>0</v>
      </c>
    </row>
    <row r="85" spans="4:16" x14ac:dyDescent="0.4">
      <c r="D85" s="1"/>
      <c r="N85">
        <f t="shared" si="8"/>
        <v>0</v>
      </c>
      <c r="O85">
        <f t="shared" si="9"/>
        <v>0</v>
      </c>
      <c r="P85">
        <f t="shared" si="10"/>
        <v>0</v>
      </c>
    </row>
    <row r="86" spans="4:16" x14ac:dyDescent="0.4">
      <c r="D86" s="1"/>
      <c r="N86">
        <f t="shared" si="8"/>
        <v>0</v>
      </c>
      <c r="O86">
        <f t="shared" si="9"/>
        <v>0</v>
      </c>
      <c r="P86">
        <f t="shared" si="10"/>
        <v>0</v>
      </c>
    </row>
    <row r="87" spans="4:16" x14ac:dyDescent="0.4">
      <c r="D87" s="1"/>
      <c r="N87">
        <f t="shared" si="8"/>
        <v>0</v>
      </c>
      <c r="O87">
        <f t="shared" si="9"/>
        <v>0</v>
      </c>
      <c r="P87">
        <f t="shared" si="10"/>
        <v>0</v>
      </c>
    </row>
    <row r="88" spans="4:16" x14ac:dyDescent="0.4">
      <c r="D88" s="1"/>
      <c r="N88">
        <f t="shared" si="8"/>
        <v>0</v>
      </c>
      <c r="O88">
        <f t="shared" si="9"/>
        <v>0</v>
      </c>
      <c r="P88">
        <f t="shared" si="10"/>
        <v>0</v>
      </c>
    </row>
    <row r="89" spans="4:16" x14ac:dyDescent="0.4">
      <c r="D89" s="1"/>
      <c r="N89">
        <f t="shared" si="8"/>
        <v>0</v>
      </c>
      <c r="O89">
        <f t="shared" si="9"/>
        <v>0</v>
      </c>
      <c r="P89">
        <f t="shared" si="10"/>
        <v>0</v>
      </c>
    </row>
    <row r="90" spans="4:16" x14ac:dyDescent="0.4">
      <c r="D90" s="1"/>
      <c r="N90">
        <f t="shared" si="8"/>
        <v>0</v>
      </c>
      <c r="O90">
        <f t="shared" si="9"/>
        <v>0</v>
      </c>
      <c r="P90">
        <f t="shared" si="10"/>
        <v>0</v>
      </c>
    </row>
    <row r="91" spans="4:16" x14ac:dyDescent="0.4">
      <c r="D91" s="1"/>
      <c r="N91">
        <f t="shared" si="8"/>
        <v>0</v>
      </c>
      <c r="O91">
        <f t="shared" si="9"/>
        <v>0</v>
      </c>
      <c r="P91">
        <f t="shared" si="10"/>
        <v>0</v>
      </c>
    </row>
    <row r="92" spans="4:16" x14ac:dyDescent="0.4">
      <c r="D92" s="1"/>
      <c r="N92">
        <f t="shared" si="8"/>
        <v>0</v>
      </c>
      <c r="O92">
        <f t="shared" si="9"/>
        <v>0</v>
      </c>
      <c r="P92">
        <f t="shared" si="10"/>
        <v>0</v>
      </c>
    </row>
    <row r="93" spans="4:16" x14ac:dyDescent="0.4">
      <c r="D93" s="1"/>
      <c r="N93">
        <f t="shared" si="8"/>
        <v>0</v>
      </c>
      <c r="O93">
        <f t="shared" si="9"/>
        <v>0</v>
      </c>
      <c r="P93">
        <f t="shared" si="10"/>
        <v>0</v>
      </c>
    </row>
    <row r="94" spans="4:16" x14ac:dyDescent="0.4">
      <c r="D94" s="1"/>
      <c r="N94">
        <f t="shared" si="8"/>
        <v>0</v>
      </c>
      <c r="O94">
        <f t="shared" si="9"/>
        <v>0</v>
      </c>
      <c r="P94">
        <f t="shared" si="10"/>
        <v>0</v>
      </c>
    </row>
    <row r="95" spans="4:16" x14ac:dyDescent="0.4">
      <c r="D95" s="1"/>
      <c r="N95">
        <f t="shared" si="8"/>
        <v>0</v>
      </c>
      <c r="O95">
        <f t="shared" si="9"/>
        <v>0</v>
      </c>
      <c r="P95">
        <f t="shared" si="10"/>
        <v>0</v>
      </c>
    </row>
    <row r="96" spans="4:16" x14ac:dyDescent="0.4">
      <c r="D96" s="1"/>
      <c r="N96">
        <f t="shared" si="8"/>
        <v>0</v>
      </c>
      <c r="O96">
        <f t="shared" si="9"/>
        <v>0</v>
      </c>
      <c r="P96">
        <f t="shared" si="10"/>
        <v>0</v>
      </c>
    </row>
    <row r="97" spans="4:16" x14ac:dyDescent="0.4">
      <c r="D97" s="1"/>
      <c r="N97">
        <f t="shared" si="8"/>
        <v>0</v>
      </c>
      <c r="O97">
        <f t="shared" si="9"/>
        <v>0</v>
      </c>
      <c r="P97">
        <f t="shared" si="10"/>
        <v>0</v>
      </c>
    </row>
    <row r="98" spans="4:16" x14ac:dyDescent="0.4">
      <c r="D98" s="1"/>
      <c r="N98">
        <f t="shared" si="8"/>
        <v>0</v>
      </c>
      <c r="O98">
        <f t="shared" si="9"/>
        <v>0</v>
      </c>
      <c r="P98">
        <f t="shared" si="10"/>
        <v>0</v>
      </c>
    </row>
    <row r="99" spans="4:16" x14ac:dyDescent="0.4">
      <c r="D99" s="1"/>
      <c r="N99">
        <f t="shared" si="8"/>
        <v>0</v>
      </c>
      <c r="O99">
        <f t="shared" si="9"/>
        <v>0</v>
      </c>
      <c r="P99">
        <f t="shared" si="10"/>
        <v>0</v>
      </c>
    </row>
    <row r="100" spans="4:16" x14ac:dyDescent="0.4">
      <c r="D100" s="1"/>
      <c r="N100">
        <f t="shared" si="8"/>
        <v>0</v>
      </c>
      <c r="O100">
        <f t="shared" si="9"/>
        <v>0</v>
      </c>
      <c r="P100">
        <f t="shared" si="10"/>
        <v>0</v>
      </c>
    </row>
    <row r="101" spans="4:16" x14ac:dyDescent="0.4">
      <c r="D101" s="1"/>
      <c r="N101">
        <f t="shared" si="8"/>
        <v>0</v>
      </c>
      <c r="O101">
        <f t="shared" si="9"/>
        <v>0</v>
      </c>
      <c r="P101">
        <f t="shared" si="10"/>
        <v>0</v>
      </c>
    </row>
    <row r="102" spans="4:16" x14ac:dyDescent="0.4">
      <c r="D102" s="1"/>
      <c r="N102">
        <f t="shared" si="8"/>
        <v>0</v>
      </c>
      <c r="O102">
        <f t="shared" si="9"/>
        <v>0</v>
      </c>
      <c r="P102">
        <f t="shared" si="10"/>
        <v>0</v>
      </c>
    </row>
    <row r="103" spans="4:16" x14ac:dyDescent="0.4">
      <c r="D103" s="1"/>
      <c r="N103">
        <f t="shared" si="8"/>
        <v>0</v>
      </c>
      <c r="O103">
        <f t="shared" si="9"/>
        <v>0</v>
      </c>
      <c r="P103">
        <f t="shared" si="10"/>
        <v>0</v>
      </c>
    </row>
    <row r="104" spans="4:16" x14ac:dyDescent="0.4">
      <c r="D104" s="1"/>
      <c r="N104">
        <f t="shared" si="8"/>
        <v>0</v>
      </c>
      <c r="O104">
        <f t="shared" si="9"/>
        <v>0</v>
      </c>
      <c r="P104">
        <f t="shared" si="10"/>
        <v>0</v>
      </c>
    </row>
    <row r="105" spans="4:16" x14ac:dyDescent="0.4">
      <c r="D105" s="1"/>
      <c r="N105">
        <f t="shared" si="8"/>
        <v>0</v>
      </c>
      <c r="O105">
        <f t="shared" si="9"/>
        <v>0</v>
      </c>
      <c r="P105">
        <f t="shared" si="10"/>
        <v>0</v>
      </c>
    </row>
    <row r="106" spans="4:16" x14ac:dyDescent="0.4">
      <c r="D106" s="1"/>
      <c r="N106">
        <f t="shared" si="8"/>
        <v>0</v>
      </c>
      <c r="O106">
        <f t="shared" si="9"/>
        <v>0</v>
      </c>
      <c r="P106">
        <f t="shared" si="10"/>
        <v>0</v>
      </c>
    </row>
    <row r="107" spans="4:16" x14ac:dyDescent="0.4">
      <c r="D107" s="1"/>
      <c r="N107">
        <f t="shared" si="8"/>
        <v>0</v>
      </c>
      <c r="O107">
        <f t="shared" si="9"/>
        <v>0</v>
      </c>
      <c r="P107">
        <f t="shared" si="10"/>
        <v>0</v>
      </c>
    </row>
    <row r="108" spans="4:16" x14ac:dyDescent="0.4">
      <c r="D108" s="1"/>
      <c r="N108">
        <f t="shared" si="8"/>
        <v>0</v>
      </c>
      <c r="O108">
        <f t="shared" si="9"/>
        <v>0</v>
      </c>
      <c r="P108">
        <f t="shared" si="10"/>
        <v>0</v>
      </c>
    </row>
    <row r="109" spans="4:16" x14ac:dyDescent="0.4">
      <c r="D109" s="1"/>
      <c r="N109">
        <f t="shared" si="8"/>
        <v>0</v>
      </c>
      <c r="O109">
        <f t="shared" si="9"/>
        <v>0</v>
      </c>
      <c r="P109">
        <f t="shared" si="10"/>
        <v>0</v>
      </c>
    </row>
    <row r="110" spans="4:16" x14ac:dyDescent="0.4">
      <c r="D110" s="1"/>
      <c r="N110">
        <f t="shared" si="8"/>
        <v>0</v>
      </c>
      <c r="O110">
        <f t="shared" si="9"/>
        <v>0</v>
      </c>
      <c r="P110">
        <f t="shared" si="10"/>
        <v>0</v>
      </c>
    </row>
    <row r="111" spans="4:16" x14ac:dyDescent="0.4">
      <c r="D111" s="1"/>
      <c r="N111">
        <f t="shared" si="8"/>
        <v>0</v>
      </c>
      <c r="O111">
        <f t="shared" si="9"/>
        <v>0</v>
      </c>
      <c r="P111">
        <f t="shared" si="10"/>
        <v>0</v>
      </c>
    </row>
    <row r="112" spans="4:16" x14ac:dyDescent="0.4">
      <c r="D112" s="1"/>
      <c r="N112">
        <f t="shared" si="8"/>
        <v>0</v>
      </c>
      <c r="O112">
        <f t="shared" si="9"/>
        <v>0</v>
      </c>
      <c r="P112">
        <f t="shared" si="10"/>
        <v>0</v>
      </c>
    </row>
    <row r="113" spans="4:16" x14ac:dyDescent="0.4">
      <c r="D113" s="1"/>
      <c r="N113">
        <f t="shared" si="8"/>
        <v>0</v>
      </c>
      <c r="O113">
        <f t="shared" si="9"/>
        <v>0</v>
      </c>
      <c r="P113">
        <f t="shared" si="10"/>
        <v>0</v>
      </c>
    </row>
    <row r="114" spans="4:16" x14ac:dyDescent="0.4">
      <c r="D114" s="1"/>
      <c r="N114">
        <f t="shared" si="8"/>
        <v>0</v>
      </c>
      <c r="O114">
        <f t="shared" si="9"/>
        <v>0</v>
      </c>
      <c r="P114">
        <f t="shared" si="10"/>
        <v>0</v>
      </c>
    </row>
    <row r="115" spans="4:16" x14ac:dyDescent="0.4">
      <c r="D115" s="1"/>
      <c r="N115">
        <f t="shared" si="8"/>
        <v>0</v>
      </c>
      <c r="O115">
        <f t="shared" si="9"/>
        <v>0</v>
      </c>
      <c r="P115">
        <f t="shared" si="10"/>
        <v>0</v>
      </c>
    </row>
    <row r="116" spans="4:16" x14ac:dyDescent="0.4">
      <c r="D116" s="1"/>
      <c r="N116">
        <f t="shared" si="8"/>
        <v>0</v>
      </c>
      <c r="O116">
        <f t="shared" si="9"/>
        <v>0</v>
      </c>
      <c r="P116">
        <f t="shared" si="10"/>
        <v>0</v>
      </c>
    </row>
    <row r="117" spans="4:16" x14ac:dyDescent="0.4">
      <c r="D117" s="1"/>
      <c r="N117">
        <f t="shared" si="8"/>
        <v>0</v>
      </c>
      <c r="O117">
        <f t="shared" si="9"/>
        <v>0</v>
      </c>
      <c r="P117">
        <f t="shared" si="10"/>
        <v>0</v>
      </c>
    </row>
    <row r="118" spans="4:16" x14ac:dyDescent="0.4">
      <c r="D118" s="1"/>
      <c r="N118">
        <f t="shared" si="8"/>
        <v>0</v>
      </c>
      <c r="O118">
        <f t="shared" si="9"/>
        <v>0</v>
      </c>
      <c r="P118">
        <f t="shared" si="10"/>
        <v>0</v>
      </c>
    </row>
    <row r="119" spans="4:16" x14ac:dyDescent="0.4">
      <c r="D119" s="1"/>
      <c r="N119">
        <f t="shared" si="8"/>
        <v>0</v>
      </c>
      <c r="O119">
        <f t="shared" si="9"/>
        <v>0</v>
      </c>
      <c r="P119">
        <f t="shared" si="10"/>
        <v>0</v>
      </c>
    </row>
    <row r="120" spans="4:16" x14ac:dyDescent="0.4">
      <c r="D120" s="1"/>
      <c r="N120">
        <f t="shared" si="8"/>
        <v>0</v>
      </c>
      <c r="O120">
        <f t="shared" si="9"/>
        <v>0</v>
      </c>
      <c r="P120">
        <f t="shared" si="10"/>
        <v>0</v>
      </c>
    </row>
    <row r="121" spans="4:16" x14ac:dyDescent="0.4">
      <c r="D121" s="1"/>
      <c r="N121">
        <f t="shared" si="8"/>
        <v>0</v>
      </c>
      <c r="O121">
        <f t="shared" si="9"/>
        <v>0</v>
      </c>
      <c r="P121">
        <f t="shared" si="10"/>
        <v>0</v>
      </c>
    </row>
    <row r="122" spans="4:16" x14ac:dyDescent="0.4">
      <c r="D122" s="1"/>
      <c r="N122">
        <f t="shared" si="8"/>
        <v>0</v>
      </c>
      <c r="O122">
        <f t="shared" si="9"/>
        <v>0</v>
      </c>
      <c r="P122">
        <f t="shared" si="10"/>
        <v>0</v>
      </c>
    </row>
    <row r="123" spans="4:16" x14ac:dyDescent="0.4">
      <c r="D123" s="1"/>
      <c r="N123">
        <f t="shared" si="8"/>
        <v>0</v>
      </c>
      <c r="O123">
        <f t="shared" si="9"/>
        <v>0</v>
      </c>
      <c r="P123">
        <f t="shared" si="10"/>
        <v>0</v>
      </c>
    </row>
    <row r="124" spans="4:16" x14ac:dyDescent="0.4">
      <c r="D124" s="1"/>
      <c r="N124">
        <f t="shared" si="8"/>
        <v>0</v>
      </c>
      <c r="O124">
        <f t="shared" si="9"/>
        <v>0</v>
      </c>
      <c r="P124">
        <f t="shared" si="10"/>
        <v>0</v>
      </c>
    </row>
    <row r="125" spans="4:16" x14ac:dyDescent="0.4">
      <c r="D125" s="1"/>
      <c r="N125">
        <f t="shared" si="8"/>
        <v>0</v>
      </c>
      <c r="O125">
        <f t="shared" si="9"/>
        <v>0</v>
      </c>
      <c r="P125">
        <f t="shared" si="10"/>
        <v>0</v>
      </c>
    </row>
    <row r="126" spans="4:16" x14ac:dyDescent="0.4">
      <c r="D126" s="1"/>
      <c r="N126">
        <f t="shared" si="8"/>
        <v>0</v>
      </c>
      <c r="O126">
        <f t="shared" si="9"/>
        <v>0</v>
      </c>
      <c r="P126">
        <f t="shared" si="10"/>
        <v>0</v>
      </c>
    </row>
    <row r="127" spans="4:16" x14ac:dyDescent="0.4">
      <c r="D127" s="1"/>
      <c r="N127">
        <f t="shared" si="8"/>
        <v>0</v>
      </c>
      <c r="O127">
        <f t="shared" si="9"/>
        <v>0</v>
      </c>
      <c r="P127">
        <f t="shared" si="10"/>
        <v>0</v>
      </c>
    </row>
    <row r="128" spans="4:16" x14ac:dyDescent="0.4">
      <c r="D128" s="1"/>
      <c r="N128">
        <f t="shared" si="8"/>
        <v>0</v>
      </c>
      <c r="O128">
        <f t="shared" si="9"/>
        <v>0</v>
      </c>
      <c r="P128">
        <f t="shared" si="10"/>
        <v>0</v>
      </c>
    </row>
    <row r="129" spans="4:16" x14ac:dyDescent="0.4">
      <c r="D129" s="1"/>
      <c r="N129">
        <f t="shared" si="8"/>
        <v>0</v>
      </c>
      <c r="O129">
        <f t="shared" si="9"/>
        <v>0</v>
      </c>
      <c r="P129">
        <f t="shared" si="10"/>
        <v>0</v>
      </c>
    </row>
    <row r="130" spans="4:16" x14ac:dyDescent="0.4">
      <c r="D130" s="1"/>
      <c r="N130">
        <f t="shared" si="8"/>
        <v>0</v>
      </c>
      <c r="O130">
        <f t="shared" si="9"/>
        <v>0</v>
      </c>
      <c r="P130">
        <f t="shared" si="10"/>
        <v>0</v>
      </c>
    </row>
    <row r="131" spans="4:16" x14ac:dyDescent="0.4">
      <c r="D131" s="1"/>
      <c r="N131">
        <f t="shared" ref="N131:N194" si="11">IF(AND(K131&gt;0,K131&lt;30),1,IF(AND(K131&gt;=30,K131&lt;50),2,IF(K131&gt;=50,3,0)))</f>
        <v>0</v>
      </c>
      <c r="O131">
        <f t="shared" ref="O131:O194" si="12">IF(AND(L131&gt;0,L131&lt;30),1,IF(AND(L131&gt;=30,L131&lt;50),2,IF(L131&gt;=50,3,0)))</f>
        <v>0</v>
      </c>
      <c r="P131">
        <f t="shared" ref="P131:P194" si="13">IF(AND(M131&gt;0,M131&lt;30),1,IF(AND(M131&gt;=30,M131&lt;50),2,IF(M131&gt;=50,3,0)))</f>
        <v>0</v>
      </c>
    </row>
    <row r="132" spans="4:16" x14ac:dyDescent="0.4">
      <c r="D132" s="1"/>
      <c r="N132">
        <f t="shared" si="11"/>
        <v>0</v>
      </c>
      <c r="O132">
        <f t="shared" si="12"/>
        <v>0</v>
      </c>
      <c r="P132">
        <f t="shared" si="13"/>
        <v>0</v>
      </c>
    </row>
    <row r="133" spans="4:16" x14ac:dyDescent="0.4">
      <c r="D133" s="1"/>
      <c r="N133">
        <f t="shared" si="11"/>
        <v>0</v>
      </c>
      <c r="O133">
        <f t="shared" si="12"/>
        <v>0</v>
      </c>
      <c r="P133">
        <f t="shared" si="13"/>
        <v>0</v>
      </c>
    </row>
    <row r="134" spans="4:16" x14ac:dyDescent="0.4">
      <c r="D134" s="1"/>
      <c r="N134">
        <f t="shared" si="11"/>
        <v>0</v>
      </c>
      <c r="O134">
        <f t="shared" si="12"/>
        <v>0</v>
      </c>
      <c r="P134">
        <f t="shared" si="13"/>
        <v>0</v>
      </c>
    </row>
    <row r="135" spans="4:16" x14ac:dyDescent="0.4">
      <c r="D135" s="1"/>
      <c r="N135">
        <f t="shared" si="11"/>
        <v>0</v>
      </c>
      <c r="O135">
        <f t="shared" si="12"/>
        <v>0</v>
      </c>
      <c r="P135">
        <f t="shared" si="13"/>
        <v>0</v>
      </c>
    </row>
    <row r="136" spans="4:16" x14ac:dyDescent="0.4">
      <c r="D136" s="1"/>
      <c r="N136">
        <f t="shared" si="11"/>
        <v>0</v>
      </c>
      <c r="O136">
        <f t="shared" si="12"/>
        <v>0</v>
      </c>
      <c r="P136">
        <f t="shared" si="13"/>
        <v>0</v>
      </c>
    </row>
    <row r="137" spans="4:16" x14ac:dyDescent="0.4">
      <c r="D137" s="1"/>
      <c r="N137">
        <f t="shared" si="11"/>
        <v>0</v>
      </c>
      <c r="O137">
        <f t="shared" si="12"/>
        <v>0</v>
      </c>
      <c r="P137">
        <f t="shared" si="13"/>
        <v>0</v>
      </c>
    </row>
    <row r="138" spans="4:16" x14ac:dyDescent="0.4">
      <c r="D138" s="1"/>
      <c r="N138">
        <f t="shared" si="11"/>
        <v>0</v>
      </c>
      <c r="O138">
        <f t="shared" si="12"/>
        <v>0</v>
      </c>
      <c r="P138">
        <f t="shared" si="13"/>
        <v>0</v>
      </c>
    </row>
    <row r="139" spans="4:16" x14ac:dyDescent="0.4">
      <c r="D139" s="1"/>
      <c r="N139">
        <f t="shared" si="11"/>
        <v>0</v>
      </c>
      <c r="O139">
        <f t="shared" si="12"/>
        <v>0</v>
      </c>
      <c r="P139">
        <f t="shared" si="13"/>
        <v>0</v>
      </c>
    </row>
    <row r="140" spans="4:16" x14ac:dyDescent="0.4">
      <c r="D140" s="1"/>
      <c r="N140">
        <f t="shared" si="11"/>
        <v>0</v>
      </c>
      <c r="O140">
        <f t="shared" si="12"/>
        <v>0</v>
      </c>
      <c r="P140">
        <f t="shared" si="13"/>
        <v>0</v>
      </c>
    </row>
    <row r="141" spans="4:16" x14ac:dyDescent="0.4">
      <c r="D141" s="1"/>
      <c r="N141">
        <f t="shared" si="11"/>
        <v>0</v>
      </c>
      <c r="O141">
        <f t="shared" si="12"/>
        <v>0</v>
      </c>
      <c r="P141">
        <f t="shared" si="13"/>
        <v>0</v>
      </c>
    </row>
    <row r="142" spans="4:16" x14ac:dyDescent="0.4">
      <c r="D142" s="1"/>
      <c r="N142">
        <f t="shared" si="11"/>
        <v>0</v>
      </c>
      <c r="O142">
        <f t="shared" si="12"/>
        <v>0</v>
      </c>
      <c r="P142">
        <f t="shared" si="13"/>
        <v>0</v>
      </c>
    </row>
    <row r="143" spans="4:16" x14ac:dyDescent="0.4">
      <c r="D143" s="1"/>
      <c r="N143">
        <f t="shared" si="11"/>
        <v>0</v>
      </c>
      <c r="O143">
        <f t="shared" si="12"/>
        <v>0</v>
      </c>
      <c r="P143">
        <f t="shared" si="13"/>
        <v>0</v>
      </c>
    </row>
    <row r="144" spans="4:16" x14ac:dyDescent="0.4">
      <c r="D144" s="1"/>
      <c r="N144">
        <f t="shared" si="11"/>
        <v>0</v>
      </c>
      <c r="O144">
        <f t="shared" si="12"/>
        <v>0</v>
      </c>
      <c r="P144">
        <f t="shared" si="13"/>
        <v>0</v>
      </c>
    </row>
    <row r="145" spans="4:16" x14ac:dyDescent="0.4">
      <c r="D145" s="1"/>
      <c r="N145">
        <f t="shared" si="11"/>
        <v>0</v>
      </c>
      <c r="O145">
        <f t="shared" si="12"/>
        <v>0</v>
      </c>
      <c r="P145">
        <f t="shared" si="13"/>
        <v>0</v>
      </c>
    </row>
    <row r="146" spans="4:16" x14ac:dyDescent="0.4">
      <c r="D146" s="1"/>
      <c r="N146">
        <f t="shared" si="11"/>
        <v>0</v>
      </c>
      <c r="O146">
        <f t="shared" si="12"/>
        <v>0</v>
      </c>
      <c r="P146">
        <f t="shared" si="13"/>
        <v>0</v>
      </c>
    </row>
    <row r="147" spans="4:16" x14ac:dyDescent="0.4">
      <c r="D147" s="1"/>
      <c r="N147">
        <f t="shared" si="11"/>
        <v>0</v>
      </c>
      <c r="O147">
        <f t="shared" si="12"/>
        <v>0</v>
      </c>
      <c r="P147">
        <f t="shared" si="13"/>
        <v>0</v>
      </c>
    </row>
    <row r="148" spans="4:16" x14ac:dyDescent="0.4">
      <c r="D148" s="1"/>
      <c r="N148">
        <f t="shared" si="11"/>
        <v>0</v>
      </c>
      <c r="O148">
        <f t="shared" si="12"/>
        <v>0</v>
      </c>
      <c r="P148">
        <f t="shared" si="13"/>
        <v>0</v>
      </c>
    </row>
    <row r="149" spans="4:16" x14ac:dyDescent="0.4">
      <c r="D149" s="1"/>
      <c r="N149">
        <f t="shared" si="11"/>
        <v>0</v>
      </c>
      <c r="O149">
        <f t="shared" si="12"/>
        <v>0</v>
      </c>
      <c r="P149">
        <f t="shared" si="13"/>
        <v>0</v>
      </c>
    </row>
    <row r="150" spans="4:16" x14ac:dyDescent="0.4">
      <c r="D150" s="1"/>
      <c r="N150">
        <f t="shared" si="11"/>
        <v>0</v>
      </c>
      <c r="O150">
        <f t="shared" si="12"/>
        <v>0</v>
      </c>
      <c r="P150">
        <f t="shared" si="13"/>
        <v>0</v>
      </c>
    </row>
    <row r="151" spans="4:16" x14ac:dyDescent="0.4">
      <c r="D151" s="1"/>
      <c r="N151">
        <f t="shared" si="11"/>
        <v>0</v>
      </c>
      <c r="O151">
        <f t="shared" si="12"/>
        <v>0</v>
      </c>
      <c r="P151">
        <f t="shared" si="13"/>
        <v>0</v>
      </c>
    </row>
    <row r="152" spans="4:16" x14ac:dyDescent="0.4">
      <c r="D152" s="1"/>
      <c r="N152">
        <f t="shared" si="11"/>
        <v>0</v>
      </c>
      <c r="O152">
        <f t="shared" si="12"/>
        <v>0</v>
      </c>
      <c r="P152">
        <f t="shared" si="13"/>
        <v>0</v>
      </c>
    </row>
    <row r="153" spans="4:16" x14ac:dyDescent="0.4">
      <c r="D153" s="1"/>
      <c r="N153">
        <f t="shared" si="11"/>
        <v>0</v>
      </c>
      <c r="O153">
        <f t="shared" si="12"/>
        <v>0</v>
      </c>
      <c r="P153">
        <f t="shared" si="13"/>
        <v>0</v>
      </c>
    </row>
    <row r="154" spans="4:16" x14ac:dyDescent="0.4">
      <c r="D154" s="1"/>
      <c r="N154">
        <f t="shared" si="11"/>
        <v>0</v>
      </c>
      <c r="O154">
        <f t="shared" si="12"/>
        <v>0</v>
      </c>
      <c r="P154">
        <f t="shared" si="13"/>
        <v>0</v>
      </c>
    </row>
    <row r="155" spans="4:16" x14ac:dyDescent="0.4">
      <c r="D155" s="1"/>
      <c r="N155">
        <f t="shared" si="11"/>
        <v>0</v>
      </c>
      <c r="O155">
        <f t="shared" si="12"/>
        <v>0</v>
      </c>
      <c r="P155">
        <f t="shared" si="13"/>
        <v>0</v>
      </c>
    </row>
    <row r="156" spans="4:16" x14ac:dyDescent="0.4">
      <c r="D156" s="1"/>
      <c r="N156">
        <f t="shared" si="11"/>
        <v>0</v>
      </c>
      <c r="O156">
        <f t="shared" si="12"/>
        <v>0</v>
      </c>
      <c r="P156">
        <f t="shared" si="13"/>
        <v>0</v>
      </c>
    </row>
    <row r="157" spans="4:16" x14ac:dyDescent="0.4">
      <c r="D157" s="1"/>
      <c r="N157">
        <f t="shared" si="11"/>
        <v>0</v>
      </c>
      <c r="O157">
        <f t="shared" si="12"/>
        <v>0</v>
      </c>
      <c r="P157">
        <f t="shared" si="13"/>
        <v>0</v>
      </c>
    </row>
    <row r="158" spans="4:16" x14ac:dyDescent="0.4">
      <c r="D158" s="1"/>
      <c r="N158">
        <f t="shared" si="11"/>
        <v>0</v>
      </c>
      <c r="O158">
        <f t="shared" si="12"/>
        <v>0</v>
      </c>
      <c r="P158">
        <f t="shared" si="13"/>
        <v>0</v>
      </c>
    </row>
    <row r="159" spans="4:16" x14ac:dyDescent="0.4">
      <c r="D159" s="1"/>
      <c r="N159">
        <f t="shared" si="11"/>
        <v>0</v>
      </c>
      <c r="O159">
        <f t="shared" si="12"/>
        <v>0</v>
      </c>
      <c r="P159">
        <f t="shared" si="13"/>
        <v>0</v>
      </c>
    </row>
    <row r="160" spans="4:16" x14ac:dyDescent="0.4">
      <c r="D160" s="1"/>
      <c r="N160">
        <f t="shared" si="11"/>
        <v>0</v>
      </c>
      <c r="O160">
        <f t="shared" si="12"/>
        <v>0</v>
      </c>
      <c r="P160">
        <f t="shared" si="13"/>
        <v>0</v>
      </c>
    </row>
    <row r="161" spans="4:16" x14ac:dyDescent="0.4">
      <c r="D161" s="1"/>
      <c r="N161">
        <f t="shared" si="11"/>
        <v>0</v>
      </c>
      <c r="O161">
        <f t="shared" si="12"/>
        <v>0</v>
      </c>
      <c r="P161">
        <f t="shared" si="13"/>
        <v>0</v>
      </c>
    </row>
    <row r="162" spans="4:16" x14ac:dyDescent="0.4">
      <c r="D162" s="1"/>
      <c r="N162">
        <f t="shared" si="11"/>
        <v>0</v>
      </c>
      <c r="O162">
        <f t="shared" si="12"/>
        <v>0</v>
      </c>
      <c r="P162">
        <f t="shared" si="13"/>
        <v>0</v>
      </c>
    </row>
    <row r="163" spans="4:16" x14ac:dyDescent="0.4">
      <c r="D163" s="1"/>
      <c r="N163">
        <f t="shared" si="11"/>
        <v>0</v>
      </c>
      <c r="O163">
        <f t="shared" si="12"/>
        <v>0</v>
      </c>
      <c r="P163">
        <f t="shared" si="13"/>
        <v>0</v>
      </c>
    </row>
    <row r="164" spans="4:16" x14ac:dyDescent="0.4">
      <c r="D164" s="1"/>
      <c r="N164">
        <f t="shared" si="11"/>
        <v>0</v>
      </c>
      <c r="O164">
        <f t="shared" si="12"/>
        <v>0</v>
      </c>
      <c r="P164">
        <f t="shared" si="13"/>
        <v>0</v>
      </c>
    </row>
    <row r="165" spans="4:16" x14ac:dyDescent="0.4">
      <c r="D165" s="1"/>
      <c r="N165">
        <f t="shared" si="11"/>
        <v>0</v>
      </c>
      <c r="O165">
        <f t="shared" si="12"/>
        <v>0</v>
      </c>
      <c r="P165">
        <f t="shared" si="13"/>
        <v>0</v>
      </c>
    </row>
    <row r="166" spans="4:16" x14ac:dyDescent="0.4">
      <c r="D166" s="1"/>
      <c r="N166">
        <f t="shared" si="11"/>
        <v>0</v>
      </c>
      <c r="O166">
        <f t="shared" si="12"/>
        <v>0</v>
      </c>
      <c r="P166">
        <f t="shared" si="13"/>
        <v>0</v>
      </c>
    </row>
    <row r="167" spans="4:16" x14ac:dyDescent="0.4">
      <c r="D167" s="1"/>
      <c r="N167">
        <f t="shared" si="11"/>
        <v>0</v>
      </c>
      <c r="O167">
        <f t="shared" si="12"/>
        <v>0</v>
      </c>
      <c r="P167">
        <f t="shared" si="13"/>
        <v>0</v>
      </c>
    </row>
    <row r="168" spans="4:16" x14ac:dyDescent="0.4">
      <c r="D168" s="1"/>
      <c r="N168">
        <f t="shared" si="11"/>
        <v>0</v>
      </c>
      <c r="O168">
        <f t="shared" si="12"/>
        <v>0</v>
      </c>
      <c r="P168">
        <f t="shared" si="13"/>
        <v>0</v>
      </c>
    </row>
    <row r="169" spans="4:16" x14ac:dyDescent="0.4">
      <c r="D169" s="1"/>
      <c r="N169">
        <f t="shared" si="11"/>
        <v>0</v>
      </c>
      <c r="O169">
        <f t="shared" si="12"/>
        <v>0</v>
      </c>
      <c r="P169">
        <f t="shared" si="13"/>
        <v>0</v>
      </c>
    </row>
    <row r="170" spans="4:16" x14ac:dyDescent="0.4">
      <c r="D170" s="1"/>
      <c r="N170">
        <f t="shared" si="11"/>
        <v>0</v>
      </c>
      <c r="O170">
        <f t="shared" si="12"/>
        <v>0</v>
      </c>
      <c r="P170">
        <f t="shared" si="13"/>
        <v>0</v>
      </c>
    </row>
    <row r="171" spans="4:16" x14ac:dyDescent="0.4">
      <c r="D171" s="1"/>
      <c r="N171">
        <f t="shared" si="11"/>
        <v>0</v>
      </c>
      <c r="O171">
        <f t="shared" si="12"/>
        <v>0</v>
      </c>
      <c r="P171">
        <f t="shared" si="13"/>
        <v>0</v>
      </c>
    </row>
    <row r="172" spans="4:16" x14ac:dyDescent="0.4">
      <c r="D172" s="1"/>
      <c r="N172">
        <f t="shared" si="11"/>
        <v>0</v>
      </c>
      <c r="O172">
        <f t="shared" si="12"/>
        <v>0</v>
      </c>
      <c r="P172">
        <f t="shared" si="13"/>
        <v>0</v>
      </c>
    </row>
    <row r="173" spans="4:16" x14ac:dyDescent="0.4">
      <c r="D173" s="1"/>
      <c r="N173">
        <f t="shared" si="11"/>
        <v>0</v>
      </c>
      <c r="O173">
        <f t="shared" si="12"/>
        <v>0</v>
      </c>
      <c r="P173">
        <f t="shared" si="13"/>
        <v>0</v>
      </c>
    </row>
    <row r="174" spans="4:16" x14ac:dyDescent="0.4">
      <c r="D174" s="1"/>
      <c r="N174">
        <f t="shared" si="11"/>
        <v>0</v>
      </c>
      <c r="O174">
        <f t="shared" si="12"/>
        <v>0</v>
      </c>
      <c r="P174">
        <f t="shared" si="13"/>
        <v>0</v>
      </c>
    </row>
    <row r="175" spans="4:16" x14ac:dyDescent="0.4">
      <c r="D175" s="1"/>
      <c r="N175">
        <f t="shared" si="11"/>
        <v>0</v>
      </c>
      <c r="O175">
        <f t="shared" si="12"/>
        <v>0</v>
      </c>
      <c r="P175">
        <f t="shared" si="13"/>
        <v>0</v>
      </c>
    </row>
    <row r="176" spans="4:16" x14ac:dyDescent="0.4">
      <c r="D176" s="1"/>
      <c r="N176">
        <f t="shared" si="11"/>
        <v>0</v>
      </c>
      <c r="O176">
        <f t="shared" si="12"/>
        <v>0</v>
      </c>
      <c r="P176">
        <f t="shared" si="13"/>
        <v>0</v>
      </c>
    </row>
    <row r="177" spans="4:16" x14ac:dyDescent="0.4">
      <c r="D177" s="1"/>
      <c r="N177">
        <f t="shared" si="11"/>
        <v>0</v>
      </c>
      <c r="O177">
        <f t="shared" si="12"/>
        <v>0</v>
      </c>
      <c r="P177">
        <f t="shared" si="13"/>
        <v>0</v>
      </c>
    </row>
    <row r="178" spans="4:16" x14ac:dyDescent="0.4">
      <c r="D178" s="1"/>
      <c r="N178">
        <f t="shared" si="11"/>
        <v>0</v>
      </c>
      <c r="O178">
        <f t="shared" si="12"/>
        <v>0</v>
      </c>
      <c r="P178">
        <f t="shared" si="13"/>
        <v>0</v>
      </c>
    </row>
    <row r="179" spans="4:16" x14ac:dyDescent="0.4">
      <c r="D179" s="1"/>
      <c r="N179">
        <f t="shared" si="11"/>
        <v>0</v>
      </c>
      <c r="O179">
        <f t="shared" si="12"/>
        <v>0</v>
      </c>
      <c r="P179">
        <f t="shared" si="13"/>
        <v>0</v>
      </c>
    </row>
    <row r="180" spans="4:16" x14ac:dyDescent="0.4">
      <c r="D180" s="1"/>
      <c r="N180">
        <f t="shared" si="11"/>
        <v>0</v>
      </c>
      <c r="O180">
        <f t="shared" si="12"/>
        <v>0</v>
      </c>
      <c r="P180">
        <f t="shared" si="13"/>
        <v>0</v>
      </c>
    </row>
    <row r="181" spans="4:16" x14ac:dyDescent="0.4">
      <c r="D181" s="1"/>
      <c r="N181">
        <f t="shared" si="11"/>
        <v>0</v>
      </c>
      <c r="O181">
        <f t="shared" si="12"/>
        <v>0</v>
      </c>
      <c r="P181">
        <f t="shared" si="13"/>
        <v>0</v>
      </c>
    </row>
    <row r="182" spans="4:16" x14ac:dyDescent="0.4">
      <c r="D182" s="1"/>
      <c r="N182">
        <f t="shared" si="11"/>
        <v>0</v>
      </c>
      <c r="O182">
        <f t="shared" si="12"/>
        <v>0</v>
      </c>
      <c r="P182">
        <f t="shared" si="13"/>
        <v>0</v>
      </c>
    </row>
    <row r="183" spans="4:16" x14ac:dyDescent="0.4">
      <c r="D183" s="1"/>
      <c r="N183">
        <f t="shared" si="11"/>
        <v>0</v>
      </c>
      <c r="O183">
        <f t="shared" si="12"/>
        <v>0</v>
      </c>
      <c r="P183">
        <f t="shared" si="13"/>
        <v>0</v>
      </c>
    </row>
    <row r="184" spans="4:16" x14ac:dyDescent="0.4">
      <c r="D184" s="1"/>
      <c r="N184">
        <f t="shared" si="11"/>
        <v>0</v>
      </c>
      <c r="O184">
        <f t="shared" si="12"/>
        <v>0</v>
      </c>
      <c r="P184">
        <f t="shared" si="13"/>
        <v>0</v>
      </c>
    </row>
    <row r="185" spans="4:16" x14ac:dyDescent="0.4">
      <c r="D185" s="1"/>
      <c r="N185">
        <f t="shared" si="11"/>
        <v>0</v>
      </c>
      <c r="O185">
        <f t="shared" si="12"/>
        <v>0</v>
      </c>
      <c r="P185">
        <f t="shared" si="13"/>
        <v>0</v>
      </c>
    </row>
    <row r="186" spans="4:16" x14ac:dyDescent="0.4">
      <c r="D186" s="1"/>
      <c r="N186">
        <f t="shared" si="11"/>
        <v>0</v>
      </c>
      <c r="O186">
        <f t="shared" si="12"/>
        <v>0</v>
      </c>
      <c r="P186">
        <f t="shared" si="13"/>
        <v>0</v>
      </c>
    </row>
    <row r="187" spans="4:16" x14ac:dyDescent="0.4">
      <c r="D187" s="1"/>
      <c r="N187">
        <f t="shared" si="11"/>
        <v>0</v>
      </c>
      <c r="O187">
        <f t="shared" si="12"/>
        <v>0</v>
      </c>
      <c r="P187">
        <f t="shared" si="13"/>
        <v>0</v>
      </c>
    </row>
    <row r="188" spans="4:16" x14ac:dyDescent="0.4">
      <c r="D188" s="1"/>
      <c r="N188">
        <f t="shared" si="11"/>
        <v>0</v>
      </c>
      <c r="O188">
        <f t="shared" si="12"/>
        <v>0</v>
      </c>
      <c r="P188">
        <f t="shared" si="13"/>
        <v>0</v>
      </c>
    </row>
    <row r="189" spans="4:16" x14ac:dyDescent="0.4">
      <c r="D189" s="1"/>
      <c r="N189">
        <f t="shared" si="11"/>
        <v>0</v>
      </c>
      <c r="O189">
        <f t="shared" si="12"/>
        <v>0</v>
      </c>
      <c r="P189">
        <f t="shared" si="13"/>
        <v>0</v>
      </c>
    </row>
    <row r="190" spans="4:16" x14ac:dyDescent="0.4">
      <c r="D190" s="1"/>
      <c r="N190">
        <f t="shared" si="11"/>
        <v>0</v>
      </c>
      <c r="O190">
        <f t="shared" si="12"/>
        <v>0</v>
      </c>
      <c r="P190">
        <f t="shared" si="13"/>
        <v>0</v>
      </c>
    </row>
    <row r="191" spans="4:16" x14ac:dyDescent="0.4">
      <c r="D191" s="1"/>
      <c r="N191">
        <f t="shared" si="11"/>
        <v>0</v>
      </c>
      <c r="O191">
        <f t="shared" si="12"/>
        <v>0</v>
      </c>
      <c r="P191">
        <f t="shared" si="13"/>
        <v>0</v>
      </c>
    </row>
    <row r="192" spans="4:16" x14ac:dyDescent="0.4">
      <c r="D192" s="1"/>
      <c r="N192">
        <f t="shared" si="11"/>
        <v>0</v>
      </c>
      <c r="O192">
        <f t="shared" si="12"/>
        <v>0</v>
      </c>
      <c r="P192">
        <f t="shared" si="13"/>
        <v>0</v>
      </c>
    </row>
    <row r="193" spans="4:16" x14ac:dyDescent="0.4">
      <c r="D193" s="1"/>
      <c r="N193">
        <f t="shared" si="11"/>
        <v>0</v>
      </c>
      <c r="O193">
        <f t="shared" si="12"/>
        <v>0</v>
      </c>
      <c r="P193">
        <f t="shared" si="13"/>
        <v>0</v>
      </c>
    </row>
    <row r="194" spans="4:16" x14ac:dyDescent="0.4">
      <c r="D194" s="1"/>
      <c r="N194">
        <f t="shared" si="11"/>
        <v>0</v>
      </c>
      <c r="O194">
        <f t="shared" si="12"/>
        <v>0</v>
      </c>
      <c r="P194">
        <f t="shared" si="13"/>
        <v>0</v>
      </c>
    </row>
    <row r="195" spans="4:16" x14ac:dyDescent="0.4">
      <c r="D195" s="1"/>
      <c r="N195">
        <f t="shared" ref="N195:N258" si="14">IF(AND(K195&gt;0,K195&lt;30),1,IF(AND(K195&gt;=30,K195&lt;50),2,IF(K195&gt;=50,3,0)))</f>
        <v>0</v>
      </c>
      <c r="O195">
        <f t="shared" ref="O195:O258" si="15">IF(AND(L195&gt;0,L195&lt;30),1,IF(AND(L195&gt;=30,L195&lt;50),2,IF(L195&gt;=50,3,0)))</f>
        <v>0</v>
      </c>
      <c r="P195">
        <f t="shared" ref="P195:P258" si="16">IF(AND(M195&gt;0,M195&lt;30),1,IF(AND(M195&gt;=30,M195&lt;50),2,IF(M195&gt;=50,3,0)))</f>
        <v>0</v>
      </c>
    </row>
    <row r="196" spans="4:16" x14ac:dyDescent="0.4">
      <c r="D196" s="1"/>
      <c r="N196">
        <f t="shared" si="14"/>
        <v>0</v>
      </c>
      <c r="O196">
        <f t="shared" si="15"/>
        <v>0</v>
      </c>
      <c r="P196">
        <f t="shared" si="16"/>
        <v>0</v>
      </c>
    </row>
    <row r="197" spans="4:16" x14ac:dyDescent="0.4">
      <c r="D197" s="1"/>
      <c r="N197">
        <f t="shared" si="14"/>
        <v>0</v>
      </c>
      <c r="O197">
        <f t="shared" si="15"/>
        <v>0</v>
      </c>
      <c r="P197">
        <f t="shared" si="16"/>
        <v>0</v>
      </c>
    </row>
    <row r="198" spans="4:16" x14ac:dyDescent="0.4">
      <c r="D198" s="1"/>
      <c r="N198">
        <f t="shared" si="14"/>
        <v>0</v>
      </c>
      <c r="O198">
        <f t="shared" si="15"/>
        <v>0</v>
      </c>
      <c r="P198">
        <f t="shared" si="16"/>
        <v>0</v>
      </c>
    </row>
    <row r="199" spans="4:16" x14ac:dyDescent="0.4">
      <c r="D199" s="1"/>
      <c r="N199">
        <f t="shared" si="14"/>
        <v>0</v>
      </c>
      <c r="O199">
        <f t="shared" si="15"/>
        <v>0</v>
      </c>
      <c r="P199">
        <f t="shared" si="16"/>
        <v>0</v>
      </c>
    </row>
    <row r="200" spans="4:16" x14ac:dyDescent="0.4">
      <c r="D200" s="1"/>
      <c r="N200">
        <f t="shared" si="14"/>
        <v>0</v>
      </c>
      <c r="O200">
        <f t="shared" si="15"/>
        <v>0</v>
      </c>
      <c r="P200">
        <f t="shared" si="16"/>
        <v>0</v>
      </c>
    </row>
    <row r="201" spans="4:16" x14ac:dyDescent="0.4">
      <c r="D201" s="1"/>
      <c r="N201">
        <f t="shared" si="14"/>
        <v>0</v>
      </c>
      <c r="O201">
        <f t="shared" si="15"/>
        <v>0</v>
      </c>
      <c r="P201">
        <f t="shared" si="16"/>
        <v>0</v>
      </c>
    </row>
    <row r="202" spans="4:16" x14ac:dyDescent="0.4">
      <c r="D202" s="1"/>
      <c r="N202">
        <f t="shared" si="14"/>
        <v>0</v>
      </c>
      <c r="O202">
        <f t="shared" si="15"/>
        <v>0</v>
      </c>
      <c r="P202">
        <f t="shared" si="16"/>
        <v>0</v>
      </c>
    </row>
    <row r="203" spans="4:16" x14ac:dyDescent="0.4">
      <c r="D203" s="1"/>
      <c r="N203">
        <f t="shared" si="14"/>
        <v>0</v>
      </c>
      <c r="O203">
        <f t="shared" si="15"/>
        <v>0</v>
      </c>
      <c r="P203">
        <f t="shared" si="16"/>
        <v>0</v>
      </c>
    </row>
    <row r="204" spans="4:16" x14ac:dyDescent="0.4">
      <c r="D204" s="1"/>
      <c r="N204">
        <f t="shared" si="14"/>
        <v>0</v>
      </c>
      <c r="O204">
        <f t="shared" si="15"/>
        <v>0</v>
      </c>
      <c r="P204">
        <f t="shared" si="16"/>
        <v>0</v>
      </c>
    </row>
    <row r="205" spans="4:16" x14ac:dyDescent="0.4">
      <c r="D205" s="1"/>
      <c r="N205">
        <f t="shared" si="14"/>
        <v>0</v>
      </c>
      <c r="O205">
        <f t="shared" si="15"/>
        <v>0</v>
      </c>
      <c r="P205">
        <f t="shared" si="16"/>
        <v>0</v>
      </c>
    </row>
    <row r="206" spans="4:16" x14ac:dyDescent="0.4">
      <c r="D206" s="1"/>
      <c r="N206">
        <f t="shared" si="14"/>
        <v>0</v>
      </c>
      <c r="O206">
        <f t="shared" si="15"/>
        <v>0</v>
      </c>
      <c r="P206">
        <f t="shared" si="16"/>
        <v>0</v>
      </c>
    </row>
    <row r="207" spans="4:16" x14ac:dyDescent="0.4">
      <c r="D207" s="1"/>
      <c r="N207">
        <f t="shared" si="14"/>
        <v>0</v>
      </c>
      <c r="O207">
        <f t="shared" si="15"/>
        <v>0</v>
      </c>
      <c r="P207">
        <f t="shared" si="16"/>
        <v>0</v>
      </c>
    </row>
    <row r="208" spans="4:16" x14ac:dyDescent="0.4">
      <c r="D208" s="1"/>
      <c r="N208">
        <f t="shared" si="14"/>
        <v>0</v>
      </c>
      <c r="O208">
        <f t="shared" si="15"/>
        <v>0</v>
      </c>
      <c r="P208">
        <f t="shared" si="16"/>
        <v>0</v>
      </c>
    </row>
    <row r="209" spans="4:16" x14ac:dyDescent="0.4">
      <c r="D209" s="1"/>
      <c r="N209">
        <f t="shared" si="14"/>
        <v>0</v>
      </c>
      <c r="O209">
        <f t="shared" si="15"/>
        <v>0</v>
      </c>
      <c r="P209">
        <f t="shared" si="16"/>
        <v>0</v>
      </c>
    </row>
    <row r="210" spans="4:16" x14ac:dyDescent="0.4">
      <c r="D210" s="1"/>
      <c r="N210">
        <f t="shared" si="14"/>
        <v>0</v>
      </c>
      <c r="O210">
        <f t="shared" si="15"/>
        <v>0</v>
      </c>
      <c r="P210">
        <f t="shared" si="16"/>
        <v>0</v>
      </c>
    </row>
    <row r="211" spans="4:16" x14ac:dyDescent="0.4">
      <c r="D211" s="1"/>
      <c r="N211">
        <f t="shared" si="14"/>
        <v>0</v>
      </c>
      <c r="O211">
        <f t="shared" si="15"/>
        <v>0</v>
      </c>
      <c r="P211">
        <f t="shared" si="16"/>
        <v>0</v>
      </c>
    </row>
    <row r="212" spans="4:16" x14ac:dyDescent="0.4">
      <c r="D212" s="1"/>
      <c r="N212">
        <f t="shared" si="14"/>
        <v>0</v>
      </c>
      <c r="O212">
        <f t="shared" si="15"/>
        <v>0</v>
      </c>
      <c r="P212">
        <f t="shared" si="16"/>
        <v>0</v>
      </c>
    </row>
    <row r="213" spans="4:16" x14ac:dyDescent="0.4">
      <c r="D213" s="1"/>
      <c r="N213">
        <f t="shared" si="14"/>
        <v>0</v>
      </c>
      <c r="O213">
        <f t="shared" si="15"/>
        <v>0</v>
      </c>
      <c r="P213">
        <f t="shared" si="16"/>
        <v>0</v>
      </c>
    </row>
    <row r="214" spans="4:16" x14ac:dyDescent="0.4">
      <c r="D214" s="1"/>
      <c r="N214">
        <f t="shared" si="14"/>
        <v>0</v>
      </c>
      <c r="O214">
        <f t="shared" si="15"/>
        <v>0</v>
      </c>
      <c r="P214">
        <f t="shared" si="16"/>
        <v>0</v>
      </c>
    </row>
    <row r="215" spans="4:16" x14ac:dyDescent="0.4">
      <c r="D215" s="1"/>
      <c r="N215">
        <f t="shared" si="14"/>
        <v>0</v>
      </c>
      <c r="O215">
        <f t="shared" si="15"/>
        <v>0</v>
      </c>
      <c r="P215">
        <f t="shared" si="16"/>
        <v>0</v>
      </c>
    </row>
    <row r="216" spans="4:16" x14ac:dyDescent="0.4">
      <c r="D216" s="1"/>
      <c r="N216">
        <f t="shared" si="14"/>
        <v>0</v>
      </c>
      <c r="O216">
        <f t="shared" si="15"/>
        <v>0</v>
      </c>
      <c r="P216">
        <f t="shared" si="16"/>
        <v>0</v>
      </c>
    </row>
    <row r="217" spans="4:16" x14ac:dyDescent="0.4">
      <c r="D217" s="1"/>
      <c r="N217">
        <f t="shared" si="14"/>
        <v>0</v>
      </c>
      <c r="O217">
        <f t="shared" si="15"/>
        <v>0</v>
      </c>
      <c r="P217">
        <f t="shared" si="16"/>
        <v>0</v>
      </c>
    </row>
    <row r="218" spans="4:16" x14ac:dyDescent="0.4">
      <c r="D218" s="1"/>
      <c r="N218">
        <f t="shared" si="14"/>
        <v>0</v>
      </c>
      <c r="O218">
        <f t="shared" si="15"/>
        <v>0</v>
      </c>
      <c r="P218">
        <f t="shared" si="16"/>
        <v>0</v>
      </c>
    </row>
    <row r="219" spans="4:16" x14ac:dyDescent="0.4">
      <c r="D219" s="1"/>
      <c r="N219">
        <f t="shared" si="14"/>
        <v>0</v>
      </c>
      <c r="O219">
        <f t="shared" si="15"/>
        <v>0</v>
      </c>
      <c r="P219">
        <f t="shared" si="16"/>
        <v>0</v>
      </c>
    </row>
    <row r="220" spans="4:16" x14ac:dyDescent="0.4">
      <c r="D220" s="1"/>
      <c r="N220">
        <f t="shared" si="14"/>
        <v>0</v>
      </c>
      <c r="O220">
        <f t="shared" si="15"/>
        <v>0</v>
      </c>
      <c r="P220">
        <f t="shared" si="16"/>
        <v>0</v>
      </c>
    </row>
    <row r="221" spans="4:16" x14ac:dyDescent="0.4">
      <c r="D221" s="1"/>
      <c r="N221">
        <f t="shared" si="14"/>
        <v>0</v>
      </c>
      <c r="O221">
        <f t="shared" si="15"/>
        <v>0</v>
      </c>
      <c r="P221">
        <f t="shared" si="16"/>
        <v>0</v>
      </c>
    </row>
    <row r="222" spans="4:16" x14ac:dyDescent="0.4">
      <c r="D222" s="1"/>
      <c r="N222">
        <f t="shared" si="14"/>
        <v>0</v>
      </c>
      <c r="O222">
        <f t="shared" si="15"/>
        <v>0</v>
      </c>
      <c r="P222">
        <f t="shared" si="16"/>
        <v>0</v>
      </c>
    </row>
    <row r="223" spans="4:16" x14ac:dyDescent="0.4">
      <c r="D223" s="1"/>
      <c r="N223">
        <f t="shared" si="14"/>
        <v>0</v>
      </c>
      <c r="O223">
        <f t="shared" si="15"/>
        <v>0</v>
      </c>
      <c r="P223">
        <f t="shared" si="16"/>
        <v>0</v>
      </c>
    </row>
    <row r="224" spans="4:16" x14ac:dyDescent="0.4">
      <c r="D224" s="1"/>
      <c r="N224">
        <f t="shared" si="14"/>
        <v>0</v>
      </c>
      <c r="O224">
        <f t="shared" si="15"/>
        <v>0</v>
      </c>
      <c r="P224">
        <f t="shared" si="16"/>
        <v>0</v>
      </c>
    </row>
    <row r="225" spans="4:16" x14ac:dyDescent="0.4">
      <c r="D225" s="1"/>
      <c r="N225">
        <f t="shared" si="14"/>
        <v>0</v>
      </c>
      <c r="O225">
        <f t="shared" si="15"/>
        <v>0</v>
      </c>
      <c r="P225">
        <f t="shared" si="16"/>
        <v>0</v>
      </c>
    </row>
    <row r="226" spans="4:16" x14ac:dyDescent="0.4">
      <c r="D226" s="1"/>
      <c r="N226">
        <f t="shared" si="14"/>
        <v>0</v>
      </c>
      <c r="O226">
        <f t="shared" si="15"/>
        <v>0</v>
      </c>
      <c r="P226">
        <f t="shared" si="16"/>
        <v>0</v>
      </c>
    </row>
    <row r="227" spans="4:16" x14ac:dyDescent="0.4">
      <c r="D227" s="1"/>
      <c r="N227">
        <f t="shared" si="14"/>
        <v>0</v>
      </c>
      <c r="O227">
        <f t="shared" si="15"/>
        <v>0</v>
      </c>
      <c r="P227">
        <f t="shared" si="16"/>
        <v>0</v>
      </c>
    </row>
    <row r="228" spans="4:16" x14ac:dyDescent="0.4">
      <c r="D228" s="1"/>
      <c r="N228">
        <f t="shared" si="14"/>
        <v>0</v>
      </c>
      <c r="O228">
        <f t="shared" si="15"/>
        <v>0</v>
      </c>
      <c r="P228">
        <f t="shared" si="16"/>
        <v>0</v>
      </c>
    </row>
    <row r="229" spans="4:16" x14ac:dyDescent="0.4">
      <c r="D229" s="1"/>
      <c r="N229">
        <f t="shared" si="14"/>
        <v>0</v>
      </c>
      <c r="O229">
        <f t="shared" si="15"/>
        <v>0</v>
      </c>
      <c r="P229">
        <f t="shared" si="16"/>
        <v>0</v>
      </c>
    </row>
    <row r="230" spans="4:16" x14ac:dyDescent="0.4">
      <c r="D230" s="1"/>
      <c r="N230">
        <f t="shared" si="14"/>
        <v>0</v>
      </c>
      <c r="O230">
        <f t="shared" si="15"/>
        <v>0</v>
      </c>
      <c r="P230">
        <f t="shared" si="16"/>
        <v>0</v>
      </c>
    </row>
    <row r="231" spans="4:16" x14ac:dyDescent="0.4">
      <c r="D231" s="1"/>
      <c r="N231">
        <f t="shared" si="14"/>
        <v>0</v>
      </c>
      <c r="O231">
        <f t="shared" si="15"/>
        <v>0</v>
      </c>
      <c r="P231">
        <f t="shared" si="16"/>
        <v>0</v>
      </c>
    </row>
    <row r="232" spans="4:16" x14ac:dyDescent="0.4">
      <c r="D232" s="1"/>
      <c r="N232">
        <f t="shared" si="14"/>
        <v>0</v>
      </c>
      <c r="O232">
        <f t="shared" si="15"/>
        <v>0</v>
      </c>
      <c r="P232">
        <f t="shared" si="16"/>
        <v>0</v>
      </c>
    </row>
    <row r="233" spans="4:16" x14ac:dyDescent="0.4">
      <c r="D233" s="1"/>
      <c r="N233">
        <f t="shared" si="14"/>
        <v>0</v>
      </c>
      <c r="O233">
        <f t="shared" si="15"/>
        <v>0</v>
      </c>
      <c r="P233">
        <f t="shared" si="16"/>
        <v>0</v>
      </c>
    </row>
    <row r="234" spans="4:16" x14ac:dyDescent="0.4">
      <c r="D234" s="1"/>
      <c r="N234">
        <f t="shared" si="14"/>
        <v>0</v>
      </c>
      <c r="O234">
        <f t="shared" si="15"/>
        <v>0</v>
      </c>
      <c r="P234">
        <f t="shared" si="16"/>
        <v>0</v>
      </c>
    </row>
    <row r="235" spans="4:16" x14ac:dyDescent="0.4">
      <c r="D235" s="1"/>
      <c r="N235">
        <f t="shared" si="14"/>
        <v>0</v>
      </c>
      <c r="O235">
        <f t="shared" si="15"/>
        <v>0</v>
      </c>
      <c r="P235">
        <f t="shared" si="16"/>
        <v>0</v>
      </c>
    </row>
    <row r="236" spans="4:16" x14ac:dyDescent="0.4">
      <c r="D236" s="1"/>
      <c r="N236">
        <f t="shared" si="14"/>
        <v>0</v>
      </c>
      <c r="O236">
        <f t="shared" si="15"/>
        <v>0</v>
      </c>
      <c r="P236">
        <f t="shared" si="16"/>
        <v>0</v>
      </c>
    </row>
    <row r="237" spans="4:16" x14ac:dyDescent="0.4">
      <c r="D237" s="1"/>
      <c r="N237">
        <f t="shared" si="14"/>
        <v>0</v>
      </c>
      <c r="O237">
        <f t="shared" si="15"/>
        <v>0</v>
      </c>
      <c r="P237">
        <f t="shared" si="16"/>
        <v>0</v>
      </c>
    </row>
    <row r="238" spans="4:16" x14ac:dyDescent="0.4">
      <c r="D238" s="1"/>
      <c r="N238">
        <f t="shared" si="14"/>
        <v>0</v>
      </c>
      <c r="O238">
        <f t="shared" si="15"/>
        <v>0</v>
      </c>
      <c r="P238">
        <f t="shared" si="16"/>
        <v>0</v>
      </c>
    </row>
    <row r="239" spans="4:16" x14ac:dyDescent="0.4">
      <c r="D239" s="1"/>
      <c r="N239">
        <f t="shared" si="14"/>
        <v>0</v>
      </c>
      <c r="O239">
        <f t="shared" si="15"/>
        <v>0</v>
      </c>
      <c r="P239">
        <f t="shared" si="16"/>
        <v>0</v>
      </c>
    </row>
    <row r="240" spans="4:16" x14ac:dyDescent="0.4">
      <c r="D240" s="1"/>
      <c r="N240">
        <f t="shared" si="14"/>
        <v>0</v>
      </c>
      <c r="O240">
        <f t="shared" si="15"/>
        <v>0</v>
      </c>
      <c r="P240">
        <f t="shared" si="16"/>
        <v>0</v>
      </c>
    </row>
    <row r="241" spans="4:16" x14ac:dyDescent="0.4">
      <c r="D241" s="1"/>
      <c r="N241">
        <f t="shared" si="14"/>
        <v>0</v>
      </c>
      <c r="O241">
        <f t="shared" si="15"/>
        <v>0</v>
      </c>
      <c r="P241">
        <f t="shared" si="16"/>
        <v>0</v>
      </c>
    </row>
    <row r="242" spans="4:16" x14ac:dyDescent="0.4">
      <c r="D242" s="1"/>
      <c r="N242">
        <f t="shared" si="14"/>
        <v>0</v>
      </c>
      <c r="O242">
        <f t="shared" si="15"/>
        <v>0</v>
      </c>
      <c r="P242">
        <f t="shared" si="16"/>
        <v>0</v>
      </c>
    </row>
    <row r="243" spans="4:16" x14ac:dyDescent="0.4">
      <c r="D243" s="1"/>
      <c r="N243">
        <f t="shared" si="14"/>
        <v>0</v>
      </c>
      <c r="O243">
        <f t="shared" si="15"/>
        <v>0</v>
      </c>
      <c r="P243">
        <f t="shared" si="16"/>
        <v>0</v>
      </c>
    </row>
    <row r="244" spans="4:16" x14ac:dyDescent="0.4">
      <c r="D244" s="1"/>
      <c r="N244">
        <f t="shared" si="14"/>
        <v>0</v>
      </c>
      <c r="O244">
        <f t="shared" si="15"/>
        <v>0</v>
      </c>
      <c r="P244">
        <f t="shared" si="16"/>
        <v>0</v>
      </c>
    </row>
    <row r="245" spans="4:16" x14ac:dyDescent="0.4">
      <c r="D245" s="1"/>
      <c r="N245">
        <f t="shared" si="14"/>
        <v>0</v>
      </c>
      <c r="O245">
        <f t="shared" si="15"/>
        <v>0</v>
      </c>
      <c r="P245">
        <f t="shared" si="16"/>
        <v>0</v>
      </c>
    </row>
    <row r="246" spans="4:16" x14ac:dyDescent="0.4">
      <c r="D246" s="1"/>
      <c r="N246">
        <f t="shared" si="14"/>
        <v>0</v>
      </c>
      <c r="O246">
        <f t="shared" si="15"/>
        <v>0</v>
      </c>
      <c r="P246">
        <f t="shared" si="16"/>
        <v>0</v>
      </c>
    </row>
    <row r="247" spans="4:16" x14ac:dyDescent="0.4">
      <c r="D247" s="1"/>
      <c r="N247">
        <f t="shared" si="14"/>
        <v>0</v>
      </c>
      <c r="O247">
        <f t="shared" si="15"/>
        <v>0</v>
      </c>
      <c r="P247">
        <f t="shared" si="16"/>
        <v>0</v>
      </c>
    </row>
    <row r="248" spans="4:16" x14ac:dyDescent="0.4">
      <c r="D248" s="1"/>
      <c r="N248">
        <f t="shared" si="14"/>
        <v>0</v>
      </c>
      <c r="O248">
        <f t="shared" si="15"/>
        <v>0</v>
      </c>
      <c r="P248">
        <f t="shared" si="16"/>
        <v>0</v>
      </c>
    </row>
    <row r="249" spans="4:16" x14ac:dyDescent="0.4">
      <c r="D249" s="1"/>
      <c r="N249">
        <f t="shared" si="14"/>
        <v>0</v>
      </c>
      <c r="O249">
        <f t="shared" si="15"/>
        <v>0</v>
      </c>
      <c r="P249">
        <f t="shared" si="16"/>
        <v>0</v>
      </c>
    </row>
    <row r="250" spans="4:16" x14ac:dyDescent="0.4">
      <c r="D250" s="1"/>
      <c r="N250">
        <f t="shared" si="14"/>
        <v>0</v>
      </c>
      <c r="O250">
        <f t="shared" si="15"/>
        <v>0</v>
      </c>
      <c r="P250">
        <f t="shared" si="16"/>
        <v>0</v>
      </c>
    </row>
    <row r="251" spans="4:16" x14ac:dyDescent="0.4">
      <c r="D251" s="1"/>
      <c r="N251">
        <f t="shared" si="14"/>
        <v>0</v>
      </c>
      <c r="O251">
        <f t="shared" si="15"/>
        <v>0</v>
      </c>
      <c r="P251">
        <f t="shared" si="16"/>
        <v>0</v>
      </c>
    </row>
    <row r="252" spans="4:16" x14ac:dyDescent="0.4">
      <c r="D252" s="1"/>
      <c r="N252">
        <f t="shared" si="14"/>
        <v>0</v>
      </c>
      <c r="O252">
        <f t="shared" si="15"/>
        <v>0</v>
      </c>
      <c r="P252">
        <f t="shared" si="16"/>
        <v>0</v>
      </c>
    </row>
    <row r="253" spans="4:16" x14ac:dyDescent="0.4">
      <c r="D253" s="1"/>
      <c r="N253">
        <f t="shared" si="14"/>
        <v>0</v>
      </c>
      <c r="O253">
        <f t="shared" si="15"/>
        <v>0</v>
      </c>
      <c r="P253">
        <f t="shared" si="16"/>
        <v>0</v>
      </c>
    </row>
    <row r="254" spans="4:16" x14ac:dyDescent="0.4">
      <c r="D254" s="1"/>
      <c r="N254">
        <f t="shared" si="14"/>
        <v>0</v>
      </c>
      <c r="O254">
        <f t="shared" si="15"/>
        <v>0</v>
      </c>
      <c r="P254">
        <f t="shared" si="16"/>
        <v>0</v>
      </c>
    </row>
    <row r="255" spans="4:16" x14ac:dyDescent="0.4">
      <c r="D255" s="1"/>
      <c r="N255">
        <f t="shared" si="14"/>
        <v>0</v>
      </c>
      <c r="O255">
        <f t="shared" si="15"/>
        <v>0</v>
      </c>
      <c r="P255">
        <f t="shared" si="16"/>
        <v>0</v>
      </c>
    </row>
    <row r="256" spans="4:16" x14ac:dyDescent="0.4">
      <c r="D256" s="1"/>
      <c r="N256">
        <f t="shared" si="14"/>
        <v>0</v>
      </c>
      <c r="O256">
        <f t="shared" si="15"/>
        <v>0</v>
      </c>
      <c r="P256">
        <f t="shared" si="16"/>
        <v>0</v>
      </c>
    </row>
    <row r="257" spans="4:16" x14ac:dyDescent="0.4">
      <c r="D257" s="1"/>
      <c r="N257">
        <f t="shared" si="14"/>
        <v>0</v>
      </c>
      <c r="O257">
        <f t="shared" si="15"/>
        <v>0</v>
      </c>
      <c r="P257">
        <f t="shared" si="16"/>
        <v>0</v>
      </c>
    </row>
    <row r="258" spans="4:16" x14ac:dyDescent="0.4">
      <c r="D258" s="1"/>
      <c r="N258">
        <f t="shared" si="14"/>
        <v>0</v>
      </c>
      <c r="O258">
        <f t="shared" si="15"/>
        <v>0</v>
      </c>
      <c r="P258">
        <f t="shared" si="16"/>
        <v>0</v>
      </c>
    </row>
    <row r="259" spans="4:16" x14ac:dyDescent="0.4">
      <c r="D259" s="1"/>
      <c r="N259">
        <f t="shared" ref="N259:N322" si="17">IF(AND(K259&gt;0,K259&lt;30),1,IF(AND(K259&gt;=30,K259&lt;50),2,IF(K259&gt;=50,3,0)))</f>
        <v>0</v>
      </c>
      <c r="O259">
        <f t="shared" ref="O259:O322" si="18">IF(AND(L259&gt;0,L259&lt;30),1,IF(AND(L259&gt;=30,L259&lt;50),2,IF(L259&gt;=50,3,0)))</f>
        <v>0</v>
      </c>
      <c r="P259">
        <f t="shared" ref="P259:P322" si="19">IF(AND(M259&gt;0,M259&lt;30),1,IF(AND(M259&gt;=30,M259&lt;50),2,IF(M259&gt;=50,3,0)))</f>
        <v>0</v>
      </c>
    </row>
    <row r="260" spans="4:16" x14ac:dyDescent="0.4">
      <c r="D260" s="1"/>
      <c r="N260">
        <f t="shared" si="17"/>
        <v>0</v>
      </c>
      <c r="O260">
        <f t="shared" si="18"/>
        <v>0</v>
      </c>
      <c r="P260">
        <f t="shared" si="19"/>
        <v>0</v>
      </c>
    </row>
    <row r="261" spans="4:16" x14ac:dyDescent="0.4">
      <c r="D261" s="1"/>
      <c r="N261">
        <f t="shared" si="17"/>
        <v>0</v>
      </c>
      <c r="O261">
        <f t="shared" si="18"/>
        <v>0</v>
      </c>
      <c r="P261">
        <f t="shared" si="19"/>
        <v>0</v>
      </c>
    </row>
    <row r="262" spans="4:16" x14ac:dyDescent="0.4">
      <c r="D262" s="1"/>
      <c r="N262">
        <f t="shared" si="17"/>
        <v>0</v>
      </c>
      <c r="O262">
        <f t="shared" si="18"/>
        <v>0</v>
      </c>
      <c r="P262">
        <f t="shared" si="19"/>
        <v>0</v>
      </c>
    </row>
    <row r="263" spans="4:16" x14ac:dyDescent="0.4">
      <c r="D263" s="1"/>
      <c r="N263">
        <f t="shared" si="17"/>
        <v>0</v>
      </c>
      <c r="O263">
        <f t="shared" si="18"/>
        <v>0</v>
      </c>
      <c r="P263">
        <f t="shared" si="19"/>
        <v>0</v>
      </c>
    </row>
    <row r="264" spans="4:16" x14ac:dyDescent="0.4">
      <c r="D264" s="1"/>
      <c r="N264">
        <f t="shared" si="17"/>
        <v>0</v>
      </c>
      <c r="O264">
        <f t="shared" si="18"/>
        <v>0</v>
      </c>
      <c r="P264">
        <f t="shared" si="19"/>
        <v>0</v>
      </c>
    </row>
    <row r="265" spans="4:16" x14ac:dyDescent="0.4">
      <c r="D265" s="1"/>
      <c r="N265">
        <f t="shared" si="17"/>
        <v>0</v>
      </c>
      <c r="O265">
        <f t="shared" si="18"/>
        <v>0</v>
      </c>
      <c r="P265">
        <f t="shared" si="19"/>
        <v>0</v>
      </c>
    </row>
    <row r="266" spans="4:16" x14ac:dyDescent="0.4">
      <c r="D266" s="1"/>
      <c r="N266">
        <f t="shared" si="17"/>
        <v>0</v>
      </c>
      <c r="O266">
        <f t="shared" si="18"/>
        <v>0</v>
      </c>
      <c r="P266">
        <f t="shared" si="19"/>
        <v>0</v>
      </c>
    </row>
    <row r="267" spans="4:16" x14ac:dyDescent="0.4">
      <c r="D267" s="1"/>
      <c r="N267">
        <f t="shared" si="17"/>
        <v>0</v>
      </c>
      <c r="O267">
        <f t="shared" si="18"/>
        <v>0</v>
      </c>
      <c r="P267">
        <f t="shared" si="19"/>
        <v>0</v>
      </c>
    </row>
    <row r="268" spans="4:16" x14ac:dyDescent="0.4">
      <c r="D268" s="1"/>
      <c r="N268">
        <f t="shared" si="17"/>
        <v>0</v>
      </c>
      <c r="O268">
        <f t="shared" si="18"/>
        <v>0</v>
      </c>
      <c r="P268">
        <f t="shared" si="19"/>
        <v>0</v>
      </c>
    </row>
    <row r="269" spans="4:16" x14ac:dyDescent="0.4">
      <c r="D269" s="1"/>
      <c r="N269">
        <f t="shared" si="17"/>
        <v>0</v>
      </c>
      <c r="O269">
        <f t="shared" si="18"/>
        <v>0</v>
      </c>
      <c r="P269">
        <f t="shared" si="19"/>
        <v>0</v>
      </c>
    </row>
    <row r="270" spans="4:16" x14ac:dyDescent="0.4">
      <c r="D270" s="1"/>
      <c r="N270">
        <f t="shared" si="17"/>
        <v>0</v>
      </c>
      <c r="O270">
        <f t="shared" si="18"/>
        <v>0</v>
      </c>
      <c r="P270">
        <f t="shared" si="19"/>
        <v>0</v>
      </c>
    </row>
    <row r="271" spans="4:16" x14ac:dyDescent="0.4">
      <c r="D271" s="1"/>
      <c r="N271">
        <f t="shared" si="17"/>
        <v>0</v>
      </c>
      <c r="O271">
        <f t="shared" si="18"/>
        <v>0</v>
      </c>
      <c r="P271">
        <f t="shared" si="19"/>
        <v>0</v>
      </c>
    </row>
    <row r="272" spans="4:16" x14ac:dyDescent="0.4">
      <c r="D272" s="1"/>
      <c r="N272">
        <f t="shared" si="17"/>
        <v>0</v>
      </c>
      <c r="O272">
        <f t="shared" si="18"/>
        <v>0</v>
      </c>
      <c r="P272">
        <f t="shared" si="19"/>
        <v>0</v>
      </c>
    </row>
    <row r="273" spans="4:16" x14ac:dyDescent="0.4">
      <c r="D273" s="1"/>
      <c r="N273">
        <f t="shared" si="17"/>
        <v>0</v>
      </c>
      <c r="O273">
        <f t="shared" si="18"/>
        <v>0</v>
      </c>
      <c r="P273">
        <f t="shared" si="19"/>
        <v>0</v>
      </c>
    </row>
    <row r="274" spans="4:16" x14ac:dyDescent="0.4">
      <c r="D274" s="1"/>
      <c r="N274">
        <f t="shared" si="17"/>
        <v>0</v>
      </c>
      <c r="O274">
        <f t="shared" si="18"/>
        <v>0</v>
      </c>
      <c r="P274">
        <f t="shared" si="19"/>
        <v>0</v>
      </c>
    </row>
    <row r="275" spans="4:16" x14ac:dyDescent="0.4">
      <c r="D275" s="1"/>
      <c r="N275">
        <f t="shared" si="17"/>
        <v>0</v>
      </c>
      <c r="O275">
        <f t="shared" si="18"/>
        <v>0</v>
      </c>
      <c r="P275">
        <f t="shared" si="19"/>
        <v>0</v>
      </c>
    </row>
    <row r="276" spans="4:16" x14ac:dyDescent="0.4">
      <c r="D276" s="1"/>
      <c r="N276">
        <f t="shared" si="17"/>
        <v>0</v>
      </c>
      <c r="O276">
        <f t="shared" si="18"/>
        <v>0</v>
      </c>
      <c r="P276">
        <f t="shared" si="19"/>
        <v>0</v>
      </c>
    </row>
    <row r="277" spans="4:16" x14ac:dyDescent="0.4">
      <c r="D277" s="1"/>
      <c r="N277">
        <f t="shared" si="17"/>
        <v>0</v>
      </c>
      <c r="O277">
        <f t="shared" si="18"/>
        <v>0</v>
      </c>
      <c r="P277">
        <f t="shared" si="19"/>
        <v>0</v>
      </c>
    </row>
    <row r="278" spans="4:16" x14ac:dyDescent="0.4">
      <c r="D278" s="1"/>
      <c r="N278">
        <f t="shared" si="17"/>
        <v>0</v>
      </c>
      <c r="O278">
        <f t="shared" si="18"/>
        <v>0</v>
      </c>
      <c r="P278">
        <f t="shared" si="19"/>
        <v>0</v>
      </c>
    </row>
    <row r="279" spans="4:16" x14ac:dyDescent="0.4">
      <c r="D279" s="1"/>
      <c r="N279">
        <f t="shared" si="17"/>
        <v>0</v>
      </c>
      <c r="O279">
        <f t="shared" si="18"/>
        <v>0</v>
      </c>
      <c r="P279">
        <f t="shared" si="19"/>
        <v>0</v>
      </c>
    </row>
    <row r="280" spans="4:16" x14ac:dyDescent="0.4">
      <c r="D280" s="1"/>
      <c r="N280">
        <f t="shared" si="17"/>
        <v>0</v>
      </c>
      <c r="O280">
        <f t="shared" si="18"/>
        <v>0</v>
      </c>
      <c r="P280">
        <f t="shared" si="19"/>
        <v>0</v>
      </c>
    </row>
    <row r="281" spans="4:16" x14ac:dyDescent="0.4">
      <c r="D281" s="1"/>
      <c r="N281">
        <f t="shared" si="17"/>
        <v>0</v>
      </c>
      <c r="O281">
        <f t="shared" si="18"/>
        <v>0</v>
      </c>
      <c r="P281">
        <f t="shared" si="19"/>
        <v>0</v>
      </c>
    </row>
    <row r="282" spans="4:16" x14ac:dyDescent="0.4">
      <c r="D282" s="1"/>
      <c r="N282">
        <f t="shared" si="17"/>
        <v>0</v>
      </c>
      <c r="O282">
        <f t="shared" si="18"/>
        <v>0</v>
      </c>
      <c r="P282">
        <f t="shared" si="19"/>
        <v>0</v>
      </c>
    </row>
    <row r="283" spans="4:16" x14ac:dyDescent="0.4">
      <c r="D283" s="1"/>
      <c r="N283">
        <f t="shared" si="17"/>
        <v>0</v>
      </c>
      <c r="O283">
        <f t="shared" si="18"/>
        <v>0</v>
      </c>
      <c r="P283">
        <f t="shared" si="19"/>
        <v>0</v>
      </c>
    </row>
    <row r="284" spans="4:16" x14ac:dyDescent="0.4">
      <c r="D284" s="1"/>
      <c r="N284">
        <f t="shared" si="17"/>
        <v>0</v>
      </c>
      <c r="O284">
        <f t="shared" si="18"/>
        <v>0</v>
      </c>
      <c r="P284">
        <f t="shared" si="19"/>
        <v>0</v>
      </c>
    </row>
    <row r="285" spans="4:16" x14ac:dyDescent="0.4">
      <c r="D285" s="1"/>
      <c r="N285">
        <f t="shared" si="17"/>
        <v>0</v>
      </c>
      <c r="O285">
        <f t="shared" si="18"/>
        <v>0</v>
      </c>
      <c r="P285">
        <f t="shared" si="19"/>
        <v>0</v>
      </c>
    </row>
    <row r="286" spans="4:16" x14ac:dyDescent="0.4">
      <c r="D286" s="1"/>
      <c r="N286">
        <f t="shared" si="17"/>
        <v>0</v>
      </c>
      <c r="O286">
        <f t="shared" si="18"/>
        <v>0</v>
      </c>
      <c r="P286">
        <f t="shared" si="19"/>
        <v>0</v>
      </c>
    </row>
    <row r="287" spans="4:16" x14ac:dyDescent="0.4">
      <c r="D287" s="1"/>
      <c r="N287">
        <f t="shared" si="17"/>
        <v>0</v>
      </c>
      <c r="O287">
        <f t="shared" si="18"/>
        <v>0</v>
      </c>
      <c r="P287">
        <f t="shared" si="19"/>
        <v>0</v>
      </c>
    </row>
    <row r="288" spans="4:16" x14ac:dyDescent="0.4">
      <c r="D288" s="1"/>
      <c r="N288">
        <f t="shared" si="17"/>
        <v>0</v>
      </c>
      <c r="O288">
        <f t="shared" si="18"/>
        <v>0</v>
      </c>
      <c r="P288">
        <f t="shared" si="19"/>
        <v>0</v>
      </c>
    </row>
    <row r="289" spans="4:16" x14ac:dyDescent="0.4">
      <c r="D289" s="1"/>
      <c r="N289">
        <f t="shared" si="17"/>
        <v>0</v>
      </c>
      <c r="O289">
        <f t="shared" si="18"/>
        <v>0</v>
      </c>
      <c r="P289">
        <f t="shared" si="19"/>
        <v>0</v>
      </c>
    </row>
    <row r="290" spans="4:16" x14ac:dyDescent="0.4">
      <c r="D290" s="1"/>
      <c r="N290">
        <f t="shared" si="17"/>
        <v>0</v>
      </c>
      <c r="O290">
        <f t="shared" si="18"/>
        <v>0</v>
      </c>
      <c r="P290">
        <f t="shared" si="19"/>
        <v>0</v>
      </c>
    </row>
    <row r="291" spans="4:16" x14ac:dyDescent="0.4">
      <c r="D291" s="1"/>
      <c r="N291">
        <f t="shared" si="17"/>
        <v>0</v>
      </c>
      <c r="O291">
        <f t="shared" si="18"/>
        <v>0</v>
      </c>
      <c r="P291">
        <f t="shared" si="19"/>
        <v>0</v>
      </c>
    </row>
    <row r="292" spans="4:16" x14ac:dyDescent="0.4">
      <c r="D292" s="1"/>
      <c r="N292">
        <f t="shared" si="17"/>
        <v>0</v>
      </c>
      <c r="O292">
        <f t="shared" si="18"/>
        <v>0</v>
      </c>
      <c r="P292">
        <f t="shared" si="19"/>
        <v>0</v>
      </c>
    </row>
    <row r="293" spans="4:16" x14ac:dyDescent="0.4">
      <c r="D293" s="1"/>
      <c r="N293">
        <f t="shared" si="17"/>
        <v>0</v>
      </c>
      <c r="O293">
        <f t="shared" si="18"/>
        <v>0</v>
      </c>
      <c r="P293">
        <f t="shared" si="19"/>
        <v>0</v>
      </c>
    </row>
    <row r="294" spans="4:16" x14ac:dyDescent="0.4">
      <c r="D294" s="1"/>
      <c r="N294">
        <f t="shared" si="17"/>
        <v>0</v>
      </c>
      <c r="O294">
        <f t="shared" si="18"/>
        <v>0</v>
      </c>
      <c r="P294">
        <f t="shared" si="19"/>
        <v>0</v>
      </c>
    </row>
    <row r="295" spans="4:16" x14ac:dyDescent="0.4">
      <c r="D295" s="1"/>
      <c r="N295">
        <f t="shared" si="17"/>
        <v>0</v>
      </c>
      <c r="O295">
        <f t="shared" si="18"/>
        <v>0</v>
      </c>
      <c r="P295">
        <f t="shared" si="19"/>
        <v>0</v>
      </c>
    </row>
    <row r="296" spans="4:16" x14ac:dyDescent="0.4">
      <c r="D296" s="1"/>
      <c r="N296">
        <f t="shared" si="17"/>
        <v>0</v>
      </c>
      <c r="O296">
        <f t="shared" si="18"/>
        <v>0</v>
      </c>
      <c r="P296">
        <f t="shared" si="19"/>
        <v>0</v>
      </c>
    </row>
    <row r="297" spans="4:16" x14ac:dyDescent="0.4">
      <c r="D297" s="1"/>
      <c r="N297">
        <f t="shared" si="17"/>
        <v>0</v>
      </c>
      <c r="O297">
        <f t="shared" si="18"/>
        <v>0</v>
      </c>
      <c r="P297">
        <f t="shared" si="19"/>
        <v>0</v>
      </c>
    </row>
    <row r="298" spans="4:16" x14ac:dyDescent="0.4">
      <c r="D298" s="1"/>
      <c r="N298">
        <f t="shared" si="17"/>
        <v>0</v>
      </c>
      <c r="O298">
        <f t="shared" si="18"/>
        <v>0</v>
      </c>
      <c r="P298">
        <f t="shared" si="19"/>
        <v>0</v>
      </c>
    </row>
    <row r="299" spans="4:16" x14ac:dyDescent="0.4">
      <c r="D299" s="1"/>
      <c r="N299">
        <f t="shared" si="17"/>
        <v>0</v>
      </c>
      <c r="O299">
        <f t="shared" si="18"/>
        <v>0</v>
      </c>
      <c r="P299">
        <f t="shared" si="19"/>
        <v>0</v>
      </c>
    </row>
    <row r="300" spans="4:16" x14ac:dyDescent="0.4">
      <c r="D300" s="1"/>
      <c r="N300">
        <f t="shared" si="17"/>
        <v>0</v>
      </c>
      <c r="O300">
        <f t="shared" si="18"/>
        <v>0</v>
      </c>
      <c r="P300">
        <f t="shared" si="19"/>
        <v>0</v>
      </c>
    </row>
    <row r="301" spans="4:16" x14ac:dyDescent="0.4">
      <c r="D301" s="1"/>
      <c r="N301">
        <f t="shared" si="17"/>
        <v>0</v>
      </c>
      <c r="O301">
        <f t="shared" si="18"/>
        <v>0</v>
      </c>
      <c r="P301">
        <f t="shared" si="19"/>
        <v>0</v>
      </c>
    </row>
    <row r="302" spans="4:16" x14ac:dyDescent="0.4">
      <c r="D302" s="1"/>
      <c r="N302">
        <f t="shared" si="17"/>
        <v>0</v>
      </c>
      <c r="O302">
        <f t="shared" si="18"/>
        <v>0</v>
      </c>
      <c r="P302">
        <f t="shared" si="19"/>
        <v>0</v>
      </c>
    </row>
    <row r="303" spans="4:16" x14ac:dyDescent="0.4">
      <c r="D303" s="1"/>
      <c r="N303">
        <f t="shared" si="17"/>
        <v>0</v>
      </c>
      <c r="O303">
        <f t="shared" si="18"/>
        <v>0</v>
      </c>
      <c r="P303">
        <f t="shared" si="19"/>
        <v>0</v>
      </c>
    </row>
    <row r="304" spans="4:16" x14ac:dyDescent="0.4">
      <c r="D304" s="1"/>
      <c r="N304">
        <f t="shared" si="17"/>
        <v>0</v>
      </c>
      <c r="O304">
        <f t="shared" si="18"/>
        <v>0</v>
      </c>
      <c r="P304">
        <f t="shared" si="19"/>
        <v>0</v>
      </c>
    </row>
    <row r="305" spans="4:16" x14ac:dyDescent="0.4">
      <c r="D305" s="1"/>
      <c r="N305">
        <f t="shared" si="17"/>
        <v>0</v>
      </c>
      <c r="O305">
        <f t="shared" si="18"/>
        <v>0</v>
      </c>
      <c r="P305">
        <f t="shared" si="19"/>
        <v>0</v>
      </c>
    </row>
    <row r="306" spans="4:16" x14ac:dyDescent="0.4">
      <c r="D306" s="1"/>
      <c r="N306">
        <f t="shared" si="17"/>
        <v>0</v>
      </c>
      <c r="O306">
        <f t="shared" si="18"/>
        <v>0</v>
      </c>
      <c r="P306">
        <f t="shared" si="19"/>
        <v>0</v>
      </c>
    </row>
    <row r="307" spans="4:16" x14ac:dyDescent="0.4">
      <c r="D307" s="1"/>
      <c r="N307">
        <f t="shared" si="17"/>
        <v>0</v>
      </c>
      <c r="O307">
        <f t="shared" si="18"/>
        <v>0</v>
      </c>
      <c r="P307">
        <f t="shared" si="19"/>
        <v>0</v>
      </c>
    </row>
    <row r="308" spans="4:16" x14ac:dyDescent="0.4">
      <c r="D308" s="1"/>
      <c r="N308">
        <f t="shared" si="17"/>
        <v>0</v>
      </c>
      <c r="O308">
        <f t="shared" si="18"/>
        <v>0</v>
      </c>
      <c r="P308">
        <f t="shared" si="19"/>
        <v>0</v>
      </c>
    </row>
    <row r="309" spans="4:16" x14ac:dyDescent="0.4">
      <c r="D309" s="1"/>
      <c r="N309">
        <f t="shared" si="17"/>
        <v>0</v>
      </c>
      <c r="O309">
        <f t="shared" si="18"/>
        <v>0</v>
      </c>
      <c r="P309">
        <f t="shared" si="19"/>
        <v>0</v>
      </c>
    </row>
    <row r="310" spans="4:16" x14ac:dyDescent="0.4">
      <c r="D310" s="1"/>
      <c r="N310">
        <f t="shared" si="17"/>
        <v>0</v>
      </c>
      <c r="O310">
        <f t="shared" si="18"/>
        <v>0</v>
      </c>
      <c r="P310">
        <f t="shared" si="19"/>
        <v>0</v>
      </c>
    </row>
    <row r="311" spans="4:16" x14ac:dyDescent="0.4">
      <c r="D311" s="1"/>
      <c r="N311">
        <f t="shared" si="17"/>
        <v>0</v>
      </c>
      <c r="O311">
        <f t="shared" si="18"/>
        <v>0</v>
      </c>
      <c r="P311">
        <f t="shared" si="19"/>
        <v>0</v>
      </c>
    </row>
    <row r="312" spans="4:16" x14ac:dyDescent="0.4">
      <c r="D312" s="1"/>
      <c r="N312">
        <f t="shared" si="17"/>
        <v>0</v>
      </c>
      <c r="O312">
        <f t="shared" si="18"/>
        <v>0</v>
      </c>
      <c r="P312">
        <f t="shared" si="19"/>
        <v>0</v>
      </c>
    </row>
    <row r="313" spans="4:16" x14ac:dyDescent="0.4">
      <c r="D313" s="1"/>
      <c r="N313">
        <f t="shared" si="17"/>
        <v>0</v>
      </c>
      <c r="O313">
        <f t="shared" si="18"/>
        <v>0</v>
      </c>
      <c r="P313">
        <f t="shared" si="19"/>
        <v>0</v>
      </c>
    </row>
    <row r="314" spans="4:16" x14ac:dyDescent="0.4">
      <c r="D314" s="1"/>
      <c r="N314">
        <f t="shared" si="17"/>
        <v>0</v>
      </c>
      <c r="O314">
        <f t="shared" si="18"/>
        <v>0</v>
      </c>
      <c r="P314">
        <f t="shared" si="19"/>
        <v>0</v>
      </c>
    </row>
    <row r="315" spans="4:16" x14ac:dyDescent="0.4">
      <c r="D315" s="1"/>
      <c r="N315">
        <f t="shared" si="17"/>
        <v>0</v>
      </c>
      <c r="O315">
        <f t="shared" si="18"/>
        <v>0</v>
      </c>
      <c r="P315">
        <f t="shared" si="19"/>
        <v>0</v>
      </c>
    </row>
    <row r="316" spans="4:16" x14ac:dyDescent="0.4">
      <c r="D316" s="1"/>
      <c r="N316">
        <f t="shared" si="17"/>
        <v>0</v>
      </c>
      <c r="O316">
        <f t="shared" si="18"/>
        <v>0</v>
      </c>
      <c r="P316">
        <f t="shared" si="19"/>
        <v>0</v>
      </c>
    </row>
    <row r="317" spans="4:16" x14ac:dyDescent="0.4">
      <c r="D317" s="1"/>
      <c r="N317">
        <f t="shared" si="17"/>
        <v>0</v>
      </c>
      <c r="O317">
        <f t="shared" si="18"/>
        <v>0</v>
      </c>
      <c r="P317">
        <f t="shared" si="19"/>
        <v>0</v>
      </c>
    </row>
    <row r="318" spans="4:16" x14ac:dyDescent="0.4">
      <c r="D318" s="1"/>
      <c r="N318">
        <f t="shared" si="17"/>
        <v>0</v>
      </c>
      <c r="O318">
        <f t="shared" si="18"/>
        <v>0</v>
      </c>
      <c r="P318">
        <f t="shared" si="19"/>
        <v>0</v>
      </c>
    </row>
    <row r="319" spans="4:16" x14ac:dyDescent="0.4">
      <c r="D319" s="1"/>
      <c r="N319">
        <f t="shared" si="17"/>
        <v>0</v>
      </c>
      <c r="O319">
        <f t="shared" si="18"/>
        <v>0</v>
      </c>
      <c r="P319">
        <f t="shared" si="19"/>
        <v>0</v>
      </c>
    </row>
    <row r="320" spans="4:16" x14ac:dyDescent="0.4">
      <c r="D320" s="1"/>
      <c r="N320">
        <f t="shared" si="17"/>
        <v>0</v>
      </c>
      <c r="O320">
        <f t="shared" si="18"/>
        <v>0</v>
      </c>
      <c r="P320">
        <f t="shared" si="19"/>
        <v>0</v>
      </c>
    </row>
    <row r="321" spans="4:16" x14ac:dyDescent="0.4">
      <c r="D321" s="1"/>
      <c r="N321">
        <f t="shared" si="17"/>
        <v>0</v>
      </c>
      <c r="O321">
        <f t="shared" si="18"/>
        <v>0</v>
      </c>
      <c r="P321">
        <f t="shared" si="19"/>
        <v>0</v>
      </c>
    </row>
    <row r="322" spans="4:16" x14ac:dyDescent="0.4">
      <c r="D322" s="1"/>
      <c r="N322">
        <f t="shared" si="17"/>
        <v>0</v>
      </c>
      <c r="O322">
        <f t="shared" si="18"/>
        <v>0</v>
      </c>
      <c r="P322">
        <f t="shared" si="19"/>
        <v>0</v>
      </c>
    </row>
    <row r="323" spans="4:16" x14ac:dyDescent="0.4">
      <c r="D323" s="1"/>
      <c r="N323">
        <f t="shared" ref="N323:N386" si="20">IF(AND(K323&gt;0,K323&lt;30),1,IF(AND(K323&gt;=30,K323&lt;50),2,IF(K323&gt;=50,3,0)))</f>
        <v>0</v>
      </c>
      <c r="O323">
        <f t="shared" ref="O323:O386" si="21">IF(AND(L323&gt;0,L323&lt;30),1,IF(AND(L323&gt;=30,L323&lt;50),2,IF(L323&gt;=50,3,0)))</f>
        <v>0</v>
      </c>
      <c r="P323">
        <f t="shared" ref="P323:P386" si="22">IF(AND(M323&gt;0,M323&lt;30),1,IF(AND(M323&gt;=30,M323&lt;50),2,IF(M323&gt;=50,3,0)))</f>
        <v>0</v>
      </c>
    </row>
    <row r="324" spans="4:16" x14ac:dyDescent="0.4">
      <c r="D324" s="1"/>
      <c r="N324">
        <f t="shared" si="20"/>
        <v>0</v>
      </c>
      <c r="O324">
        <f t="shared" si="21"/>
        <v>0</v>
      </c>
      <c r="P324">
        <f t="shared" si="22"/>
        <v>0</v>
      </c>
    </row>
    <row r="325" spans="4:16" x14ac:dyDescent="0.4">
      <c r="D325" s="1"/>
      <c r="N325">
        <f t="shared" si="20"/>
        <v>0</v>
      </c>
      <c r="O325">
        <f t="shared" si="21"/>
        <v>0</v>
      </c>
      <c r="P325">
        <f t="shared" si="22"/>
        <v>0</v>
      </c>
    </row>
    <row r="326" spans="4:16" x14ac:dyDescent="0.4">
      <c r="D326" s="1"/>
      <c r="N326">
        <f t="shared" si="20"/>
        <v>0</v>
      </c>
      <c r="O326">
        <f t="shared" si="21"/>
        <v>0</v>
      </c>
      <c r="P326">
        <f t="shared" si="22"/>
        <v>0</v>
      </c>
    </row>
    <row r="327" spans="4:16" x14ac:dyDescent="0.4">
      <c r="D327" s="1"/>
      <c r="N327">
        <f t="shared" si="20"/>
        <v>0</v>
      </c>
      <c r="O327">
        <f t="shared" si="21"/>
        <v>0</v>
      </c>
      <c r="P327">
        <f t="shared" si="22"/>
        <v>0</v>
      </c>
    </row>
    <row r="328" spans="4:16" x14ac:dyDescent="0.4">
      <c r="D328" s="1"/>
      <c r="N328">
        <f t="shared" si="20"/>
        <v>0</v>
      </c>
      <c r="O328">
        <f t="shared" si="21"/>
        <v>0</v>
      </c>
      <c r="P328">
        <f t="shared" si="22"/>
        <v>0</v>
      </c>
    </row>
    <row r="329" spans="4:16" x14ac:dyDescent="0.4">
      <c r="D329" s="1"/>
      <c r="N329">
        <f t="shared" si="20"/>
        <v>0</v>
      </c>
      <c r="O329">
        <f t="shared" si="21"/>
        <v>0</v>
      </c>
      <c r="P329">
        <f t="shared" si="22"/>
        <v>0</v>
      </c>
    </row>
    <row r="330" spans="4:16" x14ac:dyDescent="0.4">
      <c r="D330" s="1"/>
      <c r="N330">
        <f t="shared" si="20"/>
        <v>0</v>
      </c>
      <c r="O330">
        <f t="shared" si="21"/>
        <v>0</v>
      </c>
      <c r="P330">
        <f t="shared" si="22"/>
        <v>0</v>
      </c>
    </row>
    <row r="331" spans="4:16" x14ac:dyDescent="0.4">
      <c r="D331" s="1"/>
      <c r="N331">
        <f t="shared" si="20"/>
        <v>0</v>
      </c>
      <c r="O331">
        <f t="shared" si="21"/>
        <v>0</v>
      </c>
      <c r="P331">
        <f t="shared" si="22"/>
        <v>0</v>
      </c>
    </row>
    <row r="332" spans="4:16" x14ac:dyDescent="0.4">
      <c r="D332" s="1"/>
      <c r="N332">
        <f t="shared" si="20"/>
        <v>0</v>
      </c>
      <c r="O332">
        <f t="shared" si="21"/>
        <v>0</v>
      </c>
      <c r="P332">
        <f t="shared" si="22"/>
        <v>0</v>
      </c>
    </row>
    <row r="333" spans="4:16" x14ac:dyDescent="0.4">
      <c r="D333" s="1"/>
      <c r="N333">
        <f t="shared" si="20"/>
        <v>0</v>
      </c>
      <c r="O333">
        <f t="shared" si="21"/>
        <v>0</v>
      </c>
      <c r="P333">
        <f t="shared" si="22"/>
        <v>0</v>
      </c>
    </row>
    <row r="334" spans="4:16" x14ac:dyDescent="0.4">
      <c r="D334" s="1"/>
      <c r="N334">
        <f t="shared" si="20"/>
        <v>0</v>
      </c>
      <c r="O334">
        <f t="shared" si="21"/>
        <v>0</v>
      </c>
      <c r="P334">
        <f t="shared" si="22"/>
        <v>0</v>
      </c>
    </row>
    <row r="335" spans="4:16" x14ac:dyDescent="0.4">
      <c r="D335" s="1"/>
      <c r="N335">
        <f t="shared" si="20"/>
        <v>0</v>
      </c>
      <c r="O335">
        <f t="shared" si="21"/>
        <v>0</v>
      </c>
      <c r="P335">
        <f t="shared" si="22"/>
        <v>0</v>
      </c>
    </row>
    <row r="336" spans="4:16" x14ac:dyDescent="0.4">
      <c r="D336" s="1"/>
      <c r="N336">
        <f t="shared" si="20"/>
        <v>0</v>
      </c>
      <c r="O336">
        <f t="shared" si="21"/>
        <v>0</v>
      </c>
      <c r="P336">
        <f t="shared" si="22"/>
        <v>0</v>
      </c>
    </row>
    <row r="337" spans="4:16" x14ac:dyDescent="0.4">
      <c r="D337" s="1"/>
      <c r="N337">
        <f t="shared" si="20"/>
        <v>0</v>
      </c>
      <c r="O337">
        <f t="shared" si="21"/>
        <v>0</v>
      </c>
      <c r="P337">
        <f t="shared" si="22"/>
        <v>0</v>
      </c>
    </row>
    <row r="338" spans="4:16" x14ac:dyDescent="0.4">
      <c r="D338" s="1"/>
      <c r="N338">
        <f t="shared" si="20"/>
        <v>0</v>
      </c>
      <c r="O338">
        <f t="shared" si="21"/>
        <v>0</v>
      </c>
      <c r="P338">
        <f t="shared" si="22"/>
        <v>0</v>
      </c>
    </row>
    <row r="339" spans="4:16" x14ac:dyDescent="0.4">
      <c r="D339" s="1"/>
      <c r="N339">
        <f t="shared" si="20"/>
        <v>0</v>
      </c>
      <c r="O339">
        <f t="shared" si="21"/>
        <v>0</v>
      </c>
      <c r="P339">
        <f t="shared" si="22"/>
        <v>0</v>
      </c>
    </row>
    <row r="340" spans="4:16" x14ac:dyDescent="0.4">
      <c r="D340" s="1"/>
      <c r="N340">
        <f t="shared" si="20"/>
        <v>0</v>
      </c>
      <c r="O340">
        <f t="shared" si="21"/>
        <v>0</v>
      </c>
      <c r="P340">
        <f t="shared" si="22"/>
        <v>0</v>
      </c>
    </row>
    <row r="341" spans="4:16" x14ac:dyDescent="0.4">
      <c r="D341" s="1"/>
      <c r="N341">
        <f t="shared" si="20"/>
        <v>0</v>
      </c>
      <c r="O341">
        <f t="shared" si="21"/>
        <v>0</v>
      </c>
      <c r="P341">
        <f t="shared" si="22"/>
        <v>0</v>
      </c>
    </row>
    <row r="342" spans="4:16" x14ac:dyDescent="0.4">
      <c r="D342" s="1"/>
      <c r="N342">
        <f t="shared" si="20"/>
        <v>0</v>
      </c>
      <c r="O342">
        <f t="shared" si="21"/>
        <v>0</v>
      </c>
      <c r="P342">
        <f t="shared" si="22"/>
        <v>0</v>
      </c>
    </row>
    <row r="343" spans="4:16" x14ac:dyDescent="0.4">
      <c r="D343" s="1"/>
      <c r="N343">
        <f t="shared" si="20"/>
        <v>0</v>
      </c>
      <c r="O343">
        <f t="shared" si="21"/>
        <v>0</v>
      </c>
      <c r="P343">
        <f t="shared" si="22"/>
        <v>0</v>
      </c>
    </row>
    <row r="344" spans="4:16" x14ac:dyDescent="0.4">
      <c r="D344" s="1"/>
      <c r="N344">
        <f t="shared" si="20"/>
        <v>0</v>
      </c>
      <c r="O344">
        <f t="shared" si="21"/>
        <v>0</v>
      </c>
      <c r="P344">
        <f t="shared" si="22"/>
        <v>0</v>
      </c>
    </row>
    <row r="345" spans="4:16" x14ac:dyDescent="0.4">
      <c r="D345" s="1"/>
      <c r="N345">
        <f t="shared" si="20"/>
        <v>0</v>
      </c>
      <c r="O345">
        <f t="shared" si="21"/>
        <v>0</v>
      </c>
      <c r="P345">
        <f t="shared" si="22"/>
        <v>0</v>
      </c>
    </row>
    <row r="346" spans="4:16" x14ac:dyDescent="0.4">
      <c r="D346" s="1"/>
      <c r="N346">
        <f t="shared" si="20"/>
        <v>0</v>
      </c>
      <c r="O346">
        <f t="shared" si="21"/>
        <v>0</v>
      </c>
      <c r="P346">
        <f t="shared" si="22"/>
        <v>0</v>
      </c>
    </row>
    <row r="347" spans="4:16" x14ac:dyDescent="0.4">
      <c r="D347" s="1"/>
      <c r="N347">
        <f t="shared" si="20"/>
        <v>0</v>
      </c>
      <c r="O347">
        <f t="shared" si="21"/>
        <v>0</v>
      </c>
      <c r="P347">
        <f t="shared" si="22"/>
        <v>0</v>
      </c>
    </row>
    <row r="348" spans="4:16" x14ac:dyDescent="0.4">
      <c r="D348" s="1"/>
      <c r="N348">
        <f t="shared" si="20"/>
        <v>0</v>
      </c>
      <c r="O348">
        <f t="shared" si="21"/>
        <v>0</v>
      </c>
      <c r="P348">
        <f t="shared" si="22"/>
        <v>0</v>
      </c>
    </row>
    <row r="349" spans="4:16" x14ac:dyDescent="0.4">
      <c r="D349" s="1"/>
      <c r="N349">
        <f t="shared" si="20"/>
        <v>0</v>
      </c>
      <c r="O349">
        <f t="shared" si="21"/>
        <v>0</v>
      </c>
      <c r="P349">
        <f t="shared" si="22"/>
        <v>0</v>
      </c>
    </row>
    <row r="350" spans="4:16" x14ac:dyDescent="0.4">
      <c r="D350" s="1"/>
      <c r="N350">
        <f t="shared" si="20"/>
        <v>0</v>
      </c>
      <c r="O350">
        <f t="shared" si="21"/>
        <v>0</v>
      </c>
      <c r="P350">
        <f t="shared" si="22"/>
        <v>0</v>
      </c>
    </row>
    <row r="351" spans="4:16" x14ac:dyDescent="0.4">
      <c r="D351" s="1"/>
      <c r="N351">
        <f t="shared" si="20"/>
        <v>0</v>
      </c>
      <c r="O351">
        <f t="shared" si="21"/>
        <v>0</v>
      </c>
      <c r="P351">
        <f t="shared" si="22"/>
        <v>0</v>
      </c>
    </row>
    <row r="352" spans="4:16" x14ac:dyDescent="0.4">
      <c r="D352" s="1"/>
      <c r="N352">
        <f t="shared" si="20"/>
        <v>0</v>
      </c>
      <c r="O352">
        <f t="shared" si="21"/>
        <v>0</v>
      </c>
      <c r="P352">
        <f t="shared" si="22"/>
        <v>0</v>
      </c>
    </row>
    <row r="353" spans="4:16" x14ac:dyDescent="0.4">
      <c r="D353" s="1"/>
      <c r="N353">
        <f t="shared" si="20"/>
        <v>0</v>
      </c>
      <c r="O353">
        <f t="shared" si="21"/>
        <v>0</v>
      </c>
      <c r="P353">
        <f t="shared" si="22"/>
        <v>0</v>
      </c>
    </row>
    <row r="354" spans="4:16" x14ac:dyDescent="0.4">
      <c r="D354" s="1"/>
      <c r="N354">
        <f t="shared" si="20"/>
        <v>0</v>
      </c>
      <c r="O354">
        <f t="shared" si="21"/>
        <v>0</v>
      </c>
      <c r="P354">
        <f t="shared" si="22"/>
        <v>0</v>
      </c>
    </row>
    <row r="355" spans="4:16" x14ac:dyDescent="0.4">
      <c r="D355" s="1"/>
      <c r="N355">
        <f t="shared" si="20"/>
        <v>0</v>
      </c>
      <c r="O355">
        <f t="shared" si="21"/>
        <v>0</v>
      </c>
      <c r="P355">
        <f t="shared" si="22"/>
        <v>0</v>
      </c>
    </row>
    <row r="356" spans="4:16" x14ac:dyDescent="0.4">
      <c r="D356" s="1"/>
      <c r="N356">
        <f t="shared" si="20"/>
        <v>0</v>
      </c>
      <c r="O356">
        <f t="shared" si="21"/>
        <v>0</v>
      </c>
      <c r="P356">
        <f t="shared" si="22"/>
        <v>0</v>
      </c>
    </row>
    <row r="357" spans="4:16" x14ac:dyDescent="0.4">
      <c r="D357" s="1"/>
      <c r="N357">
        <f t="shared" si="20"/>
        <v>0</v>
      </c>
      <c r="O357">
        <f t="shared" si="21"/>
        <v>0</v>
      </c>
      <c r="P357">
        <f t="shared" si="22"/>
        <v>0</v>
      </c>
    </row>
    <row r="358" spans="4:16" x14ac:dyDescent="0.4">
      <c r="D358" s="1"/>
      <c r="N358">
        <f t="shared" si="20"/>
        <v>0</v>
      </c>
      <c r="O358">
        <f t="shared" si="21"/>
        <v>0</v>
      </c>
      <c r="P358">
        <f t="shared" si="22"/>
        <v>0</v>
      </c>
    </row>
    <row r="359" spans="4:16" x14ac:dyDescent="0.4">
      <c r="D359" s="1"/>
      <c r="N359">
        <f t="shared" si="20"/>
        <v>0</v>
      </c>
      <c r="O359">
        <f t="shared" si="21"/>
        <v>0</v>
      </c>
      <c r="P359">
        <f t="shared" si="22"/>
        <v>0</v>
      </c>
    </row>
    <row r="360" spans="4:16" x14ac:dyDescent="0.4">
      <c r="D360" s="1"/>
      <c r="N360">
        <f t="shared" si="20"/>
        <v>0</v>
      </c>
      <c r="O360">
        <f t="shared" si="21"/>
        <v>0</v>
      </c>
      <c r="P360">
        <f t="shared" si="22"/>
        <v>0</v>
      </c>
    </row>
    <row r="361" spans="4:16" x14ac:dyDescent="0.4">
      <c r="D361" s="1"/>
      <c r="N361">
        <f t="shared" si="20"/>
        <v>0</v>
      </c>
      <c r="O361">
        <f t="shared" si="21"/>
        <v>0</v>
      </c>
      <c r="P361">
        <f t="shared" si="22"/>
        <v>0</v>
      </c>
    </row>
    <row r="362" spans="4:16" x14ac:dyDescent="0.4">
      <c r="D362" s="1"/>
      <c r="N362">
        <f t="shared" si="20"/>
        <v>0</v>
      </c>
      <c r="O362">
        <f t="shared" si="21"/>
        <v>0</v>
      </c>
      <c r="P362">
        <f t="shared" si="22"/>
        <v>0</v>
      </c>
    </row>
    <row r="363" spans="4:16" x14ac:dyDescent="0.4">
      <c r="D363" s="1"/>
      <c r="N363">
        <f t="shared" si="20"/>
        <v>0</v>
      </c>
      <c r="O363">
        <f t="shared" si="21"/>
        <v>0</v>
      </c>
      <c r="P363">
        <f t="shared" si="22"/>
        <v>0</v>
      </c>
    </row>
    <row r="364" spans="4:16" x14ac:dyDescent="0.4">
      <c r="D364" s="1"/>
      <c r="N364">
        <f t="shared" si="20"/>
        <v>0</v>
      </c>
      <c r="O364">
        <f t="shared" si="21"/>
        <v>0</v>
      </c>
      <c r="P364">
        <f t="shared" si="22"/>
        <v>0</v>
      </c>
    </row>
    <row r="365" spans="4:16" x14ac:dyDescent="0.4">
      <c r="D365" s="1"/>
      <c r="N365">
        <f t="shared" si="20"/>
        <v>0</v>
      </c>
      <c r="O365">
        <f t="shared" si="21"/>
        <v>0</v>
      </c>
      <c r="P365">
        <f t="shared" si="22"/>
        <v>0</v>
      </c>
    </row>
    <row r="366" spans="4:16" x14ac:dyDescent="0.4">
      <c r="D366" s="1"/>
      <c r="N366">
        <f t="shared" si="20"/>
        <v>0</v>
      </c>
      <c r="O366">
        <f t="shared" si="21"/>
        <v>0</v>
      </c>
      <c r="P366">
        <f t="shared" si="22"/>
        <v>0</v>
      </c>
    </row>
    <row r="367" spans="4:16" x14ac:dyDescent="0.4">
      <c r="D367" s="1"/>
      <c r="N367">
        <f t="shared" si="20"/>
        <v>0</v>
      </c>
      <c r="O367">
        <f t="shared" si="21"/>
        <v>0</v>
      </c>
      <c r="P367">
        <f t="shared" si="22"/>
        <v>0</v>
      </c>
    </row>
    <row r="368" spans="4:16" x14ac:dyDescent="0.4">
      <c r="D368" s="1"/>
      <c r="N368">
        <f t="shared" si="20"/>
        <v>0</v>
      </c>
      <c r="O368">
        <f t="shared" si="21"/>
        <v>0</v>
      </c>
      <c r="P368">
        <f t="shared" si="22"/>
        <v>0</v>
      </c>
    </row>
    <row r="369" spans="4:16" x14ac:dyDescent="0.4">
      <c r="D369" s="1"/>
      <c r="N369">
        <f t="shared" si="20"/>
        <v>0</v>
      </c>
      <c r="O369">
        <f t="shared" si="21"/>
        <v>0</v>
      </c>
      <c r="P369">
        <f t="shared" si="22"/>
        <v>0</v>
      </c>
    </row>
    <row r="370" spans="4:16" x14ac:dyDescent="0.4">
      <c r="D370" s="1"/>
      <c r="N370">
        <f t="shared" si="20"/>
        <v>0</v>
      </c>
      <c r="O370">
        <f t="shared" si="21"/>
        <v>0</v>
      </c>
      <c r="P370">
        <f t="shared" si="22"/>
        <v>0</v>
      </c>
    </row>
    <row r="371" spans="4:16" x14ac:dyDescent="0.4">
      <c r="D371" s="1"/>
      <c r="N371">
        <f t="shared" si="20"/>
        <v>0</v>
      </c>
      <c r="O371">
        <f t="shared" si="21"/>
        <v>0</v>
      </c>
      <c r="P371">
        <f t="shared" si="22"/>
        <v>0</v>
      </c>
    </row>
    <row r="372" spans="4:16" x14ac:dyDescent="0.4">
      <c r="D372" s="1"/>
      <c r="N372">
        <f t="shared" si="20"/>
        <v>0</v>
      </c>
      <c r="O372">
        <f t="shared" si="21"/>
        <v>0</v>
      </c>
      <c r="P372">
        <f t="shared" si="22"/>
        <v>0</v>
      </c>
    </row>
    <row r="373" spans="4:16" x14ac:dyDescent="0.4">
      <c r="D373" s="1"/>
      <c r="N373">
        <f t="shared" si="20"/>
        <v>0</v>
      </c>
      <c r="O373">
        <f t="shared" si="21"/>
        <v>0</v>
      </c>
      <c r="P373">
        <f t="shared" si="22"/>
        <v>0</v>
      </c>
    </row>
    <row r="374" spans="4:16" x14ac:dyDescent="0.4">
      <c r="D374" s="1"/>
      <c r="N374">
        <f t="shared" si="20"/>
        <v>0</v>
      </c>
      <c r="O374">
        <f t="shared" si="21"/>
        <v>0</v>
      </c>
      <c r="P374">
        <f t="shared" si="22"/>
        <v>0</v>
      </c>
    </row>
    <row r="375" spans="4:16" x14ac:dyDescent="0.4">
      <c r="D375" s="1"/>
      <c r="N375">
        <f t="shared" si="20"/>
        <v>0</v>
      </c>
      <c r="O375">
        <f t="shared" si="21"/>
        <v>0</v>
      </c>
      <c r="P375">
        <f t="shared" si="22"/>
        <v>0</v>
      </c>
    </row>
    <row r="376" spans="4:16" x14ac:dyDescent="0.4">
      <c r="D376" s="1"/>
      <c r="N376">
        <f t="shared" si="20"/>
        <v>0</v>
      </c>
      <c r="O376">
        <f t="shared" si="21"/>
        <v>0</v>
      </c>
      <c r="P376">
        <f t="shared" si="22"/>
        <v>0</v>
      </c>
    </row>
    <row r="377" spans="4:16" x14ac:dyDescent="0.4">
      <c r="D377" s="1"/>
      <c r="N377">
        <f t="shared" si="20"/>
        <v>0</v>
      </c>
      <c r="O377">
        <f t="shared" si="21"/>
        <v>0</v>
      </c>
      <c r="P377">
        <f t="shared" si="22"/>
        <v>0</v>
      </c>
    </row>
    <row r="378" spans="4:16" x14ac:dyDescent="0.4">
      <c r="D378" s="1"/>
      <c r="N378">
        <f t="shared" si="20"/>
        <v>0</v>
      </c>
      <c r="O378">
        <f t="shared" si="21"/>
        <v>0</v>
      </c>
      <c r="P378">
        <f t="shared" si="22"/>
        <v>0</v>
      </c>
    </row>
    <row r="379" spans="4:16" x14ac:dyDescent="0.4">
      <c r="D379" s="1"/>
      <c r="N379">
        <f t="shared" si="20"/>
        <v>0</v>
      </c>
      <c r="O379">
        <f t="shared" si="21"/>
        <v>0</v>
      </c>
      <c r="P379">
        <f t="shared" si="22"/>
        <v>0</v>
      </c>
    </row>
    <row r="380" spans="4:16" x14ac:dyDescent="0.4">
      <c r="D380" s="1"/>
      <c r="N380">
        <f t="shared" si="20"/>
        <v>0</v>
      </c>
      <c r="O380">
        <f t="shared" si="21"/>
        <v>0</v>
      </c>
      <c r="P380">
        <f t="shared" si="22"/>
        <v>0</v>
      </c>
    </row>
    <row r="381" spans="4:16" x14ac:dyDescent="0.4">
      <c r="D381" s="1"/>
      <c r="N381">
        <f t="shared" si="20"/>
        <v>0</v>
      </c>
      <c r="O381">
        <f t="shared" si="21"/>
        <v>0</v>
      </c>
      <c r="P381">
        <f t="shared" si="22"/>
        <v>0</v>
      </c>
    </row>
    <row r="382" spans="4:16" x14ac:dyDescent="0.4">
      <c r="D382" s="1"/>
      <c r="N382">
        <f t="shared" si="20"/>
        <v>0</v>
      </c>
      <c r="O382">
        <f t="shared" si="21"/>
        <v>0</v>
      </c>
      <c r="P382">
        <f t="shared" si="22"/>
        <v>0</v>
      </c>
    </row>
    <row r="383" spans="4:16" x14ac:dyDescent="0.4">
      <c r="D383" s="1"/>
      <c r="N383">
        <f t="shared" si="20"/>
        <v>0</v>
      </c>
      <c r="O383">
        <f t="shared" si="21"/>
        <v>0</v>
      </c>
      <c r="P383">
        <f t="shared" si="22"/>
        <v>0</v>
      </c>
    </row>
    <row r="384" spans="4:16" x14ac:dyDescent="0.4">
      <c r="D384" s="1"/>
      <c r="N384">
        <f t="shared" si="20"/>
        <v>0</v>
      </c>
      <c r="O384">
        <f t="shared" si="21"/>
        <v>0</v>
      </c>
      <c r="P384">
        <f t="shared" si="22"/>
        <v>0</v>
      </c>
    </row>
    <row r="385" spans="4:16" x14ac:dyDescent="0.4">
      <c r="D385" s="1"/>
      <c r="N385">
        <f t="shared" si="20"/>
        <v>0</v>
      </c>
      <c r="O385">
        <f t="shared" si="21"/>
        <v>0</v>
      </c>
      <c r="P385">
        <f t="shared" si="22"/>
        <v>0</v>
      </c>
    </row>
    <row r="386" spans="4:16" x14ac:dyDescent="0.4">
      <c r="D386" s="1"/>
      <c r="N386">
        <f t="shared" si="20"/>
        <v>0</v>
      </c>
      <c r="O386">
        <f t="shared" si="21"/>
        <v>0</v>
      </c>
      <c r="P386">
        <f t="shared" si="22"/>
        <v>0</v>
      </c>
    </row>
    <row r="387" spans="4:16" x14ac:dyDescent="0.4">
      <c r="D387" s="1"/>
      <c r="N387">
        <f t="shared" ref="N387:N450" si="23">IF(AND(K387&gt;0,K387&lt;30),1,IF(AND(K387&gt;=30,K387&lt;50),2,IF(K387&gt;=50,3,0)))</f>
        <v>0</v>
      </c>
      <c r="O387">
        <f t="shared" ref="O387:O450" si="24">IF(AND(L387&gt;0,L387&lt;30),1,IF(AND(L387&gt;=30,L387&lt;50),2,IF(L387&gt;=50,3,0)))</f>
        <v>0</v>
      </c>
      <c r="P387">
        <f t="shared" ref="P387:P450" si="25">IF(AND(M387&gt;0,M387&lt;30),1,IF(AND(M387&gt;=30,M387&lt;50),2,IF(M387&gt;=50,3,0)))</f>
        <v>0</v>
      </c>
    </row>
    <row r="388" spans="4:16" x14ac:dyDescent="0.4">
      <c r="D388" s="1"/>
      <c r="N388">
        <f t="shared" si="23"/>
        <v>0</v>
      </c>
      <c r="O388">
        <f t="shared" si="24"/>
        <v>0</v>
      </c>
      <c r="P388">
        <f t="shared" si="25"/>
        <v>0</v>
      </c>
    </row>
    <row r="389" spans="4:16" x14ac:dyDescent="0.4">
      <c r="D389" s="1"/>
      <c r="N389">
        <f t="shared" si="23"/>
        <v>0</v>
      </c>
      <c r="O389">
        <f t="shared" si="24"/>
        <v>0</v>
      </c>
      <c r="P389">
        <f t="shared" si="25"/>
        <v>0</v>
      </c>
    </row>
    <row r="390" spans="4:16" x14ac:dyDescent="0.4">
      <c r="D390" s="1"/>
      <c r="N390">
        <f t="shared" si="23"/>
        <v>0</v>
      </c>
      <c r="O390">
        <f t="shared" si="24"/>
        <v>0</v>
      </c>
      <c r="P390">
        <f t="shared" si="25"/>
        <v>0</v>
      </c>
    </row>
    <row r="391" spans="4:16" x14ac:dyDescent="0.4">
      <c r="D391" s="1"/>
      <c r="N391">
        <f t="shared" si="23"/>
        <v>0</v>
      </c>
      <c r="O391">
        <f t="shared" si="24"/>
        <v>0</v>
      </c>
      <c r="P391">
        <f t="shared" si="25"/>
        <v>0</v>
      </c>
    </row>
    <row r="392" spans="4:16" x14ac:dyDescent="0.4">
      <c r="D392" s="1"/>
      <c r="N392">
        <f t="shared" si="23"/>
        <v>0</v>
      </c>
      <c r="O392">
        <f t="shared" si="24"/>
        <v>0</v>
      </c>
      <c r="P392">
        <f t="shared" si="25"/>
        <v>0</v>
      </c>
    </row>
    <row r="393" spans="4:16" x14ac:dyDescent="0.4">
      <c r="D393" s="1"/>
      <c r="N393">
        <f t="shared" si="23"/>
        <v>0</v>
      </c>
      <c r="O393">
        <f t="shared" si="24"/>
        <v>0</v>
      </c>
      <c r="P393">
        <f t="shared" si="25"/>
        <v>0</v>
      </c>
    </row>
    <row r="394" spans="4:16" x14ac:dyDescent="0.4">
      <c r="D394" s="1"/>
      <c r="N394">
        <f t="shared" si="23"/>
        <v>0</v>
      </c>
      <c r="O394">
        <f t="shared" si="24"/>
        <v>0</v>
      </c>
      <c r="P394">
        <f t="shared" si="25"/>
        <v>0</v>
      </c>
    </row>
    <row r="395" spans="4:16" x14ac:dyDescent="0.4">
      <c r="D395" s="1"/>
      <c r="N395">
        <f t="shared" si="23"/>
        <v>0</v>
      </c>
      <c r="O395">
        <f t="shared" si="24"/>
        <v>0</v>
      </c>
      <c r="P395">
        <f t="shared" si="25"/>
        <v>0</v>
      </c>
    </row>
    <row r="396" spans="4:16" x14ac:dyDescent="0.4">
      <c r="D396" s="1"/>
      <c r="N396">
        <f t="shared" si="23"/>
        <v>0</v>
      </c>
      <c r="O396">
        <f t="shared" si="24"/>
        <v>0</v>
      </c>
      <c r="P396">
        <f t="shared" si="25"/>
        <v>0</v>
      </c>
    </row>
    <row r="397" spans="4:16" x14ac:dyDescent="0.4">
      <c r="D397" s="1"/>
      <c r="N397">
        <f t="shared" si="23"/>
        <v>0</v>
      </c>
      <c r="O397">
        <f t="shared" si="24"/>
        <v>0</v>
      </c>
      <c r="P397">
        <f t="shared" si="25"/>
        <v>0</v>
      </c>
    </row>
    <row r="398" spans="4:16" x14ac:dyDescent="0.4">
      <c r="D398" s="1"/>
      <c r="N398">
        <f t="shared" si="23"/>
        <v>0</v>
      </c>
      <c r="O398">
        <f t="shared" si="24"/>
        <v>0</v>
      </c>
      <c r="P398">
        <f t="shared" si="25"/>
        <v>0</v>
      </c>
    </row>
    <row r="399" spans="4:16" x14ac:dyDescent="0.4">
      <c r="D399" s="1"/>
      <c r="N399">
        <f t="shared" si="23"/>
        <v>0</v>
      </c>
      <c r="O399">
        <f t="shared" si="24"/>
        <v>0</v>
      </c>
      <c r="P399">
        <f t="shared" si="25"/>
        <v>0</v>
      </c>
    </row>
    <row r="400" spans="4:16" x14ac:dyDescent="0.4">
      <c r="D400" s="1"/>
      <c r="N400">
        <f t="shared" si="23"/>
        <v>0</v>
      </c>
      <c r="O400">
        <f t="shared" si="24"/>
        <v>0</v>
      </c>
      <c r="P400">
        <f t="shared" si="25"/>
        <v>0</v>
      </c>
    </row>
    <row r="401" spans="4:16" x14ac:dyDescent="0.4">
      <c r="D401" s="1"/>
      <c r="N401">
        <f t="shared" si="23"/>
        <v>0</v>
      </c>
      <c r="O401">
        <f t="shared" si="24"/>
        <v>0</v>
      </c>
      <c r="P401">
        <f t="shared" si="25"/>
        <v>0</v>
      </c>
    </row>
    <row r="402" spans="4:16" x14ac:dyDescent="0.4">
      <c r="D402" s="1"/>
      <c r="N402">
        <f t="shared" si="23"/>
        <v>0</v>
      </c>
      <c r="O402">
        <f t="shared" si="24"/>
        <v>0</v>
      </c>
      <c r="P402">
        <f t="shared" si="25"/>
        <v>0</v>
      </c>
    </row>
    <row r="403" spans="4:16" x14ac:dyDescent="0.4">
      <c r="D403" s="1"/>
      <c r="N403">
        <f t="shared" si="23"/>
        <v>0</v>
      </c>
      <c r="O403">
        <f t="shared" si="24"/>
        <v>0</v>
      </c>
      <c r="P403">
        <f t="shared" si="25"/>
        <v>0</v>
      </c>
    </row>
    <row r="404" spans="4:16" x14ac:dyDescent="0.4">
      <c r="D404" s="1"/>
      <c r="N404">
        <f t="shared" si="23"/>
        <v>0</v>
      </c>
      <c r="O404">
        <f t="shared" si="24"/>
        <v>0</v>
      </c>
      <c r="P404">
        <f t="shared" si="25"/>
        <v>0</v>
      </c>
    </row>
    <row r="405" spans="4:16" x14ac:dyDescent="0.4">
      <c r="D405" s="1"/>
      <c r="N405">
        <f t="shared" si="23"/>
        <v>0</v>
      </c>
      <c r="O405">
        <f t="shared" si="24"/>
        <v>0</v>
      </c>
      <c r="P405">
        <f t="shared" si="25"/>
        <v>0</v>
      </c>
    </row>
    <row r="406" spans="4:16" x14ac:dyDescent="0.4">
      <c r="D406" s="1"/>
      <c r="N406">
        <f t="shared" si="23"/>
        <v>0</v>
      </c>
      <c r="O406">
        <f t="shared" si="24"/>
        <v>0</v>
      </c>
      <c r="P406">
        <f t="shared" si="25"/>
        <v>0</v>
      </c>
    </row>
    <row r="407" spans="4:16" x14ac:dyDescent="0.4">
      <c r="D407" s="1"/>
      <c r="N407">
        <f t="shared" si="23"/>
        <v>0</v>
      </c>
      <c r="O407">
        <f t="shared" si="24"/>
        <v>0</v>
      </c>
      <c r="P407">
        <f t="shared" si="25"/>
        <v>0</v>
      </c>
    </row>
    <row r="408" spans="4:16" x14ac:dyDescent="0.4">
      <c r="D408" s="1"/>
      <c r="N408">
        <f t="shared" si="23"/>
        <v>0</v>
      </c>
      <c r="O408">
        <f t="shared" si="24"/>
        <v>0</v>
      </c>
      <c r="P408">
        <f t="shared" si="25"/>
        <v>0</v>
      </c>
    </row>
    <row r="409" spans="4:16" x14ac:dyDescent="0.4">
      <c r="D409" s="1"/>
      <c r="N409">
        <f t="shared" si="23"/>
        <v>0</v>
      </c>
      <c r="O409">
        <f t="shared" si="24"/>
        <v>0</v>
      </c>
      <c r="P409">
        <f t="shared" si="25"/>
        <v>0</v>
      </c>
    </row>
    <row r="410" spans="4:16" x14ac:dyDescent="0.4">
      <c r="D410" s="1"/>
      <c r="N410">
        <f t="shared" si="23"/>
        <v>0</v>
      </c>
      <c r="O410">
        <f t="shared" si="24"/>
        <v>0</v>
      </c>
      <c r="P410">
        <f t="shared" si="25"/>
        <v>0</v>
      </c>
    </row>
    <row r="411" spans="4:16" x14ac:dyDescent="0.4">
      <c r="D411" s="1"/>
      <c r="N411">
        <f t="shared" si="23"/>
        <v>0</v>
      </c>
      <c r="O411">
        <f t="shared" si="24"/>
        <v>0</v>
      </c>
      <c r="P411">
        <f t="shared" si="25"/>
        <v>0</v>
      </c>
    </row>
    <row r="412" spans="4:16" x14ac:dyDescent="0.4">
      <c r="D412" s="1"/>
      <c r="N412">
        <f t="shared" si="23"/>
        <v>0</v>
      </c>
      <c r="O412">
        <f t="shared" si="24"/>
        <v>0</v>
      </c>
      <c r="P412">
        <f t="shared" si="25"/>
        <v>0</v>
      </c>
    </row>
    <row r="413" spans="4:16" x14ac:dyDescent="0.4">
      <c r="D413" s="1"/>
      <c r="N413">
        <f t="shared" si="23"/>
        <v>0</v>
      </c>
      <c r="O413">
        <f t="shared" si="24"/>
        <v>0</v>
      </c>
      <c r="P413">
        <f t="shared" si="25"/>
        <v>0</v>
      </c>
    </row>
    <row r="414" spans="4:16" x14ac:dyDescent="0.4">
      <c r="D414" s="1"/>
      <c r="N414">
        <f t="shared" si="23"/>
        <v>0</v>
      </c>
      <c r="O414">
        <f t="shared" si="24"/>
        <v>0</v>
      </c>
      <c r="P414">
        <f t="shared" si="25"/>
        <v>0</v>
      </c>
    </row>
    <row r="415" spans="4:16" x14ac:dyDescent="0.4">
      <c r="D415" s="1"/>
      <c r="N415">
        <f t="shared" si="23"/>
        <v>0</v>
      </c>
      <c r="O415">
        <f t="shared" si="24"/>
        <v>0</v>
      </c>
      <c r="P415">
        <f t="shared" si="25"/>
        <v>0</v>
      </c>
    </row>
    <row r="416" spans="4:16" x14ac:dyDescent="0.4">
      <c r="D416" s="1"/>
      <c r="N416">
        <f t="shared" si="23"/>
        <v>0</v>
      </c>
      <c r="O416">
        <f t="shared" si="24"/>
        <v>0</v>
      </c>
      <c r="P416">
        <f t="shared" si="25"/>
        <v>0</v>
      </c>
    </row>
    <row r="417" spans="4:16" x14ac:dyDescent="0.4">
      <c r="D417" s="1"/>
      <c r="N417">
        <f t="shared" si="23"/>
        <v>0</v>
      </c>
      <c r="O417">
        <f t="shared" si="24"/>
        <v>0</v>
      </c>
      <c r="P417">
        <f t="shared" si="25"/>
        <v>0</v>
      </c>
    </row>
    <row r="418" spans="4:16" x14ac:dyDescent="0.4">
      <c r="D418" s="1"/>
      <c r="N418">
        <f t="shared" si="23"/>
        <v>0</v>
      </c>
      <c r="O418">
        <f t="shared" si="24"/>
        <v>0</v>
      </c>
      <c r="P418">
        <f t="shared" si="25"/>
        <v>0</v>
      </c>
    </row>
    <row r="419" spans="4:16" x14ac:dyDescent="0.4">
      <c r="D419" s="1"/>
      <c r="N419">
        <f t="shared" si="23"/>
        <v>0</v>
      </c>
      <c r="O419">
        <f t="shared" si="24"/>
        <v>0</v>
      </c>
      <c r="P419">
        <f t="shared" si="25"/>
        <v>0</v>
      </c>
    </row>
    <row r="420" spans="4:16" x14ac:dyDescent="0.4">
      <c r="D420" s="1"/>
      <c r="N420">
        <f t="shared" si="23"/>
        <v>0</v>
      </c>
      <c r="O420">
        <f t="shared" si="24"/>
        <v>0</v>
      </c>
      <c r="P420">
        <f t="shared" si="25"/>
        <v>0</v>
      </c>
    </row>
    <row r="421" spans="4:16" x14ac:dyDescent="0.4">
      <c r="D421" s="1"/>
      <c r="N421">
        <f t="shared" si="23"/>
        <v>0</v>
      </c>
      <c r="O421">
        <f t="shared" si="24"/>
        <v>0</v>
      </c>
      <c r="P421">
        <f t="shared" si="25"/>
        <v>0</v>
      </c>
    </row>
    <row r="422" spans="4:16" x14ac:dyDescent="0.4">
      <c r="D422" s="1"/>
      <c r="N422">
        <f t="shared" si="23"/>
        <v>0</v>
      </c>
      <c r="O422">
        <f t="shared" si="24"/>
        <v>0</v>
      </c>
      <c r="P422">
        <f t="shared" si="25"/>
        <v>0</v>
      </c>
    </row>
    <row r="423" spans="4:16" x14ac:dyDescent="0.4">
      <c r="D423" s="1"/>
      <c r="N423">
        <f t="shared" si="23"/>
        <v>0</v>
      </c>
      <c r="O423">
        <f t="shared" si="24"/>
        <v>0</v>
      </c>
      <c r="P423">
        <f t="shared" si="25"/>
        <v>0</v>
      </c>
    </row>
    <row r="424" spans="4:16" x14ac:dyDescent="0.4">
      <c r="D424" s="1"/>
      <c r="N424">
        <f t="shared" si="23"/>
        <v>0</v>
      </c>
      <c r="O424">
        <f t="shared" si="24"/>
        <v>0</v>
      </c>
      <c r="P424">
        <f t="shared" si="25"/>
        <v>0</v>
      </c>
    </row>
    <row r="425" spans="4:16" x14ac:dyDescent="0.4">
      <c r="D425" s="1"/>
      <c r="N425">
        <f t="shared" si="23"/>
        <v>0</v>
      </c>
      <c r="O425">
        <f t="shared" si="24"/>
        <v>0</v>
      </c>
      <c r="P425">
        <f t="shared" si="25"/>
        <v>0</v>
      </c>
    </row>
    <row r="426" spans="4:16" x14ac:dyDescent="0.4">
      <c r="D426" s="1"/>
      <c r="N426">
        <f t="shared" si="23"/>
        <v>0</v>
      </c>
      <c r="O426">
        <f t="shared" si="24"/>
        <v>0</v>
      </c>
      <c r="P426">
        <f t="shared" si="25"/>
        <v>0</v>
      </c>
    </row>
    <row r="427" spans="4:16" x14ac:dyDescent="0.4">
      <c r="D427" s="1"/>
      <c r="N427">
        <f t="shared" si="23"/>
        <v>0</v>
      </c>
      <c r="O427">
        <f t="shared" si="24"/>
        <v>0</v>
      </c>
      <c r="P427">
        <f t="shared" si="25"/>
        <v>0</v>
      </c>
    </row>
    <row r="428" spans="4:16" x14ac:dyDescent="0.4">
      <c r="D428" s="1"/>
      <c r="N428">
        <f t="shared" si="23"/>
        <v>0</v>
      </c>
      <c r="O428">
        <f t="shared" si="24"/>
        <v>0</v>
      </c>
      <c r="P428">
        <f t="shared" si="25"/>
        <v>0</v>
      </c>
    </row>
    <row r="429" spans="4:16" x14ac:dyDescent="0.4">
      <c r="D429" s="1"/>
      <c r="N429">
        <f t="shared" si="23"/>
        <v>0</v>
      </c>
      <c r="O429">
        <f t="shared" si="24"/>
        <v>0</v>
      </c>
      <c r="P429">
        <f t="shared" si="25"/>
        <v>0</v>
      </c>
    </row>
    <row r="430" spans="4:16" x14ac:dyDescent="0.4">
      <c r="D430" s="1"/>
      <c r="N430">
        <f t="shared" si="23"/>
        <v>0</v>
      </c>
      <c r="O430">
        <f t="shared" si="24"/>
        <v>0</v>
      </c>
      <c r="P430">
        <f t="shared" si="25"/>
        <v>0</v>
      </c>
    </row>
    <row r="431" spans="4:16" x14ac:dyDescent="0.4">
      <c r="D431" s="1"/>
      <c r="N431">
        <f t="shared" si="23"/>
        <v>0</v>
      </c>
      <c r="O431">
        <f t="shared" si="24"/>
        <v>0</v>
      </c>
      <c r="P431">
        <f t="shared" si="25"/>
        <v>0</v>
      </c>
    </row>
    <row r="432" spans="4:16" x14ac:dyDescent="0.4">
      <c r="D432" s="1"/>
      <c r="N432">
        <f t="shared" si="23"/>
        <v>0</v>
      </c>
      <c r="O432">
        <f t="shared" si="24"/>
        <v>0</v>
      </c>
      <c r="P432">
        <f t="shared" si="25"/>
        <v>0</v>
      </c>
    </row>
    <row r="433" spans="4:16" x14ac:dyDescent="0.4">
      <c r="D433" s="1"/>
      <c r="N433">
        <f t="shared" si="23"/>
        <v>0</v>
      </c>
      <c r="O433">
        <f t="shared" si="24"/>
        <v>0</v>
      </c>
      <c r="P433">
        <f t="shared" si="25"/>
        <v>0</v>
      </c>
    </row>
    <row r="434" spans="4:16" x14ac:dyDescent="0.4">
      <c r="D434" s="1"/>
      <c r="N434">
        <f t="shared" si="23"/>
        <v>0</v>
      </c>
      <c r="O434">
        <f t="shared" si="24"/>
        <v>0</v>
      </c>
      <c r="P434">
        <f t="shared" si="25"/>
        <v>0</v>
      </c>
    </row>
    <row r="435" spans="4:16" x14ac:dyDescent="0.4">
      <c r="D435" s="1"/>
      <c r="N435">
        <f t="shared" si="23"/>
        <v>0</v>
      </c>
      <c r="O435">
        <f t="shared" si="24"/>
        <v>0</v>
      </c>
      <c r="P435">
        <f t="shared" si="25"/>
        <v>0</v>
      </c>
    </row>
    <row r="436" spans="4:16" x14ac:dyDescent="0.4">
      <c r="D436" s="1"/>
      <c r="N436">
        <f t="shared" si="23"/>
        <v>0</v>
      </c>
      <c r="O436">
        <f t="shared" si="24"/>
        <v>0</v>
      </c>
      <c r="P436">
        <f t="shared" si="25"/>
        <v>0</v>
      </c>
    </row>
    <row r="437" spans="4:16" x14ac:dyDescent="0.4">
      <c r="D437" s="1"/>
      <c r="N437">
        <f t="shared" si="23"/>
        <v>0</v>
      </c>
      <c r="O437">
        <f t="shared" si="24"/>
        <v>0</v>
      </c>
      <c r="P437">
        <f t="shared" si="25"/>
        <v>0</v>
      </c>
    </row>
    <row r="438" spans="4:16" x14ac:dyDescent="0.4">
      <c r="D438" s="1"/>
      <c r="N438">
        <f t="shared" si="23"/>
        <v>0</v>
      </c>
      <c r="O438">
        <f t="shared" si="24"/>
        <v>0</v>
      </c>
      <c r="P438">
        <f t="shared" si="25"/>
        <v>0</v>
      </c>
    </row>
    <row r="439" spans="4:16" x14ac:dyDescent="0.4">
      <c r="D439" s="1"/>
      <c r="N439">
        <f t="shared" si="23"/>
        <v>0</v>
      </c>
      <c r="O439">
        <f t="shared" si="24"/>
        <v>0</v>
      </c>
      <c r="P439">
        <f t="shared" si="25"/>
        <v>0</v>
      </c>
    </row>
    <row r="440" spans="4:16" x14ac:dyDescent="0.4">
      <c r="D440" s="1"/>
      <c r="N440">
        <f t="shared" si="23"/>
        <v>0</v>
      </c>
      <c r="O440">
        <f t="shared" si="24"/>
        <v>0</v>
      </c>
      <c r="P440">
        <f t="shared" si="25"/>
        <v>0</v>
      </c>
    </row>
    <row r="441" spans="4:16" x14ac:dyDescent="0.4">
      <c r="D441" s="1"/>
      <c r="N441">
        <f t="shared" si="23"/>
        <v>0</v>
      </c>
      <c r="O441">
        <f t="shared" si="24"/>
        <v>0</v>
      </c>
      <c r="P441">
        <f t="shared" si="25"/>
        <v>0</v>
      </c>
    </row>
    <row r="442" spans="4:16" x14ac:dyDescent="0.4">
      <c r="D442" s="1"/>
      <c r="N442">
        <f t="shared" si="23"/>
        <v>0</v>
      </c>
      <c r="O442">
        <f t="shared" si="24"/>
        <v>0</v>
      </c>
      <c r="P442">
        <f t="shared" si="25"/>
        <v>0</v>
      </c>
    </row>
    <row r="443" spans="4:16" x14ac:dyDescent="0.4">
      <c r="D443" s="1"/>
      <c r="N443">
        <f t="shared" si="23"/>
        <v>0</v>
      </c>
      <c r="O443">
        <f t="shared" si="24"/>
        <v>0</v>
      </c>
      <c r="P443">
        <f t="shared" si="25"/>
        <v>0</v>
      </c>
    </row>
    <row r="444" spans="4:16" x14ac:dyDescent="0.4">
      <c r="D444" s="1"/>
      <c r="N444">
        <f t="shared" si="23"/>
        <v>0</v>
      </c>
      <c r="O444">
        <f t="shared" si="24"/>
        <v>0</v>
      </c>
      <c r="P444">
        <f t="shared" si="25"/>
        <v>0</v>
      </c>
    </row>
    <row r="445" spans="4:16" x14ac:dyDescent="0.4">
      <c r="D445" s="1"/>
      <c r="N445">
        <f t="shared" si="23"/>
        <v>0</v>
      </c>
      <c r="O445">
        <f t="shared" si="24"/>
        <v>0</v>
      </c>
      <c r="P445">
        <f t="shared" si="25"/>
        <v>0</v>
      </c>
    </row>
    <row r="446" spans="4:16" x14ac:dyDescent="0.4">
      <c r="D446" s="1"/>
      <c r="N446">
        <f t="shared" si="23"/>
        <v>0</v>
      </c>
      <c r="O446">
        <f t="shared" si="24"/>
        <v>0</v>
      </c>
      <c r="P446">
        <f t="shared" si="25"/>
        <v>0</v>
      </c>
    </row>
    <row r="447" spans="4:16" x14ac:dyDescent="0.4">
      <c r="D447" s="1"/>
      <c r="N447">
        <f t="shared" si="23"/>
        <v>0</v>
      </c>
      <c r="O447">
        <f t="shared" si="24"/>
        <v>0</v>
      </c>
      <c r="P447">
        <f t="shared" si="25"/>
        <v>0</v>
      </c>
    </row>
    <row r="448" spans="4:16" x14ac:dyDescent="0.4">
      <c r="D448" s="1"/>
      <c r="N448">
        <f t="shared" si="23"/>
        <v>0</v>
      </c>
      <c r="O448">
        <f t="shared" si="24"/>
        <v>0</v>
      </c>
      <c r="P448">
        <f t="shared" si="25"/>
        <v>0</v>
      </c>
    </row>
    <row r="449" spans="4:16" x14ac:dyDescent="0.4">
      <c r="D449" s="1"/>
      <c r="N449">
        <f t="shared" si="23"/>
        <v>0</v>
      </c>
      <c r="O449">
        <f t="shared" si="24"/>
        <v>0</v>
      </c>
      <c r="P449">
        <f t="shared" si="25"/>
        <v>0</v>
      </c>
    </row>
    <row r="450" spans="4:16" x14ac:dyDescent="0.4">
      <c r="D450" s="1"/>
      <c r="N450">
        <f t="shared" si="23"/>
        <v>0</v>
      </c>
      <c r="O450">
        <f t="shared" si="24"/>
        <v>0</v>
      </c>
      <c r="P450">
        <f t="shared" si="25"/>
        <v>0</v>
      </c>
    </row>
    <row r="451" spans="4:16" x14ac:dyDescent="0.4">
      <c r="D451" s="1"/>
      <c r="N451">
        <f t="shared" ref="N451:N514" si="26">IF(AND(K451&gt;0,K451&lt;30),1,IF(AND(K451&gt;=30,K451&lt;50),2,IF(K451&gt;=50,3,0)))</f>
        <v>0</v>
      </c>
      <c r="O451">
        <f t="shared" ref="O451:O514" si="27">IF(AND(L451&gt;0,L451&lt;30),1,IF(AND(L451&gt;=30,L451&lt;50),2,IF(L451&gt;=50,3,0)))</f>
        <v>0</v>
      </c>
      <c r="P451">
        <f t="shared" ref="P451:P514" si="28">IF(AND(M451&gt;0,M451&lt;30),1,IF(AND(M451&gt;=30,M451&lt;50),2,IF(M451&gt;=50,3,0)))</f>
        <v>0</v>
      </c>
    </row>
    <row r="452" spans="4:16" x14ac:dyDescent="0.4">
      <c r="D452" s="1"/>
      <c r="N452">
        <f t="shared" si="26"/>
        <v>0</v>
      </c>
      <c r="O452">
        <f t="shared" si="27"/>
        <v>0</v>
      </c>
      <c r="P452">
        <f t="shared" si="28"/>
        <v>0</v>
      </c>
    </row>
    <row r="453" spans="4:16" x14ac:dyDescent="0.4">
      <c r="D453" s="1"/>
      <c r="N453">
        <f t="shared" si="26"/>
        <v>0</v>
      </c>
      <c r="O453">
        <f t="shared" si="27"/>
        <v>0</v>
      </c>
      <c r="P453">
        <f t="shared" si="28"/>
        <v>0</v>
      </c>
    </row>
    <row r="454" spans="4:16" x14ac:dyDescent="0.4">
      <c r="D454" s="1"/>
      <c r="N454">
        <f t="shared" si="26"/>
        <v>0</v>
      </c>
      <c r="O454">
        <f t="shared" si="27"/>
        <v>0</v>
      </c>
      <c r="P454">
        <f t="shared" si="28"/>
        <v>0</v>
      </c>
    </row>
    <row r="455" spans="4:16" x14ac:dyDescent="0.4">
      <c r="D455" s="1"/>
      <c r="N455">
        <f t="shared" si="26"/>
        <v>0</v>
      </c>
      <c r="O455">
        <f t="shared" si="27"/>
        <v>0</v>
      </c>
      <c r="P455">
        <f t="shared" si="28"/>
        <v>0</v>
      </c>
    </row>
    <row r="456" spans="4:16" x14ac:dyDescent="0.4">
      <c r="D456" s="1"/>
      <c r="N456">
        <f t="shared" si="26"/>
        <v>0</v>
      </c>
      <c r="O456">
        <f t="shared" si="27"/>
        <v>0</v>
      </c>
      <c r="P456">
        <f t="shared" si="28"/>
        <v>0</v>
      </c>
    </row>
    <row r="457" spans="4:16" x14ac:dyDescent="0.4">
      <c r="D457" s="1"/>
      <c r="N457">
        <f t="shared" si="26"/>
        <v>0</v>
      </c>
      <c r="O457">
        <f t="shared" si="27"/>
        <v>0</v>
      </c>
      <c r="P457">
        <f t="shared" si="28"/>
        <v>0</v>
      </c>
    </row>
    <row r="458" spans="4:16" x14ac:dyDescent="0.4">
      <c r="D458" s="1"/>
      <c r="N458">
        <f t="shared" si="26"/>
        <v>0</v>
      </c>
      <c r="O458">
        <f t="shared" si="27"/>
        <v>0</v>
      </c>
      <c r="P458">
        <f t="shared" si="28"/>
        <v>0</v>
      </c>
    </row>
    <row r="459" spans="4:16" x14ac:dyDescent="0.4">
      <c r="D459" s="1"/>
      <c r="N459">
        <f t="shared" si="26"/>
        <v>0</v>
      </c>
      <c r="O459">
        <f t="shared" si="27"/>
        <v>0</v>
      </c>
      <c r="P459">
        <f t="shared" si="28"/>
        <v>0</v>
      </c>
    </row>
    <row r="460" spans="4:16" x14ac:dyDescent="0.4">
      <c r="D460" s="1"/>
      <c r="N460">
        <f t="shared" si="26"/>
        <v>0</v>
      </c>
      <c r="O460">
        <f t="shared" si="27"/>
        <v>0</v>
      </c>
      <c r="P460">
        <f t="shared" si="28"/>
        <v>0</v>
      </c>
    </row>
    <row r="461" spans="4:16" x14ac:dyDescent="0.4">
      <c r="D461" s="1"/>
      <c r="N461">
        <f t="shared" si="26"/>
        <v>0</v>
      </c>
      <c r="O461">
        <f t="shared" si="27"/>
        <v>0</v>
      </c>
      <c r="P461">
        <f t="shared" si="28"/>
        <v>0</v>
      </c>
    </row>
    <row r="462" spans="4:16" x14ac:dyDescent="0.4">
      <c r="D462" s="1"/>
      <c r="N462">
        <f t="shared" si="26"/>
        <v>0</v>
      </c>
      <c r="O462">
        <f t="shared" si="27"/>
        <v>0</v>
      </c>
      <c r="P462">
        <f t="shared" si="28"/>
        <v>0</v>
      </c>
    </row>
    <row r="463" spans="4:16" x14ac:dyDescent="0.4">
      <c r="D463" s="1"/>
      <c r="N463">
        <f t="shared" si="26"/>
        <v>0</v>
      </c>
      <c r="O463">
        <f t="shared" si="27"/>
        <v>0</v>
      </c>
      <c r="P463">
        <f t="shared" si="28"/>
        <v>0</v>
      </c>
    </row>
    <row r="464" spans="4:16" x14ac:dyDescent="0.4">
      <c r="D464" s="1"/>
      <c r="N464">
        <f t="shared" si="26"/>
        <v>0</v>
      </c>
      <c r="O464">
        <f t="shared" si="27"/>
        <v>0</v>
      </c>
      <c r="P464">
        <f t="shared" si="28"/>
        <v>0</v>
      </c>
    </row>
    <row r="465" spans="4:16" x14ac:dyDescent="0.4">
      <c r="D465" s="1"/>
      <c r="N465">
        <f t="shared" si="26"/>
        <v>0</v>
      </c>
      <c r="O465">
        <f t="shared" si="27"/>
        <v>0</v>
      </c>
      <c r="P465">
        <f t="shared" si="28"/>
        <v>0</v>
      </c>
    </row>
    <row r="466" spans="4:16" x14ac:dyDescent="0.4">
      <c r="D466" s="1"/>
      <c r="N466">
        <f t="shared" si="26"/>
        <v>0</v>
      </c>
      <c r="O466">
        <f t="shared" si="27"/>
        <v>0</v>
      </c>
      <c r="P466">
        <f t="shared" si="28"/>
        <v>0</v>
      </c>
    </row>
    <row r="467" spans="4:16" x14ac:dyDescent="0.4">
      <c r="D467" s="1"/>
      <c r="N467">
        <f t="shared" si="26"/>
        <v>0</v>
      </c>
      <c r="O467">
        <f t="shared" si="27"/>
        <v>0</v>
      </c>
      <c r="P467">
        <f t="shared" si="28"/>
        <v>0</v>
      </c>
    </row>
    <row r="468" spans="4:16" x14ac:dyDescent="0.4">
      <c r="D468" s="1"/>
      <c r="N468">
        <f t="shared" si="26"/>
        <v>0</v>
      </c>
      <c r="O468">
        <f t="shared" si="27"/>
        <v>0</v>
      </c>
      <c r="P468">
        <f t="shared" si="28"/>
        <v>0</v>
      </c>
    </row>
    <row r="469" spans="4:16" x14ac:dyDescent="0.4">
      <c r="D469" s="1"/>
      <c r="N469">
        <f t="shared" si="26"/>
        <v>0</v>
      </c>
      <c r="O469">
        <f t="shared" si="27"/>
        <v>0</v>
      </c>
      <c r="P469">
        <f t="shared" si="28"/>
        <v>0</v>
      </c>
    </row>
    <row r="470" spans="4:16" x14ac:dyDescent="0.4">
      <c r="D470" s="1"/>
      <c r="N470">
        <f t="shared" si="26"/>
        <v>0</v>
      </c>
      <c r="O470">
        <f t="shared" si="27"/>
        <v>0</v>
      </c>
      <c r="P470">
        <f t="shared" si="28"/>
        <v>0</v>
      </c>
    </row>
    <row r="471" spans="4:16" x14ac:dyDescent="0.4">
      <c r="D471" s="1"/>
      <c r="N471">
        <f t="shared" si="26"/>
        <v>0</v>
      </c>
      <c r="O471">
        <f t="shared" si="27"/>
        <v>0</v>
      </c>
      <c r="P471">
        <f t="shared" si="28"/>
        <v>0</v>
      </c>
    </row>
    <row r="472" spans="4:16" x14ac:dyDescent="0.4">
      <c r="D472" s="1"/>
      <c r="N472">
        <f t="shared" si="26"/>
        <v>0</v>
      </c>
      <c r="O472">
        <f t="shared" si="27"/>
        <v>0</v>
      </c>
      <c r="P472">
        <f t="shared" si="28"/>
        <v>0</v>
      </c>
    </row>
    <row r="473" spans="4:16" x14ac:dyDescent="0.4">
      <c r="D473" s="1"/>
      <c r="N473">
        <f t="shared" si="26"/>
        <v>0</v>
      </c>
      <c r="O473">
        <f t="shared" si="27"/>
        <v>0</v>
      </c>
      <c r="P473">
        <f t="shared" si="28"/>
        <v>0</v>
      </c>
    </row>
    <row r="474" spans="4:16" x14ac:dyDescent="0.4">
      <c r="D474" s="1"/>
      <c r="N474">
        <f t="shared" si="26"/>
        <v>0</v>
      </c>
      <c r="O474">
        <f t="shared" si="27"/>
        <v>0</v>
      </c>
      <c r="P474">
        <f t="shared" si="28"/>
        <v>0</v>
      </c>
    </row>
    <row r="475" spans="4:16" x14ac:dyDescent="0.4">
      <c r="D475" s="1"/>
      <c r="N475">
        <f t="shared" si="26"/>
        <v>0</v>
      </c>
      <c r="O475">
        <f t="shared" si="27"/>
        <v>0</v>
      </c>
      <c r="P475">
        <f t="shared" si="28"/>
        <v>0</v>
      </c>
    </row>
    <row r="476" spans="4:16" x14ac:dyDescent="0.4">
      <c r="D476" s="1"/>
      <c r="N476">
        <f t="shared" si="26"/>
        <v>0</v>
      </c>
      <c r="O476">
        <f t="shared" si="27"/>
        <v>0</v>
      </c>
      <c r="P476">
        <f t="shared" si="28"/>
        <v>0</v>
      </c>
    </row>
    <row r="477" spans="4:16" x14ac:dyDescent="0.4">
      <c r="D477" s="1"/>
      <c r="N477">
        <f t="shared" si="26"/>
        <v>0</v>
      </c>
      <c r="O477">
        <f t="shared" si="27"/>
        <v>0</v>
      </c>
      <c r="P477">
        <f t="shared" si="28"/>
        <v>0</v>
      </c>
    </row>
    <row r="478" spans="4:16" x14ac:dyDescent="0.4">
      <c r="D478" s="1"/>
      <c r="N478">
        <f t="shared" si="26"/>
        <v>0</v>
      </c>
      <c r="O478">
        <f t="shared" si="27"/>
        <v>0</v>
      </c>
      <c r="P478">
        <f t="shared" si="28"/>
        <v>0</v>
      </c>
    </row>
    <row r="479" spans="4:16" x14ac:dyDescent="0.4">
      <c r="D479" s="1"/>
      <c r="N479">
        <f t="shared" si="26"/>
        <v>0</v>
      </c>
      <c r="O479">
        <f t="shared" si="27"/>
        <v>0</v>
      </c>
      <c r="P479">
        <f t="shared" si="28"/>
        <v>0</v>
      </c>
    </row>
    <row r="480" spans="4:16" x14ac:dyDescent="0.4">
      <c r="D480" s="1"/>
      <c r="N480">
        <f t="shared" si="26"/>
        <v>0</v>
      </c>
      <c r="O480">
        <f t="shared" si="27"/>
        <v>0</v>
      </c>
      <c r="P480">
        <f t="shared" si="28"/>
        <v>0</v>
      </c>
    </row>
    <row r="481" spans="4:16" x14ac:dyDescent="0.4">
      <c r="D481" s="1"/>
      <c r="N481">
        <f t="shared" si="26"/>
        <v>0</v>
      </c>
      <c r="O481">
        <f t="shared" si="27"/>
        <v>0</v>
      </c>
      <c r="P481">
        <f t="shared" si="28"/>
        <v>0</v>
      </c>
    </row>
    <row r="482" spans="4:16" x14ac:dyDescent="0.4">
      <c r="D482" s="1"/>
      <c r="N482">
        <f t="shared" si="26"/>
        <v>0</v>
      </c>
      <c r="O482">
        <f t="shared" si="27"/>
        <v>0</v>
      </c>
      <c r="P482">
        <f t="shared" si="28"/>
        <v>0</v>
      </c>
    </row>
    <row r="483" spans="4:16" x14ac:dyDescent="0.4">
      <c r="D483" s="1"/>
      <c r="N483">
        <f t="shared" si="26"/>
        <v>0</v>
      </c>
      <c r="O483">
        <f t="shared" si="27"/>
        <v>0</v>
      </c>
      <c r="P483">
        <f t="shared" si="28"/>
        <v>0</v>
      </c>
    </row>
    <row r="484" spans="4:16" x14ac:dyDescent="0.4">
      <c r="D484" s="1"/>
      <c r="N484">
        <f t="shared" si="26"/>
        <v>0</v>
      </c>
      <c r="O484">
        <f t="shared" si="27"/>
        <v>0</v>
      </c>
      <c r="P484">
        <f t="shared" si="28"/>
        <v>0</v>
      </c>
    </row>
    <row r="485" spans="4:16" x14ac:dyDescent="0.4">
      <c r="D485" s="1"/>
      <c r="N485">
        <f t="shared" si="26"/>
        <v>0</v>
      </c>
      <c r="O485">
        <f t="shared" si="27"/>
        <v>0</v>
      </c>
      <c r="P485">
        <f t="shared" si="28"/>
        <v>0</v>
      </c>
    </row>
    <row r="486" spans="4:16" x14ac:dyDescent="0.4">
      <c r="D486" s="1"/>
      <c r="N486">
        <f t="shared" si="26"/>
        <v>0</v>
      </c>
      <c r="O486">
        <f t="shared" si="27"/>
        <v>0</v>
      </c>
      <c r="P486">
        <f t="shared" si="28"/>
        <v>0</v>
      </c>
    </row>
    <row r="487" spans="4:16" x14ac:dyDescent="0.4">
      <c r="D487" s="1"/>
      <c r="N487">
        <f t="shared" si="26"/>
        <v>0</v>
      </c>
      <c r="O487">
        <f t="shared" si="27"/>
        <v>0</v>
      </c>
      <c r="P487">
        <f t="shared" si="28"/>
        <v>0</v>
      </c>
    </row>
    <row r="488" spans="4:16" x14ac:dyDescent="0.4">
      <c r="D488" s="1"/>
      <c r="N488">
        <f t="shared" si="26"/>
        <v>0</v>
      </c>
      <c r="O488">
        <f t="shared" si="27"/>
        <v>0</v>
      </c>
      <c r="P488">
        <f t="shared" si="28"/>
        <v>0</v>
      </c>
    </row>
    <row r="489" spans="4:16" x14ac:dyDescent="0.4">
      <c r="D489" s="1"/>
      <c r="N489">
        <f t="shared" si="26"/>
        <v>0</v>
      </c>
      <c r="O489">
        <f t="shared" si="27"/>
        <v>0</v>
      </c>
      <c r="P489">
        <f t="shared" si="28"/>
        <v>0</v>
      </c>
    </row>
    <row r="490" spans="4:16" x14ac:dyDescent="0.4">
      <c r="D490" s="1"/>
      <c r="N490">
        <f t="shared" si="26"/>
        <v>0</v>
      </c>
      <c r="O490">
        <f t="shared" si="27"/>
        <v>0</v>
      </c>
      <c r="P490">
        <f t="shared" si="28"/>
        <v>0</v>
      </c>
    </row>
    <row r="491" spans="4:16" x14ac:dyDescent="0.4">
      <c r="D491" s="1"/>
      <c r="N491">
        <f t="shared" si="26"/>
        <v>0</v>
      </c>
      <c r="O491">
        <f t="shared" si="27"/>
        <v>0</v>
      </c>
      <c r="P491">
        <f t="shared" si="28"/>
        <v>0</v>
      </c>
    </row>
    <row r="492" spans="4:16" x14ac:dyDescent="0.4">
      <c r="D492" s="1"/>
      <c r="N492">
        <f t="shared" si="26"/>
        <v>0</v>
      </c>
      <c r="O492">
        <f t="shared" si="27"/>
        <v>0</v>
      </c>
      <c r="P492">
        <f t="shared" si="28"/>
        <v>0</v>
      </c>
    </row>
    <row r="493" spans="4:16" x14ac:dyDescent="0.4">
      <c r="D493" s="1"/>
      <c r="N493">
        <f t="shared" si="26"/>
        <v>0</v>
      </c>
      <c r="O493">
        <f t="shared" si="27"/>
        <v>0</v>
      </c>
      <c r="P493">
        <f t="shared" si="28"/>
        <v>0</v>
      </c>
    </row>
    <row r="494" spans="4:16" x14ac:dyDescent="0.4">
      <c r="D494" s="1"/>
      <c r="N494">
        <f t="shared" si="26"/>
        <v>0</v>
      </c>
      <c r="O494">
        <f t="shared" si="27"/>
        <v>0</v>
      </c>
      <c r="P494">
        <f t="shared" si="28"/>
        <v>0</v>
      </c>
    </row>
    <row r="495" spans="4:16" x14ac:dyDescent="0.4">
      <c r="D495" s="1"/>
      <c r="N495">
        <f t="shared" si="26"/>
        <v>0</v>
      </c>
      <c r="O495">
        <f t="shared" si="27"/>
        <v>0</v>
      </c>
      <c r="P495">
        <f t="shared" si="28"/>
        <v>0</v>
      </c>
    </row>
    <row r="496" spans="4:16" x14ac:dyDescent="0.4">
      <c r="D496" s="1"/>
      <c r="N496">
        <f t="shared" si="26"/>
        <v>0</v>
      </c>
      <c r="O496">
        <f t="shared" si="27"/>
        <v>0</v>
      </c>
      <c r="P496">
        <f t="shared" si="28"/>
        <v>0</v>
      </c>
    </row>
    <row r="497" spans="4:16" x14ac:dyDescent="0.4">
      <c r="D497" s="1"/>
      <c r="N497">
        <f t="shared" si="26"/>
        <v>0</v>
      </c>
      <c r="O497">
        <f t="shared" si="27"/>
        <v>0</v>
      </c>
      <c r="P497">
        <f t="shared" si="28"/>
        <v>0</v>
      </c>
    </row>
    <row r="498" spans="4:16" x14ac:dyDescent="0.4">
      <c r="D498" s="1"/>
      <c r="N498">
        <f t="shared" si="26"/>
        <v>0</v>
      </c>
      <c r="O498">
        <f t="shared" si="27"/>
        <v>0</v>
      </c>
      <c r="P498">
        <f t="shared" si="28"/>
        <v>0</v>
      </c>
    </row>
    <row r="499" spans="4:16" x14ac:dyDescent="0.4">
      <c r="D499" s="1"/>
      <c r="N499">
        <f t="shared" si="26"/>
        <v>0</v>
      </c>
      <c r="O499">
        <f t="shared" si="27"/>
        <v>0</v>
      </c>
      <c r="P499">
        <f t="shared" si="28"/>
        <v>0</v>
      </c>
    </row>
    <row r="500" spans="4:16" x14ac:dyDescent="0.4">
      <c r="D500" s="1"/>
      <c r="N500">
        <f t="shared" si="26"/>
        <v>0</v>
      </c>
      <c r="O500">
        <f t="shared" si="27"/>
        <v>0</v>
      </c>
      <c r="P500">
        <f t="shared" si="28"/>
        <v>0</v>
      </c>
    </row>
    <row r="501" spans="4:16" x14ac:dyDescent="0.4">
      <c r="D501" s="1"/>
      <c r="N501">
        <f t="shared" si="26"/>
        <v>0</v>
      </c>
      <c r="O501">
        <f t="shared" si="27"/>
        <v>0</v>
      </c>
      <c r="P501">
        <f t="shared" si="28"/>
        <v>0</v>
      </c>
    </row>
    <row r="502" spans="4:16" x14ac:dyDescent="0.4">
      <c r="D502" s="1"/>
      <c r="N502">
        <f t="shared" si="26"/>
        <v>0</v>
      </c>
      <c r="O502">
        <f t="shared" si="27"/>
        <v>0</v>
      </c>
      <c r="P502">
        <f t="shared" si="28"/>
        <v>0</v>
      </c>
    </row>
    <row r="503" spans="4:16" x14ac:dyDescent="0.4">
      <c r="D503" s="1"/>
      <c r="N503">
        <f t="shared" si="26"/>
        <v>0</v>
      </c>
      <c r="O503">
        <f t="shared" si="27"/>
        <v>0</v>
      </c>
      <c r="P503">
        <f t="shared" si="28"/>
        <v>0</v>
      </c>
    </row>
    <row r="504" spans="4:16" x14ac:dyDescent="0.4">
      <c r="D504" s="1"/>
      <c r="N504">
        <f t="shared" si="26"/>
        <v>0</v>
      </c>
      <c r="O504">
        <f t="shared" si="27"/>
        <v>0</v>
      </c>
      <c r="P504">
        <f t="shared" si="28"/>
        <v>0</v>
      </c>
    </row>
    <row r="505" spans="4:16" x14ac:dyDescent="0.4">
      <c r="D505" s="1"/>
      <c r="N505">
        <f t="shared" si="26"/>
        <v>0</v>
      </c>
      <c r="O505">
        <f t="shared" si="27"/>
        <v>0</v>
      </c>
      <c r="P505">
        <f t="shared" si="28"/>
        <v>0</v>
      </c>
    </row>
    <row r="506" spans="4:16" x14ac:dyDescent="0.4">
      <c r="D506" s="1"/>
      <c r="N506">
        <f t="shared" si="26"/>
        <v>0</v>
      </c>
      <c r="O506">
        <f t="shared" si="27"/>
        <v>0</v>
      </c>
      <c r="P506">
        <f t="shared" si="28"/>
        <v>0</v>
      </c>
    </row>
    <row r="507" spans="4:16" x14ac:dyDescent="0.4">
      <c r="D507" s="1"/>
      <c r="N507">
        <f t="shared" si="26"/>
        <v>0</v>
      </c>
      <c r="O507">
        <f t="shared" si="27"/>
        <v>0</v>
      </c>
      <c r="P507">
        <f t="shared" si="28"/>
        <v>0</v>
      </c>
    </row>
    <row r="508" spans="4:16" x14ac:dyDescent="0.4">
      <c r="D508" s="1"/>
      <c r="N508">
        <f t="shared" si="26"/>
        <v>0</v>
      </c>
      <c r="O508">
        <f t="shared" si="27"/>
        <v>0</v>
      </c>
      <c r="P508">
        <f t="shared" si="28"/>
        <v>0</v>
      </c>
    </row>
    <row r="509" spans="4:16" x14ac:dyDescent="0.4">
      <c r="D509" s="1"/>
      <c r="N509">
        <f t="shared" si="26"/>
        <v>0</v>
      </c>
      <c r="O509">
        <f t="shared" si="27"/>
        <v>0</v>
      </c>
      <c r="P509">
        <f t="shared" si="28"/>
        <v>0</v>
      </c>
    </row>
    <row r="510" spans="4:16" x14ac:dyDescent="0.4">
      <c r="D510" s="1"/>
      <c r="N510">
        <f t="shared" si="26"/>
        <v>0</v>
      </c>
      <c r="O510">
        <f t="shared" si="27"/>
        <v>0</v>
      </c>
      <c r="P510">
        <f t="shared" si="28"/>
        <v>0</v>
      </c>
    </row>
    <row r="511" spans="4:16" x14ac:dyDescent="0.4">
      <c r="D511" s="1"/>
      <c r="N511">
        <f t="shared" si="26"/>
        <v>0</v>
      </c>
      <c r="O511">
        <f t="shared" si="27"/>
        <v>0</v>
      </c>
      <c r="P511">
        <f t="shared" si="28"/>
        <v>0</v>
      </c>
    </row>
    <row r="512" spans="4:16" x14ac:dyDescent="0.4">
      <c r="D512" s="1"/>
      <c r="N512">
        <f t="shared" si="26"/>
        <v>0</v>
      </c>
      <c r="O512">
        <f t="shared" si="27"/>
        <v>0</v>
      </c>
      <c r="P512">
        <f t="shared" si="28"/>
        <v>0</v>
      </c>
    </row>
    <row r="513" spans="4:16" x14ac:dyDescent="0.4">
      <c r="D513" s="1"/>
      <c r="N513">
        <f t="shared" si="26"/>
        <v>0</v>
      </c>
      <c r="O513">
        <f t="shared" si="27"/>
        <v>0</v>
      </c>
      <c r="P513">
        <f t="shared" si="28"/>
        <v>0</v>
      </c>
    </row>
    <row r="514" spans="4:16" x14ac:dyDescent="0.4">
      <c r="D514" s="1"/>
      <c r="N514">
        <f t="shared" si="26"/>
        <v>0</v>
      </c>
      <c r="O514">
        <f t="shared" si="27"/>
        <v>0</v>
      </c>
      <c r="P514">
        <f t="shared" si="28"/>
        <v>0</v>
      </c>
    </row>
    <row r="515" spans="4:16" x14ac:dyDescent="0.4">
      <c r="D515" s="1"/>
      <c r="N515">
        <f t="shared" ref="N515:N559" si="29">IF(AND(K515&gt;0,K515&lt;30),1,IF(AND(K515&gt;=30,K515&lt;50),2,IF(K515&gt;=50,3,0)))</f>
        <v>0</v>
      </c>
      <c r="O515">
        <f t="shared" ref="O515:O559" si="30">IF(AND(L515&gt;0,L515&lt;30),1,IF(AND(L515&gt;=30,L515&lt;50),2,IF(L515&gt;=50,3,0)))</f>
        <v>0</v>
      </c>
      <c r="P515">
        <f t="shared" ref="P515:P559" si="31">IF(AND(M515&gt;0,M515&lt;30),1,IF(AND(M515&gt;=30,M515&lt;50),2,IF(M515&gt;=50,3,0)))</f>
        <v>0</v>
      </c>
    </row>
    <row r="516" spans="4:16" x14ac:dyDescent="0.4">
      <c r="D516" s="1"/>
      <c r="N516">
        <f t="shared" si="29"/>
        <v>0</v>
      </c>
      <c r="O516">
        <f t="shared" si="30"/>
        <v>0</v>
      </c>
      <c r="P516">
        <f t="shared" si="31"/>
        <v>0</v>
      </c>
    </row>
    <row r="517" spans="4:16" x14ac:dyDescent="0.4">
      <c r="D517" s="1"/>
      <c r="N517">
        <f t="shared" si="29"/>
        <v>0</v>
      </c>
      <c r="O517">
        <f t="shared" si="30"/>
        <v>0</v>
      </c>
      <c r="P517">
        <f t="shared" si="31"/>
        <v>0</v>
      </c>
    </row>
    <row r="518" spans="4:16" x14ac:dyDescent="0.4">
      <c r="D518" s="1"/>
      <c r="N518">
        <f t="shared" si="29"/>
        <v>0</v>
      </c>
      <c r="O518">
        <f t="shared" si="30"/>
        <v>0</v>
      </c>
      <c r="P518">
        <f t="shared" si="31"/>
        <v>0</v>
      </c>
    </row>
    <row r="519" spans="4:16" x14ac:dyDescent="0.4">
      <c r="D519" s="1"/>
      <c r="N519">
        <f t="shared" si="29"/>
        <v>0</v>
      </c>
      <c r="O519">
        <f t="shared" si="30"/>
        <v>0</v>
      </c>
      <c r="P519">
        <f t="shared" si="31"/>
        <v>0</v>
      </c>
    </row>
    <row r="520" spans="4:16" x14ac:dyDescent="0.4">
      <c r="D520" s="1"/>
      <c r="N520">
        <f t="shared" si="29"/>
        <v>0</v>
      </c>
      <c r="O520">
        <f t="shared" si="30"/>
        <v>0</v>
      </c>
      <c r="P520">
        <f t="shared" si="31"/>
        <v>0</v>
      </c>
    </row>
    <row r="521" spans="4:16" x14ac:dyDescent="0.4">
      <c r="D521" s="1"/>
      <c r="N521">
        <f t="shared" si="29"/>
        <v>0</v>
      </c>
      <c r="O521">
        <f t="shared" si="30"/>
        <v>0</v>
      </c>
      <c r="P521">
        <f t="shared" si="31"/>
        <v>0</v>
      </c>
    </row>
    <row r="522" spans="4:16" x14ac:dyDescent="0.4">
      <c r="D522" s="1"/>
      <c r="N522">
        <f t="shared" si="29"/>
        <v>0</v>
      </c>
      <c r="O522">
        <f t="shared" si="30"/>
        <v>0</v>
      </c>
      <c r="P522">
        <f t="shared" si="31"/>
        <v>0</v>
      </c>
    </row>
    <row r="523" spans="4:16" x14ac:dyDescent="0.4">
      <c r="D523" s="1"/>
      <c r="N523">
        <f t="shared" si="29"/>
        <v>0</v>
      </c>
      <c r="O523">
        <f t="shared" si="30"/>
        <v>0</v>
      </c>
      <c r="P523">
        <f t="shared" si="31"/>
        <v>0</v>
      </c>
    </row>
    <row r="524" spans="4:16" x14ac:dyDescent="0.4">
      <c r="D524" s="1"/>
      <c r="N524">
        <f t="shared" si="29"/>
        <v>0</v>
      </c>
      <c r="O524">
        <f t="shared" si="30"/>
        <v>0</v>
      </c>
      <c r="P524">
        <f t="shared" si="31"/>
        <v>0</v>
      </c>
    </row>
    <row r="525" spans="4:16" x14ac:dyDescent="0.4">
      <c r="D525" s="1"/>
      <c r="N525">
        <f t="shared" si="29"/>
        <v>0</v>
      </c>
      <c r="O525">
        <f t="shared" si="30"/>
        <v>0</v>
      </c>
      <c r="P525">
        <f t="shared" si="31"/>
        <v>0</v>
      </c>
    </row>
    <row r="526" spans="4:16" x14ac:dyDescent="0.4">
      <c r="D526" s="1"/>
      <c r="N526">
        <f t="shared" si="29"/>
        <v>0</v>
      </c>
      <c r="O526">
        <f t="shared" si="30"/>
        <v>0</v>
      </c>
      <c r="P526">
        <f t="shared" si="31"/>
        <v>0</v>
      </c>
    </row>
    <row r="527" spans="4:16" x14ac:dyDescent="0.4">
      <c r="D527" s="1"/>
      <c r="N527">
        <f t="shared" si="29"/>
        <v>0</v>
      </c>
      <c r="O527">
        <f t="shared" si="30"/>
        <v>0</v>
      </c>
      <c r="P527">
        <f t="shared" si="31"/>
        <v>0</v>
      </c>
    </row>
    <row r="528" spans="4:16" x14ac:dyDescent="0.4">
      <c r="D528" s="1"/>
      <c r="N528">
        <f t="shared" si="29"/>
        <v>0</v>
      </c>
      <c r="O528">
        <f t="shared" si="30"/>
        <v>0</v>
      </c>
      <c r="P528">
        <f t="shared" si="31"/>
        <v>0</v>
      </c>
    </row>
    <row r="529" spans="4:16" x14ac:dyDescent="0.4">
      <c r="D529" s="1"/>
      <c r="N529">
        <f t="shared" si="29"/>
        <v>0</v>
      </c>
      <c r="O529">
        <f t="shared" si="30"/>
        <v>0</v>
      </c>
      <c r="P529">
        <f t="shared" si="31"/>
        <v>0</v>
      </c>
    </row>
    <row r="530" spans="4:16" x14ac:dyDescent="0.4">
      <c r="D530" s="1"/>
      <c r="N530">
        <f t="shared" si="29"/>
        <v>0</v>
      </c>
      <c r="O530">
        <f t="shared" si="30"/>
        <v>0</v>
      </c>
      <c r="P530">
        <f t="shared" si="31"/>
        <v>0</v>
      </c>
    </row>
    <row r="531" spans="4:16" x14ac:dyDescent="0.4">
      <c r="D531" s="1"/>
      <c r="N531">
        <f t="shared" si="29"/>
        <v>0</v>
      </c>
      <c r="O531">
        <f t="shared" si="30"/>
        <v>0</v>
      </c>
      <c r="P531">
        <f t="shared" si="31"/>
        <v>0</v>
      </c>
    </row>
    <row r="532" spans="4:16" x14ac:dyDescent="0.4">
      <c r="D532" s="1"/>
      <c r="N532">
        <f t="shared" si="29"/>
        <v>0</v>
      </c>
      <c r="O532">
        <f t="shared" si="30"/>
        <v>0</v>
      </c>
      <c r="P532">
        <f t="shared" si="31"/>
        <v>0</v>
      </c>
    </row>
    <row r="533" spans="4:16" x14ac:dyDescent="0.4">
      <c r="D533" s="1"/>
      <c r="N533">
        <f t="shared" si="29"/>
        <v>0</v>
      </c>
      <c r="O533">
        <f t="shared" si="30"/>
        <v>0</v>
      </c>
      <c r="P533">
        <f t="shared" si="31"/>
        <v>0</v>
      </c>
    </row>
    <row r="534" spans="4:16" x14ac:dyDescent="0.4">
      <c r="D534" s="1"/>
      <c r="N534">
        <f t="shared" si="29"/>
        <v>0</v>
      </c>
      <c r="O534">
        <f t="shared" si="30"/>
        <v>0</v>
      </c>
      <c r="P534">
        <f t="shared" si="31"/>
        <v>0</v>
      </c>
    </row>
    <row r="535" spans="4:16" x14ac:dyDescent="0.4">
      <c r="D535" s="1"/>
      <c r="N535">
        <f t="shared" si="29"/>
        <v>0</v>
      </c>
      <c r="O535">
        <f t="shared" si="30"/>
        <v>0</v>
      </c>
      <c r="P535">
        <f t="shared" si="31"/>
        <v>0</v>
      </c>
    </row>
    <row r="536" spans="4:16" x14ac:dyDescent="0.4">
      <c r="D536" s="1"/>
      <c r="N536">
        <f t="shared" si="29"/>
        <v>0</v>
      </c>
      <c r="O536">
        <f t="shared" si="30"/>
        <v>0</v>
      </c>
      <c r="P536">
        <f t="shared" si="31"/>
        <v>0</v>
      </c>
    </row>
    <row r="537" spans="4:16" x14ac:dyDescent="0.4">
      <c r="D537" s="1"/>
      <c r="N537">
        <f t="shared" si="29"/>
        <v>0</v>
      </c>
      <c r="O537">
        <f t="shared" si="30"/>
        <v>0</v>
      </c>
      <c r="P537">
        <f t="shared" si="31"/>
        <v>0</v>
      </c>
    </row>
    <row r="538" spans="4:16" x14ac:dyDescent="0.4">
      <c r="D538" s="1"/>
      <c r="N538">
        <f t="shared" si="29"/>
        <v>0</v>
      </c>
      <c r="O538">
        <f t="shared" si="30"/>
        <v>0</v>
      </c>
      <c r="P538">
        <f t="shared" si="31"/>
        <v>0</v>
      </c>
    </row>
    <row r="539" spans="4:16" x14ac:dyDescent="0.4">
      <c r="D539" s="1"/>
      <c r="N539">
        <f t="shared" si="29"/>
        <v>0</v>
      </c>
      <c r="O539">
        <f t="shared" si="30"/>
        <v>0</v>
      </c>
      <c r="P539">
        <f t="shared" si="31"/>
        <v>0</v>
      </c>
    </row>
    <row r="540" spans="4:16" x14ac:dyDescent="0.4">
      <c r="D540" s="1"/>
      <c r="N540">
        <f t="shared" si="29"/>
        <v>0</v>
      </c>
      <c r="O540">
        <f t="shared" si="30"/>
        <v>0</v>
      </c>
      <c r="P540">
        <f t="shared" si="31"/>
        <v>0</v>
      </c>
    </row>
    <row r="541" spans="4:16" x14ac:dyDescent="0.4">
      <c r="D541" s="1"/>
      <c r="N541">
        <f t="shared" si="29"/>
        <v>0</v>
      </c>
      <c r="O541">
        <f t="shared" si="30"/>
        <v>0</v>
      </c>
      <c r="P541">
        <f t="shared" si="31"/>
        <v>0</v>
      </c>
    </row>
    <row r="542" spans="4:16" x14ac:dyDescent="0.4">
      <c r="D542" s="1"/>
      <c r="N542">
        <f t="shared" si="29"/>
        <v>0</v>
      </c>
      <c r="O542">
        <f t="shared" si="30"/>
        <v>0</v>
      </c>
      <c r="P542">
        <f t="shared" si="31"/>
        <v>0</v>
      </c>
    </row>
    <row r="543" spans="4:16" x14ac:dyDescent="0.4">
      <c r="D543" s="1"/>
      <c r="N543">
        <f t="shared" si="29"/>
        <v>0</v>
      </c>
      <c r="O543">
        <f t="shared" si="30"/>
        <v>0</v>
      </c>
      <c r="P543">
        <f t="shared" si="31"/>
        <v>0</v>
      </c>
    </row>
    <row r="544" spans="4:16" x14ac:dyDescent="0.4">
      <c r="D544" s="1"/>
      <c r="N544">
        <f t="shared" si="29"/>
        <v>0</v>
      </c>
      <c r="O544">
        <f t="shared" si="30"/>
        <v>0</v>
      </c>
      <c r="P544">
        <f t="shared" si="31"/>
        <v>0</v>
      </c>
    </row>
    <row r="545" spans="3:16" x14ac:dyDescent="0.4">
      <c r="D545" s="1"/>
      <c r="N545">
        <f t="shared" si="29"/>
        <v>0</v>
      </c>
      <c r="O545">
        <f t="shared" si="30"/>
        <v>0</v>
      </c>
      <c r="P545">
        <f t="shared" si="31"/>
        <v>0</v>
      </c>
    </row>
    <row r="546" spans="3:16" x14ac:dyDescent="0.4">
      <c r="D546" s="1"/>
      <c r="N546">
        <f t="shared" si="29"/>
        <v>0</v>
      </c>
      <c r="O546">
        <f t="shared" si="30"/>
        <v>0</v>
      </c>
      <c r="P546">
        <f t="shared" si="31"/>
        <v>0</v>
      </c>
    </row>
    <row r="547" spans="3:16" x14ac:dyDescent="0.4">
      <c r="D547" s="1"/>
      <c r="N547">
        <f t="shared" si="29"/>
        <v>0</v>
      </c>
      <c r="O547">
        <f t="shared" si="30"/>
        <v>0</v>
      </c>
      <c r="P547">
        <f t="shared" si="31"/>
        <v>0</v>
      </c>
    </row>
    <row r="548" spans="3:16" x14ac:dyDescent="0.4">
      <c r="D548" s="1"/>
      <c r="N548">
        <f t="shared" si="29"/>
        <v>0</v>
      </c>
      <c r="O548">
        <f t="shared" si="30"/>
        <v>0</v>
      </c>
      <c r="P548">
        <f t="shared" si="31"/>
        <v>0</v>
      </c>
    </row>
    <row r="549" spans="3:16" x14ac:dyDescent="0.4">
      <c r="D549" s="1"/>
      <c r="N549">
        <f t="shared" si="29"/>
        <v>0</v>
      </c>
      <c r="O549">
        <f t="shared" si="30"/>
        <v>0</v>
      </c>
      <c r="P549">
        <f t="shared" si="31"/>
        <v>0</v>
      </c>
    </row>
    <row r="550" spans="3:16" x14ac:dyDescent="0.4">
      <c r="D550" s="1"/>
      <c r="N550">
        <f t="shared" si="29"/>
        <v>0</v>
      </c>
      <c r="O550">
        <f t="shared" si="30"/>
        <v>0</v>
      </c>
      <c r="P550">
        <f t="shared" si="31"/>
        <v>0</v>
      </c>
    </row>
    <row r="551" spans="3:16" x14ac:dyDescent="0.4">
      <c r="D551" s="1"/>
      <c r="N551">
        <f t="shared" si="29"/>
        <v>0</v>
      </c>
      <c r="O551">
        <f t="shared" si="30"/>
        <v>0</v>
      </c>
      <c r="P551">
        <f t="shared" si="31"/>
        <v>0</v>
      </c>
    </row>
    <row r="552" spans="3:16" x14ac:dyDescent="0.4">
      <c r="D552" s="1"/>
      <c r="N552">
        <f t="shared" si="29"/>
        <v>0</v>
      </c>
      <c r="O552">
        <f t="shared" si="30"/>
        <v>0</v>
      </c>
      <c r="P552">
        <f t="shared" si="31"/>
        <v>0</v>
      </c>
    </row>
    <row r="553" spans="3:16" x14ac:dyDescent="0.4">
      <c r="D553" s="1"/>
      <c r="N553">
        <f t="shared" si="29"/>
        <v>0</v>
      </c>
      <c r="O553">
        <f t="shared" si="30"/>
        <v>0</v>
      </c>
      <c r="P553">
        <f t="shared" si="31"/>
        <v>0</v>
      </c>
    </row>
    <row r="554" spans="3:16" x14ac:dyDescent="0.4">
      <c r="D554" s="1"/>
      <c r="N554">
        <f t="shared" si="29"/>
        <v>0</v>
      </c>
      <c r="O554">
        <f t="shared" si="30"/>
        <v>0</v>
      </c>
      <c r="P554">
        <f t="shared" si="31"/>
        <v>0</v>
      </c>
    </row>
    <row r="555" spans="3:16" x14ac:dyDescent="0.4">
      <c r="D555" s="1"/>
      <c r="N555">
        <f t="shared" si="29"/>
        <v>0</v>
      </c>
      <c r="O555">
        <f t="shared" si="30"/>
        <v>0</v>
      </c>
      <c r="P555">
        <f t="shared" si="31"/>
        <v>0</v>
      </c>
    </row>
    <row r="556" spans="3:16" x14ac:dyDescent="0.4">
      <c r="D556" s="1"/>
      <c r="N556">
        <f t="shared" si="29"/>
        <v>0</v>
      </c>
      <c r="O556">
        <f t="shared" si="30"/>
        <v>0</v>
      </c>
      <c r="P556">
        <f t="shared" si="31"/>
        <v>0</v>
      </c>
    </row>
    <row r="557" spans="3:16" x14ac:dyDescent="0.4">
      <c r="D557" s="1"/>
      <c r="N557">
        <f t="shared" si="29"/>
        <v>0</v>
      </c>
      <c r="O557">
        <f t="shared" si="30"/>
        <v>0</v>
      </c>
      <c r="P557">
        <f t="shared" si="31"/>
        <v>0</v>
      </c>
    </row>
    <row r="558" spans="3:16" x14ac:dyDescent="0.4">
      <c r="D558" s="1"/>
      <c r="N558">
        <f t="shared" si="29"/>
        <v>0</v>
      </c>
      <c r="O558">
        <f t="shared" si="30"/>
        <v>0</v>
      </c>
      <c r="P558">
        <f t="shared" si="31"/>
        <v>0</v>
      </c>
    </row>
    <row r="559" spans="3:16" x14ac:dyDescent="0.4">
      <c r="D559" s="1"/>
      <c r="N559">
        <f t="shared" si="29"/>
        <v>0</v>
      </c>
      <c r="O559">
        <f t="shared" si="30"/>
        <v>0</v>
      </c>
      <c r="P559">
        <f t="shared" si="31"/>
        <v>0</v>
      </c>
    </row>
    <row r="560" spans="3:16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tegorize2">
                <anchor moveWithCells="1" sizeWithCells="1">
                  <from>
                    <xdr:col>22</xdr:col>
                    <xdr:colOff>33338</xdr:colOff>
                    <xdr:row>3</xdr:row>
                    <xdr:rowOff>166688</xdr:rowOff>
                  </from>
                  <to>
                    <xdr:col>23</xdr:col>
                    <xdr:colOff>400050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D559"/>
  <sheetViews>
    <sheetView tabSelected="1" workbookViewId="0">
      <selection sqref="A1:M559"/>
    </sheetView>
  </sheetViews>
  <sheetFormatPr defaultRowHeight="13.9" x14ac:dyDescent="0.4"/>
  <cols>
    <col min="3" max="3" width="17.33203125" customWidth="1"/>
  </cols>
  <sheetData>
    <row r="2" spans="4:4" x14ac:dyDescent="0.4">
      <c r="D2" s="1"/>
    </row>
    <row r="3" spans="4:4" x14ac:dyDescent="0.4">
      <c r="D3" s="1"/>
    </row>
    <row r="4" spans="4:4" x14ac:dyDescent="0.4">
      <c r="D4" s="1"/>
    </row>
    <row r="5" spans="4:4" x14ac:dyDescent="0.4">
      <c r="D5" s="1"/>
    </row>
    <row r="6" spans="4:4" x14ac:dyDescent="0.4">
      <c r="D6" s="1"/>
    </row>
    <row r="7" spans="4:4" x14ac:dyDescent="0.4">
      <c r="D7" s="1"/>
    </row>
    <row r="8" spans="4:4" x14ac:dyDescent="0.4">
      <c r="D8" s="1"/>
    </row>
    <row r="9" spans="4:4" x14ac:dyDescent="0.4">
      <c r="D9" s="1"/>
    </row>
    <row r="10" spans="4:4" x14ac:dyDescent="0.4">
      <c r="D10" s="1"/>
    </row>
    <row r="11" spans="4:4" x14ac:dyDescent="0.4">
      <c r="D11" s="1"/>
    </row>
    <row r="12" spans="4:4" x14ac:dyDescent="0.4">
      <c r="D12" s="1"/>
    </row>
    <row r="13" spans="4:4" x14ac:dyDescent="0.4">
      <c r="D13" s="1"/>
    </row>
    <row r="14" spans="4:4" x14ac:dyDescent="0.4">
      <c r="D14" s="1"/>
    </row>
    <row r="15" spans="4:4" x14ac:dyDescent="0.4">
      <c r="D15" s="1"/>
    </row>
    <row r="16" spans="4:4" x14ac:dyDescent="0.4">
      <c r="D16" s="1"/>
    </row>
    <row r="17" spans="4:4" x14ac:dyDescent="0.4">
      <c r="D17" s="1"/>
    </row>
    <row r="18" spans="4:4" x14ac:dyDescent="0.4">
      <c r="D18" s="1"/>
    </row>
    <row r="19" spans="4:4" x14ac:dyDescent="0.4">
      <c r="D19" s="1"/>
    </row>
    <row r="20" spans="4:4" x14ac:dyDescent="0.4">
      <c r="D20" s="1"/>
    </row>
    <row r="21" spans="4:4" x14ac:dyDescent="0.4">
      <c r="D21" s="1"/>
    </row>
    <row r="22" spans="4:4" x14ac:dyDescent="0.4">
      <c r="D22" s="1"/>
    </row>
    <row r="23" spans="4:4" x14ac:dyDescent="0.4">
      <c r="D23" s="1"/>
    </row>
    <row r="24" spans="4:4" x14ac:dyDescent="0.4">
      <c r="D24" s="1"/>
    </row>
    <row r="25" spans="4:4" x14ac:dyDescent="0.4">
      <c r="D25" s="1"/>
    </row>
    <row r="26" spans="4:4" x14ac:dyDescent="0.4">
      <c r="D26" s="1"/>
    </row>
    <row r="27" spans="4:4" x14ac:dyDescent="0.4">
      <c r="D27" s="1"/>
    </row>
    <row r="28" spans="4:4" x14ac:dyDescent="0.4">
      <c r="D28" s="1"/>
    </row>
    <row r="29" spans="4:4" x14ac:dyDescent="0.4">
      <c r="D29" s="1"/>
    </row>
    <row r="30" spans="4:4" x14ac:dyDescent="0.4">
      <c r="D30" s="1"/>
    </row>
    <row r="31" spans="4:4" x14ac:dyDescent="0.4">
      <c r="D31" s="1"/>
    </row>
    <row r="32" spans="4:4" x14ac:dyDescent="0.4">
      <c r="D32" s="1"/>
    </row>
    <row r="33" spans="4:4" x14ac:dyDescent="0.4">
      <c r="D33" s="1"/>
    </row>
    <row r="34" spans="4:4" x14ac:dyDescent="0.4">
      <c r="D34" s="1"/>
    </row>
    <row r="35" spans="4:4" x14ac:dyDescent="0.4">
      <c r="D35" s="1"/>
    </row>
    <row r="36" spans="4:4" x14ac:dyDescent="0.4">
      <c r="D36" s="1"/>
    </row>
    <row r="37" spans="4:4" x14ac:dyDescent="0.4">
      <c r="D37" s="1"/>
    </row>
    <row r="38" spans="4:4" x14ac:dyDescent="0.4">
      <c r="D38" s="1"/>
    </row>
    <row r="39" spans="4:4" x14ac:dyDescent="0.4">
      <c r="D39" s="1"/>
    </row>
    <row r="40" spans="4:4" x14ac:dyDescent="0.4">
      <c r="D40" s="1"/>
    </row>
    <row r="41" spans="4:4" x14ac:dyDescent="0.4">
      <c r="D41" s="1"/>
    </row>
    <row r="42" spans="4:4" x14ac:dyDescent="0.4">
      <c r="D42" s="1"/>
    </row>
    <row r="43" spans="4:4" x14ac:dyDescent="0.4">
      <c r="D43" s="1"/>
    </row>
    <row r="44" spans="4:4" x14ac:dyDescent="0.4">
      <c r="D44" s="1"/>
    </row>
    <row r="45" spans="4:4" x14ac:dyDescent="0.4">
      <c r="D45" s="1"/>
    </row>
    <row r="46" spans="4:4" x14ac:dyDescent="0.4">
      <c r="D46" s="1"/>
    </row>
    <row r="47" spans="4:4" x14ac:dyDescent="0.4">
      <c r="D47" s="1"/>
    </row>
    <row r="48" spans="4:4" x14ac:dyDescent="0.4">
      <c r="D48" s="1"/>
    </row>
    <row r="49" spans="4:4" x14ac:dyDescent="0.4">
      <c r="D49" s="1"/>
    </row>
    <row r="50" spans="4:4" x14ac:dyDescent="0.4">
      <c r="D50" s="1"/>
    </row>
    <row r="51" spans="4:4" x14ac:dyDescent="0.4">
      <c r="D51" s="1"/>
    </row>
    <row r="52" spans="4:4" x14ac:dyDescent="0.4">
      <c r="D52" s="1"/>
    </row>
    <row r="53" spans="4:4" x14ac:dyDescent="0.4">
      <c r="D53" s="1"/>
    </row>
    <row r="54" spans="4:4" x14ac:dyDescent="0.4">
      <c r="D54" s="1"/>
    </row>
    <row r="55" spans="4:4" x14ac:dyDescent="0.4">
      <c r="D55" s="1"/>
    </row>
    <row r="56" spans="4:4" x14ac:dyDescent="0.4">
      <c r="D56" s="1"/>
    </row>
    <row r="57" spans="4:4" x14ac:dyDescent="0.4">
      <c r="D57" s="1"/>
    </row>
    <row r="58" spans="4:4" x14ac:dyDescent="0.4">
      <c r="D58" s="1"/>
    </row>
    <row r="59" spans="4:4" x14ac:dyDescent="0.4">
      <c r="D59" s="1"/>
    </row>
    <row r="60" spans="4:4" x14ac:dyDescent="0.4">
      <c r="D60" s="1"/>
    </row>
    <row r="61" spans="4:4" x14ac:dyDescent="0.4">
      <c r="D61" s="1"/>
    </row>
    <row r="62" spans="4:4" x14ac:dyDescent="0.4">
      <c r="D62" s="1"/>
    </row>
    <row r="63" spans="4:4" x14ac:dyDescent="0.4">
      <c r="D63" s="1"/>
    </row>
    <row r="64" spans="4:4" x14ac:dyDescent="0.4">
      <c r="D64" s="1"/>
    </row>
    <row r="65" spans="4:4" x14ac:dyDescent="0.4">
      <c r="D65" s="1"/>
    </row>
    <row r="66" spans="4:4" x14ac:dyDescent="0.4">
      <c r="D66" s="1"/>
    </row>
    <row r="67" spans="4:4" x14ac:dyDescent="0.4">
      <c r="D67" s="1"/>
    </row>
    <row r="68" spans="4:4" x14ac:dyDescent="0.4">
      <c r="D68" s="1"/>
    </row>
    <row r="69" spans="4:4" x14ac:dyDescent="0.4">
      <c r="D69" s="1"/>
    </row>
    <row r="70" spans="4:4" x14ac:dyDescent="0.4">
      <c r="D70" s="1"/>
    </row>
    <row r="71" spans="4:4" x14ac:dyDescent="0.4">
      <c r="D71" s="1"/>
    </row>
    <row r="72" spans="4:4" x14ac:dyDescent="0.4">
      <c r="D72" s="1"/>
    </row>
    <row r="73" spans="4:4" x14ac:dyDescent="0.4">
      <c r="D73" s="1"/>
    </row>
    <row r="74" spans="4:4" x14ac:dyDescent="0.4">
      <c r="D74" s="1"/>
    </row>
    <row r="75" spans="4:4" x14ac:dyDescent="0.4">
      <c r="D75" s="1"/>
    </row>
    <row r="76" spans="4:4" x14ac:dyDescent="0.4">
      <c r="D76" s="1"/>
    </row>
    <row r="77" spans="4:4" x14ac:dyDescent="0.4">
      <c r="D77" s="1"/>
    </row>
    <row r="78" spans="4:4" x14ac:dyDescent="0.4">
      <c r="D78" s="1"/>
    </row>
    <row r="79" spans="4:4" x14ac:dyDescent="0.4">
      <c r="D79" s="1"/>
    </row>
    <row r="80" spans="4:4" x14ac:dyDescent="0.4">
      <c r="D80" s="1"/>
    </row>
    <row r="81" spans="4:4" x14ac:dyDescent="0.4">
      <c r="D81" s="1"/>
    </row>
    <row r="82" spans="4:4" x14ac:dyDescent="0.4">
      <c r="D82" s="1"/>
    </row>
    <row r="83" spans="4:4" x14ac:dyDescent="0.4">
      <c r="D83" s="1"/>
    </row>
    <row r="84" spans="4:4" x14ac:dyDescent="0.4">
      <c r="D84" s="1"/>
    </row>
    <row r="85" spans="4:4" x14ac:dyDescent="0.4">
      <c r="D85" s="1"/>
    </row>
    <row r="86" spans="4:4" x14ac:dyDescent="0.4">
      <c r="D86" s="1"/>
    </row>
    <row r="87" spans="4:4" x14ac:dyDescent="0.4">
      <c r="D87" s="1"/>
    </row>
    <row r="88" spans="4:4" x14ac:dyDescent="0.4">
      <c r="D88" s="1"/>
    </row>
    <row r="89" spans="4:4" x14ac:dyDescent="0.4">
      <c r="D89" s="1"/>
    </row>
    <row r="90" spans="4:4" x14ac:dyDescent="0.4">
      <c r="D90" s="1"/>
    </row>
    <row r="91" spans="4:4" x14ac:dyDescent="0.4">
      <c r="D91" s="1"/>
    </row>
    <row r="92" spans="4:4" x14ac:dyDescent="0.4">
      <c r="D92" s="1"/>
    </row>
    <row r="93" spans="4:4" x14ac:dyDescent="0.4">
      <c r="D93" s="1"/>
    </row>
    <row r="94" spans="4:4" x14ac:dyDescent="0.4">
      <c r="D94" s="1"/>
    </row>
    <row r="95" spans="4:4" x14ac:dyDescent="0.4">
      <c r="D95" s="1"/>
    </row>
    <row r="96" spans="4:4" x14ac:dyDescent="0.4">
      <c r="D96" s="1"/>
    </row>
    <row r="97" spans="4:4" x14ac:dyDescent="0.4">
      <c r="D97" s="1"/>
    </row>
    <row r="98" spans="4:4" x14ac:dyDescent="0.4">
      <c r="D98" s="1"/>
    </row>
    <row r="99" spans="4:4" x14ac:dyDescent="0.4">
      <c r="D99" s="1"/>
    </row>
    <row r="100" spans="4:4" x14ac:dyDescent="0.4">
      <c r="D100" s="1"/>
    </row>
    <row r="101" spans="4:4" x14ac:dyDescent="0.4">
      <c r="D101" s="1"/>
    </row>
    <row r="102" spans="4:4" x14ac:dyDescent="0.4">
      <c r="D102" s="1"/>
    </row>
    <row r="103" spans="4:4" x14ac:dyDescent="0.4">
      <c r="D103" s="1"/>
    </row>
    <row r="104" spans="4:4" x14ac:dyDescent="0.4">
      <c r="D104" s="1"/>
    </row>
    <row r="105" spans="4:4" x14ac:dyDescent="0.4">
      <c r="D105" s="1"/>
    </row>
    <row r="106" spans="4:4" x14ac:dyDescent="0.4">
      <c r="D106" s="1"/>
    </row>
    <row r="107" spans="4:4" x14ac:dyDescent="0.4">
      <c r="D107" s="1"/>
    </row>
    <row r="108" spans="4:4" x14ac:dyDescent="0.4">
      <c r="D108" s="1"/>
    </row>
    <row r="109" spans="4:4" x14ac:dyDescent="0.4">
      <c r="D109" s="1"/>
    </row>
    <row r="110" spans="4:4" x14ac:dyDescent="0.4">
      <c r="D110" s="1"/>
    </row>
    <row r="111" spans="4:4" x14ac:dyDescent="0.4">
      <c r="D111" s="1"/>
    </row>
    <row r="112" spans="4:4" x14ac:dyDescent="0.4">
      <c r="D112" s="1"/>
    </row>
    <row r="113" spans="4:4" x14ac:dyDescent="0.4">
      <c r="D113" s="1"/>
    </row>
    <row r="114" spans="4:4" x14ac:dyDescent="0.4">
      <c r="D114" s="1"/>
    </row>
    <row r="115" spans="4:4" x14ac:dyDescent="0.4">
      <c r="D115" s="1"/>
    </row>
    <row r="116" spans="4:4" x14ac:dyDescent="0.4">
      <c r="D116" s="1"/>
    </row>
    <row r="117" spans="4:4" x14ac:dyDescent="0.4">
      <c r="D117" s="1"/>
    </row>
    <row r="118" spans="4:4" x14ac:dyDescent="0.4">
      <c r="D118" s="1"/>
    </row>
    <row r="119" spans="4:4" x14ac:dyDescent="0.4">
      <c r="D119" s="1"/>
    </row>
    <row r="120" spans="4:4" x14ac:dyDescent="0.4">
      <c r="D120" s="1"/>
    </row>
    <row r="121" spans="4:4" x14ac:dyDescent="0.4">
      <c r="D121" s="1"/>
    </row>
    <row r="122" spans="4:4" x14ac:dyDescent="0.4">
      <c r="D122" s="1"/>
    </row>
    <row r="123" spans="4:4" x14ac:dyDescent="0.4">
      <c r="D123" s="1"/>
    </row>
    <row r="124" spans="4:4" x14ac:dyDescent="0.4">
      <c r="D124" s="1"/>
    </row>
    <row r="125" spans="4:4" x14ac:dyDescent="0.4">
      <c r="D125" s="1"/>
    </row>
    <row r="126" spans="4:4" x14ac:dyDescent="0.4">
      <c r="D126" s="1"/>
    </row>
    <row r="127" spans="4:4" x14ac:dyDescent="0.4">
      <c r="D127" s="1"/>
    </row>
    <row r="128" spans="4:4" x14ac:dyDescent="0.4">
      <c r="D128" s="1"/>
    </row>
    <row r="129" spans="4:4" x14ac:dyDescent="0.4">
      <c r="D129" s="1"/>
    </row>
    <row r="130" spans="4:4" x14ac:dyDescent="0.4">
      <c r="D130" s="1"/>
    </row>
    <row r="131" spans="4:4" x14ac:dyDescent="0.4">
      <c r="D131" s="1"/>
    </row>
    <row r="132" spans="4:4" x14ac:dyDescent="0.4">
      <c r="D132" s="1"/>
    </row>
    <row r="133" spans="4:4" x14ac:dyDescent="0.4">
      <c r="D133" s="1"/>
    </row>
    <row r="134" spans="4:4" x14ac:dyDescent="0.4">
      <c r="D134" s="1"/>
    </row>
    <row r="135" spans="4:4" x14ac:dyDescent="0.4">
      <c r="D135" s="1"/>
    </row>
    <row r="136" spans="4:4" x14ac:dyDescent="0.4">
      <c r="D136" s="1"/>
    </row>
    <row r="137" spans="4:4" x14ac:dyDescent="0.4">
      <c r="D137" s="1"/>
    </row>
    <row r="138" spans="4:4" x14ac:dyDescent="0.4">
      <c r="D138" s="1"/>
    </row>
    <row r="139" spans="4:4" x14ac:dyDescent="0.4">
      <c r="D139" s="1"/>
    </row>
    <row r="140" spans="4:4" x14ac:dyDescent="0.4">
      <c r="D140" s="1"/>
    </row>
    <row r="141" spans="4:4" x14ac:dyDescent="0.4">
      <c r="D141" s="1"/>
    </row>
    <row r="142" spans="4:4" x14ac:dyDescent="0.4">
      <c r="D142" s="1"/>
    </row>
    <row r="143" spans="4:4" x14ac:dyDescent="0.4">
      <c r="D143" s="1"/>
    </row>
    <row r="144" spans="4:4" x14ac:dyDescent="0.4">
      <c r="D144" s="1"/>
    </row>
    <row r="145" spans="4:4" x14ac:dyDescent="0.4">
      <c r="D145" s="1"/>
    </row>
    <row r="146" spans="4:4" x14ac:dyDescent="0.4">
      <c r="D146" s="1"/>
    </row>
    <row r="147" spans="4:4" x14ac:dyDescent="0.4">
      <c r="D147" s="1"/>
    </row>
    <row r="148" spans="4:4" x14ac:dyDescent="0.4">
      <c r="D148" s="1"/>
    </row>
    <row r="149" spans="4:4" x14ac:dyDescent="0.4">
      <c r="D149" s="1"/>
    </row>
    <row r="150" spans="4:4" x14ac:dyDescent="0.4">
      <c r="D150" s="1"/>
    </row>
    <row r="151" spans="4:4" x14ac:dyDescent="0.4">
      <c r="D151" s="1"/>
    </row>
    <row r="152" spans="4:4" x14ac:dyDescent="0.4">
      <c r="D152" s="1"/>
    </row>
    <row r="153" spans="4:4" x14ac:dyDescent="0.4">
      <c r="D153" s="1"/>
    </row>
    <row r="154" spans="4:4" x14ac:dyDescent="0.4">
      <c r="D154" s="1"/>
    </row>
    <row r="155" spans="4:4" x14ac:dyDescent="0.4">
      <c r="D155" s="1"/>
    </row>
    <row r="156" spans="4:4" x14ac:dyDescent="0.4">
      <c r="D156" s="1"/>
    </row>
    <row r="157" spans="4:4" x14ac:dyDescent="0.4">
      <c r="D157" s="1"/>
    </row>
    <row r="158" spans="4:4" x14ac:dyDescent="0.4">
      <c r="D158" s="1"/>
    </row>
    <row r="159" spans="4:4" x14ac:dyDescent="0.4">
      <c r="D159" s="1"/>
    </row>
    <row r="160" spans="4:4" x14ac:dyDescent="0.4">
      <c r="D160" s="1"/>
    </row>
    <row r="161" spans="4:4" x14ac:dyDescent="0.4">
      <c r="D161" s="1"/>
    </row>
    <row r="162" spans="4:4" x14ac:dyDescent="0.4">
      <c r="D162" s="1"/>
    </row>
    <row r="163" spans="4:4" x14ac:dyDescent="0.4">
      <c r="D163" s="1"/>
    </row>
    <row r="164" spans="4:4" x14ac:dyDescent="0.4">
      <c r="D164" s="1"/>
    </row>
    <row r="165" spans="4:4" x14ac:dyDescent="0.4">
      <c r="D165" s="1"/>
    </row>
    <row r="166" spans="4:4" x14ac:dyDescent="0.4">
      <c r="D166" s="1"/>
    </row>
    <row r="167" spans="4:4" x14ac:dyDescent="0.4">
      <c r="D167" s="1"/>
    </row>
    <row r="168" spans="4:4" x14ac:dyDescent="0.4">
      <c r="D168" s="1"/>
    </row>
    <row r="169" spans="4:4" x14ac:dyDescent="0.4">
      <c r="D169" s="1"/>
    </row>
    <row r="170" spans="4:4" x14ac:dyDescent="0.4">
      <c r="D170" s="1"/>
    </row>
    <row r="171" spans="4:4" x14ac:dyDescent="0.4">
      <c r="D171" s="1"/>
    </row>
    <row r="172" spans="4:4" x14ac:dyDescent="0.4">
      <c r="D172" s="1"/>
    </row>
    <row r="173" spans="4:4" x14ac:dyDescent="0.4">
      <c r="D173" s="1"/>
    </row>
    <row r="174" spans="4:4" x14ac:dyDescent="0.4">
      <c r="D174" s="1"/>
    </row>
    <row r="175" spans="4:4" x14ac:dyDescent="0.4">
      <c r="D175" s="1"/>
    </row>
    <row r="176" spans="4:4" x14ac:dyDescent="0.4">
      <c r="D176" s="1"/>
    </row>
    <row r="177" spans="4:4" x14ac:dyDescent="0.4">
      <c r="D177" s="1"/>
    </row>
    <row r="178" spans="4:4" x14ac:dyDescent="0.4">
      <c r="D178" s="1"/>
    </row>
    <row r="179" spans="4:4" x14ac:dyDescent="0.4">
      <c r="D179" s="1"/>
    </row>
    <row r="180" spans="4:4" x14ac:dyDescent="0.4">
      <c r="D180" s="1"/>
    </row>
    <row r="181" spans="4:4" x14ac:dyDescent="0.4">
      <c r="D181" s="1"/>
    </row>
    <row r="182" spans="4:4" x14ac:dyDescent="0.4">
      <c r="D182" s="1"/>
    </row>
    <row r="183" spans="4:4" x14ac:dyDescent="0.4">
      <c r="D183" s="1"/>
    </row>
    <row r="184" spans="4:4" x14ac:dyDescent="0.4">
      <c r="D184" s="1"/>
    </row>
    <row r="185" spans="4:4" x14ac:dyDescent="0.4">
      <c r="D185" s="1"/>
    </row>
    <row r="186" spans="4:4" x14ac:dyDescent="0.4">
      <c r="D186" s="1"/>
    </row>
    <row r="187" spans="4:4" x14ac:dyDescent="0.4">
      <c r="D187" s="1"/>
    </row>
    <row r="188" spans="4:4" x14ac:dyDescent="0.4">
      <c r="D188" s="1"/>
    </row>
    <row r="189" spans="4:4" x14ac:dyDescent="0.4">
      <c r="D189" s="1"/>
    </row>
    <row r="190" spans="4:4" x14ac:dyDescent="0.4">
      <c r="D190" s="1"/>
    </row>
    <row r="191" spans="4:4" x14ac:dyDescent="0.4">
      <c r="D191" s="1"/>
    </row>
    <row r="192" spans="4:4" x14ac:dyDescent="0.4">
      <c r="D192" s="1"/>
    </row>
    <row r="193" spans="4:4" x14ac:dyDescent="0.4">
      <c r="D193" s="1"/>
    </row>
    <row r="194" spans="4:4" x14ac:dyDescent="0.4">
      <c r="D194" s="1"/>
    </row>
    <row r="195" spans="4:4" x14ac:dyDescent="0.4">
      <c r="D195" s="1"/>
    </row>
    <row r="196" spans="4:4" x14ac:dyDescent="0.4">
      <c r="D196" s="1"/>
    </row>
    <row r="197" spans="4:4" x14ac:dyDescent="0.4">
      <c r="D197" s="1"/>
    </row>
    <row r="198" spans="4:4" x14ac:dyDescent="0.4">
      <c r="D198" s="1"/>
    </row>
    <row r="199" spans="4:4" x14ac:dyDescent="0.4">
      <c r="D199" s="1"/>
    </row>
    <row r="200" spans="4:4" x14ac:dyDescent="0.4">
      <c r="D200" s="1"/>
    </row>
    <row r="201" spans="4:4" x14ac:dyDescent="0.4">
      <c r="D201" s="1"/>
    </row>
    <row r="202" spans="4:4" x14ac:dyDescent="0.4">
      <c r="D202" s="1"/>
    </row>
    <row r="203" spans="4:4" x14ac:dyDescent="0.4">
      <c r="D203" s="1"/>
    </row>
    <row r="204" spans="4:4" x14ac:dyDescent="0.4">
      <c r="D204" s="1"/>
    </row>
    <row r="205" spans="4:4" x14ac:dyDescent="0.4">
      <c r="D205" s="1"/>
    </row>
    <row r="206" spans="4:4" x14ac:dyDescent="0.4">
      <c r="D206" s="1"/>
    </row>
    <row r="207" spans="4:4" x14ac:dyDescent="0.4">
      <c r="D207" s="1"/>
    </row>
    <row r="208" spans="4:4" x14ac:dyDescent="0.4">
      <c r="D208" s="1"/>
    </row>
    <row r="209" spans="4:4" x14ac:dyDescent="0.4">
      <c r="D209" s="1"/>
    </row>
    <row r="210" spans="4:4" x14ac:dyDescent="0.4">
      <c r="D210" s="1"/>
    </row>
    <row r="211" spans="4:4" x14ac:dyDescent="0.4">
      <c r="D211" s="1"/>
    </row>
    <row r="212" spans="4:4" x14ac:dyDescent="0.4">
      <c r="D212" s="1"/>
    </row>
    <row r="213" spans="4:4" x14ac:dyDescent="0.4">
      <c r="D213" s="1"/>
    </row>
    <row r="214" spans="4:4" x14ac:dyDescent="0.4">
      <c r="D214" s="1"/>
    </row>
    <row r="215" spans="4:4" x14ac:dyDescent="0.4">
      <c r="D215" s="1"/>
    </row>
    <row r="216" spans="4:4" x14ac:dyDescent="0.4">
      <c r="D216" s="1"/>
    </row>
    <row r="217" spans="4:4" x14ac:dyDescent="0.4">
      <c r="D217" s="1"/>
    </row>
    <row r="218" spans="4:4" x14ac:dyDescent="0.4">
      <c r="D218" s="1"/>
    </row>
    <row r="219" spans="4:4" x14ac:dyDescent="0.4">
      <c r="D219" s="1"/>
    </row>
    <row r="220" spans="4:4" x14ac:dyDescent="0.4">
      <c r="D220" s="1"/>
    </row>
    <row r="221" spans="4:4" x14ac:dyDescent="0.4">
      <c r="D221" s="1"/>
    </row>
    <row r="222" spans="4:4" x14ac:dyDescent="0.4">
      <c r="D222" s="1"/>
    </row>
    <row r="223" spans="4:4" x14ac:dyDescent="0.4">
      <c r="D223" s="1"/>
    </row>
    <row r="224" spans="4:4" x14ac:dyDescent="0.4">
      <c r="D224" s="1"/>
    </row>
    <row r="225" spans="4:4" x14ac:dyDescent="0.4">
      <c r="D225" s="1"/>
    </row>
    <row r="226" spans="4:4" x14ac:dyDescent="0.4">
      <c r="D226" s="1"/>
    </row>
    <row r="227" spans="4:4" x14ac:dyDescent="0.4">
      <c r="D227" s="1"/>
    </row>
    <row r="228" spans="4:4" x14ac:dyDescent="0.4">
      <c r="D228" s="1"/>
    </row>
    <row r="229" spans="4:4" x14ac:dyDescent="0.4">
      <c r="D229" s="1"/>
    </row>
    <row r="230" spans="4:4" x14ac:dyDescent="0.4">
      <c r="D230" s="1"/>
    </row>
    <row r="231" spans="4:4" x14ac:dyDescent="0.4">
      <c r="D231" s="1"/>
    </row>
    <row r="232" spans="4:4" x14ac:dyDescent="0.4">
      <c r="D232" s="1"/>
    </row>
    <row r="233" spans="4:4" x14ac:dyDescent="0.4">
      <c r="D233" s="1"/>
    </row>
    <row r="234" spans="4:4" x14ac:dyDescent="0.4">
      <c r="D234" s="1"/>
    </row>
    <row r="235" spans="4:4" x14ac:dyDescent="0.4">
      <c r="D235" s="1"/>
    </row>
    <row r="236" spans="4:4" x14ac:dyDescent="0.4">
      <c r="D236" s="1"/>
    </row>
    <row r="237" spans="4:4" x14ac:dyDescent="0.4">
      <c r="D237" s="1"/>
    </row>
    <row r="238" spans="4:4" x14ac:dyDescent="0.4">
      <c r="D238" s="1"/>
    </row>
    <row r="239" spans="4:4" x14ac:dyDescent="0.4">
      <c r="D239" s="1"/>
    </row>
    <row r="240" spans="4:4" x14ac:dyDescent="0.4">
      <c r="D240" s="1"/>
    </row>
    <row r="241" spans="4:4" x14ac:dyDescent="0.4">
      <c r="D241" s="1"/>
    </row>
    <row r="242" spans="4:4" x14ac:dyDescent="0.4">
      <c r="D242" s="1"/>
    </row>
    <row r="243" spans="4:4" x14ac:dyDescent="0.4">
      <c r="D243" s="1"/>
    </row>
    <row r="244" spans="4:4" x14ac:dyDescent="0.4">
      <c r="D244" s="1"/>
    </row>
    <row r="245" spans="4:4" x14ac:dyDescent="0.4">
      <c r="D245" s="1"/>
    </row>
    <row r="246" spans="4:4" x14ac:dyDescent="0.4">
      <c r="D246" s="1"/>
    </row>
    <row r="247" spans="4:4" x14ac:dyDescent="0.4">
      <c r="D247" s="1"/>
    </row>
    <row r="248" spans="4:4" x14ac:dyDescent="0.4">
      <c r="D248" s="1"/>
    </row>
    <row r="249" spans="4:4" x14ac:dyDescent="0.4">
      <c r="D249" s="1"/>
    </row>
    <row r="250" spans="4:4" x14ac:dyDescent="0.4">
      <c r="D250" s="1"/>
    </row>
    <row r="251" spans="4:4" x14ac:dyDescent="0.4">
      <c r="D251" s="1"/>
    </row>
    <row r="252" spans="4:4" x14ac:dyDescent="0.4">
      <c r="D252" s="1"/>
    </row>
    <row r="253" spans="4:4" x14ac:dyDescent="0.4">
      <c r="D253" s="1"/>
    </row>
    <row r="254" spans="4:4" x14ac:dyDescent="0.4">
      <c r="D254" s="1"/>
    </row>
    <row r="255" spans="4:4" x14ac:dyDescent="0.4">
      <c r="D255" s="1"/>
    </row>
    <row r="256" spans="4:4" x14ac:dyDescent="0.4">
      <c r="D256" s="1"/>
    </row>
    <row r="257" spans="4:4" x14ac:dyDescent="0.4">
      <c r="D257" s="1"/>
    </row>
    <row r="258" spans="4:4" x14ac:dyDescent="0.4">
      <c r="D258" s="1"/>
    </row>
    <row r="259" spans="4:4" x14ac:dyDescent="0.4">
      <c r="D259" s="1"/>
    </row>
    <row r="260" spans="4:4" x14ac:dyDescent="0.4">
      <c r="D260" s="1"/>
    </row>
    <row r="261" spans="4:4" x14ac:dyDescent="0.4">
      <c r="D261" s="1"/>
    </row>
    <row r="262" spans="4:4" x14ac:dyDescent="0.4">
      <c r="D262" s="1"/>
    </row>
    <row r="263" spans="4:4" x14ac:dyDescent="0.4">
      <c r="D263" s="1"/>
    </row>
    <row r="264" spans="4:4" x14ac:dyDescent="0.4">
      <c r="D264" s="1"/>
    </row>
    <row r="265" spans="4:4" x14ac:dyDescent="0.4">
      <c r="D265" s="1"/>
    </row>
    <row r="266" spans="4:4" x14ac:dyDescent="0.4">
      <c r="D266" s="1"/>
    </row>
    <row r="267" spans="4:4" x14ac:dyDescent="0.4">
      <c r="D267" s="1"/>
    </row>
    <row r="268" spans="4:4" x14ac:dyDescent="0.4">
      <c r="D268" s="1"/>
    </row>
    <row r="269" spans="4:4" x14ac:dyDescent="0.4">
      <c r="D269" s="1"/>
    </row>
    <row r="270" spans="4:4" x14ac:dyDescent="0.4">
      <c r="D270" s="1"/>
    </row>
    <row r="271" spans="4:4" x14ac:dyDescent="0.4">
      <c r="D271" s="1"/>
    </row>
    <row r="272" spans="4:4" x14ac:dyDescent="0.4">
      <c r="D272" s="1"/>
    </row>
    <row r="273" spans="4:4" x14ac:dyDescent="0.4">
      <c r="D273" s="1"/>
    </row>
    <row r="274" spans="4:4" x14ac:dyDescent="0.4">
      <c r="D274" s="1"/>
    </row>
    <row r="275" spans="4:4" x14ac:dyDescent="0.4">
      <c r="D275" s="1"/>
    </row>
    <row r="276" spans="4:4" x14ac:dyDescent="0.4">
      <c r="D276" s="1"/>
    </row>
    <row r="277" spans="4:4" x14ac:dyDescent="0.4">
      <c r="D277" s="1"/>
    </row>
    <row r="278" spans="4:4" x14ac:dyDescent="0.4">
      <c r="D278" s="1"/>
    </row>
    <row r="279" spans="4:4" x14ac:dyDescent="0.4">
      <c r="D279" s="1"/>
    </row>
    <row r="280" spans="4:4" x14ac:dyDescent="0.4">
      <c r="D280" s="1"/>
    </row>
    <row r="281" spans="4:4" x14ac:dyDescent="0.4">
      <c r="D281" s="1"/>
    </row>
    <row r="282" spans="4:4" x14ac:dyDescent="0.4">
      <c r="D282" s="1"/>
    </row>
    <row r="283" spans="4:4" x14ac:dyDescent="0.4">
      <c r="D283" s="1"/>
    </row>
    <row r="284" spans="4:4" x14ac:dyDescent="0.4">
      <c r="D284" s="1"/>
    </row>
    <row r="285" spans="4:4" x14ac:dyDescent="0.4">
      <c r="D285" s="1"/>
    </row>
    <row r="286" spans="4:4" x14ac:dyDescent="0.4">
      <c r="D286" s="1"/>
    </row>
    <row r="287" spans="4:4" x14ac:dyDescent="0.4">
      <c r="D287" s="1"/>
    </row>
    <row r="288" spans="4:4" x14ac:dyDescent="0.4">
      <c r="D288" s="1"/>
    </row>
    <row r="289" spans="4:4" x14ac:dyDescent="0.4">
      <c r="D289" s="1"/>
    </row>
    <row r="290" spans="4:4" x14ac:dyDescent="0.4">
      <c r="D290" s="1"/>
    </row>
    <row r="291" spans="4:4" x14ac:dyDescent="0.4">
      <c r="D291" s="1"/>
    </row>
    <row r="292" spans="4:4" x14ac:dyDescent="0.4">
      <c r="D292" s="1"/>
    </row>
    <row r="293" spans="4:4" x14ac:dyDescent="0.4">
      <c r="D293" s="1"/>
    </row>
    <row r="294" spans="4:4" x14ac:dyDescent="0.4">
      <c r="D294" s="1"/>
    </row>
    <row r="295" spans="4:4" x14ac:dyDescent="0.4">
      <c r="D295" s="1"/>
    </row>
    <row r="296" spans="4:4" x14ac:dyDescent="0.4">
      <c r="D296" s="1"/>
    </row>
    <row r="297" spans="4:4" x14ac:dyDescent="0.4">
      <c r="D297" s="1"/>
    </row>
    <row r="298" spans="4:4" x14ac:dyDescent="0.4">
      <c r="D298" s="1"/>
    </row>
    <row r="299" spans="4:4" x14ac:dyDescent="0.4">
      <c r="D299" s="1"/>
    </row>
    <row r="300" spans="4:4" x14ac:dyDescent="0.4">
      <c r="D300" s="1"/>
    </row>
    <row r="301" spans="4:4" x14ac:dyDescent="0.4">
      <c r="D301" s="1"/>
    </row>
    <row r="302" spans="4:4" x14ac:dyDescent="0.4">
      <c r="D302" s="1"/>
    </row>
    <row r="303" spans="4:4" x14ac:dyDescent="0.4">
      <c r="D303" s="1"/>
    </row>
    <row r="304" spans="4:4" x14ac:dyDescent="0.4">
      <c r="D304" s="1"/>
    </row>
    <row r="305" spans="4:4" x14ac:dyDescent="0.4">
      <c r="D305" s="1"/>
    </row>
    <row r="306" spans="4:4" x14ac:dyDescent="0.4">
      <c r="D306" s="1"/>
    </row>
    <row r="307" spans="4:4" x14ac:dyDescent="0.4">
      <c r="D307" s="1"/>
    </row>
    <row r="308" spans="4:4" x14ac:dyDescent="0.4">
      <c r="D308" s="1"/>
    </row>
    <row r="309" spans="4:4" x14ac:dyDescent="0.4">
      <c r="D309" s="1"/>
    </row>
    <row r="310" spans="4:4" x14ac:dyDescent="0.4">
      <c r="D310" s="1"/>
    </row>
    <row r="311" spans="4:4" x14ac:dyDescent="0.4">
      <c r="D311" s="1"/>
    </row>
    <row r="312" spans="4:4" x14ac:dyDescent="0.4">
      <c r="D312" s="1"/>
    </row>
    <row r="313" spans="4:4" x14ac:dyDescent="0.4">
      <c r="D313" s="1"/>
    </row>
    <row r="314" spans="4:4" x14ac:dyDescent="0.4">
      <c r="D314" s="1"/>
    </row>
    <row r="315" spans="4:4" x14ac:dyDescent="0.4">
      <c r="D315" s="1"/>
    </row>
    <row r="316" spans="4:4" x14ac:dyDescent="0.4">
      <c r="D316" s="1"/>
    </row>
    <row r="317" spans="4:4" x14ac:dyDescent="0.4">
      <c r="D317" s="1"/>
    </row>
    <row r="318" spans="4:4" x14ac:dyDescent="0.4">
      <c r="D318" s="1"/>
    </row>
    <row r="319" spans="4:4" x14ac:dyDescent="0.4">
      <c r="D319" s="1"/>
    </row>
    <row r="320" spans="4:4" x14ac:dyDescent="0.4">
      <c r="D320" s="1"/>
    </row>
    <row r="321" spans="4:4" x14ac:dyDescent="0.4">
      <c r="D321" s="1"/>
    </row>
    <row r="322" spans="4:4" x14ac:dyDescent="0.4">
      <c r="D322" s="1"/>
    </row>
    <row r="323" spans="4:4" x14ac:dyDescent="0.4">
      <c r="D323" s="1"/>
    </row>
    <row r="324" spans="4:4" x14ac:dyDescent="0.4">
      <c r="D324" s="1"/>
    </row>
    <row r="325" spans="4:4" x14ac:dyDescent="0.4">
      <c r="D325" s="1"/>
    </row>
    <row r="326" spans="4:4" x14ac:dyDescent="0.4">
      <c r="D326" s="1"/>
    </row>
    <row r="327" spans="4:4" x14ac:dyDescent="0.4">
      <c r="D327" s="1"/>
    </row>
    <row r="328" spans="4:4" x14ac:dyDescent="0.4">
      <c r="D328" s="1"/>
    </row>
    <row r="329" spans="4:4" x14ac:dyDescent="0.4">
      <c r="D329" s="1"/>
    </row>
    <row r="330" spans="4:4" x14ac:dyDescent="0.4">
      <c r="D330" s="1"/>
    </row>
    <row r="331" spans="4:4" x14ac:dyDescent="0.4">
      <c r="D331" s="1"/>
    </row>
    <row r="332" spans="4:4" x14ac:dyDescent="0.4">
      <c r="D332" s="1"/>
    </row>
    <row r="333" spans="4:4" x14ac:dyDescent="0.4">
      <c r="D333" s="1"/>
    </row>
    <row r="334" spans="4:4" x14ac:dyDescent="0.4">
      <c r="D334" s="1"/>
    </row>
    <row r="335" spans="4:4" x14ac:dyDescent="0.4">
      <c r="D335" s="1"/>
    </row>
    <row r="336" spans="4:4" x14ac:dyDescent="0.4">
      <c r="D336" s="1"/>
    </row>
    <row r="337" spans="4:4" x14ac:dyDescent="0.4">
      <c r="D337" s="1"/>
    </row>
    <row r="338" spans="4:4" x14ac:dyDescent="0.4">
      <c r="D338" s="1"/>
    </row>
    <row r="339" spans="4:4" x14ac:dyDescent="0.4">
      <c r="D339" s="1"/>
    </row>
    <row r="340" spans="4:4" x14ac:dyDescent="0.4">
      <c r="D340" s="1"/>
    </row>
    <row r="341" spans="4:4" x14ac:dyDescent="0.4">
      <c r="D341" s="1"/>
    </row>
    <row r="342" spans="4:4" x14ac:dyDescent="0.4">
      <c r="D342" s="1"/>
    </row>
    <row r="343" spans="4:4" x14ac:dyDescent="0.4">
      <c r="D343" s="1"/>
    </row>
    <row r="344" spans="4:4" x14ac:dyDescent="0.4">
      <c r="D344" s="1"/>
    </row>
    <row r="345" spans="4:4" x14ac:dyDescent="0.4">
      <c r="D345" s="1"/>
    </row>
    <row r="346" spans="4:4" x14ac:dyDescent="0.4">
      <c r="D346" s="1"/>
    </row>
    <row r="347" spans="4:4" x14ac:dyDescent="0.4">
      <c r="D347" s="1"/>
    </row>
    <row r="348" spans="4:4" x14ac:dyDescent="0.4">
      <c r="D348" s="1"/>
    </row>
    <row r="349" spans="4:4" x14ac:dyDescent="0.4">
      <c r="D349" s="1"/>
    </row>
    <row r="350" spans="4:4" x14ac:dyDescent="0.4">
      <c r="D350" s="1"/>
    </row>
    <row r="351" spans="4:4" x14ac:dyDescent="0.4">
      <c r="D351" s="1"/>
    </row>
    <row r="352" spans="4:4" x14ac:dyDescent="0.4">
      <c r="D352" s="1"/>
    </row>
    <row r="353" spans="4:4" x14ac:dyDescent="0.4">
      <c r="D353" s="1"/>
    </row>
    <row r="354" spans="4:4" x14ac:dyDescent="0.4">
      <c r="D354" s="1"/>
    </row>
    <row r="355" spans="4:4" x14ac:dyDescent="0.4">
      <c r="D355" s="1"/>
    </row>
    <row r="356" spans="4:4" x14ac:dyDescent="0.4">
      <c r="D356" s="1"/>
    </row>
    <row r="357" spans="4:4" x14ac:dyDescent="0.4">
      <c r="D357" s="1"/>
    </row>
    <row r="358" spans="4:4" x14ac:dyDescent="0.4">
      <c r="D358" s="1"/>
    </row>
    <row r="359" spans="4:4" x14ac:dyDescent="0.4">
      <c r="D359" s="1"/>
    </row>
    <row r="360" spans="4:4" x14ac:dyDescent="0.4">
      <c r="D360" s="1"/>
    </row>
    <row r="361" spans="4:4" x14ac:dyDescent="0.4">
      <c r="D361" s="1"/>
    </row>
    <row r="362" spans="4:4" x14ac:dyDescent="0.4">
      <c r="D362" s="1"/>
    </row>
    <row r="363" spans="4:4" x14ac:dyDescent="0.4">
      <c r="D363" s="1"/>
    </row>
    <row r="364" spans="4:4" x14ac:dyDescent="0.4">
      <c r="D364" s="1"/>
    </row>
    <row r="365" spans="4:4" x14ac:dyDescent="0.4">
      <c r="D365" s="1"/>
    </row>
    <row r="366" spans="4:4" x14ac:dyDescent="0.4">
      <c r="D366" s="1"/>
    </row>
    <row r="367" spans="4:4" x14ac:dyDescent="0.4">
      <c r="D367" s="1"/>
    </row>
    <row r="368" spans="4:4" x14ac:dyDescent="0.4">
      <c r="D368" s="1"/>
    </row>
    <row r="369" spans="4:4" x14ac:dyDescent="0.4">
      <c r="D369" s="1"/>
    </row>
    <row r="370" spans="4:4" x14ac:dyDescent="0.4">
      <c r="D370" s="1"/>
    </row>
    <row r="371" spans="4:4" x14ac:dyDescent="0.4">
      <c r="D371" s="1"/>
    </row>
    <row r="372" spans="4:4" x14ac:dyDescent="0.4">
      <c r="D372" s="1"/>
    </row>
    <row r="373" spans="4:4" x14ac:dyDescent="0.4">
      <c r="D373" s="1"/>
    </row>
    <row r="374" spans="4:4" x14ac:dyDescent="0.4">
      <c r="D374" s="1"/>
    </row>
    <row r="375" spans="4:4" x14ac:dyDescent="0.4">
      <c r="D375" s="1"/>
    </row>
    <row r="376" spans="4:4" x14ac:dyDescent="0.4">
      <c r="D376" s="1"/>
    </row>
    <row r="377" spans="4:4" x14ac:dyDescent="0.4">
      <c r="D377" s="1"/>
    </row>
    <row r="378" spans="4:4" x14ac:dyDescent="0.4">
      <c r="D378" s="1"/>
    </row>
    <row r="379" spans="4:4" x14ac:dyDescent="0.4">
      <c r="D379" s="1"/>
    </row>
    <row r="380" spans="4:4" x14ac:dyDescent="0.4">
      <c r="D380" s="1"/>
    </row>
    <row r="381" spans="4:4" x14ac:dyDescent="0.4">
      <c r="D381" s="1"/>
    </row>
    <row r="382" spans="4:4" x14ac:dyDescent="0.4">
      <c r="D382" s="1"/>
    </row>
    <row r="383" spans="4:4" x14ac:dyDescent="0.4">
      <c r="D383" s="1"/>
    </row>
    <row r="384" spans="4:4" x14ac:dyDescent="0.4">
      <c r="D384" s="1"/>
    </row>
    <row r="385" spans="4:4" x14ac:dyDescent="0.4">
      <c r="D385" s="1"/>
    </row>
    <row r="386" spans="4:4" x14ac:dyDescent="0.4">
      <c r="D386" s="1"/>
    </row>
    <row r="387" spans="4:4" x14ac:dyDescent="0.4">
      <c r="D387" s="1"/>
    </row>
    <row r="388" spans="4:4" x14ac:dyDescent="0.4">
      <c r="D388" s="1"/>
    </row>
    <row r="389" spans="4:4" x14ac:dyDescent="0.4">
      <c r="D389" s="1"/>
    </row>
    <row r="390" spans="4:4" x14ac:dyDescent="0.4">
      <c r="D390" s="1"/>
    </row>
    <row r="391" spans="4:4" x14ac:dyDescent="0.4">
      <c r="D391" s="1"/>
    </row>
    <row r="392" spans="4:4" x14ac:dyDescent="0.4">
      <c r="D392" s="1"/>
    </row>
    <row r="393" spans="4:4" x14ac:dyDescent="0.4">
      <c r="D393" s="1"/>
    </row>
    <row r="394" spans="4:4" x14ac:dyDescent="0.4">
      <c r="D394" s="1"/>
    </row>
    <row r="395" spans="4:4" x14ac:dyDescent="0.4">
      <c r="D395" s="1"/>
    </row>
    <row r="396" spans="4:4" x14ac:dyDescent="0.4">
      <c r="D396" s="1"/>
    </row>
    <row r="397" spans="4:4" x14ac:dyDescent="0.4">
      <c r="D397" s="1"/>
    </row>
    <row r="398" spans="4:4" x14ac:dyDescent="0.4">
      <c r="D398" s="1"/>
    </row>
    <row r="399" spans="4:4" x14ac:dyDescent="0.4">
      <c r="D399" s="1"/>
    </row>
    <row r="400" spans="4:4" x14ac:dyDescent="0.4">
      <c r="D400" s="1"/>
    </row>
    <row r="401" spans="4:4" x14ac:dyDescent="0.4">
      <c r="D401" s="1"/>
    </row>
    <row r="402" spans="4:4" x14ac:dyDescent="0.4">
      <c r="D402" s="1"/>
    </row>
    <row r="403" spans="4:4" x14ac:dyDescent="0.4">
      <c r="D403" s="1"/>
    </row>
    <row r="404" spans="4:4" x14ac:dyDescent="0.4">
      <c r="D404" s="1"/>
    </row>
    <row r="405" spans="4:4" x14ac:dyDescent="0.4">
      <c r="D405" s="1"/>
    </row>
    <row r="406" spans="4:4" x14ac:dyDescent="0.4">
      <c r="D406" s="1"/>
    </row>
    <row r="407" spans="4:4" x14ac:dyDescent="0.4">
      <c r="D407" s="1"/>
    </row>
    <row r="408" spans="4:4" x14ac:dyDescent="0.4">
      <c r="D408" s="1"/>
    </row>
    <row r="409" spans="4:4" x14ac:dyDescent="0.4">
      <c r="D409" s="1"/>
    </row>
    <row r="410" spans="4:4" x14ac:dyDescent="0.4">
      <c r="D410" s="1"/>
    </row>
    <row r="411" spans="4:4" x14ac:dyDescent="0.4">
      <c r="D411" s="1"/>
    </row>
    <row r="412" spans="4:4" x14ac:dyDescent="0.4">
      <c r="D412" s="1"/>
    </row>
    <row r="413" spans="4:4" x14ac:dyDescent="0.4">
      <c r="D413" s="1"/>
    </row>
    <row r="414" spans="4:4" x14ac:dyDescent="0.4">
      <c r="D414" s="1"/>
    </row>
    <row r="415" spans="4:4" x14ac:dyDescent="0.4">
      <c r="D415" s="1"/>
    </row>
    <row r="416" spans="4:4" x14ac:dyDescent="0.4">
      <c r="D416" s="1"/>
    </row>
    <row r="417" spans="4:4" x14ac:dyDescent="0.4">
      <c r="D417" s="1"/>
    </row>
    <row r="418" spans="4:4" x14ac:dyDescent="0.4">
      <c r="D418" s="1"/>
    </row>
    <row r="419" spans="4:4" x14ac:dyDescent="0.4">
      <c r="D419" s="1"/>
    </row>
    <row r="420" spans="4:4" x14ac:dyDescent="0.4">
      <c r="D420" s="1"/>
    </row>
    <row r="421" spans="4:4" x14ac:dyDescent="0.4">
      <c r="D421" s="1"/>
    </row>
    <row r="422" spans="4:4" x14ac:dyDescent="0.4">
      <c r="D422" s="1"/>
    </row>
    <row r="423" spans="4:4" x14ac:dyDescent="0.4">
      <c r="D423" s="1"/>
    </row>
    <row r="424" spans="4:4" x14ac:dyDescent="0.4">
      <c r="D424" s="1"/>
    </row>
    <row r="425" spans="4:4" x14ac:dyDescent="0.4">
      <c r="D425" s="1"/>
    </row>
    <row r="426" spans="4:4" x14ac:dyDescent="0.4">
      <c r="D426" s="1"/>
    </row>
    <row r="427" spans="4:4" x14ac:dyDescent="0.4">
      <c r="D427" s="1"/>
    </row>
    <row r="428" spans="4:4" x14ac:dyDescent="0.4">
      <c r="D428" s="1"/>
    </row>
    <row r="429" spans="4:4" x14ac:dyDescent="0.4">
      <c r="D429" s="1"/>
    </row>
    <row r="430" spans="4:4" x14ac:dyDescent="0.4">
      <c r="D430" s="1"/>
    </row>
    <row r="431" spans="4:4" x14ac:dyDescent="0.4">
      <c r="D431" s="1"/>
    </row>
    <row r="432" spans="4:4" x14ac:dyDescent="0.4">
      <c r="D432" s="1"/>
    </row>
    <row r="433" spans="4:4" x14ac:dyDescent="0.4">
      <c r="D433" s="1"/>
    </row>
    <row r="434" spans="4:4" x14ac:dyDescent="0.4">
      <c r="D434" s="1"/>
    </row>
    <row r="435" spans="4:4" x14ac:dyDescent="0.4">
      <c r="D435" s="1"/>
    </row>
    <row r="436" spans="4:4" x14ac:dyDescent="0.4">
      <c r="D436" s="1"/>
    </row>
    <row r="437" spans="4:4" x14ac:dyDescent="0.4">
      <c r="D437" s="1"/>
    </row>
    <row r="438" spans="4:4" x14ac:dyDescent="0.4">
      <c r="D438" s="1"/>
    </row>
    <row r="439" spans="4:4" x14ac:dyDescent="0.4">
      <c r="D439" s="1"/>
    </row>
    <row r="440" spans="4:4" x14ac:dyDescent="0.4">
      <c r="D440" s="1"/>
    </row>
    <row r="441" spans="4:4" x14ac:dyDescent="0.4">
      <c r="D441" s="1"/>
    </row>
    <row r="442" spans="4:4" x14ac:dyDescent="0.4">
      <c r="D442" s="1"/>
    </row>
    <row r="443" spans="4:4" x14ac:dyDescent="0.4">
      <c r="D443" s="1"/>
    </row>
    <row r="444" spans="4:4" x14ac:dyDescent="0.4">
      <c r="D444" s="1"/>
    </row>
    <row r="445" spans="4:4" x14ac:dyDescent="0.4">
      <c r="D445" s="1"/>
    </row>
    <row r="446" spans="4:4" x14ac:dyDescent="0.4">
      <c r="D446" s="1"/>
    </row>
    <row r="447" spans="4:4" x14ac:dyDescent="0.4">
      <c r="D447" s="1"/>
    </row>
    <row r="448" spans="4:4" x14ac:dyDescent="0.4">
      <c r="D448" s="1"/>
    </row>
    <row r="449" spans="4:4" x14ac:dyDescent="0.4">
      <c r="D449" s="1"/>
    </row>
    <row r="450" spans="4:4" x14ac:dyDescent="0.4">
      <c r="D450" s="1"/>
    </row>
    <row r="451" spans="4:4" x14ac:dyDescent="0.4">
      <c r="D451" s="1"/>
    </row>
    <row r="452" spans="4:4" x14ac:dyDescent="0.4">
      <c r="D452" s="1"/>
    </row>
    <row r="453" spans="4:4" x14ac:dyDescent="0.4">
      <c r="D453" s="1"/>
    </row>
    <row r="454" spans="4:4" x14ac:dyDescent="0.4">
      <c r="D454" s="1"/>
    </row>
    <row r="455" spans="4:4" x14ac:dyDescent="0.4">
      <c r="D455" s="1"/>
    </row>
    <row r="456" spans="4:4" x14ac:dyDescent="0.4">
      <c r="D456" s="1"/>
    </row>
    <row r="457" spans="4:4" x14ac:dyDescent="0.4">
      <c r="D457" s="1"/>
    </row>
    <row r="458" spans="4:4" x14ac:dyDescent="0.4">
      <c r="D458" s="1"/>
    </row>
    <row r="459" spans="4:4" x14ac:dyDescent="0.4">
      <c r="D459" s="1"/>
    </row>
    <row r="460" spans="4:4" x14ac:dyDescent="0.4">
      <c r="D460" s="1"/>
    </row>
    <row r="461" spans="4:4" x14ac:dyDescent="0.4">
      <c r="D461" s="1"/>
    </row>
    <row r="462" spans="4:4" x14ac:dyDescent="0.4">
      <c r="D462" s="1"/>
    </row>
    <row r="463" spans="4:4" x14ac:dyDescent="0.4">
      <c r="D463" s="1"/>
    </row>
    <row r="464" spans="4:4" x14ac:dyDescent="0.4">
      <c r="D464" s="1"/>
    </row>
    <row r="465" spans="4:4" x14ac:dyDescent="0.4">
      <c r="D465" s="1"/>
    </row>
    <row r="466" spans="4:4" x14ac:dyDescent="0.4">
      <c r="D466" s="1"/>
    </row>
    <row r="467" spans="4:4" x14ac:dyDescent="0.4">
      <c r="D467" s="1"/>
    </row>
    <row r="468" spans="4:4" x14ac:dyDescent="0.4">
      <c r="D468" s="1"/>
    </row>
    <row r="469" spans="4:4" x14ac:dyDescent="0.4">
      <c r="D469" s="1"/>
    </row>
    <row r="470" spans="4:4" x14ac:dyDescent="0.4">
      <c r="D470" s="1"/>
    </row>
    <row r="471" spans="4:4" x14ac:dyDescent="0.4">
      <c r="D471" s="1"/>
    </row>
    <row r="472" spans="4:4" x14ac:dyDescent="0.4">
      <c r="D472" s="1"/>
    </row>
    <row r="473" spans="4:4" x14ac:dyDescent="0.4">
      <c r="D473" s="1"/>
    </row>
    <row r="474" spans="4:4" x14ac:dyDescent="0.4">
      <c r="D474" s="1"/>
    </row>
    <row r="475" spans="4:4" x14ac:dyDescent="0.4">
      <c r="D475" s="1"/>
    </row>
    <row r="476" spans="4:4" x14ac:dyDescent="0.4">
      <c r="D476" s="1"/>
    </row>
    <row r="477" spans="4:4" x14ac:dyDescent="0.4">
      <c r="D477" s="1"/>
    </row>
    <row r="478" spans="4:4" x14ac:dyDescent="0.4">
      <c r="D478" s="1"/>
    </row>
    <row r="479" spans="4:4" x14ac:dyDescent="0.4">
      <c r="D479" s="1"/>
    </row>
    <row r="480" spans="4:4" x14ac:dyDescent="0.4">
      <c r="D480" s="1"/>
    </row>
    <row r="481" spans="4:4" x14ac:dyDescent="0.4">
      <c r="D481" s="1"/>
    </row>
    <row r="482" spans="4:4" x14ac:dyDescent="0.4">
      <c r="D482" s="1"/>
    </row>
    <row r="483" spans="4:4" x14ac:dyDescent="0.4">
      <c r="D483" s="1"/>
    </row>
    <row r="484" spans="4:4" x14ac:dyDescent="0.4">
      <c r="D484" s="1"/>
    </row>
    <row r="485" spans="4:4" x14ac:dyDescent="0.4">
      <c r="D485" s="1"/>
    </row>
    <row r="486" spans="4:4" x14ac:dyDescent="0.4">
      <c r="D486" s="1"/>
    </row>
    <row r="487" spans="4:4" x14ac:dyDescent="0.4">
      <c r="D487" s="1"/>
    </row>
    <row r="488" spans="4:4" x14ac:dyDescent="0.4">
      <c r="D488" s="1"/>
    </row>
    <row r="489" spans="4:4" x14ac:dyDescent="0.4">
      <c r="D489" s="1"/>
    </row>
    <row r="490" spans="4:4" x14ac:dyDescent="0.4">
      <c r="D490" s="1"/>
    </row>
    <row r="491" spans="4:4" x14ac:dyDescent="0.4">
      <c r="D491" s="1"/>
    </row>
    <row r="492" spans="4:4" x14ac:dyDescent="0.4">
      <c r="D492" s="1"/>
    </row>
    <row r="493" spans="4:4" x14ac:dyDescent="0.4">
      <c r="D493" s="1"/>
    </row>
    <row r="494" spans="4:4" x14ac:dyDescent="0.4">
      <c r="D494" s="1"/>
    </row>
    <row r="495" spans="4:4" x14ac:dyDescent="0.4">
      <c r="D495" s="1"/>
    </row>
    <row r="496" spans="4:4" x14ac:dyDescent="0.4">
      <c r="D496" s="1"/>
    </row>
    <row r="497" spans="4:4" x14ac:dyDescent="0.4">
      <c r="D497" s="1"/>
    </row>
    <row r="498" spans="4:4" x14ac:dyDescent="0.4">
      <c r="D498" s="1"/>
    </row>
    <row r="499" spans="4:4" x14ac:dyDescent="0.4">
      <c r="D499" s="1"/>
    </row>
    <row r="500" spans="4:4" x14ac:dyDescent="0.4">
      <c r="D500" s="1"/>
    </row>
    <row r="501" spans="4:4" x14ac:dyDescent="0.4">
      <c r="D501" s="1"/>
    </row>
    <row r="502" spans="4:4" x14ac:dyDescent="0.4">
      <c r="D502" s="1"/>
    </row>
    <row r="503" spans="4:4" x14ac:dyDescent="0.4">
      <c r="D503" s="1"/>
    </row>
    <row r="504" spans="4:4" x14ac:dyDescent="0.4">
      <c r="D504" s="1"/>
    </row>
    <row r="505" spans="4:4" x14ac:dyDescent="0.4">
      <c r="D505" s="1"/>
    </row>
    <row r="506" spans="4:4" x14ac:dyDescent="0.4">
      <c r="D506" s="1"/>
    </row>
    <row r="507" spans="4:4" x14ac:dyDescent="0.4">
      <c r="D507" s="1"/>
    </row>
    <row r="508" spans="4:4" x14ac:dyDescent="0.4">
      <c r="D508" s="1"/>
    </row>
    <row r="509" spans="4:4" x14ac:dyDescent="0.4">
      <c r="D509" s="1"/>
    </row>
    <row r="510" spans="4:4" x14ac:dyDescent="0.4">
      <c r="D510" s="1"/>
    </row>
    <row r="511" spans="4:4" x14ac:dyDescent="0.4">
      <c r="D511" s="1"/>
    </row>
    <row r="512" spans="4:4" x14ac:dyDescent="0.4">
      <c r="D512" s="1"/>
    </row>
    <row r="513" spans="4:4" x14ac:dyDescent="0.4">
      <c r="D513" s="1"/>
    </row>
    <row r="514" spans="4:4" x14ac:dyDescent="0.4">
      <c r="D514" s="1"/>
    </row>
    <row r="515" spans="4:4" x14ac:dyDescent="0.4">
      <c r="D515" s="1"/>
    </row>
    <row r="516" spans="4:4" x14ac:dyDescent="0.4">
      <c r="D516" s="1"/>
    </row>
    <row r="517" spans="4:4" x14ac:dyDescent="0.4">
      <c r="D517" s="1"/>
    </row>
    <row r="518" spans="4:4" x14ac:dyDescent="0.4">
      <c r="D518" s="1"/>
    </row>
    <row r="519" spans="4:4" x14ac:dyDescent="0.4">
      <c r="D519" s="1"/>
    </row>
    <row r="520" spans="4:4" x14ac:dyDescent="0.4">
      <c r="D520" s="1"/>
    </row>
    <row r="521" spans="4:4" x14ac:dyDescent="0.4">
      <c r="D521" s="1"/>
    </row>
    <row r="522" spans="4:4" x14ac:dyDescent="0.4">
      <c r="D522" s="1"/>
    </row>
    <row r="523" spans="4:4" x14ac:dyDescent="0.4">
      <c r="D523" s="1"/>
    </row>
    <row r="524" spans="4:4" x14ac:dyDescent="0.4">
      <c r="D524" s="1"/>
    </row>
    <row r="525" spans="4:4" x14ac:dyDescent="0.4">
      <c r="D525" s="1"/>
    </row>
    <row r="526" spans="4:4" x14ac:dyDescent="0.4">
      <c r="D526" s="1"/>
    </row>
    <row r="527" spans="4:4" x14ac:dyDescent="0.4">
      <c r="D527" s="1"/>
    </row>
    <row r="528" spans="4:4" x14ac:dyDescent="0.4">
      <c r="D528" s="1"/>
    </row>
    <row r="529" spans="4:4" x14ac:dyDescent="0.4">
      <c r="D529" s="1"/>
    </row>
    <row r="530" spans="4:4" x14ac:dyDescent="0.4">
      <c r="D530" s="1"/>
    </row>
    <row r="531" spans="4:4" x14ac:dyDescent="0.4">
      <c r="D531" s="1"/>
    </row>
    <row r="532" spans="4:4" x14ac:dyDescent="0.4">
      <c r="D532" s="1"/>
    </row>
    <row r="533" spans="4:4" x14ac:dyDescent="0.4">
      <c r="D533" s="1"/>
    </row>
    <row r="534" spans="4:4" x14ac:dyDescent="0.4">
      <c r="D534" s="1"/>
    </row>
    <row r="535" spans="4:4" x14ac:dyDescent="0.4">
      <c r="D535" s="1"/>
    </row>
    <row r="536" spans="4:4" x14ac:dyDescent="0.4">
      <c r="D536" s="1"/>
    </row>
    <row r="537" spans="4:4" x14ac:dyDescent="0.4">
      <c r="D537" s="1"/>
    </row>
    <row r="538" spans="4:4" x14ac:dyDescent="0.4">
      <c r="D538" s="1"/>
    </row>
    <row r="539" spans="4:4" x14ac:dyDescent="0.4">
      <c r="D539" s="1"/>
    </row>
    <row r="540" spans="4:4" x14ac:dyDescent="0.4">
      <c r="D540" s="1"/>
    </row>
    <row r="541" spans="4:4" x14ac:dyDescent="0.4">
      <c r="D541" s="1"/>
    </row>
    <row r="542" spans="4:4" x14ac:dyDescent="0.4">
      <c r="D542" s="1"/>
    </row>
    <row r="543" spans="4:4" x14ac:dyDescent="0.4">
      <c r="D543" s="1"/>
    </row>
    <row r="544" spans="4:4" x14ac:dyDescent="0.4">
      <c r="D544" s="1"/>
    </row>
    <row r="545" spans="4:4" x14ac:dyDescent="0.4">
      <c r="D545" s="1"/>
    </row>
    <row r="546" spans="4:4" x14ac:dyDescent="0.4">
      <c r="D546" s="1"/>
    </row>
    <row r="547" spans="4:4" x14ac:dyDescent="0.4">
      <c r="D547" s="1"/>
    </row>
    <row r="548" spans="4:4" x14ac:dyDescent="0.4">
      <c r="D548" s="1"/>
    </row>
    <row r="549" spans="4:4" x14ac:dyDescent="0.4">
      <c r="D549" s="1"/>
    </row>
    <row r="550" spans="4:4" x14ac:dyDescent="0.4">
      <c r="D550" s="1"/>
    </row>
    <row r="551" spans="4:4" x14ac:dyDescent="0.4">
      <c r="D551" s="1"/>
    </row>
    <row r="552" spans="4:4" x14ac:dyDescent="0.4">
      <c r="D552" s="1"/>
    </row>
    <row r="553" spans="4:4" x14ac:dyDescent="0.4">
      <c r="D553" s="1"/>
    </row>
    <row r="554" spans="4:4" x14ac:dyDescent="0.4">
      <c r="D554" s="1"/>
    </row>
    <row r="555" spans="4:4" x14ac:dyDescent="0.4">
      <c r="D555" s="1"/>
    </row>
    <row r="556" spans="4:4" x14ac:dyDescent="0.4">
      <c r="D556" s="1"/>
    </row>
    <row r="557" spans="4:4" x14ac:dyDescent="0.4">
      <c r="D557" s="1"/>
    </row>
    <row r="558" spans="4:4" x14ac:dyDescent="0.4">
      <c r="D558" s="1"/>
    </row>
    <row r="559" spans="4:4" x14ac:dyDescent="0.4">
      <c r="D559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C23" sqref="C23"/>
    </sheetView>
  </sheetViews>
  <sheetFormatPr defaultRowHeight="13.9" x14ac:dyDescent="0.4"/>
  <cols>
    <col min="1" max="1" width="16.86328125" bestFit="1" customWidth="1"/>
    <col min="2" max="2" width="8.73046875" bestFit="1" customWidth="1"/>
    <col min="3" max="3" width="12.86328125" style="4" bestFit="1" customWidth="1"/>
    <col min="4" max="4" width="14.86328125" bestFit="1" customWidth="1"/>
    <col min="5" max="5" width="8.73046875" bestFit="1" customWidth="1"/>
    <col min="6" max="6" width="12.86328125" bestFit="1" customWidth="1"/>
    <col min="7" max="7" width="14.86328125" bestFit="1" customWidth="1"/>
    <col min="8" max="8" width="8.73046875" bestFit="1" customWidth="1"/>
    <col min="9" max="9" width="12.86328125" bestFit="1" customWidth="1"/>
  </cols>
  <sheetData>
    <row r="1" spans="1:9" x14ac:dyDescent="0.4">
      <c r="A1" t="s">
        <v>114</v>
      </c>
      <c r="B1" t="s">
        <v>116</v>
      </c>
      <c r="C1" t="s">
        <v>118</v>
      </c>
      <c r="D1" t="s">
        <v>119</v>
      </c>
      <c r="E1" t="s">
        <v>116</v>
      </c>
      <c r="F1" t="s">
        <v>117</v>
      </c>
      <c r="G1" t="s">
        <v>119</v>
      </c>
      <c r="H1" t="s">
        <v>115</v>
      </c>
      <c r="I1" t="s">
        <v>118</v>
      </c>
    </row>
    <row r="2" spans="1:9" x14ac:dyDescent="0.4">
      <c r="A2" s="2" t="str">
        <f>Sheet1!S3</f>
        <v>熊高震荡高牛高</v>
      </c>
      <c r="B2" s="2">
        <f>Sheet1!T3</f>
        <v>0</v>
      </c>
      <c r="C2" s="5" t="e">
        <f>Sheet1!U3</f>
        <v>#DIV/0!</v>
      </c>
      <c r="D2" s="2" t="str">
        <f>Sheet1!S12</f>
        <v>熊中震荡高牛高</v>
      </c>
      <c r="E2" s="2">
        <f>Sheet1!T12</f>
        <v>0</v>
      </c>
      <c r="F2" s="5" t="e">
        <f>Sheet1!U12</f>
        <v>#DIV/0!</v>
      </c>
      <c r="G2" t="str">
        <f>Sheet1!S21</f>
        <v>熊低震荡高牛高</v>
      </c>
      <c r="H2">
        <f>Sheet1!T21</f>
        <v>0</v>
      </c>
      <c r="I2" s="4" t="e">
        <f>Sheet1!U21</f>
        <v>#DIV/0!</v>
      </c>
    </row>
    <row r="3" spans="1:9" x14ac:dyDescent="0.4">
      <c r="A3" s="2" t="str">
        <f>Sheet1!S4</f>
        <v>熊高震荡高牛中</v>
      </c>
      <c r="B3" s="2">
        <f>Sheet1!T4</f>
        <v>0</v>
      </c>
      <c r="C3" s="5" t="e">
        <f>Sheet1!U4</f>
        <v>#DIV/0!</v>
      </c>
      <c r="D3" s="2" t="str">
        <f>Sheet1!S13</f>
        <v>熊中震荡高牛中</v>
      </c>
      <c r="E3" s="2">
        <f>Sheet1!T13</f>
        <v>0</v>
      </c>
      <c r="F3" s="5" t="e">
        <f>Sheet1!U13</f>
        <v>#DIV/0!</v>
      </c>
      <c r="G3" t="str">
        <f>Sheet1!S22</f>
        <v>熊低震荡高牛中</v>
      </c>
      <c r="H3">
        <f>Sheet1!T22</f>
        <v>0</v>
      </c>
      <c r="I3" s="4" t="e">
        <f>Sheet1!U22</f>
        <v>#DIV/0!</v>
      </c>
    </row>
    <row r="4" spans="1:9" x14ac:dyDescent="0.4">
      <c r="A4" t="str">
        <f>Sheet1!S5</f>
        <v>熊高震荡高牛低</v>
      </c>
      <c r="B4">
        <f>Sheet1!T5</f>
        <v>0</v>
      </c>
      <c r="C4" s="4" t="e">
        <f>Sheet1!U5</f>
        <v>#DIV/0!</v>
      </c>
      <c r="D4" t="str">
        <f>Sheet1!S14</f>
        <v>熊中震荡高牛低</v>
      </c>
      <c r="E4">
        <f>Sheet1!T14</f>
        <v>0</v>
      </c>
      <c r="F4" s="4" t="e">
        <f>Sheet1!U14</f>
        <v>#DIV/0!</v>
      </c>
      <c r="G4" t="str">
        <f>Sheet1!S23</f>
        <v>熊低震荡高牛低</v>
      </c>
      <c r="H4">
        <f>Sheet1!T23</f>
        <v>0</v>
      </c>
      <c r="I4" s="4" t="e">
        <f>Sheet1!U23</f>
        <v>#DIV/0!</v>
      </c>
    </row>
    <row r="5" spans="1:9" x14ac:dyDescent="0.4">
      <c r="A5" s="2" t="str">
        <f>Sheet1!S6</f>
        <v>熊高震荡中牛高</v>
      </c>
      <c r="B5" s="2">
        <f>Sheet1!T6</f>
        <v>0</v>
      </c>
      <c r="C5" s="5" t="e">
        <f>Sheet1!U6</f>
        <v>#DIV/0!</v>
      </c>
      <c r="D5" s="2" t="str">
        <f>Sheet1!S15</f>
        <v>熊中震荡中牛高</v>
      </c>
      <c r="E5" s="2">
        <f>Sheet1!T15</f>
        <v>0</v>
      </c>
      <c r="F5" s="5" t="e">
        <f>Sheet1!U15</f>
        <v>#DIV/0!</v>
      </c>
      <c r="G5" t="str">
        <f>Sheet1!S24</f>
        <v>熊低震荡中牛高</v>
      </c>
      <c r="H5">
        <f>Sheet1!T24</f>
        <v>0</v>
      </c>
      <c r="I5" s="4" t="e">
        <f>Sheet1!U24</f>
        <v>#DIV/0!</v>
      </c>
    </row>
    <row r="6" spans="1:9" x14ac:dyDescent="0.4">
      <c r="A6" s="2" t="str">
        <f>Sheet1!S7</f>
        <v>熊高震荡中牛中</v>
      </c>
      <c r="B6" s="2">
        <f>Sheet1!T7</f>
        <v>0</v>
      </c>
      <c r="C6" s="5" t="e">
        <f>Sheet1!U7</f>
        <v>#DIV/0!</v>
      </c>
      <c r="D6" s="6" t="str">
        <f>Sheet1!S16</f>
        <v>熊中震荡中牛中</v>
      </c>
      <c r="E6" s="6">
        <f>Sheet1!T16</f>
        <v>0</v>
      </c>
      <c r="F6" s="7" t="e">
        <f>Sheet1!U16</f>
        <v>#DIV/0!</v>
      </c>
      <c r="G6" t="str">
        <f>Sheet1!S25</f>
        <v>熊低震荡中牛中</v>
      </c>
      <c r="H6">
        <f>Sheet1!T25</f>
        <v>0</v>
      </c>
      <c r="I6" s="4" t="e">
        <f>Sheet1!U25</f>
        <v>#DIV/0!</v>
      </c>
    </row>
    <row r="7" spans="1:9" x14ac:dyDescent="0.4">
      <c r="A7" t="str">
        <f>Sheet1!S8</f>
        <v>熊高震荡中牛低</v>
      </c>
      <c r="B7">
        <f>Sheet1!T8</f>
        <v>0</v>
      </c>
      <c r="C7" s="4" t="e">
        <f>Sheet1!U8</f>
        <v>#DIV/0!</v>
      </c>
      <c r="D7" t="str">
        <f>Sheet1!S17</f>
        <v>熊中震荡中牛低</v>
      </c>
      <c r="E7">
        <f>Sheet1!T17</f>
        <v>0</v>
      </c>
      <c r="F7" s="4" t="e">
        <f>Sheet1!U17</f>
        <v>#DIV/0!</v>
      </c>
      <c r="G7" t="str">
        <f>Sheet1!S26</f>
        <v>熊低震荡中牛低</v>
      </c>
      <c r="H7">
        <f>Sheet1!T26</f>
        <v>0</v>
      </c>
      <c r="I7" s="4" t="e">
        <f>Sheet1!U26</f>
        <v>#DIV/0!</v>
      </c>
    </row>
    <row r="8" spans="1:9" x14ac:dyDescent="0.4">
      <c r="A8" t="str">
        <f>Sheet1!S9</f>
        <v>熊高震荡低牛高</v>
      </c>
      <c r="B8">
        <f>Sheet1!T9</f>
        <v>0</v>
      </c>
      <c r="C8" s="4" t="e">
        <f>Sheet1!U9</f>
        <v>#DIV/0!</v>
      </c>
      <c r="D8" t="str">
        <f>Sheet1!S18</f>
        <v>熊中震荡低牛高</v>
      </c>
      <c r="E8">
        <f>Sheet1!T18</f>
        <v>0</v>
      </c>
      <c r="F8" s="4" t="e">
        <f>Sheet1!U18</f>
        <v>#DIV/0!</v>
      </c>
      <c r="G8" t="str">
        <f>Sheet1!S27</f>
        <v>熊低震荡低牛高</v>
      </c>
      <c r="H8">
        <f>Sheet1!T27</f>
        <v>0</v>
      </c>
      <c r="I8" s="4" t="e">
        <f>Sheet1!U27</f>
        <v>#DIV/0!</v>
      </c>
    </row>
    <row r="9" spans="1:9" x14ac:dyDescent="0.4">
      <c r="A9" t="str">
        <f>Sheet1!S10</f>
        <v>熊高震荡低牛中</v>
      </c>
      <c r="B9">
        <f>Sheet1!T10</f>
        <v>0</v>
      </c>
      <c r="C9" s="4" t="e">
        <f>Sheet1!U10</f>
        <v>#DIV/0!</v>
      </c>
      <c r="D9" t="str">
        <f>Sheet1!S19</f>
        <v>熊中震荡低牛中</v>
      </c>
      <c r="E9">
        <f>Sheet1!T19</f>
        <v>0</v>
      </c>
      <c r="F9" s="4" t="e">
        <f>Sheet1!U19</f>
        <v>#DIV/0!</v>
      </c>
      <c r="G9" t="str">
        <f>Sheet1!S28</f>
        <v>熊低震荡低牛中</v>
      </c>
      <c r="H9">
        <f>Sheet1!T28</f>
        <v>0</v>
      </c>
      <c r="I9" s="4" t="e">
        <f>Sheet1!U28</f>
        <v>#DIV/0!</v>
      </c>
    </row>
    <row r="10" spans="1:9" x14ac:dyDescent="0.4">
      <c r="A10" t="str">
        <f>Sheet1!S11</f>
        <v>熊高震荡低牛低</v>
      </c>
      <c r="B10">
        <f>Sheet1!T11</f>
        <v>0</v>
      </c>
      <c r="C10" s="4" t="e">
        <f>Sheet1!U11</f>
        <v>#DIV/0!</v>
      </c>
      <c r="D10" t="str">
        <f>Sheet1!S20</f>
        <v>熊中震荡低牛低</v>
      </c>
      <c r="E10">
        <f>Sheet1!T20</f>
        <v>0</v>
      </c>
      <c r="F10" s="4" t="e">
        <f>Sheet1!U20</f>
        <v>#DIV/0!</v>
      </c>
      <c r="G10" t="str">
        <f>Sheet1!S29</f>
        <v>熊低震荡低牛低</v>
      </c>
      <c r="H10">
        <f>Sheet1!T29</f>
        <v>0</v>
      </c>
      <c r="I10" s="4" t="e">
        <f>Sheet1!U29</f>
        <v>#DIV/0!</v>
      </c>
    </row>
    <row r="13" spans="1:9" x14ac:dyDescent="0.4">
      <c r="A13" t="s">
        <v>224</v>
      </c>
      <c r="B13">
        <f>SUM(B2:B3,B5:B6,E2:E3,E5)</f>
        <v>0</v>
      </c>
      <c r="C13" s="4" t="e">
        <f>SUM(C2:C3,C5:C6,F2:F3,F5)</f>
        <v>#DIV/0!</v>
      </c>
    </row>
    <row r="14" spans="1:9" x14ac:dyDescent="0.4">
      <c r="A14" t="s">
        <v>120</v>
      </c>
      <c r="B14">
        <f>SUM(B2:B3,B5,E2)</f>
        <v>0</v>
      </c>
      <c r="C14" s="4" t="e">
        <f>SUM(C2:C3,C5,F2)</f>
        <v>#DIV/0!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5"/>
  <sheetViews>
    <sheetView zoomScaleNormal="100" workbookViewId="0">
      <selection activeCell="D14" sqref="D14"/>
    </sheetView>
  </sheetViews>
  <sheetFormatPr defaultRowHeight="13.9" x14ac:dyDescent="0.4"/>
  <cols>
    <col min="1" max="1" width="24.6640625" customWidth="1"/>
    <col min="2" max="2" width="13.86328125" customWidth="1"/>
    <col min="3" max="3" width="14.86328125" bestFit="1" customWidth="1"/>
    <col min="4" max="4" width="21" bestFit="1" customWidth="1"/>
    <col min="5" max="5" width="14.86328125" bestFit="1" customWidth="1"/>
  </cols>
  <sheetData>
    <row r="1" spans="1:16" x14ac:dyDescent="0.4">
      <c r="A1" t="s">
        <v>97</v>
      </c>
      <c r="B1" t="s">
        <v>98</v>
      </c>
      <c r="C1" t="s">
        <v>99</v>
      </c>
      <c r="D1" t="s">
        <v>100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  <c r="K1" t="s">
        <v>101</v>
      </c>
      <c r="L1" t="s">
        <v>102</v>
      </c>
      <c r="M1" t="s">
        <v>103</v>
      </c>
      <c r="N1" t="s">
        <v>140</v>
      </c>
      <c r="O1" t="s">
        <v>102</v>
      </c>
      <c r="P1" t="s">
        <v>103</v>
      </c>
    </row>
    <row r="3" spans="1:16" x14ac:dyDescent="0.4">
      <c r="A3" t="s">
        <v>37</v>
      </c>
    </row>
    <row r="4" spans="1:16" x14ac:dyDescent="0.4">
      <c r="A4" t="s">
        <v>42</v>
      </c>
      <c r="B4" t="s">
        <v>43</v>
      </c>
      <c r="C4" t="s">
        <v>38</v>
      </c>
      <c r="D4">
        <v>39836</v>
      </c>
      <c r="E4">
        <v>2</v>
      </c>
      <c r="F4">
        <v>1</v>
      </c>
      <c r="G4">
        <v>3</v>
      </c>
      <c r="H4">
        <v>323</v>
      </c>
      <c r="I4">
        <v>160</v>
      </c>
      <c r="J4">
        <v>836</v>
      </c>
      <c r="K4">
        <v>16.631618897657862</v>
      </c>
      <c r="L4">
        <v>16.205533596837945</v>
      </c>
      <c r="M4">
        <v>22.686231732527105</v>
      </c>
      <c r="N4">
        <v>1</v>
      </c>
      <c r="O4">
        <v>1</v>
      </c>
      <c r="P4">
        <v>1</v>
      </c>
    </row>
    <row r="5" spans="1:16" x14ac:dyDescent="0.4">
      <c r="A5" t="s">
        <v>68</v>
      </c>
      <c r="B5" t="s">
        <v>69</v>
      </c>
      <c r="C5" t="s">
        <v>41</v>
      </c>
      <c r="D5">
        <v>39988</v>
      </c>
      <c r="E5">
        <v>2</v>
      </c>
      <c r="F5">
        <v>1</v>
      </c>
      <c r="G5">
        <v>3</v>
      </c>
      <c r="H5">
        <v>323</v>
      </c>
      <c r="I5">
        <v>160</v>
      </c>
      <c r="J5">
        <v>836</v>
      </c>
      <c r="K5">
        <v>17.347122471243516</v>
      </c>
      <c r="L5">
        <v>19.796954314720811</v>
      </c>
      <c r="M5">
        <v>19.925109093385291</v>
      </c>
      <c r="N5">
        <v>1</v>
      </c>
      <c r="O5">
        <v>1</v>
      </c>
      <c r="P5">
        <v>1</v>
      </c>
    </row>
    <row r="6" spans="1:16" x14ac:dyDescent="0.4">
      <c r="A6" t="s">
        <v>53</v>
      </c>
      <c r="B6" t="s">
        <v>54</v>
      </c>
      <c r="C6" t="s">
        <v>38</v>
      </c>
      <c r="D6">
        <v>41117</v>
      </c>
      <c r="E6">
        <v>2</v>
      </c>
      <c r="F6">
        <v>1</v>
      </c>
      <c r="G6">
        <v>3</v>
      </c>
      <c r="H6">
        <v>323</v>
      </c>
      <c r="I6">
        <v>160</v>
      </c>
      <c r="J6">
        <v>836</v>
      </c>
      <c r="K6">
        <v>25.054324644661978</v>
      </c>
      <c r="L6">
        <v>17.588932806324109</v>
      </c>
      <c r="M6">
        <v>27.179782832434384</v>
      </c>
      <c r="N6">
        <v>1</v>
      </c>
      <c r="O6">
        <v>1</v>
      </c>
      <c r="P6">
        <v>1</v>
      </c>
    </row>
    <row r="9" spans="1:16" x14ac:dyDescent="0.4">
      <c r="A9" t="s">
        <v>46</v>
      </c>
    </row>
    <row r="10" spans="1:16" x14ac:dyDescent="0.4">
      <c r="A10" t="s">
        <v>186</v>
      </c>
      <c r="B10" t="s">
        <v>187</v>
      </c>
      <c r="C10" t="s">
        <v>38</v>
      </c>
      <c r="D10">
        <v>38358</v>
      </c>
      <c r="E10">
        <v>2</v>
      </c>
      <c r="F10">
        <v>1</v>
      </c>
      <c r="G10">
        <v>3</v>
      </c>
      <c r="H10">
        <v>323</v>
      </c>
      <c r="I10">
        <v>160</v>
      </c>
      <c r="J10">
        <v>836</v>
      </c>
      <c r="K10">
        <v>18.440626551410084</v>
      </c>
      <c r="L10">
        <v>16.403162055335969</v>
      </c>
      <c r="M10">
        <v>32.24611244324506</v>
      </c>
      <c r="N10">
        <v>1</v>
      </c>
      <c r="O10">
        <v>1</v>
      </c>
      <c r="P10">
        <v>2</v>
      </c>
    </row>
    <row r="11" spans="1:16" x14ac:dyDescent="0.4">
      <c r="A11" t="s">
        <v>55</v>
      </c>
      <c r="B11" t="s">
        <v>56</v>
      </c>
      <c r="C11" t="s">
        <v>38</v>
      </c>
      <c r="D11">
        <v>38672</v>
      </c>
      <c r="E11">
        <v>2</v>
      </c>
      <c r="F11">
        <v>1</v>
      </c>
      <c r="G11">
        <v>3</v>
      </c>
      <c r="H11">
        <v>323</v>
      </c>
      <c r="I11">
        <v>160</v>
      </c>
      <c r="J11">
        <v>836</v>
      </c>
      <c r="K11">
        <v>28.506980193783011</v>
      </c>
      <c r="L11">
        <v>26.877470355731226</v>
      </c>
      <c r="M11">
        <v>32.999705026764296</v>
      </c>
      <c r="N11">
        <v>1</v>
      </c>
      <c r="O11">
        <v>1</v>
      </c>
      <c r="P11">
        <v>2</v>
      </c>
    </row>
    <row r="12" spans="1:16" x14ac:dyDescent="0.4">
      <c r="A12" t="s">
        <v>64</v>
      </c>
      <c r="B12" t="s">
        <v>65</v>
      </c>
      <c r="C12" t="s">
        <v>38</v>
      </c>
      <c r="D12">
        <v>38882</v>
      </c>
      <c r="E12">
        <v>2</v>
      </c>
      <c r="F12">
        <v>1</v>
      </c>
      <c r="G12">
        <v>3</v>
      </c>
      <c r="H12">
        <v>323</v>
      </c>
      <c r="I12">
        <v>160</v>
      </c>
      <c r="J12">
        <v>836</v>
      </c>
      <c r="K12">
        <v>24.447369540349538</v>
      </c>
      <c r="L12">
        <v>24.505928853754941</v>
      </c>
      <c r="M12">
        <v>36.784567936154211</v>
      </c>
      <c r="N12">
        <v>1</v>
      </c>
      <c r="O12">
        <v>1</v>
      </c>
      <c r="P12">
        <v>2</v>
      </c>
    </row>
    <row r="13" spans="1:16" x14ac:dyDescent="0.4">
      <c r="A13" t="s">
        <v>77</v>
      </c>
      <c r="B13" t="s">
        <v>78</v>
      </c>
      <c r="C13" t="s">
        <v>38</v>
      </c>
      <c r="D13">
        <v>38916</v>
      </c>
      <c r="E13">
        <v>2</v>
      </c>
      <c r="F13">
        <v>1</v>
      </c>
      <c r="G13">
        <v>3</v>
      </c>
      <c r="H13">
        <v>323</v>
      </c>
      <c r="I13">
        <v>160</v>
      </c>
      <c r="J13">
        <v>836</v>
      </c>
      <c r="K13">
        <v>27.020326603948153</v>
      </c>
      <c r="L13">
        <v>18.972332015810277</v>
      </c>
      <c r="M13">
        <v>43.409638148699592</v>
      </c>
      <c r="N13">
        <v>1</v>
      </c>
      <c r="O13">
        <v>1</v>
      </c>
      <c r="P13">
        <v>2</v>
      </c>
    </row>
    <row r="14" spans="1:16" x14ac:dyDescent="0.4">
      <c r="A14" t="s">
        <v>156</v>
      </c>
      <c r="B14" t="s">
        <v>157</v>
      </c>
      <c r="C14" t="s">
        <v>149</v>
      </c>
      <c r="D14">
        <v>38943</v>
      </c>
      <c r="E14">
        <v>2</v>
      </c>
      <c r="F14">
        <v>1</v>
      </c>
      <c r="G14">
        <v>3</v>
      </c>
      <c r="H14">
        <v>323</v>
      </c>
      <c r="I14">
        <v>160</v>
      </c>
      <c r="J14">
        <v>836</v>
      </c>
      <c r="K14">
        <v>24.03577571379429</v>
      </c>
      <c r="L14">
        <v>22.727272727272727</v>
      </c>
      <c r="M14">
        <v>46.336571456188679</v>
      </c>
      <c r="N14">
        <v>1</v>
      </c>
      <c r="O14">
        <v>1</v>
      </c>
      <c r="P14">
        <v>2</v>
      </c>
    </row>
    <row r="15" spans="1:16" x14ac:dyDescent="0.4">
      <c r="A15" t="s">
        <v>88</v>
      </c>
      <c r="B15" t="s">
        <v>89</v>
      </c>
      <c r="C15" t="s">
        <v>38</v>
      </c>
      <c r="D15">
        <v>38987</v>
      </c>
      <c r="E15">
        <v>2</v>
      </c>
      <c r="F15">
        <v>1</v>
      </c>
      <c r="G15">
        <v>3</v>
      </c>
      <c r="H15">
        <v>323</v>
      </c>
      <c r="I15">
        <v>160</v>
      </c>
      <c r="J15">
        <v>836</v>
      </c>
      <c r="K15">
        <v>20.20780694091507</v>
      </c>
      <c r="L15">
        <v>21.146245059288539</v>
      </c>
      <c r="M15">
        <v>38.806830718040587</v>
      </c>
      <c r="N15">
        <v>1</v>
      </c>
      <c r="O15">
        <v>1</v>
      </c>
      <c r="P15">
        <v>2</v>
      </c>
    </row>
    <row r="16" spans="1:16" x14ac:dyDescent="0.4">
      <c r="A16" t="s">
        <v>108</v>
      </c>
      <c r="B16" t="s">
        <v>109</v>
      </c>
      <c r="C16" t="s">
        <v>38</v>
      </c>
      <c r="D16">
        <v>39216</v>
      </c>
      <c r="E16">
        <v>2</v>
      </c>
      <c r="F16">
        <v>1</v>
      </c>
      <c r="G16">
        <v>3</v>
      </c>
      <c r="H16">
        <v>323</v>
      </c>
      <c r="I16">
        <v>160</v>
      </c>
      <c r="J16">
        <v>836</v>
      </c>
      <c r="K16">
        <v>25.743188174301046</v>
      </c>
      <c r="L16">
        <v>23.913043478260871</v>
      </c>
      <c r="M16">
        <v>34.485924075846064</v>
      </c>
      <c r="N16">
        <v>1</v>
      </c>
      <c r="O16">
        <v>1</v>
      </c>
      <c r="P16">
        <v>2</v>
      </c>
    </row>
    <row r="17" spans="1:16" x14ac:dyDescent="0.4">
      <c r="A17" t="s">
        <v>51</v>
      </c>
      <c r="B17" t="s">
        <v>52</v>
      </c>
      <c r="C17" t="s">
        <v>38</v>
      </c>
      <c r="D17">
        <v>39618</v>
      </c>
      <c r="E17">
        <v>2</v>
      </c>
      <c r="F17">
        <v>1</v>
      </c>
      <c r="G17">
        <v>3</v>
      </c>
      <c r="H17">
        <v>323</v>
      </c>
      <c r="I17">
        <v>160</v>
      </c>
      <c r="J17">
        <v>836</v>
      </c>
      <c r="K17">
        <v>14.535086255602296</v>
      </c>
      <c r="L17">
        <v>0.39525691699604742</v>
      </c>
      <c r="M17">
        <v>35.678913500107058</v>
      </c>
      <c r="N17">
        <v>1</v>
      </c>
      <c r="O17">
        <v>1</v>
      </c>
      <c r="P17">
        <v>2</v>
      </c>
    </row>
    <row r="18" spans="1:16" x14ac:dyDescent="0.4">
      <c r="A18" t="s">
        <v>200</v>
      </c>
      <c r="B18" t="s">
        <v>201</v>
      </c>
      <c r="C18" t="s">
        <v>38</v>
      </c>
      <c r="D18">
        <v>39743</v>
      </c>
      <c r="E18">
        <v>2</v>
      </c>
      <c r="F18">
        <v>1</v>
      </c>
      <c r="G18">
        <v>3</v>
      </c>
      <c r="H18">
        <v>323</v>
      </c>
      <c r="I18">
        <v>160</v>
      </c>
      <c r="J18">
        <v>836</v>
      </c>
      <c r="K18">
        <v>9.8578131314879389</v>
      </c>
      <c r="L18">
        <v>11.462450592885375</v>
      </c>
      <c r="M18">
        <v>48.003069728021735</v>
      </c>
      <c r="N18">
        <v>1</v>
      </c>
      <c r="O18">
        <v>1</v>
      </c>
      <c r="P18">
        <v>2</v>
      </c>
    </row>
    <row r="19" spans="1:16" x14ac:dyDescent="0.4">
      <c r="A19" t="s">
        <v>73</v>
      </c>
      <c r="B19" t="s">
        <v>74</v>
      </c>
      <c r="C19" t="s">
        <v>38</v>
      </c>
      <c r="D19">
        <v>39778</v>
      </c>
      <c r="E19">
        <v>2</v>
      </c>
      <c r="F19">
        <v>1</v>
      </c>
      <c r="G19">
        <v>3</v>
      </c>
      <c r="H19">
        <v>323</v>
      </c>
      <c r="I19">
        <v>160</v>
      </c>
      <c r="J19">
        <v>836</v>
      </c>
      <c r="K19">
        <v>18.585167387407772</v>
      </c>
      <c r="L19">
        <v>15.41501976284585</v>
      </c>
      <c r="M19">
        <v>38.945678281763591</v>
      </c>
      <c r="N19">
        <v>1</v>
      </c>
      <c r="O19">
        <v>1</v>
      </c>
      <c r="P19">
        <v>2</v>
      </c>
    </row>
    <row r="20" spans="1:16" x14ac:dyDescent="0.4">
      <c r="A20" t="s">
        <v>204</v>
      </c>
      <c r="B20" t="s">
        <v>205</v>
      </c>
      <c r="C20" t="s">
        <v>38</v>
      </c>
      <c r="D20">
        <v>40018</v>
      </c>
      <c r="E20">
        <v>2</v>
      </c>
      <c r="F20">
        <v>1</v>
      </c>
      <c r="G20">
        <v>3</v>
      </c>
      <c r="H20">
        <v>323</v>
      </c>
      <c r="I20">
        <v>160</v>
      </c>
      <c r="J20">
        <v>836</v>
      </c>
      <c r="K20">
        <v>26.625025377904766</v>
      </c>
      <c r="L20">
        <v>19.762845849802371</v>
      </c>
      <c r="M20">
        <v>37.700637183115518</v>
      </c>
      <c r="N20">
        <v>1</v>
      </c>
      <c r="O20">
        <v>1</v>
      </c>
      <c r="P20">
        <v>2</v>
      </c>
    </row>
    <row r="21" spans="1:16" x14ac:dyDescent="0.4">
      <c r="A21" t="s">
        <v>44</v>
      </c>
      <c r="B21" t="s">
        <v>45</v>
      </c>
      <c r="C21" t="s">
        <v>38</v>
      </c>
      <c r="D21">
        <v>40078</v>
      </c>
      <c r="E21">
        <v>2</v>
      </c>
      <c r="F21">
        <v>1</v>
      </c>
      <c r="G21">
        <v>3</v>
      </c>
      <c r="H21">
        <v>323</v>
      </c>
      <c r="I21">
        <v>160</v>
      </c>
      <c r="J21">
        <v>836</v>
      </c>
      <c r="K21">
        <v>6.7313964675334148</v>
      </c>
      <c r="L21">
        <v>17.786561264822133</v>
      </c>
      <c r="M21">
        <v>44.831740967597689</v>
      </c>
      <c r="N21">
        <v>1</v>
      </c>
      <c r="O21">
        <v>1</v>
      </c>
      <c r="P21">
        <v>2</v>
      </c>
    </row>
    <row r="22" spans="1:16" x14ac:dyDescent="0.4">
      <c r="A22" t="s">
        <v>218</v>
      </c>
      <c r="B22" t="s">
        <v>219</v>
      </c>
      <c r="C22" t="s">
        <v>38</v>
      </c>
      <c r="D22">
        <v>41072</v>
      </c>
      <c r="E22">
        <v>2</v>
      </c>
      <c r="F22">
        <v>1</v>
      </c>
      <c r="G22">
        <v>3</v>
      </c>
      <c r="H22">
        <v>323</v>
      </c>
      <c r="I22">
        <v>160</v>
      </c>
      <c r="J22">
        <v>836</v>
      </c>
      <c r="K22">
        <v>29.359254183199976</v>
      </c>
      <c r="L22">
        <v>3.7549407114624507</v>
      </c>
      <c r="M22">
        <v>37.204568893096031</v>
      </c>
      <c r="N22">
        <v>1</v>
      </c>
      <c r="O22">
        <v>1</v>
      </c>
      <c r="P22">
        <v>2</v>
      </c>
    </row>
    <row r="23" spans="1:16" x14ac:dyDescent="0.4">
      <c r="A23" t="s">
        <v>220</v>
      </c>
      <c r="B23" t="s">
        <v>221</v>
      </c>
      <c r="C23" t="s">
        <v>38</v>
      </c>
      <c r="D23">
        <v>41086</v>
      </c>
      <c r="E23">
        <v>2</v>
      </c>
      <c r="F23">
        <v>1</v>
      </c>
      <c r="G23">
        <v>3</v>
      </c>
      <c r="H23">
        <v>323</v>
      </c>
      <c r="I23">
        <v>160</v>
      </c>
      <c r="J23">
        <v>836</v>
      </c>
      <c r="K23">
        <v>27.915591926390903</v>
      </c>
      <c r="L23">
        <v>11.857707509881424</v>
      </c>
      <c r="M23">
        <v>37.917686776392678</v>
      </c>
      <c r="N23">
        <v>1</v>
      </c>
      <c r="O23">
        <v>1</v>
      </c>
      <c r="P23">
        <v>2</v>
      </c>
    </row>
    <row r="24" spans="1:16" x14ac:dyDescent="0.4">
      <c r="A24" t="s">
        <v>170</v>
      </c>
      <c r="B24" t="s">
        <v>171</v>
      </c>
      <c r="C24" t="s">
        <v>38</v>
      </c>
      <c r="D24">
        <v>41324</v>
      </c>
      <c r="E24">
        <v>2</v>
      </c>
      <c r="F24">
        <v>1</v>
      </c>
      <c r="G24">
        <v>3</v>
      </c>
      <c r="H24">
        <v>323</v>
      </c>
      <c r="I24">
        <v>160</v>
      </c>
      <c r="J24">
        <v>836</v>
      </c>
      <c r="K24">
        <v>27.929209464705728</v>
      </c>
      <c r="L24">
        <v>0.98814229249011853</v>
      </c>
      <c r="M24">
        <v>33.688285791939933</v>
      </c>
      <c r="N24">
        <v>1</v>
      </c>
      <c r="O24">
        <v>1</v>
      </c>
      <c r="P24">
        <v>2</v>
      </c>
    </row>
    <row r="27" spans="1:16" x14ac:dyDescent="0.4">
      <c r="A27" t="s">
        <v>49</v>
      </c>
    </row>
    <row r="28" spans="1:16" x14ac:dyDescent="0.4">
      <c r="A28" t="s">
        <v>147</v>
      </c>
      <c r="B28" t="s">
        <v>148</v>
      </c>
      <c r="C28" t="s">
        <v>149</v>
      </c>
      <c r="D28">
        <v>41521</v>
      </c>
      <c r="E28">
        <v>2</v>
      </c>
      <c r="F28">
        <v>1</v>
      </c>
      <c r="G28">
        <v>3</v>
      </c>
      <c r="H28">
        <v>323</v>
      </c>
      <c r="I28">
        <v>160</v>
      </c>
      <c r="J28">
        <v>836</v>
      </c>
      <c r="K28">
        <v>13.019607843137257</v>
      </c>
      <c r="L28">
        <v>40.909090909090907</v>
      </c>
      <c r="M28">
        <v>13.695568121405444</v>
      </c>
      <c r="N28">
        <v>1</v>
      </c>
      <c r="O28">
        <v>2</v>
      </c>
      <c r="P28">
        <v>1</v>
      </c>
    </row>
    <row r="31" spans="1:16" x14ac:dyDescent="0.4">
      <c r="A31" t="s">
        <v>59</v>
      </c>
    </row>
    <row r="32" spans="1:16" x14ac:dyDescent="0.4">
      <c r="A32" t="s">
        <v>150</v>
      </c>
      <c r="B32" t="s">
        <v>151</v>
      </c>
      <c r="C32" t="s">
        <v>38</v>
      </c>
      <c r="D32">
        <v>39153</v>
      </c>
      <c r="E32">
        <v>2</v>
      </c>
      <c r="F32">
        <v>1</v>
      </c>
      <c r="G32">
        <v>3</v>
      </c>
      <c r="H32">
        <v>323</v>
      </c>
      <c r="I32">
        <v>160</v>
      </c>
      <c r="J32">
        <v>836</v>
      </c>
      <c r="K32">
        <v>34.965443860630657</v>
      </c>
      <c r="L32">
        <v>2.5691699604743081</v>
      </c>
      <c r="M32">
        <v>23.717005025470684</v>
      </c>
      <c r="N32">
        <v>2</v>
      </c>
      <c r="O32">
        <v>1</v>
      </c>
      <c r="P32">
        <v>1</v>
      </c>
    </row>
    <row r="33" spans="1:16" x14ac:dyDescent="0.4">
      <c r="A33" t="s">
        <v>79</v>
      </c>
      <c r="B33" t="s">
        <v>80</v>
      </c>
      <c r="C33" t="s">
        <v>38</v>
      </c>
      <c r="D33">
        <v>40351</v>
      </c>
      <c r="E33">
        <v>2</v>
      </c>
      <c r="F33">
        <v>1</v>
      </c>
      <c r="G33">
        <v>3</v>
      </c>
      <c r="H33">
        <v>323</v>
      </c>
      <c r="I33">
        <v>160</v>
      </c>
      <c r="J33">
        <v>836</v>
      </c>
      <c r="K33">
        <v>31.772103573880567</v>
      </c>
      <c r="L33">
        <v>28.853754940711461</v>
      </c>
      <c r="M33">
        <v>29.958113755982087</v>
      </c>
      <c r="N33">
        <v>2</v>
      </c>
      <c r="O33">
        <v>1</v>
      </c>
      <c r="P33">
        <v>1</v>
      </c>
    </row>
    <row r="34" spans="1:16" x14ac:dyDescent="0.4">
      <c r="A34" t="s">
        <v>70</v>
      </c>
      <c r="B34" t="s">
        <v>71</v>
      </c>
      <c r="C34" t="s">
        <v>38</v>
      </c>
      <c r="D34">
        <v>40989</v>
      </c>
      <c r="E34">
        <v>2</v>
      </c>
      <c r="F34">
        <v>1</v>
      </c>
      <c r="G34">
        <v>3</v>
      </c>
      <c r="H34">
        <v>323</v>
      </c>
      <c r="I34">
        <v>160</v>
      </c>
      <c r="J34">
        <v>836</v>
      </c>
      <c r="K34">
        <v>35.169314320439547</v>
      </c>
      <c r="L34">
        <v>14.624505928853756</v>
      </c>
      <c r="M34">
        <v>25.390776344259042</v>
      </c>
      <c r="N34">
        <v>2</v>
      </c>
      <c r="O34">
        <v>1</v>
      </c>
      <c r="P34">
        <v>1</v>
      </c>
    </row>
    <row r="35" spans="1:16" x14ac:dyDescent="0.4">
      <c r="A35" t="s">
        <v>182</v>
      </c>
      <c r="B35" t="s">
        <v>183</v>
      </c>
      <c r="C35" t="s">
        <v>38</v>
      </c>
      <c r="D35">
        <v>41352</v>
      </c>
      <c r="E35">
        <v>2</v>
      </c>
      <c r="F35">
        <v>1</v>
      </c>
      <c r="G35">
        <v>3</v>
      </c>
      <c r="H35">
        <v>323</v>
      </c>
      <c r="I35">
        <v>160</v>
      </c>
      <c r="J35">
        <v>836</v>
      </c>
      <c r="K35">
        <v>48.2745452770234</v>
      </c>
      <c r="L35">
        <v>4.7430830039525693</v>
      </c>
      <c r="M35">
        <v>24.852075162227521</v>
      </c>
      <c r="N35">
        <v>2</v>
      </c>
      <c r="O35">
        <v>1</v>
      </c>
      <c r="P35">
        <v>1</v>
      </c>
    </row>
    <row r="36" spans="1:16" x14ac:dyDescent="0.4">
      <c r="A36" t="s">
        <v>174</v>
      </c>
      <c r="B36" t="s">
        <v>175</v>
      </c>
      <c r="C36" t="s">
        <v>50</v>
      </c>
      <c r="D36">
        <v>41430</v>
      </c>
      <c r="E36">
        <v>2</v>
      </c>
      <c r="F36">
        <v>1</v>
      </c>
      <c r="G36">
        <v>3</v>
      </c>
      <c r="H36">
        <v>323</v>
      </c>
      <c r="I36">
        <v>160</v>
      </c>
      <c r="J36">
        <v>836</v>
      </c>
      <c r="K36">
        <v>48.82105453756256</v>
      </c>
      <c r="L36">
        <v>3.284072249589491</v>
      </c>
      <c r="M36">
        <v>28.468836465891258</v>
      </c>
      <c r="N36">
        <v>2</v>
      </c>
      <c r="O36">
        <v>1</v>
      </c>
      <c r="P36">
        <v>1</v>
      </c>
    </row>
    <row r="39" spans="1:16" x14ac:dyDescent="0.4">
      <c r="A39" t="s">
        <v>72</v>
      </c>
    </row>
    <row r="40" spans="1:16" x14ac:dyDescent="0.4">
      <c r="A40" t="s">
        <v>75</v>
      </c>
      <c r="B40" t="s">
        <v>76</v>
      </c>
      <c r="C40" t="s">
        <v>38</v>
      </c>
      <c r="D40">
        <v>39036</v>
      </c>
      <c r="E40">
        <v>2</v>
      </c>
      <c r="F40">
        <v>1</v>
      </c>
      <c r="G40">
        <v>3</v>
      </c>
      <c r="H40">
        <v>323</v>
      </c>
      <c r="I40">
        <v>160</v>
      </c>
      <c r="J40">
        <v>836</v>
      </c>
      <c r="K40">
        <v>42.375578525823983</v>
      </c>
      <c r="L40">
        <v>32.806324110671937</v>
      </c>
      <c r="M40">
        <v>15.844958727960824</v>
      </c>
      <c r="N40">
        <v>2</v>
      </c>
      <c r="O40">
        <v>2</v>
      </c>
      <c r="P40">
        <v>1</v>
      </c>
    </row>
    <row r="41" spans="1:16" x14ac:dyDescent="0.4">
      <c r="A41" t="s">
        <v>216</v>
      </c>
      <c r="B41" t="s">
        <v>217</v>
      </c>
      <c r="C41" t="s">
        <v>38</v>
      </c>
      <c r="D41">
        <v>40981</v>
      </c>
      <c r="E41">
        <v>2</v>
      </c>
      <c r="F41">
        <v>1</v>
      </c>
      <c r="G41">
        <v>3</v>
      </c>
      <c r="H41">
        <v>323</v>
      </c>
      <c r="I41">
        <v>160</v>
      </c>
      <c r="J41">
        <v>836</v>
      </c>
      <c r="K41">
        <v>46.517869058449165</v>
      </c>
      <c r="L41">
        <v>33.992094861660078</v>
      </c>
      <c r="M41">
        <v>27.721507473246874</v>
      </c>
      <c r="N41">
        <v>2</v>
      </c>
      <c r="O41">
        <v>2</v>
      </c>
      <c r="P41">
        <v>1</v>
      </c>
    </row>
    <row r="42" spans="1:16" x14ac:dyDescent="0.4">
      <c r="A42" t="s">
        <v>154</v>
      </c>
      <c r="B42" t="s">
        <v>155</v>
      </c>
      <c r="C42" t="s">
        <v>38</v>
      </c>
      <c r="D42">
        <v>41080</v>
      </c>
      <c r="E42">
        <v>2</v>
      </c>
      <c r="F42">
        <v>1</v>
      </c>
      <c r="G42">
        <v>3</v>
      </c>
      <c r="H42">
        <v>323</v>
      </c>
      <c r="I42">
        <v>160</v>
      </c>
      <c r="J42">
        <v>836</v>
      </c>
      <c r="K42">
        <v>42.987596296126014</v>
      </c>
      <c r="L42">
        <v>37.549407114624508</v>
      </c>
      <c r="M42">
        <v>8.7715216743313551</v>
      </c>
      <c r="N42">
        <v>2</v>
      </c>
      <c r="O42">
        <v>2</v>
      </c>
      <c r="P42">
        <v>1</v>
      </c>
    </row>
    <row r="43" spans="1:16" x14ac:dyDescent="0.4">
      <c r="A43" t="s">
        <v>145</v>
      </c>
      <c r="B43" t="s">
        <v>146</v>
      </c>
      <c r="C43" t="s">
        <v>38</v>
      </c>
      <c r="D43">
        <v>41488</v>
      </c>
      <c r="E43">
        <v>2</v>
      </c>
      <c r="F43">
        <v>1</v>
      </c>
      <c r="G43">
        <v>3</v>
      </c>
      <c r="H43">
        <v>323</v>
      </c>
      <c r="I43">
        <v>160</v>
      </c>
      <c r="J43">
        <v>836</v>
      </c>
      <c r="K43">
        <v>37.168196056734232</v>
      </c>
      <c r="L43">
        <v>34.980237154150196</v>
      </c>
      <c r="M43">
        <v>26.044202193541384</v>
      </c>
      <c r="N43">
        <v>2</v>
      </c>
      <c r="O43">
        <v>2</v>
      </c>
      <c r="P43">
        <v>1</v>
      </c>
    </row>
    <row r="44" spans="1:16" x14ac:dyDescent="0.4">
      <c r="A44" t="s">
        <v>141</v>
      </c>
      <c r="B44" t="s">
        <v>142</v>
      </c>
      <c r="C44" t="s">
        <v>38</v>
      </c>
      <c r="D44">
        <v>41512</v>
      </c>
      <c r="E44">
        <v>2</v>
      </c>
      <c r="F44">
        <v>1</v>
      </c>
      <c r="G44">
        <v>3</v>
      </c>
      <c r="H44">
        <v>323</v>
      </c>
      <c r="I44">
        <v>160</v>
      </c>
      <c r="J44">
        <v>836</v>
      </c>
      <c r="K44">
        <v>41.728745455869827</v>
      </c>
      <c r="L44">
        <v>44.664031620553359</v>
      </c>
      <c r="M44">
        <v>17.512109972883188</v>
      </c>
      <c r="N44">
        <v>2</v>
      </c>
      <c r="O44">
        <v>2</v>
      </c>
      <c r="P44">
        <v>1</v>
      </c>
    </row>
    <row r="47" spans="1:16" x14ac:dyDescent="0.4">
      <c r="A47" t="s">
        <v>81</v>
      </c>
    </row>
    <row r="48" spans="1:16" x14ac:dyDescent="0.4">
      <c r="A48" t="s">
        <v>184</v>
      </c>
      <c r="B48" t="s">
        <v>185</v>
      </c>
      <c r="C48" t="s">
        <v>38</v>
      </c>
      <c r="D48">
        <v>38210</v>
      </c>
      <c r="E48">
        <v>2</v>
      </c>
      <c r="F48">
        <v>1</v>
      </c>
      <c r="G48">
        <v>3</v>
      </c>
      <c r="H48">
        <v>323</v>
      </c>
      <c r="I48">
        <v>160</v>
      </c>
      <c r="J48">
        <v>836</v>
      </c>
      <c r="K48">
        <v>46.593158134094175</v>
      </c>
      <c r="L48">
        <v>12.450592885375494</v>
      </c>
      <c r="M48">
        <v>44.644992029225854</v>
      </c>
      <c r="N48">
        <v>2</v>
      </c>
      <c r="O48">
        <v>1</v>
      </c>
      <c r="P48">
        <v>2</v>
      </c>
    </row>
    <row r="49" spans="1:16" x14ac:dyDescent="0.4">
      <c r="A49" t="s">
        <v>158</v>
      </c>
      <c r="B49" t="s">
        <v>159</v>
      </c>
      <c r="C49" t="s">
        <v>38</v>
      </c>
      <c r="D49">
        <v>38989</v>
      </c>
      <c r="E49">
        <v>2</v>
      </c>
      <c r="F49">
        <v>1</v>
      </c>
      <c r="G49">
        <v>3</v>
      </c>
      <c r="H49">
        <v>323</v>
      </c>
      <c r="I49">
        <v>160</v>
      </c>
      <c r="J49">
        <v>836</v>
      </c>
      <c r="K49">
        <v>46.673117260815296</v>
      </c>
      <c r="L49">
        <v>11.660079051383399</v>
      </c>
      <c r="M49">
        <v>41.787904457406334</v>
      </c>
      <c r="N49">
        <v>2</v>
      </c>
      <c r="O49">
        <v>1</v>
      </c>
      <c r="P49">
        <v>2</v>
      </c>
    </row>
    <row r="50" spans="1:16" x14ac:dyDescent="0.4">
      <c r="A50" t="s">
        <v>160</v>
      </c>
      <c r="B50" t="s">
        <v>161</v>
      </c>
      <c r="C50" t="s">
        <v>38</v>
      </c>
      <c r="D50">
        <v>39037</v>
      </c>
      <c r="E50">
        <v>2</v>
      </c>
      <c r="F50">
        <v>1</v>
      </c>
      <c r="G50">
        <v>3</v>
      </c>
      <c r="H50">
        <v>323</v>
      </c>
      <c r="I50">
        <v>160</v>
      </c>
      <c r="J50">
        <v>836</v>
      </c>
      <c r="K50">
        <v>33.795107019420833</v>
      </c>
      <c r="L50">
        <v>0.79051383399209485</v>
      </c>
      <c r="M50">
        <v>32.231674106403624</v>
      </c>
      <c r="N50">
        <v>2</v>
      </c>
      <c r="O50">
        <v>1</v>
      </c>
      <c r="P50">
        <v>2</v>
      </c>
    </row>
    <row r="51" spans="1:16" x14ac:dyDescent="0.4">
      <c r="A51" t="s">
        <v>192</v>
      </c>
      <c r="B51" t="s">
        <v>193</v>
      </c>
      <c r="C51" t="s">
        <v>38</v>
      </c>
      <c r="D51">
        <v>39098</v>
      </c>
      <c r="E51">
        <v>2</v>
      </c>
      <c r="F51">
        <v>1</v>
      </c>
      <c r="G51">
        <v>3</v>
      </c>
      <c r="H51">
        <v>323</v>
      </c>
      <c r="I51">
        <v>160</v>
      </c>
      <c r="J51">
        <v>836</v>
      </c>
      <c r="K51">
        <v>38.985176548422416</v>
      </c>
      <c r="L51">
        <v>24.110671936758894</v>
      </c>
      <c r="M51">
        <v>33.255357598849947</v>
      </c>
      <c r="N51">
        <v>2</v>
      </c>
      <c r="O51">
        <v>1</v>
      </c>
      <c r="P51">
        <v>2</v>
      </c>
    </row>
    <row r="52" spans="1:16" ht="17.25" customHeight="1" x14ac:dyDescent="0.4">
      <c r="A52" t="s">
        <v>194</v>
      </c>
      <c r="B52" t="s">
        <v>195</v>
      </c>
      <c r="C52" t="s">
        <v>38</v>
      </c>
      <c r="D52">
        <v>39106</v>
      </c>
      <c r="E52">
        <v>2</v>
      </c>
      <c r="F52">
        <v>1</v>
      </c>
      <c r="G52">
        <v>3</v>
      </c>
      <c r="H52">
        <v>323</v>
      </c>
      <c r="I52">
        <v>160</v>
      </c>
      <c r="J52">
        <v>836</v>
      </c>
      <c r="K52">
        <v>42.066070546356372</v>
      </c>
      <c r="L52">
        <v>22.92490118577075</v>
      </c>
      <c r="M52">
        <v>44.8892170056046</v>
      </c>
      <c r="N52">
        <v>2</v>
      </c>
      <c r="O52">
        <v>1</v>
      </c>
      <c r="P52">
        <v>2</v>
      </c>
    </row>
    <row r="53" spans="1:16" x14ac:dyDescent="0.4">
      <c r="A53" t="s">
        <v>196</v>
      </c>
      <c r="B53" t="s">
        <v>197</v>
      </c>
      <c r="C53" t="s">
        <v>38</v>
      </c>
      <c r="D53">
        <v>39191</v>
      </c>
      <c r="E53">
        <v>2</v>
      </c>
      <c r="F53">
        <v>1</v>
      </c>
      <c r="G53">
        <v>3</v>
      </c>
      <c r="H53">
        <v>323</v>
      </c>
      <c r="I53">
        <v>160</v>
      </c>
      <c r="J53">
        <v>836</v>
      </c>
      <c r="K53">
        <v>38.090885875282432</v>
      </c>
      <c r="L53">
        <v>5.9288537549407119</v>
      </c>
      <c r="M53">
        <v>37.080930413070853</v>
      </c>
      <c r="N53">
        <v>2</v>
      </c>
      <c r="O53">
        <v>1</v>
      </c>
      <c r="P53">
        <v>2</v>
      </c>
    </row>
    <row r="54" spans="1:16" x14ac:dyDescent="0.4">
      <c r="A54" t="s">
        <v>162</v>
      </c>
      <c r="B54" t="s">
        <v>163</v>
      </c>
      <c r="C54" t="s">
        <v>38</v>
      </c>
      <c r="D54">
        <v>39296</v>
      </c>
      <c r="E54">
        <v>2</v>
      </c>
      <c r="F54">
        <v>1</v>
      </c>
      <c r="G54">
        <v>3</v>
      </c>
      <c r="H54">
        <v>323</v>
      </c>
      <c r="I54">
        <v>160</v>
      </c>
      <c r="J54">
        <v>836</v>
      </c>
      <c r="K54">
        <v>32.727483749961472</v>
      </c>
      <c r="L54">
        <v>3.1620553359683794</v>
      </c>
      <c r="M54">
        <v>41.171370955706877</v>
      </c>
      <c r="N54">
        <v>2</v>
      </c>
      <c r="O54">
        <v>1</v>
      </c>
      <c r="P54">
        <v>2</v>
      </c>
    </row>
    <row r="55" spans="1:16" x14ac:dyDescent="0.4">
      <c r="A55" t="s">
        <v>164</v>
      </c>
      <c r="B55" t="s">
        <v>165</v>
      </c>
      <c r="C55" t="s">
        <v>38</v>
      </c>
      <c r="D55">
        <v>39300</v>
      </c>
      <c r="E55">
        <v>2</v>
      </c>
      <c r="F55">
        <v>1</v>
      </c>
      <c r="G55">
        <v>3</v>
      </c>
      <c r="H55">
        <v>323</v>
      </c>
      <c r="I55">
        <v>160</v>
      </c>
      <c r="J55">
        <v>836</v>
      </c>
      <c r="K55">
        <v>42.866013100595353</v>
      </c>
      <c r="L55">
        <v>9.2885375494071152</v>
      </c>
      <c r="M55">
        <v>42.25508314054315</v>
      </c>
      <c r="N55">
        <v>2</v>
      </c>
      <c r="O55">
        <v>1</v>
      </c>
      <c r="P55">
        <v>2</v>
      </c>
    </row>
    <row r="56" spans="1:16" x14ac:dyDescent="0.4">
      <c r="A56" t="s">
        <v>62</v>
      </c>
      <c r="B56" t="s">
        <v>63</v>
      </c>
      <c r="C56" t="s">
        <v>38</v>
      </c>
      <c r="D56">
        <v>39568</v>
      </c>
      <c r="E56">
        <v>2</v>
      </c>
      <c r="F56">
        <v>1</v>
      </c>
      <c r="G56">
        <v>3</v>
      </c>
      <c r="H56">
        <v>323</v>
      </c>
      <c r="I56">
        <v>160</v>
      </c>
      <c r="J56">
        <v>836</v>
      </c>
      <c r="K56">
        <v>35.464040692813782</v>
      </c>
      <c r="L56">
        <v>12.252964426877471</v>
      </c>
      <c r="M56">
        <v>31.231862067470225</v>
      </c>
      <c r="N56">
        <v>2</v>
      </c>
      <c r="O56">
        <v>1</v>
      </c>
      <c r="P56">
        <v>2</v>
      </c>
    </row>
    <row r="57" spans="1:16" x14ac:dyDescent="0.4">
      <c r="A57" t="s">
        <v>198</v>
      </c>
      <c r="B57" t="s">
        <v>199</v>
      </c>
      <c r="C57" t="s">
        <v>38</v>
      </c>
      <c r="D57">
        <v>39664</v>
      </c>
      <c r="E57">
        <v>2</v>
      </c>
      <c r="F57">
        <v>1</v>
      </c>
      <c r="G57">
        <v>3</v>
      </c>
      <c r="H57">
        <v>323</v>
      </c>
      <c r="I57">
        <v>160</v>
      </c>
      <c r="J57">
        <v>836</v>
      </c>
      <c r="K57">
        <v>47.263341459428851</v>
      </c>
      <c r="L57">
        <v>14.426877470355731</v>
      </c>
      <c r="M57">
        <v>40.860715820074212</v>
      </c>
      <c r="N57">
        <v>2</v>
      </c>
      <c r="O57">
        <v>1</v>
      </c>
      <c r="P57">
        <v>2</v>
      </c>
    </row>
    <row r="58" spans="1:16" x14ac:dyDescent="0.4">
      <c r="A58" t="s">
        <v>82</v>
      </c>
      <c r="B58" t="s">
        <v>83</v>
      </c>
      <c r="C58" t="s">
        <v>38</v>
      </c>
      <c r="D58">
        <v>39765</v>
      </c>
      <c r="E58">
        <v>2</v>
      </c>
      <c r="F58">
        <v>1</v>
      </c>
      <c r="G58">
        <v>3</v>
      </c>
      <c r="H58">
        <v>323</v>
      </c>
      <c r="I58">
        <v>160</v>
      </c>
      <c r="J58">
        <v>836</v>
      </c>
      <c r="K58">
        <v>31.304626639576238</v>
      </c>
      <c r="L58">
        <v>18.57707509881423</v>
      </c>
      <c r="M58">
        <v>37.37730743983726</v>
      </c>
      <c r="N58">
        <v>2</v>
      </c>
      <c r="O58">
        <v>1</v>
      </c>
      <c r="P58">
        <v>2</v>
      </c>
    </row>
    <row r="59" spans="1:16" x14ac:dyDescent="0.4">
      <c r="A59" t="s">
        <v>172</v>
      </c>
      <c r="B59" t="s">
        <v>173</v>
      </c>
      <c r="C59" t="s">
        <v>38</v>
      </c>
      <c r="D59">
        <v>39911</v>
      </c>
      <c r="E59">
        <v>2</v>
      </c>
      <c r="F59">
        <v>1</v>
      </c>
      <c r="G59">
        <v>3</v>
      </c>
      <c r="H59">
        <v>323</v>
      </c>
      <c r="I59">
        <v>160</v>
      </c>
      <c r="J59">
        <v>836</v>
      </c>
      <c r="K59">
        <v>38.033302354639062</v>
      </c>
      <c r="L59">
        <v>27.07509881422925</v>
      </c>
      <c r="M59">
        <v>49.571469777424262</v>
      </c>
      <c r="N59">
        <v>2</v>
      </c>
      <c r="O59">
        <v>1</v>
      </c>
      <c r="P59">
        <v>2</v>
      </c>
    </row>
    <row r="60" spans="1:16" x14ac:dyDescent="0.4">
      <c r="A60" t="s">
        <v>202</v>
      </c>
      <c r="B60" t="s">
        <v>203</v>
      </c>
      <c r="C60" t="s">
        <v>38</v>
      </c>
      <c r="D60">
        <v>39960</v>
      </c>
      <c r="E60">
        <v>2</v>
      </c>
      <c r="F60">
        <v>1</v>
      </c>
      <c r="G60">
        <v>3</v>
      </c>
      <c r="H60">
        <v>323</v>
      </c>
      <c r="I60">
        <v>160</v>
      </c>
      <c r="J60">
        <v>836</v>
      </c>
      <c r="K60">
        <v>43.0776669788644</v>
      </c>
      <c r="L60">
        <v>13.636363636363637</v>
      </c>
      <c r="M60">
        <v>48.816241180057105</v>
      </c>
      <c r="N60">
        <v>2</v>
      </c>
      <c r="O60">
        <v>1</v>
      </c>
      <c r="P60">
        <v>2</v>
      </c>
    </row>
    <row r="61" spans="1:16" x14ac:dyDescent="0.4">
      <c r="A61" t="s">
        <v>143</v>
      </c>
      <c r="B61" t="s">
        <v>144</v>
      </c>
      <c r="C61" t="s">
        <v>38</v>
      </c>
      <c r="D61">
        <v>40105</v>
      </c>
      <c r="E61">
        <v>2</v>
      </c>
      <c r="F61">
        <v>1</v>
      </c>
      <c r="G61">
        <v>3</v>
      </c>
      <c r="H61">
        <v>323</v>
      </c>
      <c r="I61">
        <v>160</v>
      </c>
      <c r="J61">
        <v>836</v>
      </c>
      <c r="K61">
        <v>32.248920610337109</v>
      </c>
      <c r="L61">
        <v>1.1857707509881423</v>
      </c>
      <c r="M61">
        <v>39.045350105555173</v>
      </c>
      <c r="N61">
        <v>2</v>
      </c>
      <c r="O61">
        <v>1</v>
      </c>
      <c r="P61">
        <v>2</v>
      </c>
    </row>
    <row r="62" spans="1:16" x14ac:dyDescent="0.4">
      <c r="A62" t="s">
        <v>208</v>
      </c>
      <c r="B62" t="s">
        <v>209</v>
      </c>
      <c r="C62" t="s">
        <v>38</v>
      </c>
      <c r="D62">
        <v>40177</v>
      </c>
      <c r="E62">
        <v>2</v>
      </c>
      <c r="F62">
        <v>1</v>
      </c>
      <c r="G62">
        <v>3</v>
      </c>
      <c r="H62">
        <v>323</v>
      </c>
      <c r="I62">
        <v>160</v>
      </c>
      <c r="J62">
        <v>836</v>
      </c>
      <c r="K62">
        <v>48.340494250516208</v>
      </c>
      <c r="L62">
        <v>10.671936758893281</v>
      </c>
      <c r="M62">
        <v>31.990840358712124</v>
      </c>
      <c r="N62">
        <v>2</v>
      </c>
      <c r="O62">
        <v>1</v>
      </c>
      <c r="P62">
        <v>2</v>
      </c>
    </row>
    <row r="63" spans="1:16" x14ac:dyDescent="0.4">
      <c r="A63" t="s">
        <v>210</v>
      </c>
      <c r="B63" t="s">
        <v>211</v>
      </c>
      <c r="C63" t="s">
        <v>38</v>
      </c>
      <c r="D63">
        <v>40358</v>
      </c>
      <c r="E63">
        <v>2</v>
      </c>
      <c r="F63">
        <v>1</v>
      </c>
      <c r="G63">
        <v>3</v>
      </c>
      <c r="H63">
        <v>323</v>
      </c>
      <c r="I63">
        <v>160</v>
      </c>
      <c r="J63">
        <v>836</v>
      </c>
      <c r="K63">
        <v>48.596114111113813</v>
      </c>
      <c r="L63">
        <v>8.4980237154150196</v>
      </c>
      <c r="M63">
        <v>39.250651180142846</v>
      </c>
      <c r="N63">
        <v>2</v>
      </c>
      <c r="O63">
        <v>1</v>
      </c>
      <c r="P63">
        <v>2</v>
      </c>
    </row>
    <row r="64" spans="1:16" x14ac:dyDescent="0.4">
      <c r="A64" t="s">
        <v>166</v>
      </c>
      <c r="B64" t="s">
        <v>167</v>
      </c>
      <c r="C64" t="s">
        <v>41</v>
      </c>
      <c r="D64">
        <v>40410</v>
      </c>
      <c r="E64">
        <v>2</v>
      </c>
      <c r="F64">
        <v>1</v>
      </c>
      <c r="G64">
        <v>3</v>
      </c>
      <c r="H64">
        <v>323</v>
      </c>
      <c r="I64">
        <v>160</v>
      </c>
      <c r="J64">
        <v>836</v>
      </c>
      <c r="K64">
        <v>37.566523062595181</v>
      </c>
      <c r="L64">
        <v>2.5380710659898478</v>
      </c>
      <c r="M64">
        <v>34.018509154614897</v>
      </c>
      <c r="N64">
        <v>2</v>
      </c>
      <c r="O64">
        <v>1</v>
      </c>
      <c r="P64">
        <v>2</v>
      </c>
    </row>
    <row r="65" spans="1:16" x14ac:dyDescent="0.4">
      <c r="A65" t="s">
        <v>178</v>
      </c>
      <c r="B65" t="s">
        <v>179</v>
      </c>
      <c r="C65" t="s">
        <v>38</v>
      </c>
      <c r="D65">
        <v>40541</v>
      </c>
      <c r="E65">
        <v>2</v>
      </c>
      <c r="F65">
        <v>1</v>
      </c>
      <c r="G65">
        <v>3</v>
      </c>
      <c r="H65">
        <v>323</v>
      </c>
      <c r="I65">
        <v>160</v>
      </c>
      <c r="J65">
        <v>836</v>
      </c>
      <c r="K65">
        <v>48.337773498045614</v>
      </c>
      <c r="L65">
        <v>15.810276679841897</v>
      </c>
      <c r="M65">
        <v>42.464747661186735</v>
      </c>
      <c r="N65">
        <v>2</v>
      </c>
      <c r="O65">
        <v>1</v>
      </c>
      <c r="P65">
        <v>2</v>
      </c>
    </row>
    <row r="66" spans="1:16" x14ac:dyDescent="0.4">
      <c r="A66" t="s">
        <v>57</v>
      </c>
      <c r="B66" t="s">
        <v>58</v>
      </c>
      <c r="C66" t="s">
        <v>38</v>
      </c>
      <c r="D66">
        <v>40654</v>
      </c>
      <c r="E66">
        <v>2</v>
      </c>
      <c r="F66">
        <v>1</v>
      </c>
      <c r="G66">
        <v>3</v>
      </c>
      <c r="H66">
        <v>323</v>
      </c>
      <c r="I66">
        <v>160</v>
      </c>
      <c r="J66">
        <v>836</v>
      </c>
      <c r="K66">
        <v>35.296352796873272</v>
      </c>
      <c r="L66">
        <v>13.83399209486166</v>
      </c>
      <c r="M66">
        <v>47.052785772866329</v>
      </c>
      <c r="N66">
        <v>2</v>
      </c>
      <c r="O66">
        <v>1</v>
      </c>
      <c r="P66">
        <v>2</v>
      </c>
    </row>
    <row r="67" spans="1:16" x14ac:dyDescent="0.4">
      <c r="A67" t="s">
        <v>212</v>
      </c>
      <c r="B67" t="s">
        <v>213</v>
      </c>
      <c r="C67" t="s">
        <v>50</v>
      </c>
      <c r="D67">
        <v>40890</v>
      </c>
      <c r="E67">
        <v>2</v>
      </c>
      <c r="F67">
        <v>1</v>
      </c>
      <c r="G67">
        <v>3</v>
      </c>
      <c r="H67">
        <v>323</v>
      </c>
      <c r="I67">
        <v>160</v>
      </c>
      <c r="J67">
        <v>836</v>
      </c>
      <c r="K67">
        <v>42.459704283815157</v>
      </c>
      <c r="L67">
        <v>15.35303776683087</v>
      </c>
      <c r="M67">
        <v>48.117121320082823</v>
      </c>
      <c r="N67">
        <v>2</v>
      </c>
      <c r="O67">
        <v>1</v>
      </c>
      <c r="P67">
        <v>2</v>
      </c>
    </row>
    <row r="70" spans="1:16" x14ac:dyDescent="0.4">
      <c r="A70" t="s">
        <v>92</v>
      </c>
    </row>
    <row r="71" spans="1:16" x14ac:dyDescent="0.4">
      <c r="A71" t="s">
        <v>60</v>
      </c>
      <c r="B71" t="s">
        <v>61</v>
      </c>
      <c r="C71" t="s">
        <v>38</v>
      </c>
      <c r="D71">
        <v>38072</v>
      </c>
      <c r="E71">
        <v>2</v>
      </c>
      <c r="F71">
        <v>1</v>
      </c>
      <c r="G71">
        <v>3</v>
      </c>
      <c r="H71">
        <v>323</v>
      </c>
      <c r="I71">
        <v>160</v>
      </c>
      <c r="J71">
        <v>836</v>
      </c>
      <c r="K71">
        <v>25.040125071957878</v>
      </c>
      <c r="L71">
        <v>36.363636363636367</v>
      </c>
      <c r="M71">
        <v>40.892890962661369</v>
      </c>
      <c r="N71">
        <v>1</v>
      </c>
      <c r="O71">
        <v>2</v>
      </c>
      <c r="P71">
        <v>2</v>
      </c>
    </row>
    <row r="72" spans="1:16" x14ac:dyDescent="0.4">
      <c r="A72" t="s">
        <v>86</v>
      </c>
      <c r="B72" t="s">
        <v>87</v>
      </c>
      <c r="C72" t="s">
        <v>38</v>
      </c>
      <c r="D72">
        <v>38548</v>
      </c>
      <c r="E72">
        <v>2</v>
      </c>
      <c r="F72">
        <v>1</v>
      </c>
      <c r="G72">
        <v>3</v>
      </c>
      <c r="H72">
        <v>323</v>
      </c>
      <c r="I72">
        <v>160</v>
      </c>
      <c r="J72">
        <v>836</v>
      </c>
      <c r="K72">
        <v>14.488006905889687</v>
      </c>
      <c r="L72">
        <v>37.351778656126484</v>
      </c>
      <c r="M72">
        <v>44.682223011089931</v>
      </c>
      <c r="N72">
        <v>1</v>
      </c>
      <c r="O72">
        <v>2</v>
      </c>
      <c r="P72">
        <v>2</v>
      </c>
    </row>
    <row r="73" spans="1:16" x14ac:dyDescent="0.4">
      <c r="A73" t="s">
        <v>84</v>
      </c>
      <c r="B73" t="s">
        <v>85</v>
      </c>
      <c r="C73" t="s">
        <v>38</v>
      </c>
      <c r="D73">
        <v>39731</v>
      </c>
      <c r="E73">
        <v>2</v>
      </c>
      <c r="F73">
        <v>1</v>
      </c>
      <c r="G73">
        <v>3</v>
      </c>
      <c r="H73">
        <v>323</v>
      </c>
      <c r="I73">
        <v>160</v>
      </c>
      <c r="J73">
        <v>836</v>
      </c>
      <c r="K73">
        <v>29.381819208753523</v>
      </c>
      <c r="L73">
        <v>45.652173913043477</v>
      </c>
      <c r="M73">
        <v>38.09932501716515</v>
      </c>
      <c r="N73">
        <v>1</v>
      </c>
      <c r="O73">
        <v>2</v>
      </c>
      <c r="P73">
        <v>2</v>
      </c>
    </row>
    <row r="74" spans="1:16" x14ac:dyDescent="0.4">
      <c r="A74" t="s">
        <v>95</v>
      </c>
      <c r="B74" t="s">
        <v>96</v>
      </c>
      <c r="C74" t="s">
        <v>38</v>
      </c>
      <c r="D74">
        <v>39876</v>
      </c>
      <c r="E74">
        <v>2</v>
      </c>
      <c r="F74">
        <v>1</v>
      </c>
      <c r="G74">
        <v>3</v>
      </c>
      <c r="H74">
        <v>323</v>
      </c>
      <c r="I74">
        <v>160</v>
      </c>
      <c r="J74">
        <v>836</v>
      </c>
      <c r="K74">
        <v>10.306027827098593</v>
      </c>
      <c r="L74">
        <v>41.501976284584977</v>
      </c>
      <c r="M74">
        <v>47.812685195337735</v>
      </c>
      <c r="N74">
        <v>1</v>
      </c>
      <c r="O74">
        <v>2</v>
      </c>
      <c r="P74">
        <v>2</v>
      </c>
    </row>
    <row r="75" spans="1:16" x14ac:dyDescent="0.4">
      <c r="A75" t="s">
        <v>47</v>
      </c>
      <c r="B75" t="s">
        <v>48</v>
      </c>
      <c r="C75" t="s">
        <v>38</v>
      </c>
      <c r="D75">
        <v>40296</v>
      </c>
      <c r="E75">
        <v>2</v>
      </c>
      <c r="F75">
        <v>1</v>
      </c>
      <c r="G75">
        <v>3</v>
      </c>
      <c r="H75">
        <v>323</v>
      </c>
      <c r="I75">
        <v>160</v>
      </c>
      <c r="J75">
        <v>836</v>
      </c>
      <c r="K75">
        <v>9.589157766964794</v>
      </c>
      <c r="L75">
        <v>48.418972332015812</v>
      </c>
      <c r="M75">
        <v>40.897390782123964</v>
      </c>
      <c r="N75">
        <v>1</v>
      </c>
      <c r="O75">
        <v>2</v>
      </c>
      <c r="P75">
        <v>2</v>
      </c>
    </row>
    <row r="76" spans="1:16" x14ac:dyDescent="0.4">
      <c r="A76" t="s">
        <v>39</v>
      </c>
      <c r="B76" t="s">
        <v>40</v>
      </c>
      <c r="C76" t="s">
        <v>41</v>
      </c>
      <c r="D76">
        <v>40505</v>
      </c>
      <c r="E76">
        <v>2</v>
      </c>
      <c r="F76">
        <v>1</v>
      </c>
      <c r="G76">
        <v>3</v>
      </c>
      <c r="H76">
        <v>323</v>
      </c>
      <c r="I76">
        <v>160</v>
      </c>
      <c r="J76">
        <v>836</v>
      </c>
      <c r="K76">
        <v>21.367519743392901</v>
      </c>
      <c r="L76">
        <v>43.147208121827411</v>
      </c>
      <c r="M76">
        <v>31.798964555483145</v>
      </c>
      <c r="N76">
        <v>1</v>
      </c>
      <c r="O76">
        <v>2</v>
      </c>
      <c r="P76">
        <v>2</v>
      </c>
    </row>
    <row r="77" spans="1:16" x14ac:dyDescent="0.4">
      <c r="A77" t="s">
        <v>93</v>
      </c>
      <c r="B77" t="s">
        <v>94</v>
      </c>
      <c r="C77" t="s">
        <v>38</v>
      </c>
      <c r="D77">
        <v>40584</v>
      </c>
      <c r="E77">
        <v>2</v>
      </c>
      <c r="F77">
        <v>1</v>
      </c>
      <c r="G77">
        <v>3</v>
      </c>
      <c r="H77">
        <v>323</v>
      </c>
      <c r="I77">
        <v>160</v>
      </c>
      <c r="J77">
        <v>836</v>
      </c>
      <c r="K77">
        <v>25.673151184121416</v>
      </c>
      <c r="L77">
        <v>44.268774703557312</v>
      </c>
      <c r="M77">
        <v>48.163167437139052</v>
      </c>
      <c r="N77">
        <v>1</v>
      </c>
      <c r="O77">
        <v>2</v>
      </c>
      <c r="P77">
        <v>2</v>
      </c>
    </row>
    <row r="78" spans="1:16" x14ac:dyDescent="0.4">
      <c r="A78" t="s">
        <v>66</v>
      </c>
      <c r="B78" t="s">
        <v>67</v>
      </c>
      <c r="C78" t="s">
        <v>38</v>
      </c>
      <c r="D78">
        <v>40716</v>
      </c>
      <c r="E78">
        <v>2</v>
      </c>
      <c r="F78">
        <v>1</v>
      </c>
      <c r="G78">
        <v>3</v>
      </c>
      <c r="H78">
        <v>323</v>
      </c>
      <c r="I78">
        <v>160</v>
      </c>
      <c r="J78">
        <v>836</v>
      </c>
      <c r="K78">
        <v>13.34081712462269</v>
      </c>
      <c r="L78">
        <v>49.011857707509883</v>
      </c>
      <c r="M78">
        <v>36.16012725573075</v>
      </c>
      <c r="N78">
        <v>1</v>
      </c>
      <c r="O78">
        <v>2</v>
      </c>
      <c r="P78">
        <v>2</v>
      </c>
    </row>
    <row r="79" spans="1:16" x14ac:dyDescent="0.4">
      <c r="A79" t="s">
        <v>214</v>
      </c>
      <c r="B79" t="s">
        <v>215</v>
      </c>
      <c r="C79" t="s">
        <v>38</v>
      </c>
      <c r="D79">
        <v>40897</v>
      </c>
      <c r="E79">
        <v>2</v>
      </c>
      <c r="F79">
        <v>1</v>
      </c>
      <c r="G79">
        <v>3</v>
      </c>
      <c r="H79">
        <v>323</v>
      </c>
      <c r="I79">
        <v>160</v>
      </c>
      <c r="J79">
        <v>836</v>
      </c>
      <c r="K79">
        <v>28.912203556367878</v>
      </c>
      <c r="L79">
        <v>30.434782608695649</v>
      </c>
      <c r="M79">
        <v>33.50925894383289</v>
      </c>
      <c r="N79">
        <v>1</v>
      </c>
      <c r="O79">
        <v>2</v>
      </c>
      <c r="P79">
        <v>2</v>
      </c>
    </row>
    <row r="80" spans="1:16" x14ac:dyDescent="0.4">
      <c r="A80" t="s">
        <v>112</v>
      </c>
      <c r="B80" t="s">
        <v>113</v>
      </c>
      <c r="C80" t="s">
        <v>38</v>
      </c>
      <c r="D80">
        <v>41541</v>
      </c>
      <c r="E80">
        <v>2</v>
      </c>
      <c r="F80">
        <v>1</v>
      </c>
      <c r="G80">
        <v>3</v>
      </c>
      <c r="H80">
        <v>323</v>
      </c>
      <c r="I80">
        <v>160</v>
      </c>
      <c r="J80">
        <v>836</v>
      </c>
      <c r="K80">
        <v>25.253146214443166</v>
      </c>
      <c r="L80">
        <v>43.873517786561266</v>
      </c>
      <c r="M80">
        <v>38.860882188445245</v>
      </c>
      <c r="N80">
        <v>1</v>
      </c>
      <c r="O80">
        <v>2</v>
      </c>
      <c r="P80">
        <v>2</v>
      </c>
    </row>
    <row r="83" spans="1:16" x14ac:dyDescent="0.4">
      <c r="A83" t="s">
        <v>15</v>
      </c>
    </row>
    <row r="84" spans="1:16" x14ac:dyDescent="0.4">
      <c r="A84" t="s">
        <v>188</v>
      </c>
      <c r="B84" t="s">
        <v>189</v>
      </c>
      <c r="C84" t="s">
        <v>38</v>
      </c>
      <c r="D84">
        <v>38447</v>
      </c>
      <c r="E84">
        <v>2</v>
      </c>
      <c r="F84">
        <v>1</v>
      </c>
      <c r="G84">
        <v>3</v>
      </c>
      <c r="H84">
        <v>323</v>
      </c>
      <c r="I84">
        <v>160</v>
      </c>
      <c r="J84">
        <v>836</v>
      </c>
      <c r="K84">
        <v>44.799324702348819</v>
      </c>
      <c r="L84">
        <v>30.039525691699605</v>
      </c>
      <c r="M84">
        <v>31.003356066191046</v>
      </c>
      <c r="N84">
        <v>2</v>
      </c>
      <c r="O84">
        <v>2</v>
      </c>
      <c r="P84">
        <v>2</v>
      </c>
    </row>
    <row r="85" spans="1:16" x14ac:dyDescent="0.4">
      <c r="A85" t="s">
        <v>110</v>
      </c>
      <c r="B85" t="s">
        <v>111</v>
      </c>
      <c r="C85" t="s">
        <v>38</v>
      </c>
      <c r="D85">
        <v>38589</v>
      </c>
      <c r="E85">
        <v>2</v>
      </c>
      <c r="F85">
        <v>1</v>
      </c>
      <c r="G85">
        <v>3</v>
      </c>
      <c r="H85">
        <v>323</v>
      </c>
      <c r="I85">
        <v>160</v>
      </c>
      <c r="J85">
        <v>836</v>
      </c>
      <c r="K85">
        <v>33.386959708927698</v>
      </c>
      <c r="L85">
        <v>38.537549407114625</v>
      </c>
      <c r="M85">
        <v>35.795474178770334</v>
      </c>
      <c r="N85">
        <v>2</v>
      </c>
      <c r="O85">
        <v>2</v>
      </c>
      <c r="P85">
        <v>2</v>
      </c>
    </row>
    <row r="86" spans="1:16" x14ac:dyDescent="0.4">
      <c r="A86" t="s">
        <v>190</v>
      </c>
      <c r="B86" t="s">
        <v>191</v>
      </c>
      <c r="C86" t="s">
        <v>38</v>
      </c>
      <c r="D86">
        <v>39048</v>
      </c>
      <c r="E86">
        <v>2</v>
      </c>
      <c r="F86">
        <v>1</v>
      </c>
      <c r="G86">
        <v>3</v>
      </c>
      <c r="H86">
        <v>323</v>
      </c>
      <c r="I86">
        <v>160</v>
      </c>
      <c r="J86">
        <v>836</v>
      </c>
      <c r="K86">
        <v>44.840569932206769</v>
      </c>
      <c r="L86">
        <v>31.225296442687743</v>
      </c>
      <c r="M86">
        <v>39.672839967456966</v>
      </c>
      <c r="N86">
        <v>2</v>
      </c>
      <c r="O86">
        <v>2</v>
      </c>
      <c r="P86">
        <v>2</v>
      </c>
    </row>
    <row r="87" spans="1:16" x14ac:dyDescent="0.4">
      <c r="A87" t="s">
        <v>206</v>
      </c>
      <c r="B87" t="s">
        <v>207</v>
      </c>
      <c r="C87" t="s">
        <v>38</v>
      </c>
      <c r="D87">
        <v>40085</v>
      </c>
      <c r="E87">
        <v>2</v>
      </c>
      <c r="F87">
        <v>1</v>
      </c>
      <c r="G87">
        <v>3</v>
      </c>
      <c r="H87">
        <v>323</v>
      </c>
      <c r="I87">
        <v>160</v>
      </c>
      <c r="J87">
        <v>836</v>
      </c>
      <c r="K87">
        <v>44.403441441916151</v>
      </c>
      <c r="L87">
        <v>30.632411067193676</v>
      </c>
      <c r="M87">
        <v>43.843744628141579</v>
      </c>
      <c r="N87">
        <v>2</v>
      </c>
      <c r="O87">
        <v>2</v>
      </c>
      <c r="P87">
        <v>2</v>
      </c>
    </row>
    <row r="88" spans="1:16" x14ac:dyDescent="0.4">
      <c r="A88" t="s">
        <v>152</v>
      </c>
      <c r="B88" t="s">
        <v>153</v>
      </c>
      <c r="C88" t="s">
        <v>38</v>
      </c>
      <c r="D88">
        <v>40142</v>
      </c>
      <c r="E88">
        <v>2</v>
      </c>
      <c r="F88">
        <v>1</v>
      </c>
      <c r="G88">
        <v>3</v>
      </c>
      <c r="H88">
        <v>323</v>
      </c>
      <c r="I88">
        <v>160</v>
      </c>
      <c r="J88">
        <v>836</v>
      </c>
      <c r="K88">
        <v>46.213031130057644</v>
      </c>
      <c r="L88">
        <v>43.675889328063242</v>
      </c>
      <c r="M88">
        <v>34.88593077294432</v>
      </c>
      <c r="N88">
        <v>2</v>
      </c>
      <c r="O88">
        <v>2</v>
      </c>
      <c r="P88">
        <v>2</v>
      </c>
    </row>
    <row r="89" spans="1:16" x14ac:dyDescent="0.4">
      <c r="A89" t="s">
        <v>176</v>
      </c>
      <c r="B89" t="s">
        <v>177</v>
      </c>
      <c r="C89" t="s">
        <v>38</v>
      </c>
      <c r="D89">
        <v>40316</v>
      </c>
      <c r="E89">
        <v>2</v>
      </c>
      <c r="F89">
        <v>1</v>
      </c>
      <c r="G89">
        <v>3</v>
      </c>
      <c r="H89">
        <v>323</v>
      </c>
      <c r="I89">
        <v>160</v>
      </c>
      <c r="J89">
        <v>836</v>
      </c>
      <c r="K89">
        <v>43.07727436395092</v>
      </c>
      <c r="L89">
        <v>40.711462450592883</v>
      </c>
      <c r="M89">
        <v>40.556359619771634</v>
      </c>
      <c r="N89">
        <v>2</v>
      </c>
      <c r="O89">
        <v>2</v>
      </c>
      <c r="P89">
        <v>2</v>
      </c>
    </row>
    <row r="90" spans="1:16" x14ac:dyDescent="0.4">
      <c r="A90" t="s">
        <v>168</v>
      </c>
      <c r="B90" t="s">
        <v>169</v>
      </c>
      <c r="C90" t="s">
        <v>41</v>
      </c>
      <c r="D90">
        <v>40669</v>
      </c>
      <c r="E90">
        <v>2</v>
      </c>
      <c r="F90">
        <v>1</v>
      </c>
      <c r="G90">
        <v>3</v>
      </c>
      <c r="H90">
        <v>323</v>
      </c>
      <c r="I90">
        <v>160</v>
      </c>
      <c r="J90">
        <v>836</v>
      </c>
      <c r="K90">
        <v>38.433318118155924</v>
      </c>
      <c r="L90">
        <v>43.654822335025379</v>
      </c>
      <c r="M90">
        <v>47.725278403392835</v>
      </c>
      <c r="N90">
        <v>2</v>
      </c>
      <c r="O90">
        <v>2</v>
      </c>
      <c r="P90">
        <v>2</v>
      </c>
    </row>
    <row r="91" spans="1:16" x14ac:dyDescent="0.4">
      <c r="A91" t="s">
        <v>106</v>
      </c>
      <c r="B91" t="s">
        <v>107</v>
      </c>
      <c r="C91" t="s">
        <v>38</v>
      </c>
      <c r="D91">
        <v>40708</v>
      </c>
      <c r="E91">
        <v>2</v>
      </c>
      <c r="F91">
        <v>1</v>
      </c>
      <c r="G91">
        <v>3</v>
      </c>
      <c r="H91">
        <v>323</v>
      </c>
      <c r="I91">
        <v>160</v>
      </c>
      <c r="J91">
        <v>836</v>
      </c>
      <c r="K91">
        <v>32.068968664336126</v>
      </c>
      <c r="L91">
        <v>38.735177865612648</v>
      </c>
      <c r="M91">
        <v>35.799074278634187</v>
      </c>
      <c r="N91">
        <v>2</v>
      </c>
      <c r="O91">
        <v>2</v>
      </c>
      <c r="P91">
        <v>2</v>
      </c>
    </row>
    <row r="92" spans="1:16" x14ac:dyDescent="0.4">
      <c r="A92" t="s">
        <v>180</v>
      </c>
      <c r="B92" t="s">
        <v>181</v>
      </c>
      <c r="C92" t="s">
        <v>38</v>
      </c>
      <c r="D92">
        <v>41025</v>
      </c>
      <c r="E92">
        <v>2</v>
      </c>
      <c r="F92">
        <v>1</v>
      </c>
      <c r="G92">
        <v>3</v>
      </c>
      <c r="H92">
        <v>323</v>
      </c>
      <c r="I92">
        <v>160</v>
      </c>
      <c r="J92">
        <v>836</v>
      </c>
      <c r="K92">
        <v>45.9066365179741</v>
      </c>
      <c r="L92">
        <v>46.837944664031617</v>
      </c>
      <c r="M92">
        <v>31.521794768185572</v>
      </c>
      <c r="N92">
        <v>2</v>
      </c>
      <c r="O92">
        <v>2</v>
      </c>
      <c r="P92">
        <v>2</v>
      </c>
    </row>
    <row r="93" spans="1:16" x14ac:dyDescent="0.4">
      <c r="A93" t="s">
        <v>90</v>
      </c>
      <c r="B93" t="s">
        <v>91</v>
      </c>
      <c r="C93" t="s">
        <v>38</v>
      </c>
      <c r="D93">
        <v>41227</v>
      </c>
      <c r="E93">
        <v>2</v>
      </c>
      <c r="F93">
        <v>1</v>
      </c>
      <c r="G93">
        <v>3</v>
      </c>
      <c r="H93">
        <v>323</v>
      </c>
      <c r="I93">
        <v>160</v>
      </c>
      <c r="J93">
        <v>836</v>
      </c>
      <c r="K93">
        <v>34.42676586736814</v>
      </c>
      <c r="L93">
        <v>32.015810276679844</v>
      </c>
      <c r="M93">
        <v>37.788133225592311</v>
      </c>
      <c r="N93">
        <v>2</v>
      </c>
      <c r="O93">
        <v>2</v>
      </c>
      <c r="P93">
        <v>2</v>
      </c>
    </row>
    <row r="94" spans="1:16" x14ac:dyDescent="0.4">
      <c r="A94" t="s">
        <v>222</v>
      </c>
      <c r="B94" t="s">
        <v>223</v>
      </c>
      <c r="C94" t="s">
        <v>41</v>
      </c>
      <c r="D94">
        <v>41422</v>
      </c>
      <c r="E94">
        <v>2</v>
      </c>
      <c r="F94">
        <v>1</v>
      </c>
      <c r="G94">
        <v>3</v>
      </c>
      <c r="H94">
        <v>323</v>
      </c>
      <c r="I94">
        <v>160</v>
      </c>
      <c r="J94">
        <v>836</v>
      </c>
      <c r="K94">
        <v>46.193448645975892</v>
      </c>
      <c r="L94">
        <v>42.131979695431475</v>
      </c>
      <c r="M94">
        <v>38.736943685639964</v>
      </c>
      <c r="N94">
        <v>2</v>
      </c>
      <c r="O94">
        <v>2</v>
      </c>
      <c r="P94">
        <v>2</v>
      </c>
    </row>
    <row r="95" spans="1:16" x14ac:dyDescent="0.4">
      <c r="A95" t="s">
        <v>104</v>
      </c>
      <c r="B95" t="s">
        <v>105</v>
      </c>
      <c r="C95" t="s">
        <v>38</v>
      </c>
      <c r="D95">
        <v>41439</v>
      </c>
      <c r="E95">
        <v>2</v>
      </c>
      <c r="F95">
        <v>1</v>
      </c>
      <c r="G95">
        <v>3</v>
      </c>
      <c r="H95">
        <v>323</v>
      </c>
      <c r="I95">
        <v>160</v>
      </c>
      <c r="J95">
        <v>836</v>
      </c>
      <c r="K95">
        <v>33.631303944729467</v>
      </c>
      <c r="L95">
        <v>42.490118577075101</v>
      </c>
      <c r="M95">
        <v>45.155656153719782</v>
      </c>
      <c r="N95">
        <v>2</v>
      </c>
      <c r="O95">
        <v>2</v>
      </c>
      <c r="P9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2"/>
  <sheetViews>
    <sheetView workbookViewId="0">
      <selection activeCell="G8" sqref="G8"/>
    </sheetView>
  </sheetViews>
  <sheetFormatPr defaultRowHeight="13.9" x14ac:dyDescent="0.4"/>
  <cols>
    <col min="1" max="1" width="10.265625" customWidth="1"/>
    <col min="2" max="2" width="22.33203125" customWidth="1"/>
    <col min="3" max="3" width="17" customWidth="1"/>
    <col min="4" max="4" width="12.265625" customWidth="1"/>
  </cols>
  <sheetData>
    <row r="1" ht="14.25" customHeight="1" x14ac:dyDescent="0.4"/>
    <row r="2" ht="14.25" customHeight="1" x14ac:dyDescent="0.4"/>
    <row r="3" ht="13.5" customHeight="1" x14ac:dyDescent="0.4"/>
    <row r="12" ht="15" customHeight="1" x14ac:dyDescent="0.4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category</vt:lpstr>
      <vt:lpstr>category2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2018-08-05T07:25:52Z</dcterms:modified>
</cp:coreProperties>
</file>